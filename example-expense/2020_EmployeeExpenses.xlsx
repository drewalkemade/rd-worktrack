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"/>
    </mc:Choice>
  </mc:AlternateContent>
  <xr:revisionPtr revIDLastSave="1124" documentId="8_{455CDD48-E9DA-4BDE-8B2B-91CDFBE9ACF3}" xr6:coauthVersionLast="47" xr6:coauthVersionMax="47" xr10:uidLastSave="{6258CDD5-44C5-4E00-B8BA-83FB9902082A}"/>
  <bookViews>
    <workbookView xWindow="-120" yWindow="-16320" windowWidth="29040" windowHeight="15720" xr2:uid="{54E8F72F-904B-48F5-BE66-D26203D54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U21" i="1" l="1"/>
  <c r="LT20" i="1"/>
  <c r="LT1" i="1"/>
  <c r="LS21" i="1"/>
  <c r="LR20" i="1"/>
  <c r="LR1" i="1"/>
  <c r="LQ21" i="1"/>
  <c r="LP20" i="1"/>
  <c r="LP1" i="1"/>
  <c r="LO21" i="1"/>
  <c r="LN20" i="1"/>
  <c r="LN1" i="1"/>
  <c r="LM21" i="1"/>
  <c r="LL20" i="1"/>
  <c r="LL1" i="1"/>
  <c r="LK21" i="1"/>
  <c r="LJ20" i="1"/>
  <c r="LJ1" i="1"/>
  <c r="LI21" i="1"/>
  <c r="LH20" i="1"/>
  <c r="LH1" i="1"/>
  <c r="LG21" i="1"/>
  <c r="LF20" i="1"/>
  <c r="LF1" i="1"/>
  <c r="LE21" i="1"/>
  <c r="LD20" i="1"/>
  <c r="LD1" i="1"/>
  <c r="LC21" i="1"/>
  <c r="LB20" i="1"/>
  <c r="LB1" i="1"/>
  <c r="LA21" i="1"/>
  <c r="KZ20" i="1"/>
  <c r="KZ1" i="1"/>
  <c r="KY21" i="1"/>
  <c r="KX20" i="1"/>
  <c r="KX1" i="1"/>
  <c r="KW21" i="1"/>
  <c r="KV20" i="1"/>
  <c r="KV1" i="1"/>
  <c r="KU21" i="1"/>
  <c r="KT20" i="1"/>
  <c r="KT1" i="1"/>
  <c r="KS21" i="1"/>
  <c r="KR20" i="1"/>
  <c r="KR1" i="1"/>
  <c r="KQ21" i="1"/>
  <c r="KP20" i="1"/>
  <c r="KP1" i="1"/>
  <c r="KO21" i="1"/>
  <c r="KN20" i="1"/>
  <c r="KN1" i="1"/>
  <c r="KM21" i="1"/>
  <c r="KL20" i="1"/>
  <c r="KL1" i="1"/>
  <c r="KK21" i="1"/>
  <c r="KJ20" i="1"/>
  <c r="KJ1" i="1"/>
  <c r="KI21" i="1"/>
  <c r="KH20" i="1"/>
  <c r="KH1" i="1"/>
  <c r="KG21" i="1"/>
  <c r="KF20" i="1"/>
  <c r="KF1" i="1"/>
  <c r="KE21" i="1"/>
  <c r="KD20" i="1"/>
  <c r="KD1" i="1"/>
  <c r="KC21" i="1"/>
  <c r="KB20" i="1"/>
  <c r="KB1" i="1"/>
  <c r="KA21" i="1"/>
  <c r="JZ20" i="1"/>
  <c r="JZ1" i="1"/>
  <c r="JY21" i="1"/>
  <c r="JX20" i="1"/>
  <c r="JX1" i="1"/>
  <c r="JW21" i="1"/>
  <c r="JV20" i="1"/>
  <c r="JV1" i="1"/>
  <c r="JU21" i="1"/>
  <c r="JT20" i="1"/>
  <c r="JT1" i="1"/>
  <c r="JS21" i="1"/>
  <c r="JR20" i="1"/>
  <c r="JR1" i="1"/>
  <c r="JQ21" i="1"/>
  <c r="JP20" i="1"/>
  <c r="JP1" i="1"/>
  <c r="JO21" i="1"/>
  <c r="JN20" i="1"/>
  <c r="JN1" i="1"/>
  <c r="JM21" i="1"/>
  <c r="JL20" i="1"/>
  <c r="JL1" i="1"/>
  <c r="JK21" i="1"/>
  <c r="JJ20" i="1"/>
  <c r="A20" i="1" l="1"/>
  <c r="JI21" i="1"/>
  <c r="A21" i="1" s="1"/>
  <c r="JH20" i="1"/>
  <c r="JG21" i="1"/>
  <c r="JF20" i="1"/>
  <c r="IX7" i="1"/>
  <c r="JB61" i="1" l="1"/>
  <c r="JA61" i="1"/>
  <c r="JA47" i="1"/>
  <c r="JB47" i="1"/>
  <c r="JF44" i="1"/>
  <c r="JE44" i="1"/>
  <c r="JG44" i="1" s="1"/>
  <c r="JC61" i="1" l="1"/>
  <c r="JC47" i="1"/>
  <c r="JE21" i="1" l="1"/>
  <c r="JD20" i="1"/>
  <c r="JC21" i="1"/>
  <c r="JB20" i="1"/>
  <c r="JA21" i="1"/>
  <c r="IZ20" i="1"/>
  <c r="IY21" i="1"/>
  <c r="IX20" i="1"/>
  <c r="IW21" i="1"/>
  <c r="IV20" i="1"/>
  <c r="IU21" i="1"/>
  <c r="IT20" i="1"/>
  <c r="IS21" i="1"/>
  <c r="IR20" i="1"/>
  <c r="IQ21" i="1"/>
  <c r="IP20" i="1"/>
  <c r="IO21" i="1"/>
  <c r="IN20" i="1"/>
  <c r="IM21" i="1"/>
  <c r="IL20" i="1"/>
  <c r="IK21" i="1"/>
  <c r="IJ20" i="1"/>
  <c r="II21" i="1"/>
  <c r="IH20" i="1"/>
  <c r="IG21" i="1" l="1"/>
  <c r="IF20" i="1"/>
  <c r="IE21" i="1"/>
  <c r="ID20" i="1"/>
  <c r="IC21" i="1"/>
  <c r="IB20" i="1"/>
  <c r="IA21" i="1"/>
  <c r="HZ20" i="1"/>
  <c r="HT3" i="1"/>
  <c r="HT17" i="1"/>
  <c r="HY21" i="1"/>
  <c r="HX20" i="1"/>
  <c r="HW21" i="1"/>
  <c r="HV20" i="1"/>
  <c r="HU21" i="1"/>
  <c r="HS21" i="1"/>
  <c r="HR20" i="1"/>
  <c r="HQ21" i="1"/>
  <c r="HP20" i="1"/>
  <c r="HO21" i="1"/>
  <c r="HN20" i="1"/>
  <c r="HM21" i="1"/>
  <c r="HL20" i="1"/>
  <c r="HK21" i="1"/>
  <c r="HJ20" i="1"/>
  <c r="HI21" i="1"/>
  <c r="HH20" i="1"/>
  <c r="HG21" i="1"/>
  <c r="HF20" i="1"/>
  <c r="HE21" i="1"/>
  <c r="HD20" i="1"/>
  <c r="HC21" i="1"/>
  <c r="GV20" i="1"/>
  <c r="GX20" i="1"/>
  <c r="GZ20" i="1"/>
  <c r="HB20" i="1"/>
  <c r="HT20" i="1" l="1"/>
  <c r="HA21" i="1"/>
  <c r="GY21" i="1"/>
  <c r="GW21" i="1"/>
  <c r="GU21" i="1"/>
  <c r="GT20" i="1"/>
  <c r="GS21" i="1"/>
  <c r="GR20" i="1"/>
  <c r="GQ21" i="1"/>
  <c r="GP20" i="1"/>
  <c r="GO21" i="1"/>
  <c r="GN20" i="1"/>
  <c r="GM21" i="1"/>
  <c r="GL20" i="1"/>
  <c r="GK21" i="1"/>
  <c r="GJ20" i="1"/>
  <c r="GF20" i="1"/>
  <c r="GH20" i="1"/>
  <c r="GG21" i="1"/>
  <c r="GI21" i="1"/>
  <c r="GD20" i="1"/>
  <c r="GE21" i="1"/>
  <c r="GC21" i="1"/>
  <c r="GB20" i="1"/>
  <c r="GA21" i="1"/>
  <c r="FZ20" i="1"/>
  <c r="FY21" i="1"/>
  <c r="FX20" i="1"/>
  <c r="FW21" i="1"/>
  <c r="FV20" i="1"/>
  <c r="FU21" i="1"/>
  <c r="FT20" i="1"/>
  <c r="FS21" i="1"/>
  <c r="FR20" i="1"/>
  <c r="FQ21" i="1"/>
  <c r="FP20" i="1"/>
  <c r="FO21" i="1"/>
  <c r="FN20" i="1"/>
  <c r="FM21" i="1"/>
  <c r="FL20" i="1"/>
  <c r="FK21" i="1"/>
  <c r="FJ20" i="1"/>
  <c r="FI21" i="1" l="1"/>
  <c r="FH20" i="1"/>
  <c r="FG21" i="1"/>
  <c r="FF20" i="1"/>
  <c r="FE21" i="1"/>
  <c r="FD20" i="1"/>
  <c r="FC21" i="1"/>
  <c r="FB20" i="1"/>
  <c r="FA21" i="1"/>
  <c r="EZ20" i="1"/>
  <c r="EY21" i="1"/>
  <c r="EX20" i="1"/>
  <c r="EW21" i="1"/>
  <c r="EV20" i="1"/>
  <c r="ET3" i="1"/>
  <c r="ET20" i="1" s="1"/>
  <c r="ER20" i="1"/>
  <c r="EP20" i="1"/>
  <c r="EU21" i="1"/>
  <c r="ES21" i="1"/>
  <c r="EQ21" i="1"/>
  <c r="EO21" i="1"/>
  <c r="EN20" i="1"/>
  <c r="EM21" i="1" l="1"/>
  <c r="EL20" i="1"/>
  <c r="EK21" i="1"/>
  <c r="EJ20" i="1"/>
  <c r="EI21" i="1" l="1"/>
  <c r="EG21" i="1" l="1"/>
  <c r="EE21" i="1" l="1"/>
  <c r="EF20" i="1" l="1"/>
  <c r="EH20" i="1" l="1"/>
  <c r="ED20" i="1"/>
  <c r="EC21" i="1"/>
  <c r="EB20" i="1"/>
  <c r="EA21" i="1"/>
  <c r="DZ20" i="1"/>
  <c r="DY21" i="1"/>
  <c r="DX20" i="1"/>
  <c r="DW21" i="1"/>
  <c r="DV20" i="1"/>
  <c r="DT20" i="1"/>
  <c r="DR20" i="1"/>
  <c r="DL20" i="1"/>
  <c r="DN20" i="1"/>
  <c r="DP20" i="1"/>
  <c r="DU21" i="1" l="1"/>
  <c r="DS21" i="1"/>
  <c r="DO21" i="1"/>
  <c r="DM21" i="1" l="1"/>
  <c r="DK21" i="1"/>
  <c r="DJ20" i="1"/>
  <c r="DI21" i="1" l="1"/>
  <c r="DH20" i="1"/>
  <c r="DG21" i="1" l="1"/>
  <c r="DF20" i="1"/>
  <c r="DE21" i="1" l="1"/>
  <c r="DD22" i="1" s="1"/>
  <c r="DD20" i="1"/>
  <c r="DQ21" i="1" l="1"/>
  <c r="DC21" i="1"/>
  <c r="DB20" i="1"/>
  <c r="DA21" i="1"/>
  <c r="CZ20" i="1"/>
  <c r="CY21" i="1"/>
  <c r="CX20" i="1"/>
  <c r="CW21" i="1"/>
  <c r="CV20" i="1"/>
  <c r="CU21" i="1" l="1"/>
  <c r="CT20" i="1"/>
  <c r="CS21" i="1"/>
  <c r="CR20" i="1"/>
  <c r="CQ21" i="1"/>
  <c r="CP20" i="1"/>
  <c r="CO21" i="1"/>
  <c r="CN20" i="1"/>
  <c r="CM21" i="1"/>
  <c r="CL20" i="1"/>
  <c r="CK21" i="1"/>
  <c r="CJ20" i="1"/>
  <c r="CI21" i="1"/>
  <c r="CH20" i="1"/>
  <c r="CG21" i="1"/>
  <c r="CF20" i="1"/>
  <c r="CE21" i="1"/>
  <c r="CD20" i="1"/>
  <c r="CC21" i="1"/>
  <c r="CB20" i="1"/>
  <c r="CA21" i="1"/>
  <c r="BZ20" i="1"/>
  <c r="BY21" i="1"/>
  <c r="BX20" i="1"/>
  <c r="BW21" i="1"/>
  <c r="BV20" i="1"/>
  <c r="BU21" i="1"/>
  <c r="BT20" i="1"/>
  <c r="BS21" i="1" l="1"/>
  <c r="BQ21" i="1"/>
  <c r="BR20" i="1"/>
  <c r="BP20" i="1"/>
  <c r="BO21" i="1"/>
  <c r="BM21" i="1"/>
  <c r="BN20" i="1"/>
  <c r="BL20" i="1"/>
  <c r="BC24" i="1"/>
  <c r="BD24" i="1" s="1"/>
  <c r="BK21" i="1"/>
  <c r="BJ20" i="1"/>
  <c r="BI21" i="1"/>
  <c r="BH20" i="1"/>
  <c r="BG21" i="1" l="1"/>
  <c r="BF20" i="1"/>
  <c r="BE21" i="1"/>
  <c r="BD20" i="1"/>
  <c r="BC21" i="1" l="1"/>
  <c r="BB20" i="1"/>
  <c r="BA21" i="1" l="1"/>
  <c r="AZ20" i="1"/>
  <c r="AY21" i="1" l="1"/>
  <c r="AX20" i="1"/>
  <c r="AW21" i="1"/>
  <c r="AV20" i="1"/>
  <c r="AU21" i="1"/>
  <c r="AT20" i="1"/>
  <c r="AM35" i="1" l="1"/>
  <c r="AM30" i="1" l="1"/>
  <c r="AN30" i="1"/>
  <c r="AN31" i="1" l="1"/>
  <c r="AN35" i="1" s="1"/>
  <c r="AS21" i="1"/>
  <c r="AR20" i="1"/>
  <c r="AQ21" i="1"/>
  <c r="AP20" i="1"/>
  <c r="AO21" i="1"/>
  <c r="AN20" i="1"/>
  <c r="AM21" i="1" l="1"/>
  <c r="AL20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J13" i="1"/>
  <c r="AC63" i="1" l="1"/>
  <c r="AK21" i="1"/>
  <c r="AJ20" i="1"/>
  <c r="AI21" i="1"/>
  <c r="AH20" i="1"/>
  <c r="AG21" i="1"/>
  <c r="AF20" i="1"/>
  <c r="AE21" i="1"/>
  <c r="AD20" i="1"/>
  <c r="AC21" i="1"/>
  <c r="AB20" i="1"/>
  <c r="AA21" i="1"/>
  <c r="Z20" i="1"/>
  <c r="P26" i="1" l="1"/>
  <c r="Y21" i="1" l="1"/>
  <c r="X20" i="1"/>
  <c r="W21" i="1"/>
  <c r="V20" i="1"/>
  <c r="U21" i="1"/>
  <c r="T20" i="1"/>
  <c r="S21" i="1" l="1"/>
  <c r="R20" i="1"/>
  <c r="Q21" i="1"/>
  <c r="P20" i="1"/>
  <c r="L20" i="1" l="1"/>
  <c r="M21" i="1"/>
  <c r="O21" i="1"/>
  <c r="K21" i="1"/>
  <c r="I21" i="1"/>
  <c r="G21" i="1"/>
  <c r="E21" i="1"/>
  <c r="C21" i="1"/>
  <c r="N20" i="1"/>
  <c r="J20" i="1"/>
  <c r="H20" i="1"/>
  <c r="F20" i="1"/>
  <c r="D20" i="1"/>
  <c r="B20" i="1"/>
  <c r="D1" i="1"/>
  <c r="F1" i="1" s="1"/>
  <c r="H1" i="1" s="1"/>
  <c r="J1" i="1" s="1"/>
  <c r="L1" i="1" s="1"/>
  <c r="N1" i="1" s="1"/>
  <c r="P1" i="1" s="1"/>
  <c r="R1" i="1" s="1"/>
  <c r="T1" i="1" s="1"/>
  <c r="V1" i="1" s="1"/>
  <c r="X1" i="1" s="1"/>
  <c r="Z1" i="1" s="1"/>
  <c r="AB1" i="1" s="1"/>
  <c r="AD1" i="1" s="1"/>
  <c r="AF1" i="1" s="1"/>
  <c r="AH1" i="1" s="1"/>
  <c r="AJ1" i="1" s="1"/>
  <c r="AL1" i="1" s="1"/>
  <c r="AN1" i="1" s="1"/>
  <c r="AP1" i="1" s="1"/>
  <c r="AR1" i="1" s="1"/>
  <c r="AT1" i="1" s="1"/>
  <c r="AV1" i="1" s="1"/>
  <c r="AX1" i="1" s="1"/>
  <c r="AZ1" i="1" s="1"/>
  <c r="BB1" i="1" s="1"/>
  <c r="BD1" i="1" s="1"/>
  <c r="BF1" i="1" s="1"/>
  <c r="BH1" i="1" s="1"/>
  <c r="BJ1" i="1" s="1"/>
  <c r="BL1" i="1" s="1"/>
  <c r="BN1" i="1" s="1"/>
  <c r="BP1" i="1" s="1"/>
  <c r="BR1" i="1" s="1"/>
  <c r="BT1" i="1" s="1"/>
  <c r="BV1" i="1" s="1"/>
  <c r="BX1" i="1" s="1"/>
  <c r="BZ1" i="1" s="1"/>
  <c r="CB1" i="1" s="1"/>
  <c r="CD1" i="1" s="1"/>
  <c r="CF1" i="1" s="1"/>
  <c r="CH1" i="1" s="1"/>
  <c r="CJ1" i="1" s="1"/>
  <c r="CL1" i="1" s="1"/>
  <c r="CN1" i="1" s="1"/>
  <c r="CP1" i="1" s="1"/>
  <c r="CR1" i="1" s="1"/>
  <c r="CT1" i="1" s="1"/>
  <c r="CV1" i="1" s="1"/>
  <c r="CX1" i="1" s="1"/>
  <c r="CZ1" i="1" s="1"/>
  <c r="DB1" i="1" s="1"/>
  <c r="DD1" i="1" s="1"/>
  <c r="DF1" i="1" s="1"/>
  <c r="DH1" i="1" s="1"/>
  <c r="DJ1" i="1" s="1"/>
  <c r="DL1" i="1" s="1"/>
  <c r="DN1" i="1" s="1"/>
  <c r="DP1" i="1" s="1"/>
  <c r="DR1" i="1" s="1"/>
  <c r="DT1" i="1" s="1"/>
  <c r="DV1" i="1" s="1"/>
  <c r="DX1" i="1" s="1"/>
  <c r="DZ1" i="1" s="1"/>
  <c r="EB1" i="1" s="1"/>
  <c r="ED1" i="1" s="1"/>
  <c r="EF1" i="1" s="1"/>
  <c r="EH1" i="1" s="1"/>
  <c r="EJ1" i="1" s="1"/>
  <c r="EL1" i="1" s="1"/>
  <c r="EN1" i="1" s="1"/>
  <c r="EP1" i="1" s="1"/>
  <c r="ER1" i="1" s="1"/>
  <c r="ET1" i="1" s="1"/>
  <c r="EV1" i="1" s="1"/>
  <c r="EX1" i="1" s="1"/>
  <c r="EZ1" i="1" s="1"/>
  <c r="FB1" i="1" s="1"/>
  <c r="FD1" i="1" s="1"/>
  <c r="FF1" i="1" s="1"/>
  <c r="FH1" i="1" s="1"/>
  <c r="FJ1" i="1" s="1"/>
  <c r="FL1" i="1" s="1"/>
  <c r="FN1" i="1" s="1"/>
  <c r="FP1" i="1" s="1"/>
  <c r="FR1" i="1" s="1"/>
  <c r="FT1" i="1" s="1"/>
  <c r="FV1" i="1" s="1"/>
  <c r="FX1" i="1" s="1"/>
  <c r="FZ1" i="1" s="1"/>
  <c r="GB1" i="1" s="1"/>
  <c r="GD1" i="1" s="1"/>
  <c r="GF1" i="1" s="1"/>
  <c r="GH1" i="1" s="1"/>
  <c r="GJ1" i="1" s="1"/>
  <c r="GL1" i="1" s="1"/>
  <c r="GN1" i="1" s="1"/>
  <c r="GP1" i="1" s="1"/>
  <c r="GR1" i="1" s="1"/>
  <c r="GT1" i="1" s="1"/>
  <c r="GV1" i="1" s="1"/>
  <c r="GX1" i="1" s="1"/>
  <c r="GZ1" i="1" s="1"/>
  <c r="HB1" i="1" s="1"/>
  <c r="HD1" i="1" s="1"/>
  <c r="HF1" i="1" s="1"/>
  <c r="HH1" i="1" s="1"/>
  <c r="HJ1" i="1" s="1"/>
  <c r="HL1" i="1" s="1"/>
  <c r="HN1" i="1" s="1"/>
  <c r="HP1" i="1" s="1"/>
  <c r="HR1" i="1" s="1"/>
  <c r="HT1" i="1" s="1"/>
  <c r="HV1" i="1" s="1"/>
  <c r="HX1" i="1" s="1"/>
  <c r="HZ1" i="1" s="1"/>
  <c r="IB1" i="1" s="1"/>
  <c r="ID1" i="1" s="1"/>
  <c r="IF1" i="1" s="1"/>
  <c r="IH1" i="1" s="1"/>
  <c r="IJ1" i="1" s="1"/>
  <c r="IL1" i="1" s="1"/>
  <c r="IN1" i="1" s="1"/>
  <c r="IP1" i="1" s="1"/>
  <c r="IR1" i="1" s="1"/>
  <c r="IT1" i="1" s="1"/>
  <c r="IV1" i="1" s="1"/>
  <c r="IX1" i="1" s="1"/>
  <c r="IZ1" i="1" s="1"/>
  <c r="JB1" i="1" s="1"/>
  <c r="JD1" i="1" s="1"/>
  <c r="JF1" i="1" s="1"/>
  <c r="JH1" i="1" s="1"/>
  <c r="JJ1" i="1" s="1"/>
</calcChain>
</file>

<file path=xl/sharedStrings.xml><?xml version="1.0" encoding="utf-8"?>
<sst xmlns="http://schemas.openxmlformats.org/spreadsheetml/2006/main" count="363" uniqueCount="29">
  <si>
    <t>DTRIF</t>
  </si>
  <si>
    <t>JJEREMIAS</t>
  </si>
  <si>
    <t>CAD</t>
  </si>
  <si>
    <t>USD</t>
  </si>
  <si>
    <t>ZEBBINGHAUS</t>
  </si>
  <si>
    <t>TMELOCHE</t>
  </si>
  <si>
    <t>GSINGH</t>
  </si>
  <si>
    <t>AOKPAMEN</t>
  </si>
  <si>
    <t>ISHARMA</t>
  </si>
  <si>
    <t>SMALHOTRA</t>
  </si>
  <si>
    <t>PROBERTSON</t>
  </si>
  <si>
    <t>NGIRI</t>
  </si>
  <si>
    <t>SSURESH</t>
  </si>
  <si>
    <t xml:space="preserve">Transferred to $3280 (Centerline US Per Diems) USD to USD Account 8/28/2020 - JO513 </t>
  </si>
  <si>
    <t>Transferred to $3927.90 (Centerline US Per Diems) USD to USD Account 12/14/2020 - RI072</t>
  </si>
  <si>
    <t>Transferred to $4330.80 (Eckhart CAD Per Diems) CAD to CAD Account 1/10/2021 - xx###</t>
  </si>
  <si>
    <t>Transferred to $480.00 (Centerline USD Per Diems) USD to USD Account 1/10/2021 - xx###</t>
  </si>
  <si>
    <t>Transferred to $5780.18 (Centerline USD Per Diems) USD to USD Account 1/10/2021 - xx###</t>
  </si>
  <si>
    <t>Transferred to $3594 (Centerline USD Per Diems) USD to USD Account 1/10/2021 - xx###</t>
  </si>
  <si>
    <t>MOBIANBUNMO</t>
  </si>
  <si>
    <t>JZORZI</t>
  </si>
  <si>
    <t>CVED</t>
  </si>
  <si>
    <t>FMOLDOVAN</t>
  </si>
  <si>
    <t>NPOLA</t>
  </si>
  <si>
    <t>YSALEH</t>
  </si>
  <si>
    <t>Billed</t>
  </si>
  <si>
    <t>Paid</t>
  </si>
  <si>
    <t>PROBERTSON AUDIT 8-04 to 10-27</t>
  </si>
  <si>
    <t>ZEBBINGHAUS AUDIT 8-04 to 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</si>
</sst>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43" fontId="1" fillId="0" borderId="0" applyFont="0" applyFill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</cellStyleXfs>
  <cellXfs count="63">
    <xf numFmtId="0" fontId="0" fillId="0" borderId="0" xfId="0"/>
    <xf numFmtId="44" fontId="0" fillId="0" borderId="0" xfId="1" applyFont="1"/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44" fontId="2" fillId="0" borderId="2" xfId="0" applyNumberFormat="1" applyFont="1" applyBorder="1"/>
    <xf numFmtId="44" fontId="3" fillId="2" borderId="3" xfId="2" applyNumberFormat="1" applyBorder="1"/>
    <xf numFmtId="44" fontId="3" fillId="2" borderId="1" xfId="2" applyNumberFormat="1" applyBorder="1"/>
    <xf numFmtId="44" fontId="3" fillId="2" borderId="6" xfId="2" applyNumberFormat="1" applyBorder="1"/>
    <xf numFmtId="0" fontId="3" fillId="2" borderId="7" xfId="2" applyBorder="1"/>
    <xf numFmtId="44" fontId="3" fillId="2" borderId="8" xfId="2" applyNumberFormat="1" applyBorder="1"/>
    <xf numFmtId="44" fontId="3" fillId="2" borderId="9" xfId="2" applyNumberFormat="1" applyBorder="1"/>
    <xf numFmtId="44" fontId="0" fillId="0" borderId="0" xfId="1" applyFont="1" applyFill="1"/>
    <xf numFmtId="44" fontId="3" fillId="3" borderId="3" xfId="2" applyNumberFormat="1" applyFill="1" applyBorder="1"/>
    <xf numFmtId="16" fontId="0" fillId="0" borderId="0" xfId="0" applyNumberFormat="1"/>
    <xf numFmtId="165" fontId="0" fillId="0" borderId="0" xfId="0" applyNumberFormat="1"/>
    <xf numFmtId="2" fontId="0" fillId="0" borderId="0" xfId="0" applyNumberFormat="1"/>
    <xf numFmtId="44" fontId="0" fillId="0" borderId="0" xfId="0" applyNumberFormat="1"/>
    <xf numFmtId="0" fontId="0" fillId="0" borderId="0" xfId="3" applyNumberFormat="1" applyFont="1" applyFill="1"/>
    <xf numFmtId="44" fontId="3" fillId="4" borderId="3" xfId="2" applyNumberFormat="1" applyFill="1" applyBorder="1"/>
    <xf numFmtId="0" fontId="0" fillId="0" borderId="14" xfId="0" applyBorder="1"/>
    <xf numFmtId="44" fontId="3" fillId="5" borderId="3" xfId="2" applyNumberFormat="1" applyFill="1" applyBorder="1"/>
    <xf numFmtId="44" fontId="3" fillId="2" borderId="15" xfId="2" applyNumberFormat="1" applyBorder="1"/>
    <xf numFmtId="44" fontId="3" fillId="2" borderId="16" xfId="2" applyNumberFormat="1" applyBorder="1"/>
    <xf numFmtId="44" fontId="3" fillId="7" borderId="3" xfId="2" applyNumberFormat="1" applyFill="1" applyBorder="1"/>
    <xf numFmtId="44" fontId="3" fillId="2" borderId="25" xfId="2" applyNumberFormat="1" applyBorder="1"/>
    <xf numFmtId="44" fontId="3" fillId="2" borderId="26" xfId="2" applyNumberFormat="1" applyBorder="1"/>
    <xf numFmtId="44" fontId="4" fillId="9" borderId="3" xfId="4" applyNumberFormat="1" applyBorder="1"/>
    <xf numFmtId="44" fontId="3" fillId="0" borderId="3" xfId="2" applyNumberFormat="1" applyFill="1" applyBorder="1"/>
    <xf numFmtId="0" fontId="0" fillId="0" borderId="27" xfId="0" applyBorder="1"/>
    <xf numFmtId="44" fontId="3" fillId="5" borderId="25" xfId="2" applyNumberFormat="1" applyFill="1" applyBorder="1"/>
    <xf numFmtId="44" fontId="3" fillId="5" borderId="26" xfId="2" applyNumberFormat="1" applyFill="1" applyBorder="1"/>
    <xf numFmtId="16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16" fontId="5" fillId="10" borderId="1" xfId="5" applyNumberFormat="1" applyBorder="1"/>
    <xf numFmtId="0" fontId="5" fillId="10" borderId="1" xfId="5" applyBorder="1"/>
    <xf numFmtId="16" fontId="4" fillId="9" borderId="1" xfId="4" applyNumberFormat="1" applyBorder="1"/>
    <xf numFmtId="0" fontId="4" fillId="9" borderId="1" xfId="4" applyBorder="1"/>
    <xf numFmtId="44" fontId="5" fillId="10" borderId="1" xfId="1" applyFont="1" applyFill="1" applyBorder="1"/>
    <xf numFmtId="0" fontId="0" fillId="0" borderId="28" xfId="0" applyBorder="1"/>
    <xf numFmtId="44" fontId="0" fillId="0" borderId="1" xfId="1" applyFont="1" applyBorder="1"/>
    <xf numFmtId="44" fontId="0" fillId="0" borderId="1" xfId="0" applyNumberFormat="1" applyBorder="1"/>
    <xf numFmtId="164" fontId="0" fillId="0" borderId="1" xfId="0" applyNumberFormat="1" applyBorder="1"/>
    <xf numFmtId="16" fontId="3" fillId="2" borderId="1" xfId="2" applyNumberFormat="1" applyBorder="1"/>
    <xf numFmtId="0" fontId="3" fillId="2" borderId="1" xfId="2" applyBorder="1"/>
    <xf numFmtId="0" fontId="3" fillId="2" borderId="28" xfId="2" applyBorder="1"/>
    <xf numFmtId="164" fontId="3" fillId="2" borderId="1" xfId="2" applyNumberFormat="1" applyBorder="1"/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0" fillId="6" borderId="17" xfId="1" applyFont="1" applyFill="1" applyBorder="1" applyAlignment="1">
      <alignment horizontal="center"/>
    </xf>
    <xf numFmtId="44" fontId="0" fillId="6" borderId="18" xfId="1" applyFont="1" applyFill="1" applyBorder="1" applyAlignment="1">
      <alignment horizontal="center"/>
    </xf>
    <xf numFmtId="44" fontId="0" fillId="6" borderId="19" xfId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44" fontId="0" fillId="6" borderId="20" xfId="1" applyFont="1" applyFill="1" applyBorder="1" applyAlignment="1">
      <alignment horizontal="center"/>
    </xf>
    <xf numFmtId="44" fontId="0" fillId="6" borderId="21" xfId="1" applyFont="1" applyFill="1" applyBorder="1" applyAlignment="1">
      <alignment horizontal="center"/>
    </xf>
    <xf numFmtId="44" fontId="0" fillId="6" borderId="22" xfId="1" applyFont="1" applyFill="1" applyBorder="1" applyAlignment="1">
      <alignment horizontal="center"/>
    </xf>
    <xf numFmtId="44" fontId="0" fillId="6" borderId="23" xfId="1" applyFon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</cellXfs>
  <cellStyles count="6">
    <cellStyle name="Bad" xfId="5" builtinId="27"/>
    <cellStyle name="Comma" xfId="3" builtinId="3"/>
    <cellStyle name="Currency" xfId="1" builtinId="4"/>
    <cellStyle name="Good" xfId="2" builtinId="2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ED9D-D810-48D5-AD95-BB4FFE8A2AF8}">
  <dimension ref="A1:LU63"/>
  <sheetViews>
    <sheetView tabSelected="1" workbookViewId="0">
      <pane xSplit="1" topLeftCell="LA1" activePane="topRight" state="frozenSplit"/>
      <selection pane="topRight" activeCell="LN19" sqref="LN19"/>
    </sheetView>
  </sheetViews>
  <sheetFormatPr defaultColWidth="10.1328125" defaultRowHeight="14.25" x14ac:dyDescent="0.45"/>
  <cols>
    <col min="1" max="1" width="14.59765625" bestFit="1" customWidth="1"/>
    <col min="182" max="182" width="10.59765625" bestFit="1" customWidth="1"/>
    <col min="183" max="183" width="8" bestFit="1" customWidth="1"/>
    <col min="184" max="184" width="10.59765625" bestFit="1" customWidth="1"/>
    <col min="185" max="185" width="6.1328125" bestFit="1" customWidth="1"/>
    <col min="186" max="186" width="9" bestFit="1" customWidth="1"/>
    <col min="187" max="187" width="6.1328125" bestFit="1" customWidth="1"/>
    <col min="188" max="188" width="10.59765625" bestFit="1" customWidth="1"/>
    <col min="189" max="189" width="6.1328125" bestFit="1" customWidth="1"/>
    <col min="190" max="190" width="10.59765625" bestFit="1" customWidth="1"/>
    <col min="191" max="191" width="6.1328125" bestFit="1" customWidth="1"/>
    <col min="192" max="192" width="10.59765625" bestFit="1" customWidth="1"/>
    <col min="193" max="193" width="9" bestFit="1" customWidth="1"/>
    <col min="194" max="194" width="10.59765625" bestFit="1" customWidth="1"/>
    <col min="198" max="198" width="10.59765625" bestFit="1" customWidth="1"/>
    <col min="204" max="204" width="10.59765625" bestFit="1" customWidth="1"/>
    <col min="206" max="206" width="10.59765625" bestFit="1" customWidth="1"/>
    <col min="210" max="210" width="10.59765625" bestFit="1" customWidth="1"/>
    <col min="212" max="212" width="10.59765625" bestFit="1" customWidth="1"/>
    <col min="214" max="214" width="10.59765625" bestFit="1" customWidth="1"/>
    <col min="224" max="224" width="10.59765625" bestFit="1" customWidth="1"/>
    <col min="225" max="225" width="9.73046875" customWidth="1"/>
    <col min="226" max="226" width="10.59765625" bestFit="1" customWidth="1"/>
    <col min="227" max="227" width="10.265625" customWidth="1"/>
    <col min="228" max="228" width="10.59765625" bestFit="1" customWidth="1"/>
    <col min="229" max="229" width="9.1328125" customWidth="1"/>
    <col min="230" max="230" width="10.59765625" bestFit="1" customWidth="1"/>
    <col min="231" max="231" width="8.59765625" customWidth="1"/>
    <col min="232" max="232" width="9" bestFit="1" customWidth="1"/>
    <col min="234" max="234" width="10.59765625" bestFit="1" customWidth="1"/>
    <col min="236" max="236" width="10.59765625" bestFit="1" customWidth="1"/>
    <col min="252" max="252" width="10.59765625" bestFit="1" customWidth="1"/>
    <col min="254" max="254" width="10.59765625" bestFit="1" customWidth="1"/>
    <col min="256" max="256" width="10.59765625" bestFit="1" customWidth="1"/>
    <col min="258" max="258" width="10.59765625" bestFit="1" customWidth="1"/>
    <col min="261" max="262" width="10.59765625" bestFit="1" customWidth="1"/>
    <col min="264" max="264" width="10.59765625" bestFit="1" customWidth="1"/>
    <col min="266" max="266" width="10.59765625" bestFit="1" customWidth="1"/>
    <col min="268" max="268" width="10.59765625" bestFit="1" customWidth="1"/>
  </cols>
  <sheetData>
    <row r="1" spans="1:333" ht="14.65" thickBot="1" x14ac:dyDescent="0.5">
      <c r="B1" s="54">
        <v>43772</v>
      </c>
      <c r="C1" s="55"/>
      <c r="D1" s="54">
        <f>B1+14</f>
        <v>43786</v>
      </c>
      <c r="E1" s="55"/>
      <c r="F1" s="54">
        <f>D1+14</f>
        <v>43800</v>
      </c>
      <c r="G1" s="55"/>
      <c r="H1" s="54">
        <f>F1+14</f>
        <v>43814</v>
      </c>
      <c r="I1" s="55"/>
      <c r="J1" s="54">
        <f>H1+14</f>
        <v>43828</v>
      </c>
      <c r="K1" s="55"/>
      <c r="L1" s="54">
        <f>J1+14</f>
        <v>43842</v>
      </c>
      <c r="M1" s="55"/>
      <c r="N1" s="54">
        <f>L1+14</f>
        <v>43856</v>
      </c>
      <c r="O1" s="55"/>
      <c r="P1" s="54">
        <f>N1+14</f>
        <v>43870</v>
      </c>
      <c r="Q1" s="55"/>
      <c r="R1" s="54">
        <f>P1+14</f>
        <v>43884</v>
      </c>
      <c r="S1" s="55"/>
      <c r="T1" s="54">
        <f>R1+14</f>
        <v>43898</v>
      </c>
      <c r="U1" s="55"/>
      <c r="V1" s="54">
        <f>T1+14</f>
        <v>43912</v>
      </c>
      <c r="W1" s="55"/>
      <c r="X1" s="48">
        <f>V1+14</f>
        <v>43926</v>
      </c>
      <c r="Y1" s="49"/>
      <c r="Z1" s="48">
        <f>X1+14</f>
        <v>43940</v>
      </c>
      <c r="AA1" s="49"/>
      <c r="AB1" s="48">
        <f>Z1+14</f>
        <v>43954</v>
      </c>
      <c r="AC1" s="49"/>
      <c r="AD1" s="48">
        <f>AB1+14</f>
        <v>43968</v>
      </c>
      <c r="AE1" s="49"/>
      <c r="AF1" s="48">
        <f>AD1+14</f>
        <v>43982</v>
      </c>
      <c r="AG1" s="49"/>
      <c r="AH1" s="48">
        <f>AF1+14</f>
        <v>43996</v>
      </c>
      <c r="AI1" s="49"/>
      <c r="AJ1" s="48">
        <f>AH1+14</f>
        <v>44010</v>
      </c>
      <c r="AK1" s="49"/>
      <c r="AL1" s="48">
        <f>AJ1+14</f>
        <v>44024</v>
      </c>
      <c r="AM1" s="49"/>
      <c r="AN1" s="48">
        <f>AL1+14</f>
        <v>44038</v>
      </c>
      <c r="AO1" s="49"/>
      <c r="AP1" s="48">
        <f>AN1+14</f>
        <v>44052</v>
      </c>
      <c r="AQ1" s="49"/>
      <c r="AR1" s="48">
        <f>AP1+14</f>
        <v>44066</v>
      </c>
      <c r="AS1" s="49"/>
      <c r="AT1" s="48">
        <f>AR1+14</f>
        <v>44080</v>
      </c>
      <c r="AU1" s="49"/>
      <c r="AV1" s="48">
        <f>AT1+14</f>
        <v>44094</v>
      </c>
      <c r="AW1" s="49"/>
      <c r="AX1" s="48">
        <f>AV1+14</f>
        <v>44108</v>
      </c>
      <c r="AY1" s="49"/>
      <c r="AZ1" s="48">
        <f>AX1+14</f>
        <v>44122</v>
      </c>
      <c r="BA1" s="49"/>
      <c r="BB1" s="48">
        <f>AZ1+14</f>
        <v>44136</v>
      </c>
      <c r="BC1" s="49"/>
      <c r="BD1" s="48">
        <f>BB1+14</f>
        <v>44150</v>
      </c>
      <c r="BE1" s="49"/>
      <c r="BF1" s="48">
        <f>BD1+16</f>
        <v>44166</v>
      </c>
      <c r="BG1" s="49"/>
      <c r="BH1" s="48">
        <f>BF1+12</f>
        <v>44178</v>
      </c>
      <c r="BI1" s="49"/>
      <c r="BJ1" s="48">
        <f>BH1+14</f>
        <v>44192</v>
      </c>
      <c r="BK1" s="49"/>
      <c r="BL1" s="48">
        <f>BJ1+14</f>
        <v>44206</v>
      </c>
      <c r="BM1" s="49"/>
      <c r="BN1" s="48">
        <f>BL1+14</f>
        <v>44220</v>
      </c>
      <c r="BO1" s="49"/>
      <c r="BP1" s="48">
        <f>BN1+14</f>
        <v>44234</v>
      </c>
      <c r="BQ1" s="49"/>
      <c r="BR1" s="48">
        <f>BP1+14</f>
        <v>44248</v>
      </c>
      <c r="BS1" s="49"/>
      <c r="BT1" s="48">
        <f>BR1+14</f>
        <v>44262</v>
      </c>
      <c r="BU1" s="49"/>
      <c r="BV1" s="48">
        <f>BT1+14</f>
        <v>44276</v>
      </c>
      <c r="BW1" s="49"/>
      <c r="BX1" s="48">
        <f>BV1+14</f>
        <v>44290</v>
      </c>
      <c r="BY1" s="49"/>
      <c r="BZ1" s="48">
        <f>BX1+14</f>
        <v>44304</v>
      </c>
      <c r="CA1" s="49"/>
      <c r="CB1" s="48">
        <f>BZ1+14</f>
        <v>44318</v>
      </c>
      <c r="CC1" s="49"/>
      <c r="CD1" s="48">
        <f>CB1+14</f>
        <v>44332</v>
      </c>
      <c r="CE1" s="49"/>
      <c r="CF1" s="48">
        <f>CD1+14</f>
        <v>44346</v>
      </c>
      <c r="CG1" s="49"/>
      <c r="CH1" s="48">
        <f>CF1+14</f>
        <v>44360</v>
      </c>
      <c r="CI1" s="49"/>
      <c r="CJ1" s="48">
        <f>CH1+14</f>
        <v>44374</v>
      </c>
      <c r="CK1" s="49"/>
      <c r="CL1" s="48">
        <f>CJ1+14</f>
        <v>44388</v>
      </c>
      <c r="CM1" s="49"/>
      <c r="CN1" s="48">
        <f>CL1+14</f>
        <v>44402</v>
      </c>
      <c r="CO1" s="49"/>
      <c r="CP1" s="48">
        <f>CN1+14</f>
        <v>44416</v>
      </c>
      <c r="CQ1" s="49"/>
      <c r="CR1" s="48">
        <f>CP1+14</f>
        <v>44430</v>
      </c>
      <c r="CS1" s="49"/>
      <c r="CT1" s="48">
        <f>CR1+14</f>
        <v>44444</v>
      </c>
      <c r="CU1" s="49"/>
      <c r="CV1" s="48">
        <f>CT1+14</f>
        <v>44458</v>
      </c>
      <c r="CW1" s="49"/>
      <c r="CX1" s="48">
        <f>CV1+14</f>
        <v>44472</v>
      </c>
      <c r="CY1" s="49"/>
      <c r="CZ1" s="48">
        <f>CX1+14</f>
        <v>44486</v>
      </c>
      <c r="DA1" s="49"/>
      <c r="DB1" s="48">
        <f>CZ1+14</f>
        <v>44500</v>
      </c>
      <c r="DC1" s="49"/>
      <c r="DD1" s="48">
        <f>DB1+14</f>
        <v>44514</v>
      </c>
      <c r="DE1" s="49"/>
      <c r="DF1" s="48">
        <f>DD1+14</f>
        <v>44528</v>
      </c>
      <c r="DG1" s="49"/>
      <c r="DH1" s="48">
        <f>DF1+14</f>
        <v>44542</v>
      </c>
      <c r="DI1" s="49"/>
      <c r="DJ1" s="48">
        <f>DH1+14</f>
        <v>44556</v>
      </c>
      <c r="DK1" s="49"/>
      <c r="DL1" s="48">
        <f>DJ1+14</f>
        <v>44570</v>
      </c>
      <c r="DM1" s="49"/>
      <c r="DN1" s="48">
        <f>DL1+14</f>
        <v>44584</v>
      </c>
      <c r="DO1" s="49"/>
      <c r="DP1" s="48">
        <f>DN1+14</f>
        <v>44598</v>
      </c>
      <c r="DQ1" s="49"/>
      <c r="DR1" s="48">
        <f>DP1+14</f>
        <v>44612</v>
      </c>
      <c r="DS1" s="49"/>
      <c r="DT1" s="48">
        <f>DR1+14</f>
        <v>44626</v>
      </c>
      <c r="DU1" s="49"/>
      <c r="DV1" s="48">
        <f>DT1+14</f>
        <v>44640</v>
      </c>
      <c r="DW1" s="49"/>
      <c r="DX1" s="48">
        <f>DV1+14</f>
        <v>44654</v>
      </c>
      <c r="DY1" s="49"/>
      <c r="DZ1" s="48">
        <f>DX1+14</f>
        <v>44668</v>
      </c>
      <c r="EA1" s="49"/>
      <c r="EB1" s="48">
        <f>DZ1+14</f>
        <v>44682</v>
      </c>
      <c r="EC1" s="49"/>
      <c r="ED1" s="48">
        <f>EB1+14</f>
        <v>44696</v>
      </c>
      <c r="EE1" s="49"/>
      <c r="EF1" s="48">
        <f>ED1+14</f>
        <v>44710</v>
      </c>
      <c r="EG1" s="49"/>
      <c r="EH1" s="48">
        <f>EF1+14</f>
        <v>44724</v>
      </c>
      <c r="EI1" s="49"/>
      <c r="EJ1" s="48">
        <f>EH1+14</f>
        <v>44738</v>
      </c>
      <c r="EK1" s="49"/>
      <c r="EL1" s="48">
        <f>EJ1+14</f>
        <v>44752</v>
      </c>
      <c r="EM1" s="49"/>
      <c r="EN1" s="48">
        <f>EL1+14</f>
        <v>44766</v>
      </c>
      <c r="EO1" s="49"/>
      <c r="EP1" s="48">
        <f>EN1+14</f>
        <v>44780</v>
      </c>
      <c r="EQ1" s="49"/>
      <c r="ER1" s="48">
        <f>EP1+14</f>
        <v>44794</v>
      </c>
      <c r="ES1" s="49"/>
      <c r="ET1" s="48">
        <f>ER1+14</f>
        <v>44808</v>
      </c>
      <c r="EU1" s="49"/>
      <c r="EV1" s="48">
        <f>ET1+14</f>
        <v>44822</v>
      </c>
      <c r="EW1" s="49"/>
      <c r="EX1" s="48">
        <f>EV1+14</f>
        <v>44836</v>
      </c>
      <c r="EY1" s="49"/>
      <c r="EZ1" s="48">
        <f>EX1+14</f>
        <v>44850</v>
      </c>
      <c r="FA1" s="49"/>
      <c r="FB1" s="48">
        <f>EZ1+14</f>
        <v>44864</v>
      </c>
      <c r="FC1" s="49"/>
      <c r="FD1" s="48">
        <f>FB1+14</f>
        <v>44878</v>
      </c>
      <c r="FE1" s="49"/>
      <c r="FF1" s="48">
        <f>FD1+14</f>
        <v>44892</v>
      </c>
      <c r="FG1" s="49"/>
      <c r="FH1" s="48">
        <f>FF1+14</f>
        <v>44906</v>
      </c>
      <c r="FI1" s="49"/>
      <c r="FJ1" s="48">
        <f>FH1+14</f>
        <v>44920</v>
      </c>
      <c r="FK1" s="49"/>
      <c r="FL1" s="48">
        <f>FJ1+14</f>
        <v>44934</v>
      </c>
      <c r="FM1" s="49"/>
      <c r="FN1" s="48">
        <f>FL1+14</f>
        <v>44948</v>
      </c>
      <c r="FO1" s="49"/>
      <c r="FP1" s="48">
        <f>FN1+14</f>
        <v>44962</v>
      </c>
      <c r="FQ1" s="49"/>
      <c r="FR1" s="48">
        <f>FP1+14</f>
        <v>44976</v>
      </c>
      <c r="FS1" s="49"/>
      <c r="FT1" s="48">
        <f>FR1+14</f>
        <v>44990</v>
      </c>
      <c r="FU1" s="49"/>
      <c r="FV1" s="48">
        <f>FT1+14</f>
        <v>45004</v>
      </c>
      <c r="FW1" s="49"/>
      <c r="FX1" s="48">
        <f>FV1+14</f>
        <v>45018</v>
      </c>
      <c r="FY1" s="49"/>
      <c r="FZ1" s="48">
        <f>FX1+14</f>
        <v>45032</v>
      </c>
      <c r="GA1" s="49"/>
      <c r="GB1" s="48">
        <f>FZ1+14</f>
        <v>45046</v>
      </c>
      <c r="GC1" s="49"/>
      <c r="GD1" s="48">
        <f>GB1+14</f>
        <v>45060</v>
      </c>
      <c r="GE1" s="49"/>
      <c r="GF1" s="48">
        <f>GD1+14</f>
        <v>45074</v>
      </c>
      <c r="GG1" s="49"/>
      <c r="GH1" s="48">
        <f>GF1+14</f>
        <v>45088</v>
      </c>
      <c r="GI1" s="49"/>
      <c r="GJ1" s="48">
        <f>GH1+14</f>
        <v>45102</v>
      </c>
      <c r="GK1" s="49"/>
      <c r="GL1" s="48">
        <f>GJ1+14</f>
        <v>45116</v>
      </c>
      <c r="GM1" s="49"/>
      <c r="GN1" s="48">
        <f>GL1+14</f>
        <v>45130</v>
      </c>
      <c r="GO1" s="49"/>
      <c r="GP1" s="48">
        <f>GN1+14</f>
        <v>45144</v>
      </c>
      <c r="GQ1" s="49"/>
      <c r="GR1" s="48">
        <f>GP1+14</f>
        <v>45158</v>
      </c>
      <c r="GS1" s="49"/>
      <c r="GT1" s="48">
        <f>GR1+14</f>
        <v>45172</v>
      </c>
      <c r="GU1" s="49"/>
      <c r="GV1" s="48">
        <f>GT1+14</f>
        <v>45186</v>
      </c>
      <c r="GW1" s="49"/>
      <c r="GX1" s="48">
        <f>GV1+14</f>
        <v>45200</v>
      </c>
      <c r="GY1" s="49"/>
      <c r="GZ1" s="48">
        <f>GX1+14</f>
        <v>45214</v>
      </c>
      <c r="HA1" s="49"/>
      <c r="HB1" s="48">
        <f>GZ1+14</f>
        <v>45228</v>
      </c>
      <c r="HC1" s="49"/>
      <c r="HD1" s="48">
        <f>HB1+14</f>
        <v>45242</v>
      </c>
      <c r="HE1" s="49"/>
      <c r="HF1" s="48">
        <f>HD1+14</f>
        <v>45256</v>
      </c>
      <c r="HG1" s="49"/>
      <c r="HH1" s="48">
        <f>HF1+14</f>
        <v>45270</v>
      </c>
      <c r="HI1" s="49"/>
      <c r="HJ1" s="48">
        <f>HH1+14</f>
        <v>45284</v>
      </c>
      <c r="HK1" s="49"/>
      <c r="HL1" s="48">
        <f>HJ1+14</f>
        <v>45298</v>
      </c>
      <c r="HM1" s="49"/>
      <c r="HN1" s="48">
        <f>HL1+14</f>
        <v>45312</v>
      </c>
      <c r="HO1" s="49"/>
      <c r="HP1" s="48">
        <f>HN1+14</f>
        <v>45326</v>
      </c>
      <c r="HQ1" s="49"/>
      <c r="HR1" s="48">
        <f>HP1+14</f>
        <v>45340</v>
      </c>
      <c r="HS1" s="49"/>
      <c r="HT1" s="48">
        <f>HR1+14</f>
        <v>45354</v>
      </c>
      <c r="HU1" s="49"/>
      <c r="HV1" s="48">
        <f>HT1+14</f>
        <v>45368</v>
      </c>
      <c r="HW1" s="49"/>
      <c r="HX1" s="48">
        <f>HV1+14</f>
        <v>45382</v>
      </c>
      <c r="HY1" s="49"/>
      <c r="HZ1" s="48">
        <f>HX1+14</f>
        <v>45396</v>
      </c>
      <c r="IA1" s="49"/>
      <c r="IB1" s="48">
        <f>HZ1+14</f>
        <v>45410</v>
      </c>
      <c r="IC1" s="49"/>
      <c r="ID1" s="48">
        <f>IB1+14</f>
        <v>45424</v>
      </c>
      <c r="IE1" s="49"/>
      <c r="IF1" s="48">
        <f>ID1+14</f>
        <v>45438</v>
      </c>
      <c r="IG1" s="49"/>
      <c r="IH1" s="48">
        <f>IF1+14</f>
        <v>45452</v>
      </c>
      <c r="II1" s="49"/>
      <c r="IJ1" s="48">
        <f>IH1+14</f>
        <v>45466</v>
      </c>
      <c r="IK1" s="49"/>
      <c r="IL1" s="48">
        <f>IJ1+14</f>
        <v>45480</v>
      </c>
      <c r="IM1" s="49"/>
      <c r="IN1" s="48">
        <f>IL1+14</f>
        <v>45494</v>
      </c>
      <c r="IO1" s="49"/>
      <c r="IP1" s="48">
        <f>IN1+14</f>
        <v>45508</v>
      </c>
      <c r="IQ1" s="49"/>
      <c r="IR1" s="48">
        <f>IP1+14</f>
        <v>45522</v>
      </c>
      <c r="IS1" s="49"/>
      <c r="IT1" s="48">
        <f>IR1+14</f>
        <v>45536</v>
      </c>
      <c r="IU1" s="49"/>
      <c r="IV1" s="48">
        <f>IT1+14</f>
        <v>45550</v>
      </c>
      <c r="IW1" s="49"/>
      <c r="IX1" s="48">
        <f>IV1+14</f>
        <v>45564</v>
      </c>
      <c r="IY1" s="49"/>
      <c r="IZ1" s="48">
        <f>IX1+14</f>
        <v>45578</v>
      </c>
      <c r="JA1" s="49"/>
      <c r="JB1" s="48">
        <f>IZ1+14</f>
        <v>45592</v>
      </c>
      <c r="JC1" s="49"/>
      <c r="JD1" s="48">
        <f>JB1+14</f>
        <v>45606</v>
      </c>
      <c r="JE1" s="49"/>
      <c r="JF1" s="48">
        <f>JD1+14</f>
        <v>45620</v>
      </c>
      <c r="JG1" s="49"/>
      <c r="JH1" s="48">
        <f>JF1+14</f>
        <v>45634</v>
      </c>
      <c r="JI1" s="49"/>
      <c r="JJ1" s="48">
        <f>JH1+14</f>
        <v>45648</v>
      </c>
      <c r="JK1" s="49"/>
      <c r="JL1" s="48">
        <f>JJ1+14</f>
        <v>45662</v>
      </c>
      <c r="JM1" s="49"/>
      <c r="JN1" s="48">
        <f>JL1+14</f>
        <v>45676</v>
      </c>
      <c r="JO1" s="49"/>
      <c r="JP1" s="48">
        <f>JN1+14</f>
        <v>45690</v>
      </c>
      <c r="JQ1" s="49"/>
      <c r="JR1" s="48">
        <f>JP1+14</f>
        <v>45704</v>
      </c>
      <c r="JS1" s="49"/>
      <c r="JT1" s="48">
        <f>JR1+14</f>
        <v>45718</v>
      </c>
      <c r="JU1" s="49"/>
      <c r="JV1" s="48">
        <f>JT1+14</f>
        <v>45732</v>
      </c>
      <c r="JW1" s="49"/>
      <c r="JX1" s="48">
        <f>JV1+14</f>
        <v>45746</v>
      </c>
      <c r="JY1" s="49"/>
      <c r="JZ1" s="48">
        <f>JX1+14</f>
        <v>45760</v>
      </c>
      <c r="KA1" s="49"/>
      <c r="KB1" s="48">
        <f>JZ1+14</f>
        <v>45774</v>
      </c>
      <c r="KC1" s="49"/>
      <c r="KD1" s="48">
        <f>KB1+14</f>
        <v>45788</v>
      </c>
      <c r="KE1" s="49"/>
      <c r="KF1" s="48">
        <f>KD1+14</f>
        <v>45802</v>
      </c>
      <c r="KG1" s="49"/>
      <c r="KH1" s="48">
        <f>KF1+14</f>
        <v>45816</v>
      </c>
      <c r="KI1" s="49"/>
      <c r="KJ1" s="48">
        <f>KH1+14</f>
        <v>45830</v>
      </c>
      <c r="KK1" s="49"/>
      <c r="KL1" s="48">
        <f>KJ1+14</f>
        <v>45844</v>
      </c>
      <c r="KM1" s="49"/>
      <c r="KN1" s="48">
        <f>KL1+14</f>
        <v>45858</v>
      </c>
      <c r="KO1" s="49"/>
      <c r="KP1" s="48">
        <f>KN1+14</f>
        <v>45872</v>
      </c>
      <c r="KQ1" s="49"/>
      <c r="KR1" s="48">
        <f>KP1+14</f>
        <v>45886</v>
      </c>
      <c r="KS1" s="49"/>
      <c r="KT1" s="48">
        <f>KR1+14</f>
        <v>45900</v>
      </c>
      <c r="KU1" s="49"/>
      <c r="KV1" s="48">
        <f>KT1+14</f>
        <v>45914</v>
      </c>
      <c r="KW1" s="49"/>
      <c r="KX1" s="48">
        <f>KV1+14</f>
        <v>45928</v>
      </c>
      <c r="KY1" s="49"/>
      <c r="KZ1" s="48">
        <f>KX1+14</f>
        <v>45942</v>
      </c>
      <c r="LA1" s="49"/>
      <c r="LB1" s="48">
        <f>KZ1+14</f>
        <v>45956</v>
      </c>
      <c r="LC1" s="49"/>
      <c r="LD1" s="48">
        <f>LB1+14</f>
        <v>45970</v>
      </c>
      <c r="LE1" s="49"/>
      <c r="LF1" s="48">
        <f>LD1+14</f>
        <v>45984</v>
      </c>
      <c r="LG1" s="49"/>
      <c r="LH1" s="48">
        <f>LF1+14</f>
        <v>45998</v>
      </c>
      <c r="LI1" s="49"/>
      <c r="LJ1" s="48">
        <f>LH1+14</f>
        <v>46012</v>
      </c>
      <c r="LK1" s="49"/>
      <c r="LL1" s="48">
        <f>LJ1+14</f>
        <v>46026</v>
      </c>
      <c r="LM1" s="49"/>
      <c r="LN1" s="48">
        <f>LL1+14</f>
        <v>46040</v>
      </c>
      <c r="LO1" s="49"/>
      <c r="LP1" s="48">
        <f>LN1+14</f>
        <v>46054</v>
      </c>
      <c r="LQ1" s="49"/>
      <c r="LR1" s="48">
        <f>LP1+14</f>
        <v>46068</v>
      </c>
      <c r="LS1" s="49"/>
      <c r="LT1" s="48">
        <f>LR1+14</f>
        <v>46082</v>
      </c>
      <c r="LU1" s="49"/>
    </row>
    <row r="2" spans="1:333" ht="14.65" thickBot="1" x14ac:dyDescent="0.5">
      <c r="B2" s="2" t="s">
        <v>2</v>
      </c>
      <c r="C2" s="2" t="s">
        <v>3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2" t="s">
        <v>2</v>
      </c>
      <c r="M2" s="2" t="s">
        <v>3</v>
      </c>
      <c r="N2" s="2" t="s">
        <v>2</v>
      </c>
      <c r="O2" s="2" t="s">
        <v>3</v>
      </c>
      <c r="P2" s="2" t="s">
        <v>2</v>
      </c>
      <c r="Q2" s="2" t="s">
        <v>3</v>
      </c>
      <c r="R2" s="2" t="s">
        <v>2</v>
      </c>
      <c r="S2" s="2" t="s">
        <v>3</v>
      </c>
      <c r="T2" s="2" t="s">
        <v>2</v>
      </c>
      <c r="U2" s="2" t="s">
        <v>3</v>
      </c>
      <c r="V2" s="2" t="s">
        <v>2</v>
      </c>
      <c r="W2" s="2" t="s">
        <v>3</v>
      </c>
      <c r="X2" s="2" t="s">
        <v>2</v>
      </c>
      <c r="Y2" s="2" t="s">
        <v>3</v>
      </c>
      <c r="Z2" s="2" t="s">
        <v>2</v>
      </c>
      <c r="AA2" s="2" t="s">
        <v>3</v>
      </c>
      <c r="AB2" s="2" t="s">
        <v>2</v>
      </c>
      <c r="AC2" s="2" t="s">
        <v>3</v>
      </c>
      <c r="AD2" s="2" t="s">
        <v>2</v>
      </c>
      <c r="AE2" s="2" t="s">
        <v>3</v>
      </c>
      <c r="AF2" s="2" t="s">
        <v>2</v>
      </c>
      <c r="AG2" s="2" t="s">
        <v>3</v>
      </c>
      <c r="AH2" s="2" t="s">
        <v>2</v>
      </c>
      <c r="AI2" s="2" t="s">
        <v>3</v>
      </c>
      <c r="AJ2" s="2" t="s">
        <v>2</v>
      </c>
      <c r="AK2" s="2" t="s">
        <v>3</v>
      </c>
      <c r="AL2" s="2" t="s">
        <v>2</v>
      </c>
      <c r="AM2" s="2" t="s">
        <v>3</v>
      </c>
      <c r="AN2" s="2" t="s">
        <v>2</v>
      </c>
      <c r="AO2" s="2" t="s">
        <v>3</v>
      </c>
      <c r="AP2" s="2" t="s">
        <v>2</v>
      </c>
      <c r="AQ2" s="2" t="s">
        <v>3</v>
      </c>
      <c r="AR2" s="2" t="s">
        <v>2</v>
      </c>
      <c r="AS2" s="2" t="s">
        <v>3</v>
      </c>
      <c r="AT2" s="2" t="s">
        <v>2</v>
      </c>
      <c r="AU2" s="2" t="s">
        <v>3</v>
      </c>
      <c r="AV2" s="2" t="s">
        <v>2</v>
      </c>
      <c r="AW2" s="2" t="s">
        <v>3</v>
      </c>
      <c r="AX2" s="2" t="s">
        <v>2</v>
      </c>
      <c r="AY2" s="2" t="s">
        <v>3</v>
      </c>
      <c r="AZ2" s="2" t="s">
        <v>2</v>
      </c>
      <c r="BA2" s="2" t="s">
        <v>3</v>
      </c>
      <c r="BB2" s="2" t="s">
        <v>2</v>
      </c>
      <c r="BC2" s="2" t="s">
        <v>3</v>
      </c>
      <c r="BD2" s="2" t="s">
        <v>2</v>
      </c>
      <c r="BE2" s="2" t="s">
        <v>3</v>
      </c>
      <c r="BF2" s="2" t="s">
        <v>2</v>
      </c>
      <c r="BG2" s="2" t="s">
        <v>3</v>
      </c>
      <c r="BH2" s="2" t="s">
        <v>2</v>
      </c>
      <c r="BI2" s="2" t="s">
        <v>3</v>
      </c>
      <c r="BJ2" s="2" t="s">
        <v>2</v>
      </c>
      <c r="BK2" s="2" t="s">
        <v>3</v>
      </c>
      <c r="BL2" s="2" t="s">
        <v>2</v>
      </c>
      <c r="BM2" s="2" t="s">
        <v>3</v>
      </c>
      <c r="BN2" s="2" t="s">
        <v>2</v>
      </c>
      <c r="BO2" s="2" t="s">
        <v>3</v>
      </c>
      <c r="BP2" s="2" t="s">
        <v>2</v>
      </c>
      <c r="BQ2" s="2" t="s">
        <v>3</v>
      </c>
      <c r="BR2" s="2" t="s">
        <v>2</v>
      </c>
      <c r="BS2" s="2" t="s">
        <v>3</v>
      </c>
      <c r="BT2" s="2" t="s">
        <v>2</v>
      </c>
      <c r="BU2" s="2" t="s">
        <v>3</v>
      </c>
      <c r="BV2" s="2" t="s">
        <v>2</v>
      </c>
      <c r="BW2" s="2" t="s">
        <v>3</v>
      </c>
      <c r="BX2" s="2" t="s">
        <v>2</v>
      </c>
      <c r="BY2" s="2" t="s">
        <v>3</v>
      </c>
      <c r="BZ2" s="2" t="s">
        <v>2</v>
      </c>
      <c r="CA2" s="2" t="s">
        <v>3</v>
      </c>
      <c r="CB2" s="2" t="s">
        <v>2</v>
      </c>
      <c r="CC2" s="2" t="s">
        <v>3</v>
      </c>
      <c r="CD2" s="2" t="s">
        <v>2</v>
      </c>
      <c r="CE2" s="2" t="s">
        <v>3</v>
      </c>
      <c r="CF2" s="2" t="s">
        <v>2</v>
      </c>
      <c r="CG2" s="2" t="s">
        <v>3</v>
      </c>
      <c r="CH2" s="2" t="s">
        <v>2</v>
      </c>
      <c r="CI2" s="2" t="s">
        <v>3</v>
      </c>
      <c r="CJ2" s="2" t="s">
        <v>2</v>
      </c>
      <c r="CK2" s="2" t="s">
        <v>3</v>
      </c>
      <c r="CL2" s="2" t="s">
        <v>2</v>
      </c>
      <c r="CM2" s="2" t="s">
        <v>3</v>
      </c>
      <c r="CN2" s="2" t="s">
        <v>2</v>
      </c>
      <c r="CO2" s="2" t="s">
        <v>3</v>
      </c>
      <c r="CP2" s="2" t="s">
        <v>2</v>
      </c>
      <c r="CQ2" s="2" t="s">
        <v>3</v>
      </c>
      <c r="CR2" s="2" t="s">
        <v>2</v>
      </c>
      <c r="CS2" s="2" t="s">
        <v>3</v>
      </c>
      <c r="CT2" s="2" t="s">
        <v>2</v>
      </c>
      <c r="CU2" s="2" t="s">
        <v>3</v>
      </c>
      <c r="CV2" s="2" t="s">
        <v>2</v>
      </c>
      <c r="CW2" s="2" t="s">
        <v>3</v>
      </c>
      <c r="CX2" s="2" t="s">
        <v>2</v>
      </c>
      <c r="CY2" s="2" t="s">
        <v>3</v>
      </c>
      <c r="CZ2" s="2" t="s">
        <v>2</v>
      </c>
      <c r="DA2" s="2" t="s">
        <v>3</v>
      </c>
      <c r="DB2" s="2" t="s">
        <v>2</v>
      </c>
      <c r="DC2" s="2" t="s">
        <v>3</v>
      </c>
      <c r="DD2" s="2" t="s">
        <v>2</v>
      </c>
      <c r="DE2" s="2" t="s">
        <v>3</v>
      </c>
      <c r="DF2" s="2" t="s">
        <v>2</v>
      </c>
      <c r="DG2" s="2" t="s">
        <v>3</v>
      </c>
      <c r="DH2" s="2" t="s">
        <v>2</v>
      </c>
      <c r="DI2" s="2" t="s">
        <v>3</v>
      </c>
      <c r="DJ2" s="2" t="s">
        <v>2</v>
      </c>
      <c r="DK2" s="2" t="s">
        <v>3</v>
      </c>
      <c r="DL2" s="2" t="s">
        <v>2</v>
      </c>
      <c r="DM2" s="2" t="s">
        <v>3</v>
      </c>
      <c r="DN2" s="2" t="s">
        <v>2</v>
      </c>
      <c r="DO2" s="2" t="s">
        <v>3</v>
      </c>
      <c r="DP2" s="2" t="s">
        <v>2</v>
      </c>
      <c r="DQ2" s="2" t="s">
        <v>3</v>
      </c>
      <c r="DR2" s="2" t="s">
        <v>2</v>
      </c>
      <c r="DS2" s="2" t="s">
        <v>3</v>
      </c>
      <c r="DT2" s="2" t="s">
        <v>2</v>
      </c>
      <c r="DU2" s="2" t="s">
        <v>3</v>
      </c>
      <c r="DV2" s="2" t="s">
        <v>2</v>
      </c>
      <c r="DW2" s="2" t="s">
        <v>3</v>
      </c>
      <c r="DX2" s="2" t="s">
        <v>2</v>
      </c>
      <c r="DY2" s="2" t="s">
        <v>3</v>
      </c>
      <c r="DZ2" s="2" t="s">
        <v>2</v>
      </c>
      <c r="EA2" s="2" t="s">
        <v>3</v>
      </c>
      <c r="EB2" s="2" t="s">
        <v>2</v>
      </c>
      <c r="EC2" s="2" t="s">
        <v>3</v>
      </c>
      <c r="ED2" s="2" t="s">
        <v>2</v>
      </c>
      <c r="EE2" s="2" t="s">
        <v>3</v>
      </c>
      <c r="EF2" s="2" t="s">
        <v>2</v>
      </c>
      <c r="EG2" s="2" t="s">
        <v>3</v>
      </c>
      <c r="EH2" s="2" t="s">
        <v>2</v>
      </c>
      <c r="EI2" s="2" t="s">
        <v>3</v>
      </c>
      <c r="EJ2" s="2" t="s">
        <v>2</v>
      </c>
      <c r="EK2" s="2" t="s">
        <v>3</v>
      </c>
      <c r="EL2" s="2" t="s">
        <v>2</v>
      </c>
      <c r="EM2" s="2" t="s">
        <v>3</v>
      </c>
      <c r="EN2" s="2" t="s">
        <v>2</v>
      </c>
      <c r="EO2" s="2" t="s">
        <v>3</v>
      </c>
      <c r="EP2" s="2" t="s">
        <v>2</v>
      </c>
      <c r="EQ2" s="2" t="s">
        <v>3</v>
      </c>
      <c r="ER2" s="2" t="s">
        <v>2</v>
      </c>
      <c r="ES2" s="2" t="s">
        <v>3</v>
      </c>
      <c r="ET2" s="2" t="s">
        <v>2</v>
      </c>
      <c r="EU2" s="2" t="s">
        <v>3</v>
      </c>
      <c r="EV2" s="2" t="s">
        <v>2</v>
      </c>
      <c r="EW2" s="2" t="s">
        <v>3</v>
      </c>
      <c r="EX2" s="2" t="s">
        <v>2</v>
      </c>
      <c r="EY2" s="2" t="s">
        <v>3</v>
      </c>
      <c r="EZ2" s="2" t="s">
        <v>2</v>
      </c>
      <c r="FA2" s="2" t="s">
        <v>3</v>
      </c>
      <c r="FB2" s="2" t="s">
        <v>2</v>
      </c>
      <c r="FC2" s="2" t="s">
        <v>3</v>
      </c>
      <c r="FD2" s="2" t="s">
        <v>2</v>
      </c>
      <c r="FE2" s="2" t="s">
        <v>3</v>
      </c>
      <c r="FF2" s="2" t="s">
        <v>2</v>
      </c>
      <c r="FG2" s="2" t="s">
        <v>3</v>
      </c>
      <c r="FH2" s="2" t="s">
        <v>2</v>
      </c>
      <c r="FI2" s="2" t="s">
        <v>3</v>
      </c>
      <c r="FJ2" s="2" t="s">
        <v>2</v>
      </c>
      <c r="FK2" s="2" t="s">
        <v>3</v>
      </c>
      <c r="FL2" s="2" t="s">
        <v>2</v>
      </c>
      <c r="FM2" s="2" t="s">
        <v>3</v>
      </c>
      <c r="FN2" s="2" t="s">
        <v>2</v>
      </c>
      <c r="FO2" s="2" t="s">
        <v>3</v>
      </c>
      <c r="FP2" s="2" t="s">
        <v>2</v>
      </c>
      <c r="FQ2" s="2" t="s">
        <v>3</v>
      </c>
      <c r="FR2" s="2" t="s">
        <v>2</v>
      </c>
      <c r="FS2" s="2" t="s">
        <v>3</v>
      </c>
      <c r="FT2" s="2" t="s">
        <v>2</v>
      </c>
      <c r="FU2" s="2" t="s">
        <v>3</v>
      </c>
      <c r="FV2" s="2" t="s">
        <v>2</v>
      </c>
      <c r="FW2" s="2" t="s">
        <v>3</v>
      </c>
      <c r="FX2" s="2" t="s">
        <v>2</v>
      </c>
      <c r="FY2" s="2" t="s">
        <v>3</v>
      </c>
      <c r="FZ2" s="2" t="s">
        <v>2</v>
      </c>
      <c r="GA2" s="2" t="s">
        <v>3</v>
      </c>
      <c r="GB2" s="2" t="s">
        <v>2</v>
      </c>
      <c r="GC2" s="2" t="s">
        <v>3</v>
      </c>
      <c r="GD2" s="2" t="s">
        <v>2</v>
      </c>
      <c r="GE2" s="2" t="s">
        <v>3</v>
      </c>
      <c r="GF2" s="2" t="s">
        <v>2</v>
      </c>
      <c r="GG2" s="2" t="s">
        <v>3</v>
      </c>
      <c r="GH2" s="2" t="s">
        <v>2</v>
      </c>
      <c r="GI2" s="2" t="s">
        <v>3</v>
      </c>
      <c r="GJ2" s="2" t="s">
        <v>2</v>
      </c>
      <c r="GK2" s="2" t="s">
        <v>3</v>
      </c>
      <c r="GL2" s="2" t="s">
        <v>2</v>
      </c>
      <c r="GM2" s="2" t="s">
        <v>3</v>
      </c>
      <c r="GN2" s="2" t="s">
        <v>2</v>
      </c>
      <c r="GO2" s="2" t="s">
        <v>3</v>
      </c>
      <c r="GP2" s="2" t="s">
        <v>2</v>
      </c>
      <c r="GQ2" s="2" t="s">
        <v>3</v>
      </c>
      <c r="GR2" s="2" t="s">
        <v>2</v>
      </c>
      <c r="GS2" s="2" t="s">
        <v>3</v>
      </c>
      <c r="GT2" s="2" t="s">
        <v>2</v>
      </c>
      <c r="GU2" s="2" t="s">
        <v>3</v>
      </c>
      <c r="GV2" s="2" t="s">
        <v>2</v>
      </c>
      <c r="GW2" s="2" t="s">
        <v>3</v>
      </c>
      <c r="GX2" s="2" t="s">
        <v>2</v>
      </c>
      <c r="GY2" s="2" t="s">
        <v>3</v>
      </c>
      <c r="GZ2" s="2" t="s">
        <v>2</v>
      </c>
      <c r="HA2" s="2" t="s">
        <v>3</v>
      </c>
      <c r="HB2" s="2" t="s">
        <v>2</v>
      </c>
      <c r="HC2" s="2" t="s">
        <v>3</v>
      </c>
      <c r="HD2" s="2" t="s">
        <v>2</v>
      </c>
      <c r="HE2" s="2" t="s">
        <v>3</v>
      </c>
      <c r="HF2" s="2" t="s">
        <v>2</v>
      </c>
      <c r="HG2" s="2" t="s">
        <v>3</v>
      </c>
      <c r="HH2" s="2" t="s">
        <v>2</v>
      </c>
      <c r="HI2" s="2" t="s">
        <v>3</v>
      </c>
      <c r="HJ2" s="2" t="s">
        <v>2</v>
      </c>
      <c r="HK2" s="2" t="s">
        <v>3</v>
      </c>
      <c r="HL2" s="2" t="s">
        <v>2</v>
      </c>
      <c r="HM2" s="2" t="s">
        <v>3</v>
      </c>
      <c r="HN2" s="2" t="s">
        <v>2</v>
      </c>
      <c r="HO2" s="2" t="s">
        <v>3</v>
      </c>
      <c r="HP2" s="2" t="s">
        <v>2</v>
      </c>
      <c r="HQ2" s="2" t="s">
        <v>3</v>
      </c>
      <c r="HR2" s="2" t="s">
        <v>2</v>
      </c>
      <c r="HS2" s="2" t="s">
        <v>3</v>
      </c>
      <c r="HT2" s="2" t="s">
        <v>2</v>
      </c>
      <c r="HU2" s="2" t="s">
        <v>3</v>
      </c>
      <c r="HV2" s="2" t="s">
        <v>2</v>
      </c>
      <c r="HW2" s="2" t="s">
        <v>3</v>
      </c>
      <c r="HX2" s="2" t="s">
        <v>2</v>
      </c>
      <c r="HY2" s="2" t="s">
        <v>3</v>
      </c>
      <c r="HZ2" s="2" t="s">
        <v>2</v>
      </c>
      <c r="IA2" s="2" t="s">
        <v>3</v>
      </c>
      <c r="IB2" s="2" t="s">
        <v>2</v>
      </c>
      <c r="IC2" s="2" t="s">
        <v>3</v>
      </c>
      <c r="ID2" s="2" t="s">
        <v>2</v>
      </c>
      <c r="IE2" s="2" t="s">
        <v>3</v>
      </c>
      <c r="IF2" s="2" t="s">
        <v>2</v>
      </c>
      <c r="IG2" s="2" t="s">
        <v>3</v>
      </c>
      <c r="IH2" s="2" t="s">
        <v>2</v>
      </c>
      <c r="II2" s="2" t="s">
        <v>3</v>
      </c>
      <c r="IJ2" s="2" t="s">
        <v>2</v>
      </c>
      <c r="IK2" s="2" t="s">
        <v>3</v>
      </c>
      <c r="IL2" s="2" t="s">
        <v>2</v>
      </c>
      <c r="IM2" s="2" t="s">
        <v>3</v>
      </c>
      <c r="IN2" s="2" t="s">
        <v>2</v>
      </c>
      <c r="IO2" s="2" t="s">
        <v>3</v>
      </c>
      <c r="IP2" s="2" t="s">
        <v>2</v>
      </c>
      <c r="IQ2" s="2" t="s">
        <v>3</v>
      </c>
      <c r="IR2" s="2" t="s">
        <v>2</v>
      </c>
      <c r="IS2" s="2" t="s">
        <v>3</v>
      </c>
      <c r="IT2" s="2" t="s">
        <v>2</v>
      </c>
      <c r="IU2" s="2" t="s">
        <v>3</v>
      </c>
      <c r="IV2" s="2" t="s">
        <v>2</v>
      </c>
      <c r="IW2" s="2" t="s">
        <v>3</v>
      </c>
      <c r="IX2" s="2" t="s">
        <v>2</v>
      </c>
      <c r="IY2" s="2" t="s">
        <v>3</v>
      </c>
      <c r="IZ2" s="2" t="s">
        <v>2</v>
      </c>
      <c r="JA2" s="2" t="s">
        <v>3</v>
      </c>
      <c r="JB2" s="2" t="s">
        <v>2</v>
      </c>
      <c r="JC2" s="2" t="s">
        <v>3</v>
      </c>
      <c r="JD2" s="2" t="s">
        <v>2</v>
      </c>
      <c r="JE2" s="2" t="s">
        <v>3</v>
      </c>
      <c r="JF2" s="2" t="s">
        <v>2</v>
      </c>
      <c r="JG2" s="2" t="s">
        <v>3</v>
      </c>
      <c r="JH2" s="2" t="s">
        <v>2</v>
      </c>
      <c r="JI2" s="2" t="s">
        <v>3</v>
      </c>
      <c r="JJ2" s="2" t="s">
        <v>2</v>
      </c>
      <c r="JK2" s="2" t="s">
        <v>3</v>
      </c>
      <c r="JL2" s="2" t="s">
        <v>2</v>
      </c>
      <c r="JM2" s="2" t="s">
        <v>3</v>
      </c>
      <c r="JN2" s="2" t="s">
        <v>2</v>
      </c>
      <c r="JO2" s="2" t="s">
        <v>3</v>
      </c>
      <c r="JP2" s="2" t="s">
        <v>2</v>
      </c>
      <c r="JQ2" s="2" t="s">
        <v>3</v>
      </c>
      <c r="JR2" s="2" t="s">
        <v>2</v>
      </c>
      <c r="JS2" s="2" t="s">
        <v>3</v>
      </c>
      <c r="JT2" s="2" t="s">
        <v>2</v>
      </c>
      <c r="JU2" s="2" t="s">
        <v>3</v>
      </c>
      <c r="JV2" s="2" t="s">
        <v>2</v>
      </c>
      <c r="JW2" s="2" t="s">
        <v>3</v>
      </c>
      <c r="JX2" s="2" t="s">
        <v>2</v>
      </c>
      <c r="JY2" s="2" t="s">
        <v>3</v>
      </c>
      <c r="JZ2" s="2" t="s">
        <v>2</v>
      </c>
      <c r="KA2" s="2" t="s">
        <v>3</v>
      </c>
      <c r="KB2" s="2" t="s">
        <v>2</v>
      </c>
      <c r="KC2" s="2" t="s">
        <v>3</v>
      </c>
      <c r="KD2" s="2" t="s">
        <v>2</v>
      </c>
      <c r="KE2" s="2" t="s">
        <v>3</v>
      </c>
      <c r="KF2" s="2" t="s">
        <v>2</v>
      </c>
      <c r="KG2" s="2" t="s">
        <v>3</v>
      </c>
      <c r="KH2" s="2" t="s">
        <v>2</v>
      </c>
      <c r="KI2" s="2" t="s">
        <v>3</v>
      </c>
      <c r="KJ2" s="2" t="s">
        <v>2</v>
      </c>
      <c r="KK2" s="2" t="s">
        <v>3</v>
      </c>
      <c r="KL2" s="2" t="s">
        <v>2</v>
      </c>
      <c r="KM2" s="2" t="s">
        <v>3</v>
      </c>
      <c r="KN2" s="2" t="s">
        <v>2</v>
      </c>
      <c r="KO2" s="2" t="s">
        <v>3</v>
      </c>
      <c r="KP2" s="2" t="s">
        <v>2</v>
      </c>
      <c r="KQ2" s="2" t="s">
        <v>3</v>
      </c>
      <c r="KR2" s="2" t="s">
        <v>2</v>
      </c>
      <c r="KS2" s="2" t="s">
        <v>3</v>
      </c>
      <c r="KT2" s="2" t="s">
        <v>2</v>
      </c>
      <c r="KU2" s="2" t="s">
        <v>3</v>
      </c>
      <c r="KV2" s="2" t="s">
        <v>2</v>
      </c>
      <c r="KW2" s="2" t="s">
        <v>3</v>
      </c>
      <c r="KX2" s="2" t="s">
        <v>2</v>
      </c>
      <c r="KY2" s="2" t="s">
        <v>3</v>
      </c>
      <c r="KZ2" s="2" t="s">
        <v>2</v>
      </c>
      <c r="LA2" s="2" t="s">
        <v>3</v>
      </c>
      <c r="LB2" s="2" t="s">
        <v>2</v>
      </c>
      <c r="LC2" s="2" t="s">
        <v>3</v>
      </c>
      <c r="LD2" s="2" t="s">
        <v>2</v>
      </c>
      <c r="LE2" s="2" t="s">
        <v>3</v>
      </c>
      <c r="LF2" s="2" t="s">
        <v>2</v>
      </c>
      <c r="LG2" s="2" t="s">
        <v>3</v>
      </c>
      <c r="LH2" s="2" t="s">
        <v>2</v>
      </c>
      <c r="LI2" s="2" t="s">
        <v>3</v>
      </c>
      <c r="LJ2" s="2" t="s">
        <v>2</v>
      </c>
      <c r="LK2" s="2" t="s">
        <v>3</v>
      </c>
      <c r="LL2" s="2" t="s">
        <v>2</v>
      </c>
      <c r="LM2" s="2" t="s">
        <v>3</v>
      </c>
      <c r="LN2" s="2" t="s">
        <v>2</v>
      </c>
      <c r="LO2" s="2" t="s">
        <v>3</v>
      </c>
      <c r="LP2" s="2" t="s">
        <v>2</v>
      </c>
      <c r="LQ2" s="2" t="s">
        <v>3</v>
      </c>
      <c r="LR2" s="2" t="s">
        <v>2</v>
      </c>
      <c r="LS2" s="2" t="s">
        <v>3</v>
      </c>
      <c r="LT2" s="2" t="s">
        <v>2</v>
      </c>
      <c r="LU2" s="2" t="s">
        <v>3</v>
      </c>
    </row>
    <row r="3" spans="1:333" x14ac:dyDescent="0.45">
      <c r="A3" s="3" t="s">
        <v>1</v>
      </c>
      <c r="B3" s="6">
        <v>0</v>
      </c>
      <c r="C3" s="6">
        <v>631.6</v>
      </c>
      <c r="D3" s="6">
        <v>0</v>
      </c>
      <c r="E3" s="6">
        <v>1189</v>
      </c>
      <c r="F3" s="6">
        <v>0</v>
      </c>
      <c r="G3" s="6">
        <v>1633</v>
      </c>
      <c r="H3" s="6">
        <v>0</v>
      </c>
      <c r="I3" s="6">
        <v>1717.4</v>
      </c>
      <c r="J3" s="6">
        <v>0</v>
      </c>
      <c r="K3" s="6">
        <v>500.8</v>
      </c>
      <c r="L3" s="6">
        <v>162.63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0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0</v>
      </c>
      <c r="BM3" s="19">
        <v>0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19">
        <v>0</v>
      </c>
      <c r="BX3" s="19">
        <v>0</v>
      </c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6">
        <v>280</v>
      </c>
      <c r="CH3" s="19">
        <v>0</v>
      </c>
      <c r="CI3" s="6">
        <v>620</v>
      </c>
      <c r="CJ3" s="19">
        <v>0</v>
      </c>
      <c r="CK3" s="6">
        <v>594</v>
      </c>
      <c r="CL3" s="19">
        <v>0</v>
      </c>
      <c r="CM3" s="6">
        <v>390</v>
      </c>
      <c r="CN3" s="19">
        <v>0</v>
      </c>
      <c r="CO3" s="6">
        <v>620</v>
      </c>
      <c r="CP3" s="19">
        <v>0</v>
      </c>
      <c r="CQ3" s="6">
        <v>540</v>
      </c>
      <c r="CR3" s="19">
        <v>0</v>
      </c>
      <c r="CS3" s="6">
        <v>773</v>
      </c>
      <c r="CT3" s="19">
        <v>0</v>
      </c>
      <c r="CU3" s="6">
        <v>284</v>
      </c>
      <c r="CV3" s="19">
        <v>0</v>
      </c>
      <c r="CW3" s="19">
        <v>0</v>
      </c>
      <c r="CX3" s="19">
        <v>0</v>
      </c>
      <c r="CY3" s="6">
        <v>130</v>
      </c>
      <c r="CZ3" s="19">
        <v>0</v>
      </c>
      <c r="DA3" s="6">
        <v>500</v>
      </c>
      <c r="DB3" s="19">
        <v>0</v>
      </c>
      <c r="DC3" s="19">
        <v>0</v>
      </c>
      <c r="DD3" s="19">
        <v>0</v>
      </c>
      <c r="DE3" s="6">
        <v>220</v>
      </c>
      <c r="DF3" s="19">
        <v>0</v>
      </c>
      <c r="DG3" s="6">
        <v>240</v>
      </c>
      <c r="DH3" s="19">
        <v>0</v>
      </c>
      <c r="DI3" s="6">
        <v>620</v>
      </c>
      <c r="DJ3" s="19">
        <v>0</v>
      </c>
      <c r="DK3" s="19">
        <v>0</v>
      </c>
      <c r="DL3" s="19">
        <v>0</v>
      </c>
      <c r="DM3" s="6">
        <v>330</v>
      </c>
      <c r="DN3" s="19">
        <v>0</v>
      </c>
      <c r="DO3" s="6">
        <v>560</v>
      </c>
      <c r="DP3" s="19">
        <v>0</v>
      </c>
      <c r="DQ3" s="6">
        <v>230</v>
      </c>
      <c r="DR3" s="6">
        <v>444.15</v>
      </c>
      <c r="DS3" s="19">
        <v>0</v>
      </c>
      <c r="DT3" s="6">
        <v>413.43</v>
      </c>
      <c r="DU3" s="6">
        <v>0</v>
      </c>
      <c r="DV3" s="6">
        <v>986.24</v>
      </c>
      <c r="DW3" s="6">
        <v>0</v>
      </c>
      <c r="DX3" s="6">
        <v>771.24</v>
      </c>
      <c r="DY3" s="6">
        <v>0</v>
      </c>
      <c r="DZ3" s="6">
        <v>337.92</v>
      </c>
      <c r="EA3" s="6">
        <v>0</v>
      </c>
      <c r="EB3" s="6">
        <v>696</v>
      </c>
      <c r="EC3" s="6">
        <v>0</v>
      </c>
      <c r="ED3" s="6">
        <v>914.43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406</v>
      </c>
      <c r="EO3" s="6">
        <v>0</v>
      </c>
      <c r="EP3" s="6">
        <v>290</v>
      </c>
      <c r="EQ3" s="6">
        <v>0</v>
      </c>
      <c r="ER3" s="6">
        <v>0</v>
      </c>
      <c r="ES3" s="6">
        <v>0</v>
      </c>
      <c r="ET3" s="6">
        <f>274.06+925.66</f>
        <v>1199.72</v>
      </c>
      <c r="EU3" s="6">
        <v>520</v>
      </c>
      <c r="EV3" s="6">
        <v>0</v>
      </c>
      <c r="EW3" s="6">
        <v>65</v>
      </c>
      <c r="EX3" s="6">
        <v>0</v>
      </c>
      <c r="EY3" s="6">
        <v>520</v>
      </c>
      <c r="EZ3" s="6">
        <v>0</v>
      </c>
      <c r="FA3" s="6">
        <v>0</v>
      </c>
      <c r="FB3" s="6">
        <v>414.82</v>
      </c>
      <c r="FC3" s="6">
        <v>0</v>
      </c>
      <c r="FD3" s="6">
        <v>696</v>
      </c>
      <c r="FE3" s="6">
        <v>0</v>
      </c>
      <c r="FF3" s="6">
        <v>580</v>
      </c>
      <c r="FG3" s="6">
        <v>0</v>
      </c>
      <c r="FH3" s="6">
        <v>406</v>
      </c>
      <c r="FI3" s="6">
        <v>30</v>
      </c>
      <c r="FJ3" s="6">
        <v>232</v>
      </c>
      <c r="FK3" s="6">
        <v>30</v>
      </c>
      <c r="FL3" s="6">
        <v>0</v>
      </c>
      <c r="FM3" s="6">
        <v>0</v>
      </c>
      <c r="FN3" s="6">
        <v>696</v>
      </c>
      <c r="FO3" s="6">
        <v>90</v>
      </c>
      <c r="FP3" s="6">
        <v>696</v>
      </c>
      <c r="FQ3" s="6">
        <v>140</v>
      </c>
      <c r="FR3" s="6">
        <v>696</v>
      </c>
      <c r="FS3" s="6">
        <v>60</v>
      </c>
      <c r="FT3" s="6">
        <v>638</v>
      </c>
      <c r="FU3" s="6">
        <v>60</v>
      </c>
      <c r="FV3" s="6">
        <v>290</v>
      </c>
      <c r="FW3" s="6">
        <v>30</v>
      </c>
      <c r="FX3" s="6">
        <v>406</v>
      </c>
      <c r="FY3" s="6">
        <v>30</v>
      </c>
      <c r="FZ3" s="6">
        <v>232</v>
      </c>
      <c r="GA3" s="6">
        <v>60</v>
      </c>
      <c r="GB3" s="6">
        <v>0</v>
      </c>
      <c r="GC3" s="6">
        <v>0</v>
      </c>
      <c r="GD3" s="6">
        <v>0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638</v>
      </c>
      <c r="GK3" s="6">
        <v>207.08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464</v>
      </c>
      <c r="GS3" s="6">
        <v>60</v>
      </c>
      <c r="GT3" s="6">
        <v>0</v>
      </c>
      <c r="GU3" s="6">
        <v>0</v>
      </c>
      <c r="GV3" s="6">
        <v>0</v>
      </c>
      <c r="GW3" s="6">
        <v>0</v>
      </c>
      <c r="GX3" s="6">
        <v>0</v>
      </c>
      <c r="GY3" s="6">
        <v>0</v>
      </c>
      <c r="GZ3" s="6">
        <v>0</v>
      </c>
      <c r="HA3" s="6">
        <v>0</v>
      </c>
      <c r="HB3" s="6">
        <v>0</v>
      </c>
      <c r="HC3" s="6">
        <v>0</v>
      </c>
      <c r="HD3" s="6">
        <v>0</v>
      </c>
      <c r="HE3" s="6">
        <v>0</v>
      </c>
      <c r="HF3" s="6">
        <v>0</v>
      </c>
      <c r="HG3" s="6">
        <v>0</v>
      </c>
      <c r="HH3" s="6">
        <v>0</v>
      </c>
      <c r="HI3" s="6">
        <v>0</v>
      </c>
      <c r="HJ3" s="6">
        <v>0</v>
      </c>
      <c r="HK3" s="6">
        <v>0</v>
      </c>
      <c r="HL3" s="6">
        <v>0</v>
      </c>
      <c r="HM3" s="6">
        <v>0</v>
      </c>
      <c r="HN3" s="6">
        <v>0</v>
      </c>
      <c r="HO3" s="6">
        <v>0</v>
      </c>
      <c r="HP3" s="6">
        <v>223.7</v>
      </c>
      <c r="HQ3" s="6">
        <v>0</v>
      </c>
      <c r="HR3" s="6">
        <v>0</v>
      </c>
      <c r="HS3" s="6">
        <v>0</v>
      </c>
      <c r="HT3" s="6">
        <f>696+(60*1.3683)</f>
        <v>778.09799999999996</v>
      </c>
      <c r="HU3" s="6">
        <v>0</v>
      </c>
      <c r="HV3" s="6">
        <v>406</v>
      </c>
      <c r="HW3" s="6">
        <v>0</v>
      </c>
      <c r="HX3" s="6">
        <v>221.37</v>
      </c>
      <c r="HY3" s="6">
        <v>0</v>
      </c>
      <c r="HZ3" s="6">
        <v>0</v>
      </c>
      <c r="IA3" s="6">
        <v>0</v>
      </c>
      <c r="IB3" s="6">
        <v>473.83</v>
      </c>
      <c r="IC3" s="6">
        <v>0</v>
      </c>
      <c r="ID3" s="6">
        <v>755.66</v>
      </c>
      <c r="IE3" s="6">
        <v>0</v>
      </c>
      <c r="IF3" s="6">
        <v>732.01</v>
      </c>
      <c r="IG3" s="6">
        <v>0</v>
      </c>
      <c r="IH3" s="6">
        <v>174</v>
      </c>
      <c r="II3" s="6">
        <v>0</v>
      </c>
      <c r="IJ3" s="6">
        <v>338</v>
      </c>
      <c r="IK3" s="6">
        <v>0</v>
      </c>
      <c r="IL3" s="6">
        <v>232</v>
      </c>
      <c r="IM3" s="6">
        <v>0</v>
      </c>
      <c r="IN3" s="6">
        <v>174</v>
      </c>
      <c r="IO3" s="6">
        <v>0</v>
      </c>
      <c r="IP3" s="6">
        <v>0</v>
      </c>
      <c r="IQ3" s="6">
        <v>0</v>
      </c>
      <c r="IR3" s="6">
        <v>0</v>
      </c>
      <c r="IS3" s="6">
        <v>0</v>
      </c>
      <c r="IT3" s="6">
        <v>0</v>
      </c>
      <c r="IU3" s="6">
        <v>0</v>
      </c>
      <c r="IV3" s="6">
        <v>0</v>
      </c>
      <c r="IW3" s="6">
        <v>0</v>
      </c>
      <c r="IX3" s="6">
        <v>0</v>
      </c>
      <c r="IY3" s="6">
        <v>0</v>
      </c>
      <c r="IZ3" s="6">
        <v>0</v>
      </c>
      <c r="JA3" s="6">
        <v>0</v>
      </c>
      <c r="JB3" s="6">
        <v>0</v>
      </c>
      <c r="JC3" s="6">
        <v>0</v>
      </c>
      <c r="JD3" s="6">
        <v>0</v>
      </c>
      <c r="JE3" s="6">
        <v>0</v>
      </c>
      <c r="JF3" s="6">
        <v>0</v>
      </c>
      <c r="JG3" s="6">
        <v>0</v>
      </c>
      <c r="JH3" s="6">
        <v>464</v>
      </c>
      <c r="JI3" s="6">
        <v>0</v>
      </c>
      <c r="JJ3" s="6">
        <v>0</v>
      </c>
      <c r="JK3" s="6">
        <v>0</v>
      </c>
      <c r="JL3" s="6">
        <v>0</v>
      </c>
      <c r="JM3" s="6">
        <v>0</v>
      </c>
      <c r="JN3" s="6">
        <v>0</v>
      </c>
      <c r="JO3" s="6">
        <v>0</v>
      </c>
      <c r="JP3" s="6">
        <v>0</v>
      </c>
      <c r="JQ3" s="6">
        <v>0</v>
      </c>
      <c r="JR3" s="6">
        <v>0</v>
      </c>
      <c r="JS3" s="6">
        <v>0</v>
      </c>
      <c r="JT3" s="6">
        <v>0</v>
      </c>
      <c r="JU3" s="6">
        <v>0</v>
      </c>
      <c r="JV3" s="6">
        <v>0</v>
      </c>
      <c r="JW3" s="6">
        <v>0</v>
      </c>
      <c r="JX3" s="6">
        <v>0</v>
      </c>
      <c r="JY3" s="6">
        <v>0</v>
      </c>
      <c r="JZ3" s="6">
        <v>0</v>
      </c>
      <c r="KA3" s="6">
        <v>0</v>
      </c>
      <c r="KB3" s="6">
        <v>0</v>
      </c>
      <c r="KC3" s="6">
        <v>0</v>
      </c>
      <c r="KD3" s="6">
        <v>0</v>
      </c>
      <c r="KE3" s="6">
        <v>0</v>
      </c>
      <c r="KF3" s="6">
        <v>0</v>
      </c>
      <c r="KG3" s="6">
        <v>0</v>
      </c>
      <c r="KH3" s="6">
        <v>0</v>
      </c>
      <c r="KI3" s="6">
        <v>0</v>
      </c>
      <c r="KJ3" s="6">
        <v>0</v>
      </c>
      <c r="KK3" s="6">
        <v>0</v>
      </c>
      <c r="KL3" s="6">
        <v>700</v>
      </c>
      <c r="KM3" s="6">
        <v>0</v>
      </c>
      <c r="KN3" s="6">
        <v>350</v>
      </c>
      <c r="KO3" s="6">
        <v>0</v>
      </c>
      <c r="KP3" s="6">
        <v>0</v>
      </c>
      <c r="KQ3" s="6">
        <v>0</v>
      </c>
      <c r="KR3" s="6">
        <v>0</v>
      </c>
      <c r="KS3" s="6">
        <v>0</v>
      </c>
      <c r="KT3" s="6">
        <v>816.91</v>
      </c>
      <c r="KU3" s="6">
        <v>0</v>
      </c>
      <c r="KV3" s="6">
        <v>350</v>
      </c>
      <c r="KW3" s="6">
        <v>0</v>
      </c>
      <c r="KX3" s="6">
        <v>630</v>
      </c>
      <c r="KY3" s="6">
        <v>0</v>
      </c>
      <c r="KZ3" s="6">
        <v>0</v>
      </c>
      <c r="LA3" s="6">
        <v>0</v>
      </c>
      <c r="LB3" s="6">
        <v>0</v>
      </c>
      <c r="LC3" s="6">
        <v>0</v>
      </c>
      <c r="LD3" s="6">
        <v>0</v>
      </c>
      <c r="LE3" s="6">
        <v>0</v>
      </c>
      <c r="LF3" s="6">
        <v>0</v>
      </c>
      <c r="LG3" s="6">
        <v>0</v>
      </c>
      <c r="LH3" s="6">
        <v>0</v>
      </c>
      <c r="LI3" s="6">
        <v>0</v>
      </c>
      <c r="LJ3" s="6">
        <v>0</v>
      </c>
      <c r="LK3" s="6">
        <v>0</v>
      </c>
      <c r="LL3" s="6">
        <v>0</v>
      </c>
      <c r="LM3" s="6">
        <v>0</v>
      </c>
      <c r="LN3" s="6">
        <v>0</v>
      </c>
      <c r="LO3" s="6">
        <v>0</v>
      </c>
      <c r="LP3" s="6">
        <v>0</v>
      </c>
      <c r="LQ3" s="6">
        <v>0</v>
      </c>
      <c r="LR3" s="6">
        <v>0</v>
      </c>
      <c r="LS3" s="6">
        <v>0</v>
      </c>
      <c r="LT3" s="28">
        <v>0</v>
      </c>
      <c r="LU3" s="28">
        <v>0</v>
      </c>
    </row>
    <row r="4" spans="1:333" x14ac:dyDescent="0.45">
      <c r="A4" s="4" t="s">
        <v>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210</v>
      </c>
      <c r="O4" s="7">
        <v>0</v>
      </c>
      <c r="P4" s="7">
        <v>560</v>
      </c>
      <c r="Q4" s="7">
        <v>0</v>
      </c>
      <c r="R4" s="6">
        <v>210</v>
      </c>
      <c r="S4" s="6">
        <v>0</v>
      </c>
      <c r="T4" s="6">
        <v>420</v>
      </c>
      <c r="U4" s="6">
        <v>0</v>
      </c>
      <c r="V4" s="6">
        <v>370</v>
      </c>
      <c r="W4" s="6">
        <v>0</v>
      </c>
      <c r="X4" s="6">
        <v>210</v>
      </c>
      <c r="Y4" s="6">
        <v>0</v>
      </c>
      <c r="Z4" s="13">
        <v>0</v>
      </c>
      <c r="AA4" s="13">
        <v>0</v>
      </c>
      <c r="AB4" s="6">
        <v>60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6">
        <v>490</v>
      </c>
      <c r="BG4" s="19">
        <v>0</v>
      </c>
      <c r="BH4" s="6">
        <v>340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6">
        <v>110</v>
      </c>
      <c r="BO4" s="19">
        <v>0</v>
      </c>
      <c r="BP4" s="6">
        <v>110</v>
      </c>
      <c r="BQ4" s="19">
        <v>0</v>
      </c>
      <c r="BR4" s="6">
        <v>420</v>
      </c>
      <c r="BS4" s="19">
        <v>0</v>
      </c>
      <c r="BT4" s="19">
        <v>0</v>
      </c>
      <c r="BU4" s="19">
        <v>0</v>
      </c>
      <c r="BV4" s="6">
        <v>110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6">
        <v>335</v>
      </c>
      <c r="CF4" s="19">
        <v>0</v>
      </c>
      <c r="CG4" s="6">
        <v>1830.18</v>
      </c>
      <c r="CH4" s="6">
        <v>180</v>
      </c>
      <c r="CI4" s="19">
        <v>0</v>
      </c>
      <c r="CJ4" s="6">
        <v>160</v>
      </c>
      <c r="CK4" s="19">
        <v>0</v>
      </c>
      <c r="CL4" s="6">
        <v>80</v>
      </c>
      <c r="CM4" s="19">
        <v>0</v>
      </c>
      <c r="CN4" s="19">
        <v>0</v>
      </c>
      <c r="CO4" s="19">
        <v>0</v>
      </c>
      <c r="CP4" s="19">
        <v>0</v>
      </c>
      <c r="CQ4" s="6">
        <v>310</v>
      </c>
      <c r="CR4" s="19">
        <v>0</v>
      </c>
      <c r="CS4" s="6">
        <v>260</v>
      </c>
      <c r="CT4" s="19">
        <v>0</v>
      </c>
      <c r="CU4" s="19">
        <v>0</v>
      </c>
      <c r="CV4" s="19">
        <v>0</v>
      </c>
      <c r="CW4" s="19">
        <v>0</v>
      </c>
      <c r="CX4" s="6">
        <v>60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6">
        <v>406</v>
      </c>
      <c r="DS4" s="19">
        <v>0</v>
      </c>
      <c r="DT4" s="6">
        <v>290</v>
      </c>
      <c r="DU4" s="6">
        <v>0</v>
      </c>
      <c r="DV4" s="6">
        <v>0</v>
      </c>
      <c r="DW4" s="6">
        <v>0</v>
      </c>
      <c r="DX4" s="6">
        <v>638</v>
      </c>
      <c r="DY4" s="6">
        <v>30</v>
      </c>
      <c r="DZ4" s="6">
        <v>0</v>
      </c>
      <c r="EA4" s="6">
        <v>0</v>
      </c>
      <c r="EB4" s="6">
        <v>232</v>
      </c>
      <c r="EC4" s="6">
        <v>0</v>
      </c>
      <c r="ED4" s="6">
        <v>580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232</v>
      </c>
      <c r="FA4" s="6">
        <v>0</v>
      </c>
      <c r="FB4" s="6">
        <v>290</v>
      </c>
      <c r="FC4" s="6">
        <v>0</v>
      </c>
      <c r="FD4" s="6">
        <v>0</v>
      </c>
      <c r="FE4" s="6">
        <v>0</v>
      </c>
      <c r="FF4" s="6">
        <v>290</v>
      </c>
      <c r="FG4" s="6">
        <v>0</v>
      </c>
      <c r="FH4" s="6">
        <v>200</v>
      </c>
      <c r="FI4" s="6">
        <v>0</v>
      </c>
      <c r="FJ4" s="6">
        <v>0</v>
      </c>
      <c r="FK4" s="6">
        <v>0</v>
      </c>
      <c r="FL4" s="6">
        <v>200</v>
      </c>
      <c r="FM4" s="6">
        <v>0</v>
      </c>
      <c r="FN4" s="6">
        <v>0</v>
      </c>
      <c r="FO4" s="6">
        <v>0</v>
      </c>
      <c r="FP4" s="6">
        <v>200</v>
      </c>
      <c r="FQ4" s="6">
        <v>0</v>
      </c>
      <c r="FR4" s="6">
        <v>0</v>
      </c>
      <c r="FS4" s="6">
        <v>0</v>
      </c>
      <c r="FT4" s="6">
        <v>374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116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290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0</v>
      </c>
      <c r="GX4" s="6">
        <v>0</v>
      </c>
      <c r="GY4" s="6">
        <v>0</v>
      </c>
      <c r="GZ4" s="6">
        <v>0</v>
      </c>
      <c r="HA4" s="6">
        <v>0</v>
      </c>
      <c r="HB4" s="6">
        <v>232</v>
      </c>
      <c r="HC4" s="6">
        <v>0</v>
      </c>
      <c r="HD4" s="6">
        <v>0</v>
      </c>
      <c r="HE4" s="6">
        <v>0</v>
      </c>
      <c r="HF4" s="6">
        <v>232</v>
      </c>
      <c r="HG4" s="6">
        <v>0</v>
      </c>
      <c r="HH4" s="6">
        <v>116</v>
      </c>
      <c r="HI4" s="6">
        <v>0</v>
      </c>
      <c r="HJ4" s="6">
        <v>0</v>
      </c>
      <c r="HK4" s="6">
        <v>0</v>
      </c>
      <c r="HL4" s="6">
        <v>0</v>
      </c>
      <c r="HM4" s="6">
        <v>0</v>
      </c>
      <c r="HN4" s="6">
        <v>0</v>
      </c>
      <c r="HO4" s="6">
        <v>0</v>
      </c>
      <c r="HP4" s="6">
        <v>0</v>
      </c>
      <c r="HQ4" s="6">
        <v>0</v>
      </c>
      <c r="HR4" s="6">
        <v>522</v>
      </c>
      <c r="HS4" s="6">
        <v>0</v>
      </c>
      <c r="HT4" s="6">
        <v>232</v>
      </c>
      <c r="HU4" s="6">
        <v>0</v>
      </c>
      <c r="HV4" s="6">
        <v>0</v>
      </c>
      <c r="HW4" s="6">
        <v>0</v>
      </c>
      <c r="HX4" s="6">
        <v>0</v>
      </c>
      <c r="HY4" s="6">
        <v>0</v>
      </c>
      <c r="HZ4" s="6">
        <v>0</v>
      </c>
      <c r="IA4" s="6">
        <v>0</v>
      </c>
      <c r="IB4" s="6">
        <v>0</v>
      </c>
      <c r="IC4" s="6">
        <v>0</v>
      </c>
      <c r="ID4" s="6">
        <v>0</v>
      </c>
      <c r="IE4" s="6">
        <v>0</v>
      </c>
      <c r="IF4" s="6">
        <v>0</v>
      </c>
      <c r="IG4" s="6">
        <v>0</v>
      </c>
      <c r="IH4" s="6">
        <v>0</v>
      </c>
      <c r="II4" s="6">
        <v>0</v>
      </c>
      <c r="IJ4" s="6">
        <v>0</v>
      </c>
      <c r="IK4" s="6">
        <v>0</v>
      </c>
      <c r="IL4" s="6">
        <v>0</v>
      </c>
      <c r="IM4" s="6">
        <v>0</v>
      </c>
      <c r="IN4" s="6">
        <v>296.75</v>
      </c>
      <c r="IO4" s="6">
        <v>0</v>
      </c>
      <c r="IP4" s="6">
        <v>0</v>
      </c>
      <c r="IQ4" s="6">
        <v>0</v>
      </c>
      <c r="IR4" s="6">
        <v>0</v>
      </c>
      <c r="IS4" s="6">
        <v>0</v>
      </c>
      <c r="IT4" s="6">
        <v>0</v>
      </c>
      <c r="IU4" s="6">
        <v>0</v>
      </c>
      <c r="IV4" s="6">
        <v>232</v>
      </c>
      <c r="IW4" s="6">
        <v>0</v>
      </c>
      <c r="IX4" s="6">
        <v>58</v>
      </c>
      <c r="IY4" s="6">
        <v>0</v>
      </c>
      <c r="IZ4" s="6">
        <v>0</v>
      </c>
      <c r="JA4" s="6">
        <v>0</v>
      </c>
      <c r="JB4" s="6">
        <v>0</v>
      </c>
      <c r="JC4" s="6">
        <v>0</v>
      </c>
      <c r="JD4" s="6">
        <v>0</v>
      </c>
      <c r="JE4" s="6">
        <v>0</v>
      </c>
      <c r="JF4" s="6">
        <v>0</v>
      </c>
      <c r="JG4" s="6">
        <v>0</v>
      </c>
      <c r="JH4" s="6">
        <v>464</v>
      </c>
      <c r="JI4" s="6">
        <v>0</v>
      </c>
      <c r="JJ4" s="6">
        <v>0</v>
      </c>
      <c r="JK4" s="6">
        <v>0</v>
      </c>
      <c r="JL4" s="6">
        <v>174</v>
      </c>
      <c r="JM4" s="6">
        <v>0</v>
      </c>
      <c r="JN4" s="6">
        <v>0</v>
      </c>
      <c r="JO4" s="6">
        <v>0</v>
      </c>
      <c r="JP4" s="6">
        <v>0</v>
      </c>
      <c r="JQ4" s="6">
        <v>0</v>
      </c>
      <c r="JR4" s="6">
        <v>0</v>
      </c>
      <c r="JS4" s="6">
        <v>0</v>
      </c>
      <c r="JT4" s="6">
        <v>186</v>
      </c>
      <c r="JU4" s="6">
        <v>0</v>
      </c>
      <c r="JV4" s="6">
        <v>0</v>
      </c>
      <c r="JW4" s="6">
        <v>0</v>
      </c>
      <c r="JX4" s="6">
        <v>0</v>
      </c>
      <c r="JY4" s="6">
        <v>0</v>
      </c>
      <c r="JZ4" s="6">
        <v>840</v>
      </c>
      <c r="KA4" s="6">
        <v>105</v>
      </c>
      <c r="KB4" s="6">
        <v>920.27</v>
      </c>
      <c r="KC4" s="6">
        <v>35</v>
      </c>
      <c r="KD4" s="6">
        <v>330.26</v>
      </c>
      <c r="KE4" s="6">
        <v>0</v>
      </c>
      <c r="KF4" s="6">
        <v>0</v>
      </c>
      <c r="KG4" s="6">
        <v>0</v>
      </c>
      <c r="KH4" s="6">
        <v>800</v>
      </c>
      <c r="KI4" s="6">
        <v>0</v>
      </c>
      <c r="KJ4" s="6">
        <v>0</v>
      </c>
      <c r="KK4" s="6">
        <v>0</v>
      </c>
      <c r="KL4" s="6">
        <v>770</v>
      </c>
      <c r="KM4" s="6">
        <v>0</v>
      </c>
      <c r="KN4" s="6">
        <v>540</v>
      </c>
      <c r="KO4" s="6">
        <v>0</v>
      </c>
      <c r="KP4" s="6">
        <v>0</v>
      </c>
      <c r="KQ4" s="6">
        <v>0</v>
      </c>
      <c r="KR4" s="6">
        <v>0</v>
      </c>
      <c r="KS4" s="6">
        <v>0</v>
      </c>
      <c r="KT4" s="6">
        <v>0</v>
      </c>
      <c r="KU4" s="6">
        <v>0</v>
      </c>
      <c r="KV4" s="6">
        <v>700</v>
      </c>
      <c r="KW4" s="6">
        <v>0</v>
      </c>
      <c r="KX4" s="6">
        <v>840</v>
      </c>
      <c r="KY4" s="6">
        <v>0</v>
      </c>
      <c r="KZ4" s="6">
        <v>840</v>
      </c>
      <c r="LA4" s="6">
        <v>0</v>
      </c>
      <c r="LB4" s="6">
        <v>350</v>
      </c>
      <c r="LC4" s="6">
        <v>0</v>
      </c>
      <c r="LD4" s="6">
        <v>0</v>
      </c>
      <c r="LE4" s="6">
        <v>0</v>
      </c>
      <c r="LF4" s="6">
        <v>0</v>
      </c>
      <c r="LG4" s="6">
        <v>0</v>
      </c>
      <c r="LH4" s="6">
        <v>0</v>
      </c>
      <c r="LI4" s="6">
        <v>0</v>
      </c>
      <c r="LJ4" s="6">
        <v>140</v>
      </c>
      <c r="LK4" s="6">
        <v>0</v>
      </c>
      <c r="LL4" s="6">
        <v>70</v>
      </c>
      <c r="LM4" s="6">
        <v>0</v>
      </c>
      <c r="LN4" s="6">
        <v>70</v>
      </c>
      <c r="LO4" s="6">
        <v>0</v>
      </c>
      <c r="LP4" s="6">
        <v>420</v>
      </c>
      <c r="LQ4" s="6">
        <v>0</v>
      </c>
      <c r="LR4" s="6">
        <v>0</v>
      </c>
      <c r="LS4" s="6">
        <v>0</v>
      </c>
      <c r="LT4" s="28">
        <v>0</v>
      </c>
      <c r="LU4" s="28">
        <v>0</v>
      </c>
    </row>
    <row r="5" spans="1:333" x14ac:dyDescent="0.45">
      <c r="A5" s="4" t="s">
        <v>5</v>
      </c>
      <c r="B5" s="7">
        <v>0</v>
      </c>
      <c r="C5" s="7">
        <v>10</v>
      </c>
      <c r="D5" s="7">
        <v>0</v>
      </c>
      <c r="E5" s="7">
        <v>510</v>
      </c>
      <c r="F5" s="7">
        <v>179.02</v>
      </c>
      <c r="G5" s="7">
        <v>570</v>
      </c>
      <c r="H5" s="7">
        <v>389.15</v>
      </c>
      <c r="I5" s="7">
        <v>131</v>
      </c>
      <c r="J5" s="7">
        <v>259.2</v>
      </c>
      <c r="K5" s="7">
        <v>120</v>
      </c>
      <c r="L5" s="7">
        <v>237.6</v>
      </c>
      <c r="M5" s="7">
        <v>110</v>
      </c>
      <c r="N5" s="7">
        <v>287.05</v>
      </c>
      <c r="O5" s="7">
        <v>125</v>
      </c>
      <c r="P5" s="7">
        <v>259.2</v>
      </c>
      <c r="Q5" s="7">
        <v>120</v>
      </c>
      <c r="R5" s="6">
        <v>259.2</v>
      </c>
      <c r="S5" s="6">
        <v>120</v>
      </c>
      <c r="T5" s="6">
        <v>259.2</v>
      </c>
      <c r="U5" s="6">
        <v>15</v>
      </c>
      <c r="V5" s="6">
        <v>237.6</v>
      </c>
      <c r="W5" s="6">
        <v>0</v>
      </c>
      <c r="X5" s="6">
        <v>0</v>
      </c>
      <c r="Y5" s="6">
        <v>0</v>
      </c>
      <c r="Z5" s="13">
        <v>0</v>
      </c>
      <c r="AA5" s="13">
        <v>0</v>
      </c>
      <c r="AB5" s="6">
        <v>280</v>
      </c>
      <c r="AC5" s="13">
        <v>0</v>
      </c>
      <c r="AD5" s="6">
        <v>630</v>
      </c>
      <c r="AE5" s="13">
        <v>0</v>
      </c>
      <c r="AF5" s="6">
        <v>510</v>
      </c>
      <c r="AG5" s="13">
        <v>0</v>
      </c>
      <c r="AH5" s="6">
        <v>237.6</v>
      </c>
      <c r="AI5" s="13">
        <v>0</v>
      </c>
      <c r="AJ5" s="6">
        <v>237.6</v>
      </c>
      <c r="AK5" s="13">
        <v>0</v>
      </c>
      <c r="AL5" s="6">
        <v>237.6</v>
      </c>
      <c r="AM5" s="19">
        <v>0</v>
      </c>
      <c r="AN5" s="6">
        <v>237.6</v>
      </c>
      <c r="AO5" s="19">
        <v>0</v>
      </c>
      <c r="AP5" s="6">
        <v>237.6</v>
      </c>
      <c r="AQ5" s="19">
        <v>0</v>
      </c>
      <c r="AR5" s="6">
        <v>129.6</v>
      </c>
      <c r="AS5" s="19">
        <v>0</v>
      </c>
      <c r="AT5" s="19">
        <v>0</v>
      </c>
      <c r="AU5" s="19">
        <v>0</v>
      </c>
      <c r="AV5" s="6">
        <v>241.92</v>
      </c>
      <c r="AW5" s="19">
        <v>0</v>
      </c>
      <c r="AX5" s="6">
        <v>282.24</v>
      </c>
      <c r="AY5" s="19">
        <v>0</v>
      </c>
      <c r="AZ5" s="6">
        <v>100.8</v>
      </c>
      <c r="BA5" s="19">
        <v>0</v>
      </c>
      <c r="BB5" s="19">
        <v>0</v>
      </c>
      <c r="BC5" s="19">
        <v>0</v>
      </c>
      <c r="BD5" s="6">
        <v>241.92</v>
      </c>
      <c r="BE5" s="19">
        <v>0</v>
      </c>
      <c r="BF5" s="6">
        <v>201.6</v>
      </c>
      <c r="BG5" s="19">
        <v>0</v>
      </c>
      <c r="BH5" s="6">
        <v>221.76</v>
      </c>
      <c r="BI5" s="19">
        <v>0</v>
      </c>
      <c r="BJ5" s="6">
        <v>201.6</v>
      </c>
      <c r="BK5" s="19">
        <v>0</v>
      </c>
      <c r="BL5" s="6">
        <v>161.28</v>
      </c>
      <c r="BM5" s="19">
        <v>0</v>
      </c>
      <c r="BN5" s="6">
        <v>181.44</v>
      </c>
      <c r="BO5" s="19">
        <v>0</v>
      </c>
      <c r="BP5" s="6">
        <v>201.6</v>
      </c>
      <c r="BQ5" s="19">
        <v>0</v>
      </c>
      <c r="BR5" s="6">
        <v>181.44</v>
      </c>
      <c r="BS5" s="19">
        <v>0</v>
      </c>
      <c r="BT5" s="6">
        <v>201.6</v>
      </c>
      <c r="BU5" s="19">
        <v>0</v>
      </c>
      <c r="BV5" s="6">
        <v>201.6</v>
      </c>
      <c r="BW5" s="19">
        <v>0</v>
      </c>
      <c r="BX5" s="6">
        <v>221.76</v>
      </c>
      <c r="BY5" s="19">
        <v>0</v>
      </c>
      <c r="BZ5" s="6">
        <v>241.92</v>
      </c>
      <c r="CA5" s="19">
        <v>0</v>
      </c>
      <c r="CB5" s="6">
        <v>221.76</v>
      </c>
      <c r="CC5" s="19">
        <v>0</v>
      </c>
      <c r="CD5" s="6">
        <v>221.76</v>
      </c>
      <c r="CE5" s="19">
        <v>0</v>
      </c>
      <c r="CF5" s="6">
        <v>201.6</v>
      </c>
      <c r="CG5" s="19">
        <v>0</v>
      </c>
      <c r="CH5" s="6">
        <v>201.6</v>
      </c>
      <c r="CI5" s="19">
        <v>0</v>
      </c>
      <c r="CJ5" s="6">
        <v>241.92</v>
      </c>
      <c r="CK5" s="19">
        <v>0</v>
      </c>
      <c r="CL5" s="6">
        <v>221.76</v>
      </c>
      <c r="CM5" s="19">
        <v>0</v>
      </c>
      <c r="CN5" s="6">
        <v>221.76</v>
      </c>
      <c r="CO5" s="19">
        <v>0</v>
      </c>
      <c r="CP5" s="6">
        <v>221.76</v>
      </c>
      <c r="CQ5" s="19">
        <v>0</v>
      </c>
      <c r="CR5" s="6">
        <v>201.6</v>
      </c>
      <c r="CS5" s="19">
        <v>0</v>
      </c>
      <c r="CT5" s="19">
        <v>0</v>
      </c>
      <c r="CU5" s="19">
        <v>0</v>
      </c>
      <c r="CV5" s="6">
        <v>100.8</v>
      </c>
      <c r="CW5" s="19">
        <v>0</v>
      </c>
      <c r="CX5" s="6">
        <v>262.08</v>
      </c>
      <c r="CY5" s="19">
        <v>0</v>
      </c>
      <c r="CZ5" s="6">
        <v>221.76</v>
      </c>
      <c r="DA5" s="19">
        <v>0</v>
      </c>
      <c r="DB5" s="6">
        <v>181.44</v>
      </c>
      <c r="DC5" s="19">
        <v>0</v>
      </c>
      <c r="DD5" s="6">
        <v>141.12</v>
      </c>
      <c r="DE5" s="19">
        <v>0</v>
      </c>
      <c r="DF5" s="19">
        <v>0</v>
      </c>
      <c r="DG5" s="19">
        <v>0</v>
      </c>
      <c r="DH5" s="6">
        <v>20.16</v>
      </c>
      <c r="DI5" s="19">
        <v>0</v>
      </c>
      <c r="DJ5" s="19">
        <v>0</v>
      </c>
      <c r="DK5" s="19">
        <v>0</v>
      </c>
      <c r="DL5" s="6">
        <v>97.92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6">
        <v>440.64</v>
      </c>
      <c r="DU5" s="6">
        <v>5.5</v>
      </c>
      <c r="DV5" s="6">
        <v>97.92</v>
      </c>
      <c r="DW5" s="6">
        <v>0</v>
      </c>
      <c r="DX5" s="6">
        <v>305.27999999999997</v>
      </c>
      <c r="DY5" s="6">
        <v>0</v>
      </c>
      <c r="DZ5" s="6">
        <v>241.92</v>
      </c>
      <c r="EA5" s="6">
        <v>0</v>
      </c>
      <c r="EB5" s="6">
        <v>282.24</v>
      </c>
      <c r="EC5" s="6">
        <v>0</v>
      </c>
      <c r="ED5" s="6">
        <v>241.92</v>
      </c>
      <c r="EE5" s="6">
        <v>0</v>
      </c>
      <c r="EF5" s="6">
        <v>262.08</v>
      </c>
      <c r="EG5" s="6">
        <v>0</v>
      </c>
      <c r="EH5" s="6">
        <v>241.92</v>
      </c>
      <c r="EI5" s="6">
        <v>0</v>
      </c>
      <c r="EJ5" s="6">
        <v>241.92</v>
      </c>
      <c r="EK5" s="6">
        <v>0</v>
      </c>
      <c r="EL5" s="6">
        <v>241.92</v>
      </c>
      <c r="EM5" s="6">
        <v>0</v>
      </c>
      <c r="EN5" s="6">
        <v>241.92</v>
      </c>
      <c r="EO5" s="6">
        <v>0</v>
      </c>
      <c r="EP5" s="6">
        <v>287.27999999999997</v>
      </c>
      <c r="EQ5" s="6">
        <v>0</v>
      </c>
      <c r="ER5" s="6">
        <v>239.4</v>
      </c>
      <c r="ES5" s="6">
        <v>0</v>
      </c>
      <c r="ET5" s="6">
        <v>311.22000000000003</v>
      </c>
      <c r="EU5" s="6">
        <v>0</v>
      </c>
      <c r="EV5" s="6">
        <v>263.33999999999997</v>
      </c>
      <c r="EW5" s="6">
        <v>0</v>
      </c>
      <c r="EX5" s="6">
        <v>287.27999999999997</v>
      </c>
      <c r="EY5" s="6">
        <v>0</v>
      </c>
      <c r="EZ5" s="6">
        <v>287.27999999999997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67</v>
      </c>
      <c r="FH5" s="6">
        <v>0</v>
      </c>
      <c r="FI5" s="6">
        <v>0</v>
      </c>
      <c r="FJ5" s="6">
        <v>9.1199999999999992</v>
      </c>
      <c r="FK5" s="6">
        <v>0</v>
      </c>
      <c r="FL5" s="6">
        <v>0</v>
      </c>
      <c r="FM5" s="6">
        <v>0</v>
      </c>
      <c r="FN5" s="6">
        <v>683.43</v>
      </c>
      <c r="FO5" s="6">
        <v>0</v>
      </c>
      <c r="FP5" s="6">
        <v>248.52</v>
      </c>
      <c r="FQ5" s="6">
        <v>0</v>
      </c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</row>
    <row r="6" spans="1:333" x14ac:dyDescent="0.45">
      <c r="A6" s="4" t="s">
        <v>6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310</v>
      </c>
      <c r="H6" s="7">
        <v>0</v>
      </c>
      <c r="I6" s="7">
        <v>660</v>
      </c>
      <c r="J6" s="7">
        <v>0</v>
      </c>
      <c r="K6" s="7">
        <v>260</v>
      </c>
      <c r="L6" s="7">
        <v>0</v>
      </c>
      <c r="M6" s="7">
        <v>470</v>
      </c>
      <c r="N6" s="7">
        <v>0</v>
      </c>
      <c r="O6" s="7">
        <v>620</v>
      </c>
      <c r="P6" s="7">
        <v>0</v>
      </c>
      <c r="Q6" s="7">
        <v>643</v>
      </c>
      <c r="R6" s="6">
        <v>0</v>
      </c>
      <c r="S6" s="6">
        <v>530</v>
      </c>
      <c r="T6" s="6">
        <v>0</v>
      </c>
      <c r="U6" s="6">
        <v>360</v>
      </c>
      <c r="V6" s="6">
        <v>0</v>
      </c>
      <c r="W6" s="6">
        <v>175</v>
      </c>
      <c r="X6" s="6">
        <v>0</v>
      </c>
      <c r="Y6" s="6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6">
        <v>580</v>
      </c>
      <c r="AR6" s="19">
        <v>0</v>
      </c>
      <c r="AS6" s="6">
        <v>180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6">
        <v>80</v>
      </c>
      <c r="BD6" s="19">
        <v>0</v>
      </c>
      <c r="BE6" s="6">
        <v>30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>
        <v>0</v>
      </c>
      <c r="DY6" s="24">
        <v>0</v>
      </c>
      <c r="DZ6" s="24">
        <v>0</v>
      </c>
      <c r="EA6" s="24">
        <v>0</v>
      </c>
      <c r="EB6" s="24">
        <v>0</v>
      </c>
      <c r="EC6" s="24">
        <v>0</v>
      </c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</row>
    <row r="7" spans="1:333" x14ac:dyDescent="0.45">
      <c r="A7" s="4" t="s">
        <v>4</v>
      </c>
      <c r="B7" s="7">
        <v>110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130</v>
      </c>
      <c r="L7" s="7">
        <v>0</v>
      </c>
      <c r="M7" s="7">
        <v>80</v>
      </c>
      <c r="N7" s="7">
        <v>0</v>
      </c>
      <c r="O7" s="7">
        <v>0</v>
      </c>
      <c r="P7" s="7">
        <v>40.75</v>
      </c>
      <c r="Q7" s="7">
        <v>480</v>
      </c>
      <c r="R7" s="6">
        <v>40.89</v>
      </c>
      <c r="S7" s="6">
        <v>80</v>
      </c>
      <c r="T7" s="6">
        <v>0</v>
      </c>
      <c r="U7" s="6">
        <v>0</v>
      </c>
      <c r="V7" s="6">
        <v>85.99</v>
      </c>
      <c r="W7" s="6">
        <v>160</v>
      </c>
      <c r="X7" s="6">
        <v>0</v>
      </c>
      <c r="Y7" s="6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9">
        <v>0</v>
      </c>
      <c r="AM7" s="6">
        <v>260</v>
      </c>
      <c r="AN7" s="19">
        <v>0</v>
      </c>
      <c r="AO7" s="6">
        <v>130</v>
      </c>
      <c r="AP7" s="19">
        <v>0</v>
      </c>
      <c r="AQ7" s="6">
        <v>30</v>
      </c>
      <c r="AR7" s="19">
        <v>0</v>
      </c>
      <c r="AS7" s="19">
        <v>0</v>
      </c>
      <c r="AT7" s="6">
        <v>40.42</v>
      </c>
      <c r="AU7" s="6">
        <v>80</v>
      </c>
      <c r="AV7" s="19">
        <v>0</v>
      </c>
      <c r="AW7" s="6">
        <v>80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6">
        <v>130</v>
      </c>
      <c r="BD7" s="19">
        <v>0</v>
      </c>
      <c r="BE7" s="6">
        <v>30</v>
      </c>
      <c r="BF7" s="19">
        <v>0</v>
      </c>
      <c r="BG7" s="6">
        <v>210</v>
      </c>
      <c r="BH7" s="19">
        <v>0</v>
      </c>
      <c r="BI7" s="6">
        <v>480</v>
      </c>
      <c r="BJ7" s="19">
        <v>0</v>
      </c>
      <c r="BK7" s="19">
        <v>0</v>
      </c>
      <c r="BL7" s="19">
        <v>0</v>
      </c>
      <c r="BM7" s="6">
        <v>528.5</v>
      </c>
      <c r="BN7" s="19">
        <v>0</v>
      </c>
      <c r="BO7" s="6">
        <v>543.55999999999995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6">
        <v>160</v>
      </c>
      <c r="CG7" s="19">
        <v>0</v>
      </c>
      <c r="CH7" s="6">
        <v>160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6">
        <v>60</v>
      </c>
      <c r="CO7" s="19">
        <v>0</v>
      </c>
      <c r="CP7" s="6">
        <v>370</v>
      </c>
      <c r="CQ7" s="19">
        <v>0</v>
      </c>
      <c r="CR7" s="6">
        <v>420</v>
      </c>
      <c r="CS7" s="19">
        <v>0</v>
      </c>
      <c r="CT7" s="6">
        <v>420</v>
      </c>
      <c r="CU7" s="19">
        <v>0</v>
      </c>
      <c r="CV7" s="19">
        <v>0</v>
      </c>
      <c r="CW7" s="6">
        <v>510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6">
        <v>110</v>
      </c>
      <c r="DF7" s="19">
        <v>0</v>
      </c>
      <c r="DG7" s="6">
        <v>320</v>
      </c>
      <c r="DH7" s="6">
        <v>210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6">
        <v>388.52</v>
      </c>
      <c r="DS7" s="19">
        <v>0</v>
      </c>
      <c r="DT7" s="6">
        <v>274</v>
      </c>
      <c r="DU7" s="6">
        <v>0</v>
      </c>
      <c r="DV7" s="6">
        <v>116</v>
      </c>
      <c r="DW7" s="6">
        <v>0</v>
      </c>
      <c r="DX7" s="6">
        <v>406</v>
      </c>
      <c r="DY7" s="6">
        <v>0</v>
      </c>
      <c r="DZ7" s="6">
        <v>174</v>
      </c>
      <c r="EA7" s="6">
        <v>0</v>
      </c>
      <c r="EB7" s="6">
        <v>116</v>
      </c>
      <c r="EC7" s="6">
        <v>20</v>
      </c>
      <c r="ED7" s="6">
        <v>638</v>
      </c>
      <c r="EE7" s="6">
        <v>0</v>
      </c>
      <c r="EF7" s="6">
        <v>174</v>
      </c>
      <c r="EG7" s="6">
        <v>0</v>
      </c>
      <c r="EH7" s="6">
        <v>522</v>
      </c>
      <c r="EI7" s="6">
        <v>0</v>
      </c>
      <c r="EJ7" s="6">
        <v>464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696</v>
      </c>
      <c r="ES7" s="6">
        <v>0</v>
      </c>
      <c r="ET7" s="6">
        <v>522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290</v>
      </c>
      <c r="FG7" s="6">
        <v>0</v>
      </c>
      <c r="FH7" s="6">
        <v>174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580</v>
      </c>
      <c r="FS7" s="6">
        <v>0</v>
      </c>
      <c r="FT7" s="6">
        <v>580</v>
      </c>
      <c r="FU7" s="6">
        <v>0</v>
      </c>
      <c r="FV7" s="6">
        <v>0</v>
      </c>
      <c r="FW7" s="6">
        <v>0</v>
      </c>
      <c r="FX7" s="6">
        <v>232</v>
      </c>
      <c r="FY7" s="6">
        <v>0</v>
      </c>
      <c r="FZ7" s="6">
        <v>331.62</v>
      </c>
      <c r="GA7" s="6">
        <v>0</v>
      </c>
      <c r="GB7" s="6">
        <v>406</v>
      </c>
      <c r="GC7" s="6">
        <v>0</v>
      </c>
      <c r="GD7" s="6">
        <v>58</v>
      </c>
      <c r="GE7" s="6">
        <v>0</v>
      </c>
      <c r="GF7" s="6">
        <v>638</v>
      </c>
      <c r="GG7" s="6">
        <v>0</v>
      </c>
      <c r="GH7" s="6">
        <v>580</v>
      </c>
      <c r="GI7" s="6">
        <v>0</v>
      </c>
      <c r="GJ7" s="6">
        <v>580</v>
      </c>
      <c r="GK7" s="6">
        <v>0</v>
      </c>
      <c r="GL7" s="6">
        <v>0</v>
      </c>
      <c r="GM7" s="6">
        <v>0</v>
      </c>
      <c r="GN7" s="6">
        <v>290</v>
      </c>
      <c r="GO7" s="6">
        <v>0</v>
      </c>
      <c r="GP7" s="6">
        <v>290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406</v>
      </c>
      <c r="GY7" s="6">
        <v>0</v>
      </c>
      <c r="GZ7" s="6">
        <v>464</v>
      </c>
      <c r="HA7" s="6">
        <v>0</v>
      </c>
      <c r="HB7" s="6">
        <v>174</v>
      </c>
      <c r="HC7" s="6">
        <v>0</v>
      </c>
      <c r="HD7" s="6">
        <v>735.79</v>
      </c>
      <c r="HE7" s="6">
        <v>0</v>
      </c>
      <c r="HF7" s="6">
        <v>752.13</v>
      </c>
      <c r="HG7" s="6">
        <v>0</v>
      </c>
      <c r="HH7" s="6">
        <v>0</v>
      </c>
      <c r="HI7" s="6">
        <v>0</v>
      </c>
      <c r="HJ7" s="6">
        <v>232</v>
      </c>
      <c r="HK7" s="6">
        <v>0</v>
      </c>
      <c r="HL7" s="6">
        <v>290</v>
      </c>
      <c r="HM7" s="6">
        <v>0</v>
      </c>
      <c r="HN7" s="6">
        <v>0</v>
      </c>
      <c r="HO7" s="6">
        <v>0</v>
      </c>
      <c r="HP7" s="6">
        <v>464</v>
      </c>
      <c r="HQ7" s="6">
        <v>0</v>
      </c>
      <c r="HR7" s="6">
        <v>0</v>
      </c>
      <c r="HS7" s="6">
        <v>0</v>
      </c>
      <c r="HT7" s="6">
        <v>779.36</v>
      </c>
      <c r="HU7" s="6">
        <v>0</v>
      </c>
      <c r="HV7" s="6">
        <v>406</v>
      </c>
      <c r="HW7" s="6">
        <v>0</v>
      </c>
      <c r="HX7" s="6">
        <v>453.83</v>
      </c>
      <c r="HY7" s="6">
        <v>0</v>
      </c>
      <c r="HZ7" s="6">
        <v>638</v>
      </c>
      <c r="IA7" s="6">
        <v>0</v>
      </c>
      <c r="IB7" s="6">
        <v>522</v>
      </c>
      <c r="IC7" s="6">
        <v>0</v>
      </c>
      <c r="ID7" s="6">
        <v>0</v>
      </c>
      <c r="IE7" s="6">
        <v>0</v>
      </c>
      <c r="IF7" s="6">
        <v>223.31</v>
      </c>
      <c r="IG7" s="6">
        <v>0</v>
      </c>
      <c r="IH7" s="6">
        <v>225.03</v>
      </c>
      <c r="II7" s="6">
        <v>0</v>
      </c>
      <c r="IJ7" s="6">
        <v>571.22</v>
      </c>
      <c r="IK7" s="6">
        <v>0</v>
      </c>
      <c r="IL7" s="6">
        <v>348</v>
      </c>
      <c r="IM7" s="6">
        <v>0</v>
      </c>
      <c r="IN7" s="6">
        <v>583.39</v>
      </c>
      <c r="IO7" s="6">
        <v>0</v>
      </c>
      <c r="IP7" s="6">
        <v>0</v>
      </c>
      <c r="IQ7" s="6">
        <v>0</v>
      </c>
      <c r="IR7" s="6">
        <v>1280</v>
      </c>
      <c r="IS7" s="6">
        <v>0</v>
      </c>
      <c r="IT7" s="6">
        <v>0</v>
      </c>
      <c r="IU7" s="6">
        <v>0</v>
      </c>
      <c r="IV7" s="6">
        <v>487.18</v>
      </c>
      <c r="IW7" s="6">
        <v>0</v>
      </c>
      <c r="IX7" s="6">
        <f>503.35</f>
        <v>503.35</v>
      </c>
      <c r="IY7" s="6">
        <v>0</v>
      </c>
      <c r="IZ7" s="6">
        <v>0</v>
      </c>
      <c r="JA7" s="6">
        <v>0</v>
      </c>
      <c r="JB7" s="6">
        <v>0</v>
      </c>
      <c r="JC7" s="6">
        <v>0</v>
      </c>
      <c r="JD7" s="6">
        <v>0</v>
      </c>
      <c r="JE7" s="6">
        <v>0</v>
      </c>
      <c r="JF7" s="6">
        <v>0</v>
      </c>
      <c r="JG7" s="6">
        <v>0</v>
      </c>
      <c r="JH7" s="6">
        <v>746.26</v>
      </c>
      <c r="JI7" s="6">
        <v>0</v>
      </c>
      <c r="JJ7" s="6">
        <v>0</v>
      </c>
      <c r="JK7" s="6">
        <v>0</v>
      </c>
      <c r="JL7" s="6">
        <v>631.74</v>
      </c>
      <c r="JM7" s="6">
        <v>0</v>
      </c>
      <c r="JN7" s="6">
        <v>522</v>
      </c>
      <c r="JO7" s="6">
        <v>0</v>
      </c>
      <c r="JP7" s="6">
        <v>249.74</v>
      </c>
      <c r="JQ7" s="6">
        <v>0</v>
      </c>
      <c r="JR7" s="6">
        <v>232</v>
      </c>
      <c r="JS7" s="6">
        <v>0</v>
      </c>
      <c r="JT7" s="6">
        <v>302</v>
      </c>
      <c r="JU7" s="6">
        <v>0</v>
      </c>
      <c r="JV7" s="6">
        <v>840</v>
      </c>
      <c r="JW7" s="6">
        <v>0</v>
      </c>
      <c r="JX7" s="6">
        <v>420</v>
      </c>
      <c r="JY7" s="6">
        <v>0</v>
      </c>
      <c r="JZ7" s="6">
        <v>210</v>
      </c>
      <c r="KA7" s="6">
        <v>0</v>
      </c>
      <c r="KB7" s="6">
        <v>420</v>
      </c>
      <c r="KC7" s="6">
        <v>0</v>
      </c>
      <c r="KD7" s="6">
        <v>0</v>
      </c>
      <c r="KE7" s="6">
        <v>0</v>
      </c>
      <c r="KF7" s="6">
        <v>0</v>
      </c>
      <c r="KG7" s="6">
        <v>0</v>
      </c>
      <c r="KH7" s="6">
        <v>210</v>
      </c>
      <c r="KI7" s="6">
        <v>0</v>
      </c>
      <c r="KJ7" s="6">
        <v>560</v>
      </c>
      <c r="KK7" s="6">
        <v>0</v>
      </c>
      <c r="KL7" s="6">
        <v>490</v>
      </c>
      <c r="KM7" s="6">
        <v>0</v>
      </c>
      <c r="KN7" s="6">
        <v>402.82</v>
      </c>
      <c r="KO7" s="6">
        <v>0</v>
      </c>
      <c r="KP7" s="6">
        <v>45</v>
      </c>
      <c r="KQ7" s="6">
        <v>0</v>
      </c>
      <c r="KR7" s="6">
        <v>0</v>
      </c>
      <c r="KS7" s="6">
        <v>0</v>
      </c>
      <c r="KT7" s="6">
        <v>0</v>
      </c>
      <c r="KU7" s="6">
        <v>0</v>
      </c>
      <c r="KV7" s="6">
        <v>420</v>
      </c>
      <c r="KW7" s="6">
        <v>0</v>
      </c>
      <c r="KX7" s="6">
        <v>350</v>
      </c>
      <c r="KY7" s="6">
        <v>0</v>
      </c>
      <c r="KZ7" s="6">
        <v>0</v>
      </c>
      <c r="LA7" s="6">
        <v>0</v>
      </c>
      <c r="LB7" s="6">
        <v>0</v>
      </c>
      <c r="LC7" s="6">
        <v>0</v>
      </c>
      <c r="LD7" s="6">
        <v>540.36</v>
      </c>
      <c r="LE7" s="6">
        <v>0</v>
      </c>
      <c r="LF7" s="6">
        <v>405.07</v>
      </c>
      <c r="LG7" s="6">
        <v>0</v>
      </c>
      <c r="LH7" s="6">
        <v>210</v>
      </c>
      <c r="LI7" s="6">
        <v>0</v>
      </c>
      <c r="LJ7" s="6">
        <v>560</v>
      </c>
      <c r="LK7" s="6">
        <v>0</v>
      </c>
      <c r="LL7" s="6">
        <v>0</v>
      </c>
      <c r="LM7" s="6">
        <v>0</v>
      </c>
      <c r="LN7" s="6">
        <v>840</v>
      </c>
      <c r="LO7" s="6">
        <v>0</v>
      </c>
      <c r="LP7" s="6">
        <v>210</v>
      </c>
      <c r="LQ7" s="6">
        <v>0</v>
      </c>
      <c r="LR7" s="6">
        <v>140</v>
      </c>
      <c r="LS7" s="6">
        <v>0</v>
      </c>
      <c r="LT7" s="28">
        <v>0</v>
      </c>
      <c r="LU7" s="28">
        <v>0</v>
      </c>
    </row>
    <row r="8" spans="1:333" x14ac:dyDescent="0.45">
      <c r="A8" s="4" t="s">
        <v>7</v>
      </c>
      <c r="B8" s="7">
        <v>0</v>
      </c>
      <c r="C8" s="7">
        <v>0</v>
      </c>
      <c r="D8" s="7">
        <v>0</v>
      </c>
      <c r="E8" s="7">
        <v>290</v>
      </c>
      <c r="F8" s="7">
        <v>0</v>
      </c>
      <c r="G8" s="7">
        <v>470</v>
      </c>
      <c r="H8" s="7">
        <v>0</v>
      </c>
      <c r="I8" s="7">
        <v>410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360</v>
      </c>
      <c r="R8" s="6">
        <v>0</v>
      </c>
      <c r="S8" s="6">
        <v>350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>
        <v>0</v>
      </c>
      <c r="DY8" s="21">
        <v>0</v>
      </c>
      <c r="DZ8" s="21">
        <v>0</v>
      </c>
      <c r="EA8" s="21">
        <v>0</v>
      </c>
      <c r="EB8" s="21">
        <v>0</v>
      </c>
      <c r="EC8" s="21">
        <v>0</v>
      </c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</row>
    <row r="9" spans="1:333" x14ac:dyDescent="0.45">
      <c r="A9" s="4" t="s">
        <v>10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6">
        <v>185.54</v>
      </c>
      <c r="AL9" s="19">
        <v>0</v>
      </c>
      <c r="AM9" s="6">
        <v>617.9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6">
        <v>67.78</v>
      </c>
      <c r="BQ9" s="19">
        <v>0</v>
      </c>
      <c r="BR9" s="19">
        <v>0</v>
      </c>
      <c r="BS9" s="19">
        <v>0</v>
      </c>
      <c r="BT9" s="19">
        <v>0</v>
      </c>
      <c r="BU9" s="6">
        <v>387.12</v>
      </c>
      <c r="BV9" s="19">
        <v>0</v>
      </c>
      <c r="BW9" s="6">
        <v>370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6">
        <v>680</v>
      </c>
      <c r="CF9" s="19">
        <v>0</v>
      </c>
      <c r="CG9" s="6">
        <v>510</v>
      </c>
      <c r="CH9" s="19">
        <v>0</v>
      </c>
      <c r="CI9" s="6">
        <v>560</v>
      </c>
      <c r="CJ9" s="19">
        <v>0</v>
      </c>
      <c r="CK9" s="6">
        <v>560</v>
      </c>
      <c r="CL9" s="19">
        <v>0</v>
      </c>
      <c r="CM9" s="6">
        <v>180</v>
      </c>
      <c r="CN9" s="19">
        <v>0</v>
      </c>
      <c r="CO9" s="6">
        <v>680</v>
      </c>
      <c r="CP9" s="19">
        <v>0</v>
      </c>
      <c r="CQ9" s="6">
        <v>230</v>
      </c>
      <c r="CR9" s="19">
        <v>0</v>
      </c>
      <c r="CS9" s="6">
        <v>510</v>
      </c>
      <c r="CT9" s="19">
        <v>0</v>
      </c>
      <c r="CU9" s="6">
        <v>260</v>
      </c>
      <c r="CV9" s="19">
        <v>0</v>
      </c>
      <c r="CW9" s="19">
        <v>0</v>
      </c>
      <c r="CX9" s="19">
        <v>0</v>
      </c>
      <c r="CY9" s="6">
        <v>330</v>
      </c>
      <c r="CZ9" s="19">
        <v>0</v>
      </c>
      <c r="DA9" s="6">
        <v>230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6">
        <v>445.31</v>
      </c>
      <c r="DS9" s="19">
        <v>0</v>
      </c>
      <c r="DT9" s="6">
        <v>503.32</v>
      </c>
      <c r="DU9" s="6">
        <v>0</v>
      </c>
      <c r="DV9" s="6">
        <v>464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387.56</v>
      </c>
      <c r="EG9" s="6">
        <v>0</v>
      </c>
      <c r="EH9" s="6">
        <v>886.5</v>
      </c>
      <c r="EI9" s="6">
        <v>0</v>
      </c>
      <c r="EJ9" s="6">
        <v>116</v>
      </c>
      <c r="EK9" s="6">
        <v>0</v>
      </c>
      <c r="EL9" s="6">
        <v>232</v>
      </c>
      <c r="EM9" s="6">
        <v>0</v>
      </c>
      <c r="EN9" s="6">
        <v>812</v>
      </c>
      <c r="EO9" s="6">
        <v>0</v>
      </c>
      <c r="EP9" s="6">
        <v>522</v>
      </c>
      <c r="EQ9" s="6">
        <v>0</v>
      </c>
      <c r="ER9" s="6">
        <v>0</v>
      </c>
      <c r="ES9" s="6">
        <v>0</v>
      </c>
      <c r="ET9" s="6">
        <v>348</v>
      </c>
      <c r="EU9" s="6">
        <v>0</v>
      </c>
      <c r="EV9" s="6">
        <v>638</v>
      </c>
      <c r="EW9" s="6">
        <v>0</v>
      </c>
      <c r="EX9" s="6">
        <v>580</v>
      </c>
      <c r="EY9" s="6">
        <v>0</v>
      </c>
      <c r="EZ9" s="6">
        <v>580</v>
      </c>
      <c r="FA9" s="6">
        <v>0</v>
      </c>
      <c r="FB9" s="6">
        <v>754</v>
      </c>
      <c r="FC9" s="6">
        <v>0</v>
      </c>
      <c r="FD9" s="6">
        <v>504.97</v>
      </c>
      <c r="FE9" s="6">
        <v>0</v>
      </c>
      <c r="FF9" s="6">
        <v>126.58</v>
      </c>
      <c r="FG9" s="6">
        <v>0</v>
      </c>
      <c r="FH9" s="6">
        <v>348.96</v>
      </c>
      <c r="FI9" s="6">
        <v>0</v>
      </c>
      <c r="FJ9" s="6">
        <v>0</v>
      </c>
      <c r="FK9" s="6">
        <v>0</v>
      </c>
      <c r="FL9" s="6">
        <v>406</v>
      </c>
      <c r="FM9" s="6">
        <v>0</v>
      </c>
      <c r="FN9" s="6">
        <v>696</v>
      </c>
      <c r="FO9" s="6">
        <v>0</v>
      </c>
      <c r="FP9" s="6">
        <v>696</v>
      </c>
      <c r="FQ9" s="6">
        <v>0</v>
      </c>
      <c r="FR9" s="6">
        <v>696</v>
      </c>
      <c r="FS9" s="6">
        <v>0</v>
      </c>
      <c r="FT9" s="6">
        <v>580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290</v>
      </c>
      <c r="GE9" s="6">
        <v>0</v>
      </c>
      <c r="GF9" s="6">
        <v>638</v>
      </c>
      <c r="GG9" s="6">
        <v>0</v>
      </c>
      <c r="GH9" s="6">
        <v>290</v>
      </c>
      <c r="GI9" s="6">
        <v>0</v>
      </c>
      <c r="GJ9" s="6">
        <v>696</v>
      </c>
      <c r="GK9" s="6">
        <v>0</v>
      </c>
      <c r="GL9" s="6">
        <v>116</v>
      </c>
      <c r="GM9" s="6">
        <v>0</v>
      </c>
      <c r="GN9" s="6">
        <v>290</v>
      </c>
      <c r="GO9" s="6">
        <v>0</v>
      </c>
      <c r="GP9" s="6">
        <v>696</v>
      </c>
      <c r="GQ9" s="6">
        <v>0</v>
      </c>
      <c r="GR9" s="6">
        <v>232</v>
      </c>
      <c r="GS9" s="6">
        <v>0</v>
      </c>
      <c r="GT9" s="6">
        <v>0</v>
      </c>
      <c r="GU9" s="6">
        <v>0</v>
      </c>
      <c r="GV9" s="6">
        <v>290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638</v>
      </c>
      <c r="HC9" s="6">
        <v>0</v>
      </c>
      <c r="HD9" s="6">
        <v>67.73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290</v>
      </c>
      <c r="HQ9" s="6">
        <v>0</v>
      </c>
      <c r="HR9" s="6">
        <v>406</v>
      </c>
      <c r="HS9" s="6">
        <v>0</v>
      </c>
      <c r="HT9" s="6">
        <v>290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809.75</v>
      </c>
      <c r="IA9" s="6">
        <v>0</v>
      </c>
      <c r="IB9" s="6">
        <v>859.83</v>
      </c>
      <c r="IC9" s="6">
        <v>0</v>
      </c>
      <c r="ID9" s="6">
        <v>749.17000000000007</v>
      </c>
      <c r="IE9" s="6">
        <v>0</v>
      </c>
      <c r="IF9" s="6">
        <v>0</v>
      </c>
      <c r="IG9" s="6">
        <v>0</v>
      </c>
      <c r="IH9" s="6">
        <v>696</v>
      </c>
      <c r="II9" s="6">
        <v>0</v>
      </c>
      <c r="IJ9" s="6">
        <v>504.78</v>
      </c>
      <c r="IK9" s="6">
        <v>0</v>
      </c>
      <c r="IL9" s="6">
        <v>339.22</v>
      </c>
      <c r="IM9" s="6">
        <v>0</v>
      </c>
      <c r="IN9" s="6">
        <v>721.13</v>
      </c>
      <c r="IO9" s="6">
        <v>0</v>
      </c>
      <c r="IP9" s="6">
        <v>322.10000000000002</v>
      </c>
      <c r="IQ9" s="6">
        <v>0</v>
      </c>
      <c r="IR9" s="27">
        <v>1360</v>
      </c>
      <c r="IS9" s="27">
        <v>0</v>
      </c>
      <c r="IT9" s="27">
        <v>0</v>
      </c>
      <c r="IU9" s="27">
        <v>0</v>
      </c>
      <c r="IV9" s="27">
        <v>574.97</v>
      </c>
      <c r="IW9" s="27">
        <v>0</v>
      </c>
      <c r="IX9" s="27">
        <v>442</v>
      </c>
      <c r="IY9" s="27">
        <v>0</v>
      </c>
      <c r="IZ9" s="6">
        <v>0</v>
      </c>
      <c r="JA9" s="6">
        <v>0</v>
      </c>
      <c r="JB9" s="6">
        <v>406</v>
      </c>
      <c r="JC9" s="6">
        <v>0</v>
      </c>
      <c r="JD9" s="6">
        <v>290</v>
      </c>
      <c r="JE9" s="6">
        <v>0</v>
      </c>
      <c r="JF9" s="6">
        <v>0</v>
      </c>
      <c r="JG9" s="6">
        <v>0</v>
      </c>
      <c r="JH9" s="6">
        <v>359.52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348</v>
      </c>
      <c r="JQ9" s="6">
        <v>0</v>
      </c>
      <c r="JR9" s="6">
        <v>232</v>
      </c>
      <c r="JS9" s="6">
        <v>0</v>
      </c>
      <c r="JT9" s="6">
        <v>0</v>
      </c>
      <c r="JU9" s="6">
        <v>0</v>
      </c>
      <c r="JV9" s="6">
        <v>280</v>
      </c>
      <c r="JW9" s="6">
        <v>0</v>
      </c>
      <c r="JX9" s="6">
        <v>420</v>
      </c>
      <c r="JY9" s="6">
        <v>0</v>
      </c>
      <c r="JZ9" s="6">
        <v>490</v>
      </c>
      <c r="KA9" s="6">
        <v>0</v>
      </c>
      <c r="KB9" s="6">
        <v>280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770</v>
      </c>
      <c r="KI9" s="6">
        <v>0</v>
      </c>
      <c r="KJ9" s="6">
        <v>140</v>
      </c>
      <c r="KK9" s="6">
        <v>0</v>
      </c>
      <c r="KL9" s="6">
        <v>490</v>
      </c>
      <c r="KM9" s="6">
        <v>0</v>
      </c>
      <c r="KN9" s="6">
        <v>280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560</v>
      </c>
      <c r="KU9" s="6">
        <v>0</v>
      </c>
      <c r="KV9" s="6">
        <v>490</v>
      </c>
      <c r="KW9" s="6">
        <v>0</v>
      </c>
      <c r="KX9" s="6">
        <v>840</v>
      </c>
      <c r="KY9" s="6">
        <v>0</v>
      </c>
      <c r="KZ9" s="6">
        <v>770</v>
      </c>
      <c r="LA9" s="6">
        <v>0</v>
      </c>
      <c r="LB9" s="6">
        <v>350</v>
      </c>
      <c r="LC9" s="6">
        <v>0</v>
      </c>
      <c r="LD9" s="6">
        <v>0</v>
      </c>
      <c r="LE9" s="6">
        <v>0</v>
      </c>
      <c r="LF9" s="6">
        <v>350</v>
      </c>
      <c r="LG9" s="6">
        <v>0</v>
      </c>
      <c r="LH9" s="6">
        <v>140</v>
      </c>
      <c r="LI9" s="6">
        <v>0</v>
      </c>
      <c r="LJ9" s="6">
        <v>630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937.9</v>
      </c>
      <c r="LS9" s="6">
        <v>0</v>
      </c>
      <c r="LT9" s="28">
        <v>0</v>
      </c>
      <c r="LU9" s="28">
        <v>0</v>
      </c>
    </row>
    <row r="10" spans="1:333" x14ac:dyDescent="0.45">
      <c r="A10" s="4" t="s">
        <v>8</v>
      </c>
      <c r="B10" s="7">
        <v>0</v>
      </c>
      <c r="C10" s="7">
        <v>270</v>
      </c>
      <c r="D10" s="7">
        <v>0</v>
      </c>
      <c r="E10" s="7">
        <v>470</v>
      </c>
      <c r="F10" s="7">
        <v>0</v>
      </c>
      <c r="G10" s="7">
        <v>220</v>
      </c>
      <c r="H10" s="7">
        <v>0</v>
      </c>
      <c r="I10" s="7">
        <v>620</v>
      </c>
      <c r="J10" s="7">
        <v>0</v>
      </c>
      <c r="K10" s="7">
        <v>60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6">
        <v>0</v>
      </c>
      <c r="S10" s="6">
        <v>0</v>
      </c>
      <c r="T10" s="6">
        <v>60</v>
      </c>
      <c r="U10" s="6">
        <v>0</v>
      </c>
      <c r="V10" s="6">
        <v>0</v>
      </c>
      <c r="W10" s="6">
        <v>0</v>
      </c>
      <c r="X10" s="6">
        <v>60</v>
      </c>
      <c r="Y10" s="6">
        <v>0</v>
      </c>
      <c r="Z10" s="6">
        <v>160</v>
      </c>
      <c r="AA10" s="13">
        <v>0</v>
      </c>
      <c r="AB10" s="6">
        <v>210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6">
        <v>30</v>
      </c>
      <c r="AK10" s="13">
        <v>0</v>
      </c>
      <c r="AL10" s="19">
        <v>0</v>
      </c>
      <c r="AM10" s="6">
        <v>1050</v>
      </c>
      <c r="AN10" s="6">
        <v>1093.3699999999999</v>
      </c>
      <c r="AO10" s="19">
        <v>0</v>
      </c>
      <c r="AP10" s="6">
        <v>1680</v>
      </c>
      <c r="AQ10" s="19">
        <v>0</v>
      </c>
      <c r="AR10" s="6">
        <v>1680</v>
      </c>
      <c r="AS10" s="19">
        <v>0</v>
      </c>
      <c r="AT10" s="6">
        <v>1680</v>
      </c>
      <c r="AU10" s="19">
        <v>0</v>
      </c>
      <c r="AV10" s="6">
        <v>600</v>
      </c>
      <c r="AW10" s="6">
        <v>30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6">
        <v>366</v>
      </c>
      <c r="CD10" s="19">
        <v>0</v>
      </c>
      <c r="CE10" s="6">
        <v>580</v>
      </c>
      <c r="CF10" s="19">
        <v>0</v>
      </c>
      <c r="CG10" s="6">
        <v>610</v>
      </c>
      <c r="CH10" s="19">
        <v>0</v>
      </c>
      <c r="CI10" s="6">
        <v>680</v>
      </c>
      <c r="CJ10" s="19">
        <v>0</v>
      </c>
      <c r="CK10" s="6">
        <v>580</v>
      </c>
      <c r="CL10" s="19">
        <v>0</v>
      </c>
      <c r="CM10" s="6">
        <v>290</v>
      </c>
      <c r="CN10" s="19">
        <v>0</v>
      </c>
      <c r="CO10" s="6">
        <v>620</v>
      </c>
      <c r="CP10" s="19">
        <v>0</v>
      </c>
      <c r="CQ10" s="6">
        <v>260</v>
      </c>
      <c r="CR10" s="19">
        <v>0</v>
      </c>
      <c r="CS10" s="6">
        <v>656</v>
      </c>
      <c r="CT10" s="19">
        <v>0</v>
      </c>
      <c r="CU10" s="6">
        <v>190</v>
      </c>
      <c r="CV10" s="19">
        <v>0</v>
      </c>
      <c r="CW10" s="6">
        <v>497.98</v>
      </c>
      <c r="CX10" s="19">
        <v>0</v>
      </c>
      <c r="CY10" s="6">
        <v>570</v>
      </c>
      <c r="CZ10" s="19">
        <v>0</v>
      </c>
      <c r="DA10" s="6">
        <v>310</v>
      </c>
      <c r="DB10" s="19">
        <v>0</v>
      </c>
      <c r="DC10" s="6">
        <v>570</v>
      </c>
      <c r="DD10" s="19">
        <v>0</v>
      </c>
      <c r="DE10" s="6">
        <v>320</v>
      </c>
      <c r="DF10" s="19">
        <v>0</v>
      </c>
      <c r="DG10" s="19">
        <v>0</v>
      </c>
      <c r="DH10" s="19">
        <v>0</v>
      </c>
      <c r="DI10" s="6">
        <v>210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6">
        <v>406</v>
      </c>
      <c r="DQ10" s="19">
        <v>0</v>
      </c>
      <c r="DR10" s="6">
        <v>696</v>
      </c>
      <c r="DS10" s="19">
        <v>0</v>
      </c>
      <c r="DT10" s="6">
        <v>580</v>
      </c>
      <c r="DU10" s="6">
        <v>0</v>
      </c>
      <c r="DV10" s="6">
        <v>290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174</v>
      </c>
      <c r="EG10" s="6">
        <v>0</v>
      </c>
      <c r="EH10" s="6">
        <v>522</v>
      </c>
      <c r="EI10" s="6">
        <v>0</v>
      </c>
      <c r="EJ10" s="6">
        <v>232</v>
      </c>
      <c r="EK10" s="6">
        <v>0</v>
      </c>
      <c r="EL10" s="6">
        <v>523.91</v>
      </c>
      <c r="EM10" s="6">
        <v>0</v>
      </c>
      <c r="EN10" s="6">
        <v>464</v>
      </c>
      <c r="EO10" s="6">
        <v>0</v>
      </c>
      <c r="EP10" s="6">
        <v>116</v>
      </c>
      <c r="EQ10" s="6">
        <v>0</v>
      </c>
      <c r="ER10" s="6">
        <v>290</v>
      </c>
      <c r="ES10" s="6">
        <v>0</v>
      </c>
      <c r="ET10" s="6">
        <v>348</v>
      </c>
      <c r="EU10" s="6">
        <v>0</v>
      </c>
      <c r="EV10" s="6">
        <v>660</v>
      </c>
      <c r="EW10" s="6">
        <v>0</v>
      </c>
      <c r="EX10" s="6">
        <v>464</v>
      </c>
      <c r="EY10" s="6">
        <v>0</v>
      </c>
      <c r="EZ10" s="6">
        <v>261</v>
      </c>
      <c r="FA10" s="6">
        <v>0</v>
      </c>
      <c r="FB10" s="6">
        <v>580</v>
      </c>
      <c r="FC10" s="6">
        <v>0</v>
      </c>
      <c r="FD10" s="6">
        <v>580</v>
      </c>
      <c r="FE10" s="6">
        <v>0</v>
      </c>
      <c r="FF10" s="6">
        <v>516.5</v>
      </c>
      <c r="FG10" s="6">
        <v>0</v>
      </c>
      <c r="FH10" s="6">
        <v>174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406</v>
      </c>
      <c r="FU10" s="6">
        <v>0</v>
      </c>
      <c r="FV10" s="6">
        <v>696</v>
      </c>
      <c r="FW10" s="6">
        <v>0</v>
      </c>
      <c r="FX10" s="6">
        <v>522</v>
      </c>
      <c r="FY10" s="6">
        <v>117</v>
      </c>
      <c r="FZ10" s="6">
        <v>0</v>
      </c>
      <c r="GA10" s="6">
        <v>0</v>
      </c>
      <c r="GB10" s="6">
        <v>232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406</v>
      </c>
      <c r="GU10" s="6">
        <v>0</v>
      </c>
      <c r="GV10" s="6">
        <v>638</v>
      </c>
      <c r="GW10" s="6">
        <v>64</v>
      </c>
      <c r="GX10" s="6">
        <v>791</v>
      </c>
      <c r="GY10" s="6">
        <v>30</v>
      </c>
      <c r="GZ10" s="6">
        <v>0</v>
      </c>
      <c r="HA10" s="6">
        <v>0</v>
      </c>
      <c r="HB10" s="6">
        <v>696</v>
      </c>
      <c r="HC10" s="6">
        <v>0</v>
      </c>
      <c r="HD10" s="6">
        <v>812</v>
      </c>
      <c r="HE10" s="6">
        <v>30</v>
      </c>
      <c r="HF10" s="6">
        <v>290</v>
      </c>
      <c r="HG10" s="6">
        <v>34.83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931.17</v>
      </c>
      <c r="HU10" s="6">
        <v>0</v>
      </c>
      <c r="HV10" s="6">
        <v>454.35</v>
      </c>
      <c r="HW10" s="6">
        <v>0</v>
      </c>
      <c r="HX10" s="6">
        <v>222.85</v>
      </c>
      <c r="HY10" s="6">
        <v>0</v>
      </c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</row>
    <row r="11" spans="1:333" x14ac:dyDescent="0.45">
      <c r="A11" s="20" t="s">
        <v>11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6"/>
      <c r="S11" s="6"/>
      <c r="T11" s="6"/>
      <c r="U11" s="6"/>
      <c r="V11" s="6"/>
      <c r="W11" s="6"/>
      <c r="X11" s="6"/>
      <c r="Y11" s="6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6">
        <v>1233.9000000000001</v>
      </c>
      <c r="BI11" s="19">
        <v>0</v>
      </c>
      <c r="BJ11" s="6">
        <v>931.5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>
        <v>0</v>
      </c>
      <c r="DY11" s="24">
        <v>0</v>
      </c>
      <c r="DZ11" s="24">
        <v>0</v>
      </c>
      <c r="EA11" s="24">
        <v>0</v>
      </c>
      <c r="EB11" s="24">
        <v>0</v>
      </c>
      <c r="EC11" s="24">
        <v>0</v>
      </c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</row>
    <row r="12" spans="1:333" x14ac:dyDescent="0.45">
      <c r="A12" s="20" t="s">
        <v>12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6"/>
      <c r="S12" s="6"/>
      <c r="T12" s="6"/>
      <c r="U12" s="6"/>
      <c r="V12" s="6"/>
      <c r="W12" s="6"/>
      <c r="X12" s="6"/>
      <c r="Y12" s="6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6">
        <v>1233.9000000000001</v>
      </c>
      <c r="BI12" s="19">
        <v>0</v>
      </c>
      <c r="BJ12" s="6">
        <v>931.5</v>
      </c>
      <c r="BK12" s="19">
        <v>0</v>
      </c>
      <c r="BL12" s="6">
        <v>567.79999999999995</v>
      </c>
      <c r="BM12" s="19">
        <v>0</v>
      </c>
      <c r="BN12" s="6">
        <v>233.9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6">
        <v>180</v>
      </c>
      <c r="CI12" s="19">
        <v>0</v>
      </c>
      <c r="CJ12" s="6">
        <v>130</v>
      </c>
      <c r="CK12" s="19">
        <v>0</v>
      </c>
      <c r="CL12" s="6">
        <v>30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6">
        <v>1100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6">
        <v>210</v>
      </c>
      <c r="DG12" s="19">
        <v>0</v>
      </c>
      <c r="DH12" s="27">
        <v>110</v>
      </c>
      <c r="DI12" s="19">
        <v>0</v>
      </c>
      <c r="DJ12" s="27">
        <v>110</v>
      </c>
      <c r="DK12" s="19">
        <v>0</v>
      </c>
      <c r="DL12" s="19">
        <v>0</v>
      </c>
      <c r="DM12" s="19">
        <v>0</v>
      </c>
      <c r="DN12" s="19">
        <v>0</v>
      </c>
      <c r="DO12" s="6">
        <v>330</v>
      </c>
      <c r="DP12" s="6">
        <v>406</v>
      </c>
      <c r="DQ12" s="19">
        <v>0</v>
      </c>
      <c r="DR12" s="6">
        <v>696</v>
      </c>
      <c r="DS12" s="19">
        <v>0</v>
      </c>
      <c r="DT12" s="6">
        <v>696</v>
      </c>
      <c r="DU12" s="6">
        <v>0</v>
      </c>
      <c r="DV12" s="6">
        <v>696</v>
      </c>
      <c r="DW12" s="6">
        <v>0</v>
      </c>
      <c r="DX12" s="6">
        <v>638</v>
      </c>
      <c r="DY12" s="6">
        <v>0</v>
      </c>
      <c r="DZ12" s="6">
        <v>290</v>
      </c>
      <c r="EA12" s="6">
        <v>0</v>
      </c>
      <c r="EB12" s="6">
        <v>290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522</v>
      </c>
      <c r="EI12" s="6">
        <v>0</v>
      </c>
      <c r="EJ12" s="6">
        <v>0</v>
      </c>
      <c r="EK12" s="6">
        <v>0</v>
      </c>
      <c r="EL12" s="6">
        <v>464</v>
      </c>
      <c r="EM12" s="6">
        <v>0</v>
      </c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</row>
    <row r="13" spans="1:333" x14ac:dyDescent="0.45">
      <c r="A13" s="4" t="s">
        <v>9</v>
      </c>
      <c r="B13" s="7">
        <v>0</v>
      </c>
      <c r="C13" s="7">
        <v>480</v>
      </c>
      <c r="D13" s="7">
        <v>0</v>
      </c>
      <c r="E13" s="7">
        <v>570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620</v>
      </c>
      <c r="P13" s="7">
        <v>0</v>
      </c>
      <c r="Q13" s="7">
        <v>620</v>
      </c>
      <c r="R13" s="6">
        <v>0</v>
      </c>
      <c r="S13" s="6">
        <v>520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6">
        <v>1050</v>
      </c>
      <c r="AH13" s="6">
        <v>1053.1500000000001</v>
      </c>
      <c r="AI13" s="13">
        <v>0</v>
      </c>
      <c r="AJ13" s="6">
        <f>14*120</f>
        <v>1680</v>
      </c>
      <c r="AK13" s="13">
        <v>0</v>
      </c>
      <c r="AL13" s="6">
        <v>480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6">
        <v>323.23</v>
      </c>
      <c r="AS13" s="19">
        <v>0</v>
      </c>
      <c r="AT13" s="19">
        <v>0</v>
      </c>
      <c r="AU13" s="19">
        <v>0</v>
      </c>
      <c r="AV13" s="6">
        <v>60</v>
      </c>
      <c r="AW13" s="19">
        <v>0</v>
      </c>
      <c r="AX13" s="19">
        <v>0</v>
      </c>
      <c r="AY13" s="6">
        <v>230</v>
      </c>
      <c r="AZ13" s="19">
        <v>0</v>
      </c>
      <c r="BA13" s="6">
        <v>180</v>
      </c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>
        <v>0</v>
      </c>
      <c r="DY13" s="21">
        <v>0</v>
      </c>
      <c r="DZ13" s="21">
        <v>0</v>
      </c>
      <c r="EA13" s="21">
        <v>0</v>
      </c>
      <c r="EB13" s="21">
        <v>0</v>
      </c>
      <c r="EC13" s="21">
        <v>0</v>
      </c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/>
      <c r="LM13" s="21"/>
      <c r="LN13" s="21"/>
      <c r="LO13" s="21"/>
      <c r="LP13" s="21"/>
      <c r="LQ13" s="21"/>
      <c r="LR13" s="21"/>
      <c r="LS13" s="21"/>
      <c r="LT13" s="21"/>
      <c r="LU13" s="21"/>
    </row>
    <row r="14" spans="1:333" x14ac:dyDescent="0.45">
      <c r="A14" s="4" t="s">
        <v>19</v>
      </c>
      <c r="B14" s="25"/>
      <c r="C14" s="26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25"/>
      <c r="O14" s="26"/>
      <c r="P14" s="25"/>
      <c r="Q14" s="26"/>
      <c r="R14" s="25"/>
      <c r="S14" s="26"/>
      <c r="T14" s="25"/>
      <c r="U14" s="26"/>
      <c r="V14" s="25"/>
      <c r="W14" s="26"/>
      <c r="X14" s="25"/>
      <c r="Y14" s="26"/>
      <c r="Z14" s="13"/>
      <c r="AA14" s="13"/>
      <c r="AB14" s="13"/>
      <c r="AC14" s="13"/>
      <c r="AD14" s="13"/>
      <c r="AE14" s="13"/>
      <c r="AF14" s="13"/>
      <c r="AG14" s="6"/>
      <c r="AH14" s="6"/>
      <c r="AI14" s="13"/>
      <c r="AJ14" s="6"/>
      <c r="AK14" s="13"/>
      <c r="AL14" s="6"/>
      <c r="AM14" s="19"/>
      <c r="AN14" s="19"/>
      <c r="AO14" s="19"/>
      <c r="AP14" s="19"/>
      <c r="AQ14" s="19"/>
      <c r="AR14" s="6"/>
      <c r="AS14" s="19"/>
      <c r="AT14" s="19"/>
      <c r="AU14" s="19"/>
      <c r="AV14" s="6"/>
      <c r="AW14" s="19"/>
      <c r="AX14" s="19"/>
      <c r="AY14" s="6"/>
      <c r="AZ14" s="19"/>
      <c r="BA14" s="6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6">
        <v>160</v>
      </c>
      <c r="DM14" s="19">
        <v>0</v>
      </c>
      <c r="DN14" s="6">
        <v>270</v>
      </c>
      <c r="DO14" s="19">
        <v>0</v>
      </c>
      <c r="DP14" s="6">
        <v>434</v>
      </c>
      <c r="DQ14" s="19">
        <v>0</v>
      </c>
      <c r="DR14" s="6">
        <v>522</v>
      </c>
      <c r="DS14" s="19">
        <v>0</v>
      </c>
      <c r="DT14" s="6">
        <v>638</v>
      </c>
      <c r="DU14" s="6">
        <v>0</v>
      </c>
      <c r="DV14" s="6">
        <v>464</v>
      </c>
      <c r="DW14" s="6">
        <v>0</v>
      </c>
      <c r="DX14" s="6">
        <v>290</v>
      </c>
      <c r="DY14" s="6">
        <v>0</v>
      </c>
      <c r="DZ14" s="6">
        <v>232</v>
      </c>
      <c r="EA14" s="6">
        <v>0</v>
      </c>
      <c r="EB14" s="6">
        <v>174</v>
      </c>
      <c r="EC14" s="6">
        <v>0</v>
      </c>
      <c r="ED14" s="6">
        <v>232</v>
      </c>
      <c r="EE14" s="6">
        <v>0</v>
      </c>
      <c r="EF14" s="6">
        <v>0</v>
      </c>
      <c r="EG14" s="6">
        <v>0</v>
      </c>
      <c r="EH14" s="6">
        <v>290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290</v>
      </c>
      <c r="EQ14" s="6">
        <v>0</v>
      </c>
      <c r="ER14" s="6">
        <v>290</v>
      </c>
      <c r="ES14" s="6">
        <v>0</v>
      </c>
      <c r="ET14" s="6">
        <v>0</v>
      </c>
      <c r="EU14" s="6">
        <v>0</v>
      </c>
      <c r="EV14" s="6">
        <v>0</v>
      </c>
      <c r="EW14" s="6">
        <v>65</v>
      </c>
      <c r="EX14" s="6">
        <v>0</v>
      </c>
      <c r="EY14" s="6">
        <v>650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696</v>
      </c>
      <c r="FG14" s="6">
        <v>0</v>
      </c>
      <c r="FH14" s="6">
        <v>696</v>
      </c>
      <c r="FI14" s="6">
        <v>0</v>
      </c>
      <c r="FJ14" s="6">
        <v>290</v>
      </c>
      <c r="FK14" s="6">
        <v>0</v>
      </c>
      <c r="FL14" s="6">
        <v>232</v>
      </c>
      <c r="FM14" s="6">
        <v>0</v>
      </c>
      <c r="FN14" s="6">
        <v>232</v>
      </c>
      <c r="FO14" s="6">
        <v>0</v>
      </c>
      <c r="FP14" s="6">
        <v>522</v>
      </c>
      <c r="FQ14" s="6">
        <v>0</v>
      </c>
      <c r="FR14" s="6">
        <v>580</v>
      </c>
      <c r="FS14" s="6">
        <v>0</v>
      </c>
      <c r="FT14" s="6">
        <v>0</v>
      </c>
      <c r="FU14" s="6">
        <v>0</v>
      </c>
      <c r="FV14" s="6">
        <v>290</v>
      </c>
      <c r="FW14" s="6">
        <v>0</v>
      </c>
      <c r="FX14" s="6">
        <v>290</v>
      </c>
      <c r="FY14" s="6">
        <v>0</v>
      </c>
      <c r="FZ14" s="6">
        <v>0</v>
      </c>
      <c r="GA14" s="6">
        <v>0</v>
      </c>
      <c r="GB14" s="6">
        <v>174</v>
      </c>
      <c r="GC14" s="6">
        <v>0</v>
      </c>
      <c r="GD14" s="6">
        <v>58</v>
      </c>
      <c r="GE14" s="6">
        <v>0</v>
      </c>
      <c r="GF14" s="6">
        <v>522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</row>
    <row r="15" spans="1:333" x14ac:dyDescent="0.45">
      <c r="A15" s="4" t="s">
        <v>20</v>
      </c>
      <c r="B15" s="25"/>
      <c r="C15" s="26"/>
      <c r="D15" s="25"/>
      <c r="E15" s="26"/>
      <c r="F15" s="25"/>
      <c r="G15" s="26"/>
      <c r="H15" s="25"/>
      <c r="I15" s="26"/>
      <c r="J15" s="25"/>
      <c r="K15" s="26"/>
      <c r="L15" s="25"/>
      <c r="M15" s="26"/>
      <c r="N15" s="25"/>
      <c r="O15" s="26"/>
      <c r="P15" s="25"/>
      <c r="Q15" s="26"/>
      <c r="R15" s="25"/>
      <c r="S15" s="26"/>
      <c r="T15" s="25"/>
      <c r="U15" s="26"/>
      <c r="V15" s="25"/>
      <c r="W15" s="26"/>
      <c r="X15" s="25"/>
      <c r="Y15" s="26"/>
      <c r="Z15" s="13"/>
      <c r="AA15" s="13"/>
      <c r="AB15" s="13"/>
      <c r="AC15" s="13"/>
      <c r="AD15" s="13"/>
      <c r="AE15" s="13"/>
      <c r="AF15" s="13"/>
      <c r="AG15" s="6"/>
      <c r="AH15" s="6"/>
      <c r="AI15" s="13"/>
      <c r="AJ15" s="6"/>
      <c r="AK15" s="13"/>
      <c r="AL15" s="6"/>
      <c r="AM15" s="19"/>
      <c r="AN15" s="19"/>
      <c r="AO15" s="19"/>
      <c r="AP15" s="19"/>
      <c r="AQ15" s="19"/>
      <c r="AR15" s="6"/>
      <c r="AS15" s="19"/>
      <c r="AT15" s="19"/>
      <c r="AU15" s="19"/>
      <c r="AV15" s="6"/>
      <c r="AW15" s="19"/>
      <c r="AX15" s="19"/>
      <c r="AY15" s="6"/>
      <c r="AZ15" s="19"/>
      <c r="BA15" s="6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19">
        <v>0</v>
      </c>
      <c r="DE15" s="19">
        <v>0</v>
      </c>
      <c r="DF15" s="6">
        <v>320</v>
      </c>
      <c r="DG15" s="19">
        <v>0</v>
      </c>
      <c r="DH15" s="6">
        <v>210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6">
        <v>406</v>
      </c>
      <c r="DQ15" s="19">
        <v>0</v>
      </c>
      <c r="DR15" s="6">
        <v>696</v>
      </c>
      <c r="DS15" s="19">
        <v>0</v>
      </c>
      <c r="DT15" s="6">
        <v>696</v>
      </c>
      <c r="DU15" s="6">
        <v>0</v>
      </c>
      <c r="DV15" s="6">
        <v>580</v>
      </c>
      <c r="DW15" s="6">
        <v>0</v>
      </c>
      <c r="DX15" s="6">
        <v>638</v>
      </c>
      <c r="DY15" s="6">
        <v>0</v>
      </c>
      <c r="DZ15" s="6">
        <v>0</v>
      </c>
      <c r="EA15" s="6">
        <v>0</v>
      </c>
      <c r="EB15" s="6">
        <v>116</v>
      </c>
      <c r="EC15" s="6">
        <v>0</v>
      </c>
      <c r="ED15" s="6">
        <v>464</v>
      </c>
      <c r="EE15" s="6">
        <v>0</v>
      </c>
      <c r="EF15" s="6">
        <v>613.45000000000005</v>
      </c>
      <c r="EG15" s="6">
        <v>0</v>
      </c>
      <c r="EH15" s="6">
        <v>290</v>
      </c>
      <c r="EI15" s="6">
        <v>0</v>
      </c>
      <c r="EJ15" s="6">
        <v>290</v>
      </c>
      <c r="EK15" s="6">
        <v>0</v>
      </c>
      <c r="EL15" s="6">
        <v>0</v>
      </c>
      <c r="EM15" s="6">
        <v>0</v>
      </c>
      <c r="EN15" s="6">
        <v>638</v>
      </c>
      <c r="EO15" s="6">
        <v>0</v>
      </c>
      <c r="EP15" s="6">
        <v>348</v>
      </c>
      <c r="EQ15" s="6">
        <v>0</v>
      </c>
      <c r="ER15" s="6">
        <v>0</v>
      </c>
      <c r="ES15" s="6">
        <v>0</v>
      </c>
      <c r="ET15" s="6">
        <v>174</v>
      </c>
      <c r="EU15" s="6">
        <v>0</v>
      </c>
      <c r="EV15" s="6">
        <v>638</v>
      </c>
      <c r="EW15" s="6">
        <v>0</v>
      </c>
      <c r="EX15" s="6">
        <v>290</v>
      </c>
      <c r="EY15" s="6">
        <v>0</v>
      </c>
      <c r="EZ15" s="6">
        <v>0</v>
      </c>
      <c r="FA15" s="6">
        <v>0</v>
      </c>
      <c r="FB15" s="6">
        <v>638</v>
      </c>
      <c r="FC15" s="6">
        <v>0</v>
      </c>
      <c r="FD15" s="6">
        <v>290</v>
      </c>
      <c r="FE15" s="6">
        <v>0</v>
      </c>
      <c r="FF15" s="6">
        <v>290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290</v>
      </c>
      <c r="FM15" s="6">
        <v>0</v>
      </c>
      <c r="FN15" s="6">
        <v>638</v>
      </c>
      <c r="FO15" s="6">
        <v>0</v>
      </c>
      <c r="FP15" s="6">
        <v>0</v>
      </c>
      <c r="FQ15" s="6">
        <v>0</v>
      </c>
      <c r="FR15" s="6">
        <v>580</v>
      </c>
      <c r="FS15" s="6">
        <v>0</v>
      </c>
      <c r="FT15" s="6">
        <v>290</v>
      </c>
      <c r="FU15" s="6">
        <v>0</v>
      </c>
      <c r="FV15" s="6">
        <v>290</v>
      </c>
      <c r="FW15" s="6">
        <v>0</v>
      </c>
      <c r="FX15" s="6">
        <v>290</v>
      </c>
      <c r="FY15" s="6">
        <v>0</v>
      </c>
      <c r="FZ15" s="6">
        <v>0</v>
      </c>
      <c r="GA15" s="6">
        <v>0</v>
      </c>
      <c r="GB15" s="6">
        <v>290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696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290</v>
      </c>
      <c r="GS15" s="6">
        <v>0</v>
      </c>
      <c r="GT15" s="6">
        <v>0</v>
      </c>
      <c r="GU15" s="6">
        <v>0</v>
      </c>
      <c r="GV15" s="6">
        <v>522</v>
      </c>
      <c r="GW15" s="6">
        <v>0</v>
      </c>
      <c r="GX15" s="6">
        <v>232</v>
      </c>
      <c r="GY15" s="6">
        <v>0</v>
      </c>
      <c r="GZ15" s="6">
        <v>0</v>
      </c>
      <c r="HA15" s="6">
        <v>0</v>
      </c>
      <c r="HB15" s="6">
        <v>174</v>
      </c>
      <c r="HC15" s="6">
        <v>0</v>
      </c>
      <c r="HD15" s="6">
        <v>638</v>
      </c>
      <c r="HE15" s="6">
        <v>0</v>
      </c>
      <c r="HF15" s="6">
        <v>722.89</v>
      </c>
      <c r="HG15" s="6">
        <v>0</v>
      </c>
      <c r="HH15" s="6">
        <v>232</v>
      </c>
      <c r="HI15" s="6">
        <v>0</v>
      </c>
      <c r="HJ15" s="6">
        <v>0</v>
      </c>
      <c r="HK15" s="6">
        <v>0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0</v>
      </c>
      <c r="HS15" s="6">
        <v>0</v>
      </c>
      <c r="HT15" s="6">
        <v>0</v>
      </c>
      <c r="HU15" s="6">
        <v>0</v>
      </c>
      <c r="HV15" s="6">
        <v>0</v>
      </c>
      <c r="HW15" s="6">
        <v>0</v>
      </c>
      <c r="HX15" s="6">
        <v>0</v>
      </c>
      <c r="HY15" s="6">
        <v>0</v>
      </c>
      <c r="HZ15" s="6">
        <v>0</v>
      </c>
      <c r="IA15" s="6">
        <v>0</v>
      </c>
      <c r="IB15" s="6">
        <v>0</v>
      </c>
      <c r="IC15" s="6">
        <v>0</v>
      </c>
      <c r="ID15" s="6">
        <v>0</v>
      </c>
      <c r="IE15" s="6">
        <v>0</v>
      </c>
      <c r="IF15" s="6">
        <v>0</v>
      </c>
      <c r="IG15" s="6">
        <v>0</v>
      </c>
      <c r="IH15" s="6">
        <v>0</v>
      </c>
      <c r="II15" s="6">
        <v>0</v>
      </c>
      <c r="IJ15" s="6">
        <v>0</v>
      </c>
      <c r="IK15" s="6">
        <v>0</v>
      </c>
      <c r="IL15" s="6">
        <v>522</v>
      </c>
      <c r="IM15" s="6">
        <v>0</v>
      </c>
      <c r="IN15" s="6">
        <v>407.14</v>
      </c>
      <c r="IO15" s="6">
        <v>0</v>
      </c>
      <c r="IP15" s="6">
        <v>0</v>
      </c>
      <c r="IQ15" s="6">
        <v>0</v>
      </c>
      <c r="IR15" s="6">
        <v>0</v>
      </c>
      <c r="IS15" s="6">
        <v>0</v>
      </c>
      <c r="IT15" s="6">
        <v>116</v>
      </c>
      <c r="IU15" s="6">
        <v>0</v>
      </c>
      <c r="IV15" s="6">
        <v>116</v>
      </c>
      <c r="IW15" s="6">
        <v>0</v>
      </c>
      <c r="IX15" s="6">
        <v>406</v>
      </c>
      <c r="IY15" s="6">
        <v>0</v>
      </c>
      <c r="IZ15" s="6">
        <v>58</v>
      </c>
      <c r="JA15" s="6">
        <v>0</v>
      </c>
      <c r="JB15" s="6">
        <v>580</v>
      </c>
      <c r="JC15" s="6">
        <v>0</v>
      </c>
      <c r="JD15" s="6">
        <v>696</v>
      </c>
      <c r="JE15" s="6">
        <v>0</v>
      </c>
      <c r="JF15" s="6">
        <v>290</v>
      </c>
      <c r="JG15" s="6">
        <v>0</v>
      </c>
      <c r="JH15" s="6">
        <v>398.42</v>
      </c>
      <c r="JI15" s="6">
        <v>0</v>
      </c>
      <c r="JJ15" s="6">
        <v>0</v>
      </c>
      <c r="JK15" s="6">
        <v>0</v>
      </c>
      <c r="JL15" s="6">
        <v>0</v>
      </c>
      <c r="JM15" s="6">
        <v>0</v>
      </c>
      <c r="JN15" s="6">
        <v>406</v>
      </c>
      <c r="JO15" s="6">
        <v>0</v>
      </c>
      <c r="JP15" s="6">
        <v>580</v>
      </c>
      <c r="JQ15" s="6">
        <v>0</v>
      </c>
      <c r="JR15" s="6">
        <v>696</v>
      </c>
      <c r="JS15" s="6">
        <v>0</v>
      </c>
      <c r="JT15" s="6">
        <v>116</v>
      </c>
      <c r="JU15" s="6">
        <v>0</v>
      </c>
      <c r="JV15" s="6">
        <v>630</v>
      </c>
      <c r="JW15" s="6">
        <v>0</v>
      </c>
      <c r="JX15" s="6">
        <v>420</v>
      </c>
      <c r="JY15" s="6">
        <v>0</v>
      </c>
      <c r="JZ15" s="6">
        <v>490</v>
      </c>
      <c r="KA15" s="6">
        <v>0</v>
      </c>
      <c r="KB15" s="6">
        <v>280</v>
      </c>
      <c r="KC15" s="6">
        <v>0</v>
      </c>
      <c r="KD15" s="6">
        <v>0</v>
      </c>
      <c r="KE15" s="6">
        <v>0</v>
      </c>
      <c r="KF15" s="6">
        <v>0</v>
      </c>
      <c r="KG15" s="6">
        <v>0</v>
      </c>
      <c r="KH15" s="6">
        <v>490</v>
      </c>
      <c r="KI15" s="6">
        <v>0</v>
      </c>
      <c r="KJ15" s="6">
        <v>140</v>
      </c>
      <c r="KK15" s="6">
        <v>0</v>
      </c>
      <c r="KL15" s="6">
        <v>770</v>
      </c>
      <c r="KM15" s="6">
        <v>0</v>
      </c>
      <c r="KN15" s="6">
        <v>280</v>
      </c>
      <c r="KO15" s="6">
        <v>0</v>
      </c>
      <c r="KP15" s="6">
        <v>0</v>
      </c>
      <c r="KQ15" s="6">
        <v>0</v>
      </c>
      <c r="KR15" s="6">
        <v>0</v>
      </c>
      <c r="KS15" s="6">
        <v>0</v>
      </c>
      <c r="KT15" s="6">
        <v>350</v>
      </c>
      <c r="KU15" s="6">
        <v>0</v>
      </c>
      <c r="KV15" s="6">
        <v>0</v>
      </c>
      <c r="KW15" s="6">
        <v>0</v>
      </c>
      <c r="KX15" s="6">
        <v>0</v>
      </c>
      <c r="KY15" s="6">
        <v>0</v>
      </c>
      <c r="KZ15" s="6">
        <v>0</v>
      </c>
      <c r="LA15" s="6">
        <v>0</v>
      </c>
      <c r="LB15" s="6">
        <v>0</v>
      </c>
      <c r="LC15" s="6">
        <v>0</v>
      </c>
      <c r="LD15" s="6">
        <v>0</v>
      </c>
      <c r="LE15" s="6">
        <v>0</v>
      </c>
      <c r="LF15" s="6">
        <v>0</v>
      </c>
      <c r="LG15" s="6">
        <v>0</v>
      </c>
      <c r="LH15" s="6">
        <v>630</v>
      </c>
      <c r="LI15" s="6">
        <v>0</v>
      </c>
      <c r="LJ15" s="6">
        <v>940</v>
      </c>
      <c r="LK15" s="6">
        <v>0</v>
      </c>
      <c r="LL15" s="6">
        <v>70</v>
      </c>
      <c r="LM15" s="6">
        <v>0</v>
      </c>
      <c r="LN15" s="6">
        <v>939.92</v>
      </c>
      <c r="LO15" s="6">
        <v>0</v>
      </c>
      <c r="LP15" s="6">
        <v>869.69</v>
      </c>
      <c r="LQ15" s="6">
        <v>0</v>
      </c>
      <c r="LR15" s="6">
        <v>0</v>
      </c>
      <c r="LS15" s="6">
        <v>0</v>
      </c>
      <c r="LT15" s="28">
        <v>0</v>
      </c>
      <c r="LU15" s="28">
        <v>0</v>
      </c>
    </row>
    <row r="16" spans="1:333" x14ac:dyDescent="0.45">
      <c r="A16" s="4" t="s">
        <v>21</v>
      </c>
      <c r="B16" s="25"/>
      <c r="C16" s="26"/>
      <c r="D16" s="25"/>
      <c r="E16" s="26"/>
      <c r="F16" s="25"/>
      <c r="G16" s="26"/>
      <c r="H16" s="25"/>
      <c r="I16" s="26"/>
      <c r="J16" s="25"/>
      <c r="K16" s="26"/>
      <c r="L16" s="25"/>
      <c r="M16" s="26"/>
      <c r="N16" s="25"/>
      <c r="O16" s="26"/>
      <c r="P16" s="25"/>
      <c r="Q16" s="26"/>
      <c r="R16" s="25"/>
      <c r="S16" s="26"/>
      <c r="T16" s="25"/>
      <c r="U16" s="26"/>
      <c r="V16" s="25"/>
      <c r="W16" s="26"/>
      <c r="X16" s="25"/>
      <c r="Y16" s="26"/>
      <c r="Z16" s="13"/>
      <c r="AA16" s="13"/>
      <c r="AB16" s="13"/>
      <c r="AC16" s="13"/>
      <c r="AD16" s="13"/>
      <c r="AE16" s="13"/>
      <c r="AF16" s="13"/>
      <c r="AG16" s="6"/>
      <c r="AH16" s="6"/>
      <c r="AI16" s="13"/>
      <c r="AJ16" s="6"/>
      <c r="AK16" s="13"/>
      <c r="AL16" s="6"/>
      <c r="AM16" s="19"/>
      <c r="AN16" s="19"/>
      <c r="AO16" s="19"/>
      <c r="AP16" s="19"/>
      <c r="AQ16" s="19"/>
      <c r="AR16" s="6"/>
      <c r="AS16" s="19"/>
      <c r="AT16" s="19"/>
      <c r="AU16" s="19"/>
      <c r="AV16" s="6"/>
      <c r="AW16" s="19"/>
      <c r="AX16" s="19"/>
      <c r="AY16" s="6"/>
      <c r="AZ16" s="19"/>
      <c r="BA16" s="6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6">
        <v>0</v>
      </c>
      <c r="EG16" s="6">
        <v>0</v>
      </c>
      <c r="EH16" s="6">
        <v>0</v>
      </c>
      <c r="EI16" s="6">
        <v>0</v>
      </c>
      <c r="EJ16" s="6">
        <v>45.18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520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232</v>
      </c>
      <c r="FS16" s="6">
        <v>0</v>
      </c>
      <c r="FT16" s="6">
        <v>522</v>
      </c>
      <c r="FU16" s="6">
        <v>0</v>
      </c>
      <c r="FV16" s="6">
        <v>348</v>
      </c>
      <c r="FW16" s="6">
        <v>0</v>
      </c>
      <c r="FX16" s="6">
        <v>580</v>
      </c>
      <c r="FY16" s="6">
        <v>0</v>
      </c>
      <c r="FZ16" s="6">
        <v>638</v>
      </c>
      <c r="GA16" s="6">
        <v>0</v>
      </c>
      <c r="GB16" s="6">
        <v>696</v>
      </c>
      <c r="GC16" s="6">
        <v>0</v>
      </c>
      <c r="GD16" s="6">
        <v>58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</row>
    <row r="17" spans="1:333" x14ac:dyDescent="0.45">
      <c r="A17" s="4" t="s">
        <v>22</v>
      </c>
      <c r="B17" s="25"/>
      <c r="C17" s="26"/>
      <c r="D17" s="25"/>
      <c r="E17" s="26"/>
      <c r="F17" s="25"/>
      <c r="G17" s="26"/>
      <c r="H17" s="25"/>
      <c r="I17" s="26"/>
      <c r="J17" s="25"/>
      <c r="K17" s="26"/>
      <c r="L17" s="25"/>
      <c r="M17" s="26"/>
      <c r="N17" s="25"/>
      <c r="O17" s="26"/>
      <c r="P17" s="25"/>
      <c r="Q17" s="26"/>
      <c r="R17" s="25"/>
      <c r="S17" s="26"/>
      <c r="T17" s="25"/>
      <c r="U17" s="26"/>
      <c r="V17" s="25"/>
      <c r="W17" s="26"/>
      <c r="X17" s="25"/>
      <c r="Y17" s="26"/>
      <c r="Z17" s="13"/>
      <c r="AA17" s="13"/>
      <c r="AB17" s="13"/>
      <c r="AC17" s="13"/>
      <c r="AD17" s="13"/>
      <c r="AE17" s="13"/>
      <c r="AF17" s="13"/>
      <c r="AG17" s="6"/>
      <c r="AH17" s="6"/>
      <c r="AI17" s="13"/>
      <c r="AJ17" s="6"/>
      <c r="AK17" s="13"/>
      <c r="AL17" s="6"/>
      <c r="AM17" s="19"/>
      <c r="AN17" s="19"/>
      <c r="AO17" s="19"/>
      <c r="AP17" s="19"/>
      <c r="AQ17" s="19"/>
      <c r="AR17" s="6"/>
      <c r="AS17" s="19"/>
      <c r="AT17" s="19"/>
      <c r="AU17" s="19"/>
      <c r="AV17" s="6"/>
      <c r="AW17" s="19"/>
      <c r="AX17" s="19"/>
      <c r="AY17" s="6"/>
      <c r="AZ17" s="19"/>
      <c r="BA17" s="6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6">
        <v>0</v>
      </c>
      <c r="ES17" s="6">
        <v>0</v>
      </c>
      <c r="ET17" s="6">
        <v>250.61</v>
      </c>
      <c r="EU17" s="6">
        <v>520</v>
      </c>
      <c r="EV17" s="6">
        <v>0</v>
      </c>
      <c r="EW17" s="6">
        <v>65</v>
      </c>
      <c r="EX17" s="6">
        <v>1151.3599999999999</v>
      </c>
      <c r="EY17" s="6">
        <v>845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290</v>
      </c>
      <c r="FS17" s="6">
        <v>0</v>
      </c>
      <c r="FT17" s="6">
        <v>464</v>
      </c>
      <c r="FU17" s="6">
        <v>0</v>
      </c>
      <c r="FV17" s="6">
        <v>464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18.5</v>
      </c>
      <c r="GC17" s="6">
        <v>0</v>
      </c>
      <c r="GD17" s="6">
        <v>0</v>
      </c>
      <c r="GE17" s="6">
        <v>0</v>
      </c>
      <c r="GF17" s="6">
        <v>415.72</v>
      </c>
      <c r="GG17" s="6">
        <v>0</v>
      </c>
      <c r="GH17" s="6">
        <v>406</v>
      </c>
      <c r="GI17" s="6">
        <v>0</v>
      </c>
      <c r="GJ17" s="6">
        <v>0</v>
      </c>
      <c r="GK17" s="6">
        <v>0</v>
      </c>
      <c r="GL17" s="6">
        <v>426.58</v>
      </c>
      <c r="GM17" s="6">
        <v>0</v>
      </c>
      <c r="GN17" s="6">
        <v>232</v>
      </c>
      <c r="GO17" s="6">
        <v>0</v>
      </c>
      <c r="GP17" s="6">
        <v>464</v>
      </c>
      <c r="GQ17" s="6">
        <v>107</v>
      </c>
      <c r="GR17" s="6">
        <v>9.73</v>
      </c>
      <c r="GS17" s="6">
        <v>0</v>
      </c>
      <c r="GT17" s="6">
        <v>464</v>
      </c>
      <c r="GU17" s="6">
        <v>0</v>
      </c>
      <c r="GV17" s="6">
        <v>130.04</v>
      </c>
      <c r="GW17" s="6">
        <v>0</v>
      </c>
      <c r="GX17" s="6">
        <v>116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  <c r="HD17" s="6">
        <v>0</v>
      </c>
      <c r="HE17" s="6">
        <v>0</v>
      </c>
      <c r="HF17" s="6">
        <v>599.67999999999995</v>
      </c>
      <c r="HG17" s="6">
        <v>0</v>
      </c>
      <c r="HH17" s="6">
        <v>0</v>
      </c>
      <c r="HI17" s="6">
        <v>0</v>
      </c>
      <c r="HJ17" s="6">
        <v>116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174</v>
      </c>
      <c r="HS17" s="6">
        <v>0</v>
      </c>
      <c r="HT17" s="6">
        <f>58+(8*1.3683)</f>
        <v>68.946399999999997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  <c r="II17" s="6">
        <v>0</v>
      </c>
      <c r="IJ17" s="6">
        <v>580</v>
      </c>
      <c r="IK17" s="6">
        <v>0</v>
      </c>
      <c r="IL17" s="6">
        <v>290</v>
      </c>
      <c r="IM17" s="6">
        <v>0</v>
      </c>
      <c r="IN17" s="6">
        <v>745.39</v>
      </c>
      <c r="IO17" s="6">
        <v>0</v>
      </c>
      <c r="IP17" s="6">
        <v>0</v>
      </c>
      <c r="IQ17" s="6">
        <v>0</v>
      </c>
      <c r="IR17" s="6">
        <v>352.2</v>
      </c>
      <c r="IS17" s="6">
        <v>0</v>
      </c>
      <c r="IT17" s="6">
        <v>0</v>
      </c>
      <c r="IU17" s="6">
        <v>0</v>
      </c>
      <c r="IV17" s="6">
        <v>0</v>
      </c>
      <c r="IW17" s="6">
        <v>0</v>
      </c>
      <c r="IX17" s="6">
        <v>174</v>
      </c>
      <c r="IY17" s="6">
        <v>0</v>
      </c>
      <c r="IZ17" s="6">
        <v>290</v>
      </c>
      <c r="JA17" s="6">
        <v>0</v>
      </c>
      <c r="JB17" s="6">
        <v>0</v>
      </c>
      <c r="JC17" s="6">
        <v>0</v>
      </c>
      <c r="JD17" s="6">
        <v>0</v>
      </c>
      <c r="JE17" s="6">
        <v>0</v>
      </c>
      <c r="JF17" s="6">
        <v>348</v>
      </c>
      <c r="JG17" s="6">
        <v>0</v>
      </c>
      <c r="JH17" s="6">
        <v>738.91</v>
      </c>
      <c r="JI17" s="6">
        <v>0</v>
      </c>
      <c r="JJ17" s="6">
        <v>366.97</v>
      </c>
      <c r="JK17" s="6">
        <v>0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0</v>
      </c>
      <c r="JR17" s="6">
        <v>640</v>
      </c>
      <c r="JS17" s="6">
        <v>0</v>
      </c>
      <c r="JT17" s="6">
        <v>320</v>
      </c>
      <c r="JU17" s="6">
        <v>0</v>
      </c>
      <c r="JV17" s="6">
        <v>357.97</v>
      </c>
      <c r="JW17" s="6">
        <v>0</v>
      </c>
      <c r="JX17" s="6">
        <v>420</v>
      </c>
      <c r="JY17" s="6">
        <v>0</v>
      </c>
      <c r="JZ17" s="6">
        <v>0</v>
      </c>
      <c r="KA17" s="6">
        <v>0</v>
      </c>
      <c r="KB17" s="6">
        <v>0</v>
      </c>
      <c r="KC17" s="6">
        <v>0</v>
      </c>
      <c r="KD17" s="6">
        <v>0</v>
      </c>
      <c r="KE17" s="6">
        <v>0</v>
      </c>
      <c r="KF17" s="6">
        <v>0</v>
      </c>
      <c r="KG17" s="6">
        <v>0</v>
      </c>
      <c r="KH17" s="6">
        <v>749.74</v>
      </c>
      <c r="KI17" s="6">
        <v>0</v>
      </c>
      <c r="KJ17" s="6">
        <v>119.74</v>
      </c>
      <c r="KK17" s="6">
        <v>0</v>
      </c>
      <c r="KL17" s="6">
        <v>749.28</v>
      </c>
      <c r="KM17" s="6">
        <v>0</v>
      </c>
      <c r="KN17" s="6">
        <v>481.5</v>
      </c>
      <c r="KO17" s="6">
        <v>0</v>
      </c>
      <c r="KP17" s="6">
        <v>322.72000000000003</v>
      </c>
      <c r="KQ17" s="6">
        <v>0</v>
      </c>
      <c r="KR17" s="6">
        <v>140</v>
      </c>
      <c r="KS17" s="6">
        <v>0</v>
      </c>
      <c r="KT17" s="6">
        <v>799.47</v>
      </c>
      <c r="KU17" s="6">
        <v>0</v>
      </c>
      <c r="KV17" s="6">
        <v>420</v>
      </c>
      <c r="KW17" s="6">
        <v>0</v>
      </c>
      <c r="KX17" s="6">
        <v>350</v>
      </c>
      <c r="KY17" s="6">
        <v>0</v>
      </c>
      <c r="KZ17" s="6">
        <v>210</v>
      </c>
      <c r="LA17" s="6">
        <v>0</v>
      </c>
      <c r="LB17" s="6">
        <v>0</v>
      </c>
      <c r="LC17" s="6">
        <v>0</v>
      </c>
      <c r="LD17" s="6">
        <v>0</v>
      </c>
      <c r="LE17" s="6">
        <v>0</v>
      </c>
      <c r="LF17" s="6">
        <v>0</v>
      </c>
      <c r="LG17" s="6">
        <v>0</v>
      </c>
      <c r="LH17" s="6">
        <v>0</v>
      </c>
      <c r="LI17" s="6">
        <v>0</v>
      </c>
      <c r="LJ17" s="6">
        <v>280</v>
      </c>
      <c r="LK17" s="6">
        <v>0</v>
      </c>
      <c r="LL17" s="6">
        <v>0</v>
      </c>
      <c r="LM17" s="6">
        <v>0</v>
      </c>
      <c r="LN17" s="6">
        <v>0</v>
      </c>
      <c r="LO17" s="6">
        <v>0</v>
      </c>
      <c r="LP17" s="6">
        <v>0</v>
      </c>
      <c r="LQ17" s="6">
        <v>0</v>
      </c>
      <c r="LR17" s="6">
        <v>420</v>
      </c>
      <c r="LS17" s="6">
        <v>0</v>
      </c>
      <c r="LT17" s="28">
        <v>0</v>
      </c>
      <c r="LU17" s="28">
        <v>0</v>
      </c>
    </row>
    <row r="18" spans="1:333" x14ac:dyDescent="0.45">
      <c r="A18" s="4" t="s">
        <v>23</v>
      </c>
      <c r="B18" s="30"/>
      <c r="C18" s="31"/>
      <c r="D18" s="30"/>
      <c r="E18" s="31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0</v>
      </c>
      <c r="IB18" s="6">
        <v>0</v>
      </c>
      <c r="IC18" s="6">
        <v>0</v>
      </c>
      <c r="ID18" s="6">
        <v>0</v>
      </c>
      <c r="IE18" s="6">
        <v>0</v>
      </c>
      <c r="IF18" s="6">
        <v>0</v>
      </c>
      <c r="IG18" s="6">
        <v>0</v>
      </c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</row>
    <row r="19" spans="1:333" ht="14.65" thickBot="1" x14ac:dyDescent="0.5">
      <c r="A19" s="29" t="s">
        <v>24</v>
      </c>
      <c r="B19" s="30"/>
      <c r="C19" s="31"/>
      <c r="D19" s="30"/>
      <c r="E19" s="31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522</v>
      </c>
      <c r="HA19" s="6">
        <v>0</v>
      </c>
      <c r="HB19" s="6">
        <v>290</v>
      </c>
      <c r="HC19" s="6">
        <v>0</v>
      </c>
      <c r="HD19" s="6">
        <v>348</v>
      </c>
      <c r="HE19" s="6">
        <v>0</v>
      </c>
      <c r="HF19" s="6">
        <v>638</v>
      </c>
      <c r="HG19" s="6">
        <v>0</v>
      </c>
      <c r="HH19" s="6">
        <v>522</v>
      </c>
      <c r="HI19" s="6">
        <v>0</v>
      </c>
      <c r="HJ19" s="6">
        <v>290</v>
      </c>
      <c r="HK19" s="6">
        <v>0</v>
      </c>
      <c r="HL19" s="6">
        <v>0</v>
      </c>
      <c r="HM19" s="6">
        <v>0</v>
      </c>
      <c r="HN19" s="6">
        <v>580</v>
      </c>
      <c r="HO19" s="6">
        <v>0</v>
      </c>
      <c r="HP19" s="6">
        <v>116</v>
      </c>
      <c r="HQ19" s="6">
        <v>0</v>
      </c>
      <c r="HR19" s="6">
        <v>0</v>
      </c>
      <c r="HS19" s="6">
        <v>0</v>
      </c>
      <c r="HT19" s="6">
        <v>174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1280</v>
      </c>
      <c r="IS19" s="6">
        <v>0</v>
      </c>
      <c r="IT19" s="6">
        <v>1074.2</v>
      </c>
      <c r="IU19" s="6">
        <v>0</v>
      </c>
      <c r="IV19" s="6">
        <v>1219.4100000000001</v>
      </c>
      <c r="IW19" s="6">
        <v>0</v>
      </c>
      <c r="IX19" s="6">
        <v>173.12</v>
      </c>
      <c r="IY19" s="6">
        <v>0</v>
      </c>
      <c r="IZ19" s="6">
        <v>173.12</v>
      </c>
      <c r="JA19" s="6">
        <v>0</v>
      </c>
      <c r="JB19" s="6">
        <v>194.76</v>
      </c>
      <c r="JC19" s="6">
        <v>0</v>
      </c>
      <c r="JD19" s="6">
        <v>173.12</v>
      </c>
      <c r="JE19" s="6">
        <v>0</v>
      </c>
      <c r="JF19" s="6">
        <v>194.76</v>
      </c>
      <c r="JG19" s="6"/>
      <c r="JH19" s="6">
        <v>129.84</v>
      </c>
      <c r="JI19" s="6">
        <v>0</v>
      </c>
      <c r="JJ19" s="28">
        <v>129.84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640</v>
      </c>
      <c r="JS19" s="6">
        <v>0</v>
      </c>
      <c r="JT19" s="6">
        <v>320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794.58</v>
      </c>
      <c r="KM19" s="6">
        <v>0</v>
      </c>
      <c r="KN19" s="6">
        <v>187.91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322.92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260.61</v>
      </c>
      <c r="LG19" s="6">
        <v>0</v>
      </c>
      <c r="LH19" s="6">
        <v>678.98</v>
      </c>
      <c r="LI19" s="6">
        <v>0</v>
      </c>
      <c r="LJ19" s="6">
        <v>210</v>
      </c>
      <c r="LK19" s="6">
        <v>0</v>
      </c>
      <c r="LL19" s="6">
        <v>0</v>
      </c>
      <c r="LM19" s="6">
        <v>0</v>
      </c>
      <c r="LN19" s="6">
        <v>889.32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28">
        <v>0</v>
      </c>
      <c r="LU19" s="28">
        <v>0</v>
      </c>
    </row>
    <row r="20" spans="1:333" ht="14.65" thickBot="1" x14ac:dyDescent="0.5">
      <c r="A20" s="5">
        <f>SUM(B20:ZZ20)</f>
        <v>229361.02439999997</v>
      </c>
      <c r="B20" s="8">
        <f>SUM(B3:B13)</f>
        <v>110</v>
      </c>
      <c r="C20" s="9"/>
      <c r="D20" s="8">
        <f>SUM(D3:D13)</f>
        <v>0</v>
      </c>
      <c r="E20" s="9"/>
      <c r="F20" s="8">
        <f>SUM(F3:F13)</f>
        <v>179.02</v>
      </c>
      <c r="G20" s="9"/>
      <c r="H20" s="8">
        <f>SUM(H3:H13)</f>
        <v>389.15</v>
      </c>
      <c r="I20" s="9"/>
      <c r="J20" s="8">
        <f>SUM(J3:J13)</f>
        <v>259.2</v>
      </c>
      <c r="K20" s="9"/>
      <c r="L20" s="8">
        <f>SUM(L3:L13)</f>
        <v>400.23</v>
      </c>
      <c r="M20" s="9"/>
      <c r="N20" s="8">
        <f>SUM(N3:N13)</f>
        <v>497.05</v>
      </c>
      <c r="O20" s="9"/>
      <c r="P20" s="8">
        <f>SUM(P3:P13)</f>
        <v>859.95</v>
      </c>
      <c r="Q20" s="9"/>
      <c r="R20" s="8">
        <f>SUM(R3:R13)</f>
        <v>510.09</v>
      </c>
      <c r="S20" s="9"/>
      <c r="T20" s="8">
        <f>SUM(T3:T13)</f>
        <v>739.2</v>
      </c>
      <c r="U20" s="9"/>
      <c r="V20" s="8">
        <f>SUM(V3:V13)</f>
        <v>693.59</v>
      </c>
      <c r="W20" s="9"/>
      <c r="X20" s="8">
        <f>SUM(X3:X13)</f>
        <v>270</v>
      </c>
      <c r="Y20" s="9"/>
      <c r="Z20" s="6">
        <f>SUM(Z3:Z13)</f>
        <v>160</v>
      </c>
      <c r="AA20" s="6"/>
      <c r="AB20" s="6">
        <f>SUM(AB3:AB13)</f>
        <v>550</v>
      </c>
      <c r="AC20" s="6"/>
      <c r="AD20" s="6">
        <f>SUM(AD3:AD13)</f>
        <v>630</v>
      </c>
      <c r="AE20" s="6"/>
      <c r="AF20" s="6">
        <f>SUM(AF3:AF13)</f>
        <v>510</v>
      </c>
      <c r="AG20" s="6"/>
      <c r="AH20" s="6">
        <f>SUM(AH3:AH13)</f>
        <v>1290.75</v>
      </c>
      <c r="AI20" s="6"/>
      <c r="AJ20" s="6">
        <f>SUM(AJ3:AJ13)</f>
        <v>1947.6</v>
      </c>
      <c r="AK20" s="6"/>
      <c r="AL20" s="6">
        <f>SUM(AL3:AL13)</f>
        <v>717.6</v>
      </c>
      <c r="AM20" s="6"/>
      <c r="AN20" s="6">
        <f>SUM(AN3:AN13)</f>
        <v>1330.9699999999998</v>
      </c>
      <c r="AO20" s="6"/>
      <c r="AP20" s="6">
        <f>SUM(AP3:AP13)</f>
        <v>1917.6</v>
      </c>
      <c r="AQ20" s="6"/>
      <c r="AR20" s="6">
        <f>SUM(AR3:AR13)</f>
        <v>2132.83</v>
      </c>
      <c r="AS20" s="6"/>
      <c r="AT20" s="6">
        <f>SUM(AT3:AT13)</f>
        <v>1720.42</v>
      </c>
      <c r="AU20" s="6"/>
      <c r="AV20" s="6">
        <f>SUM(AV3:AV13)</f>
        <v>901.92</v>
      </c>
      <c r="AW20" s="6"/>
      <c r="AX20" s="6">
        <f>SUM(AX3:AX13)</f>
        <v>282.24</v>
      </c>
      <c r="AY20" s="6"/>
      <c r="AZ20" s="6">
        <f>SUM(AZ3:AZ13)</f>
        <v>100.8</v>
      </c>
      <c r="BA20" s="6"/>
      <c r="BB20" s="6">
        <f>SUM(BB3:BB13)</f>
        <v>0</v>
      </c>
      <c r="BC20" s="6"/>
      <c r="BD20" s="6">
        <f>SUM(BD3:BD13)</f>
        <v>241.92</v>
      </c>
      <c r="BE20" s="6"/>
      <c r="BF20" s="6">
        <f>SUM(BF3:BF13)</f>
        <v>691.6</v>
      </c>
      <c r="BG20" s="6"/>
      <c r="BH20" s="6">
        <f>SUM(BH3:BH13)</f>
        <v>3029.5600000000004</v>
      </c>
      <c r="BI20" s="6"/>
      <c r="BJ20" s="6">
        <f>SUM(BJ3:BJ13)</f>
        <v>2064.6</v>
      </c>
      <c r="BK20" s="6"/>
      <c r="BL20" s="6">
        <f>SUM(BL3:BL13)</f>
        <v>729.07999999999993</v>
      </c>
      <c r="BM20" s="6"/>
      <c r="BN20" s="6">
        <f>SUM(BN3:BN13)</f>
        <v>525.34</v>
      </c>
      <c r="BO20" s="6"/>
      <c r="BP20" s="6">
        <f>SUM(BP3:BP13)</f>
        <v>379.38</v>
      </c>
      <c r="BQ20" s="6"/>
      <c r="BR20" s="6">
        <f>SUM(BR3:BR13)</f>
        <v>601.44000000000005</v>
      </c>
      <c r="BS20" s="6"/>
      <c r="BT20" s="6">
        <f>SUM(BT3:BT13)</f>
        <v>201.6</v>
      </c>
      <c r="BU20" s="6"/>
      <c r="BV20" s="6">
        <f>SUM(BV3:BV13)</f>
        <v>311.60000000000002</v>
      </c>
      <c r="BW20" s="6"/>
      <c r="BX20" s="6">
        <f>SUM(BX3:BX13)</f>
        <v>221.76</v>
      </c>
      <c r="BY20" s="6"/>
      <c r="BZ20" s="6">
        <f>SUM(BZ3:BZ13)</f>
        <v>241.92</v>
      </c>
      <c r="CA20" s="6"/>
      <c r="CB20" s="6">
        <f>SUM(CB3:CB13)</f>
        <v>221.76</v>
      </c>
      <c r="CC20" s="6"/>
      <c r="CD20" s="6">
        <f>SUM(CD3:CD13)</f>
        <v>221.76</v>
      </c>
      <c r="CE20" s="6"/>
      <c r="CF20" s="6">
        <f>SUM(CF3:CF13)</f>
        <v>361.6</v>
      </c>
      <c r="CG20" s="6"/>
      <c r="CH20" s="6">
        <f>SUM(CH3:CH13)</f>
        <v>721.6</v>
      </c>
      <c r="CI20" s="6"/>
      <c r="CJ20" s="6">
        <f>SUM(CJ3:CJ13)</f>
        <v>531.91999999999996</v>
      </c>
      <c r="CK20" s="6"/>
      <c r="CL20" s="6">
        <f>SUM(CL3:CL13)</f>
        <v>331.76</v>
      </c>
      <c r="CM20" s="6"/>
      <c r="CN20" s="6">
        <f>SUM(CN3:CN13)</f>
        <v>281.76</v>
      </c>
      <c r="CO20" s="6"/>
      <c r="CP20" s="6">
        <f>SUM(CP3:CP13)</f>
        <v>591.76</v>
      </c>
      <c r="CQ20" s="6"/>
      <c r="CR20" s="6">
        <f>SUM(CR3:CR13)</f>
        <v>621.6</v>
      </c>
      <c r="CS20" s="6"/>
      <c r="CT20" s="6">
        <f>SUM(CT3:CT13)</f>
        <v>420</v>
      </c>
      <c r="CU20" s="6"/>
      <c r="CV20" s="6">
        <f>SUM(CV3:CV13)</f>
        <v>1200.8</v>
      </c>
      <c r="CW20" s="6"/>
      <c r="CX20" s="6">
        <f>SUM(CX3:CX13)</f>
        <v>322.08</v>
      </c>
      <c r="CY20" s="6"/>
      <c r="CZ20" s="6">
        <f>SUM(CZ3:CZ13)</f>
        <v>221.76</v>
      </c>
      <c r="DA20" s="6"/>
      <c r="DB20" s="6">
        <f>SUM(DB3:DB13)</f>
        <v>181.44</v>
      </c>
      <c r="DC20" s="6"/>
      <c r="DD20" s="6">
        <f>SUM(DD3:DD15)</f>
        <v>141.12</v>
      </c>
      <c r="DE20" s="6"/>
      <c r="DF20" s="6">
        <f>SUM(DF3:DF15)</f>
        <v>530</v>
      </c>
      <c r="DG20" s="6"/>
      <c r="DH20" s="6">
        <f>SUM(DH3:DH15)</f>
        <v>550.16</v>
      </c>
      <c r="DI20" s="6"/>
      <c r="DJ20" s="6">
        <f>SUM(DJ3:DJ15)</f>
        <v>110</v>
      </c>
      <c r="DK20" s="6"/>
      <c r="DL20" s="6">
        <f>SUM(DL3:DL15)</f>
        <v>257.92</v>
      </c>
      <c r="DM20" s="6"/>
      <c r="DN20" s="6">
        <f>SUM(DN3:DN15)</f>
        <v>270</v>
      </c>
      <c r="DO20" s="6"/>
      <c r="DP20" s="6">
        <f>SUM(DP3:DP15)</f>
        <v>1652</v>
      </c>
      <c r="DQ20" s="6"/>
      <c r="DR20" s="6">
        <f>SUM(DR3:DR15)</f>
        <v>4293.9799999999996</v>
      </c>
      <c r="DS20" s="6"/>
      <c r="DT20" s="6">
        <f>SUM(DT3:DT15)</f>
        <v>4531.3900000000003</v>
      </c>
      <c r="DU20" s="6"/>
      <c r="DV20" s="6">
        <f>SUM(DV3:DV15)</f>
        <v>3694.16</v>
      </c>
      <c r="DW20" s="6"/>
      <c r="DX20" s="6">
        <f>SUM(DX3:DX15)</f>
        <v>3686.52</v>
      </c>
      <c r="DY20" s="6"/>
      <c r="DZ20" s="6">
        <f>SUM(DZ3:DZ15)</f>
        <v>1275.8400000000001</v>
      </c>
      <c r="EA20" s="6"/>
      <c r="EB20" s="6">
        <f>SUM(EB3:EB15)</f>
        <v>1906.24</v>
      </c>
      <c r="EC20" s="6"/>
      <c r="ED20" s="28">
        <f>SUM(ED3:ED15)</f>
        <v>3070.35</v>
      </c>
      <c r="EE20" s="28"/>
      <c r="EF20" s="28">
        <f>SUM(EF3:EF15)</f>
        <v>1611.0900000000001</v>
      </c>
      <c r="EG20" s="28"/>
      <c r="EH20" s="28">
        <f>SUM(EH3:EH15)</f>
        <v>3274.42</v>
      </c>
      <c r="EI20" s="28"/>
      <c r="EJ20" s="28">
        <f>SUM(EJ3:EJ15)</f>
        <v>1343.92</v>
      </c>
      <c r="EK20" s="28"/>
      <c r="EL20" s="28">
        <f>SUM(EL3:EL15)</f>
        <v>1461.83</v>
      </c>
      <c r="EM20" s="28"/>
      <c r="EN20" s="28">
        <f>SUM(EN3:EN17)</f>
        <v>2561.92</v>
      </c>
      <c r="EO20" s="28"/>
      <c r="EP20" s="28">
        <f>SUM(EP3:EP17)</f>
        <v>1853.28</v>
      </c>
      <c r="EQ20" s="28"/>
      <c r="ER20" s="28">
        <f>SUM(ER3:ER17)</f>
        <v>1515.4</v>
      </c>
      <c r="ES20" s="28"/>
      <c r="ET20" s="28">
        <f>SUM(ET3:ET17)</f>
        <v>3153.55</v>
      </c>
      <c r="EU20" s="28"/>
      <c r="EV20" s="28">
        <f>SUM(EV3:EV17)</f>
        <v>2199.34</v>
      </c>
      <c r="EW20" s="21"/>
      <c r="EX20" s="28">
        <f>SUM(EX3:EX17)</f>
        <v>2772.64</v>
      </c>
      <c r="EY20" s="21"/>
      <c r="EZ20" s="28">
        <f>SUM(EZ3:EZ17)</f>
        <v>1360.28</v>
      </c>
      <c r="FA20" s="21"/>
      <c r="FB20" s="28">
        <f>SUM(FB3:FB17)</f>
        <v>2676.8199999999997</v>
      </c>
      <c r="FC20" s="21"/>
      <c r="FD20" s="28">
        <f>SUM(FD3:FD17)</f>
        <v>2070.9700000000003</v>
      </c>
      <c r="FE20" s="21"/>
      <c r="FF20" s="28">
        <f>SUM(FF3:FF17)</f>
        <v>2789.08</v>
      </c>
      <c r="FG20" s="21"/>
      <c r="FH20" s="28">
        <f>SUM(FH3:FH17)</f>
        <v>1998.96</v>
      </c>
      <c r="FI20" s="21"/>
      <c r="FJ20" s="28">
        <f>SUM(FJ3:FJ17)</f>
        <v>531.12</v>
      </c>
      <c r="FK20" s="21"/>
      <c r="FL20" s="28">
        <f>SUM(FL3:FL17)</f>
        <v>1128</v>
      </c>
      <c r="FM20" s="21"/>
      <c r="FN20" s="28">
        <f>SUM(FN3:FN17)</f>
        <v>2945.43</v>
      </c>
      <c r="FO20" s="21"/>
      <c r="FP20" s="28">
        <f>SUM(FP3:FP17)</f>
        <v>2362.52</v>
      </c>
      <c r="FQ20" s="21"/>
      <c r="FR20" s="28">
        <f>SUM(FR3:FR17)</f>
        <v>3654</v>
      </c>
      <c r="FS20" s="21"/>
      <c r="FT20" s="28">
        <f>SUM(FT3:FT17)</f>
        <v>3854</v>
      </c>
      <c r="FU20" s="21"/>
      <c r="FV20" s="28">
        <f>SUM(FV3:FV17)</f>
        <v>2378</v>
      </c>
      <c r="FW20" s="21"/>
      <c r="FX20" s="28">
        <f>SUM(FX3:FX17)</f>
        <v>2320</v>
      </c>
      <c r="FY20" s="21"/>
      <c r="FZ20" s="28">
        <f>SUM(FZ3:FZ17)</f>
        <v>1201.6199999999999</v>
      </c>
      <c r="GA20" s="21"/>
      <c r="GB20" s="28">
        <f>SUM(GB3:GB17)</f>
        <v>1816.5</v>
      </c>
      <c r="GC20" s="21"/>
      <c r="GD20" s="28">
        <f>SUM(GD3:GD17)</f>
        <v>580</v>
      </c>
      <c r="GE20" s="21"/>
      <c r="GF20" s="28">
        <f>SUM(GF3:GF17)</f>
        <v>2213.7200000000003</v>
      </c>
      <c r="GG20" s="21"/>
      <c r="GH20" s="28">
        <f>SUM(GH3:GH17)</f>
        <v>1276</v>
      </c>
      <c r="GI20" s="21"/>
      <c r="GJ20" s="28">
        <f>SUM(GJ3:GJ17)</f>
        <v>1914</v>
      </c>
      <c r="GK20" s="21"/>
      <c r="GL20" s="28">
        <f>SUM(GL3:GL17)</f>
        <v>1238.58</v>
      </c>
      <c r="GM20" s="21"/>
      <c r="GN20" s="28">
        <f>SUM(GN3:GN17)</f>
        <v>812</v>
      </c>
      <c r="GO20" s="21"/>
      <c r="GP20" s="28">
        <f>SUM(GP3:GP17)</f>
        <v>1740</v>
      </c>
      <c r="GQ20" s="21"/>
      <c r="GR20" s="28">
        <f>SUM(GR3:GR17)</f>
        <v>995.73</v>
      </c>
      <c r="GS20" s="21"/>
      <c r="GT20" s="28">
        <f>SUM(GT3:GT17)</f>
        <v>870</v>
      </c>
      <c r="GU20" s="21"/>
      <c r="GV20" s="28">
        <f>SUM(GV3:GV19)</f>
        <v>1580.04</v>
      </c>
      <c r="GW20" s="21"/>
      <c r="GX20" s="28">
        <f>SUM(GX3:GX19)</f>
        <v>1545</v>
      </c>
      <c r="GY20" s="21"/>
      <c r="GZ20" s="28">
        <f>SUM(GZ3:GZ19)</f>
        <v>986</v>
      </c>
      <c r="HA20" s="21"/>
      <c r="HB20" s="28">
        <f>SUM(HB3:HB19)</f>
        <v>2204</v>
      </c>
      <c r="HC20" s="21"/>
      <c r="HD20" s="28">
        <f>SUM(HD3:HD19)</f>
        <v>2601.52</v>
      </c>
      <c r="HE20" s="21"/>
      <c r="HF20" s="28">
        <f>SUM(HF3:HF19)</f>
        <v>3234.7</v>
      </c>
      <c r="HG20" s="21"/>
      <c r="HH20" s="28">
        <f>SUM(HH3:HH19)</f>
        <v>870</v>
      </c>
      <c r="HI20" s="21"/>
      <c r="HJ20" s="28">
        <f>SUM(HJ3:HJ19)</f>
        <v>638</v>
      </c>
      <c r="HK20" s="21"/>
      <c r="HL20" s="28">
        <f>SUM(HL3:HL19)</f>
        <v>290</v>
      </c>
      <c r="HM20" s="21"/>
      <c r="HN20" s="28">
        <f>SUM(HN3:HN19)</f>
        <v>580</v>
      </c>
      <c r="HO20" s="21"/>
      <c r="HP20" s="28">
        <f>SUM(HP3:HP19)</f>
        <v>1093.7</v>
      </c>
      <c r="HQ20" s="21"/>
      <c r="HR20" s="28">
        <f>SUM(HR3:HR19)</f>
        <v>1102</v>
      </c>
      <c r="HS20" s="21"/>
      <c r="HT20" s="28">
        <f>SUM(HT3:HT19)</f>
        <v>3253.5744</v>
      </c>
      <c r="HU20" s="21"/>
      <c r="HV20" s="28">
        <f>SUM(HV3:HV19)</f>
        <v>1266.3499999999999</v>
      </c>
      <c r="HW20" s="21"/>
      <c r="HX20" s="28">
        <f>SUM(HX3:HX19)</f>
        <v>898.05000000000007</v>
      </c>
      <c r="HY20" s="21"/>
      <c r="HZ20" s="28">
        <f>SUM(HZ3:HZ19)</f>
        <v>1447.75</v>
      </c>
      <c r="IA20" s="21"/>
      <c r="IB20" s="28">
        <f>SUM(IB3:IB19)</f>
        <v>1855.6599999999999</v>
      </c>
      <c r="IC20" s="21"/>
      <c r="ID20" s="28">
        <f>SUM(ID3:ID19)</f>
        <v>1504.83</v>
      </c>
      <c r="IE20" s="21"/>
      <c r="IF20" s="28">
        <f>SUM(IF3:IF19)</f>
        <v>955.31999999999994</v>
      </c>
      <c r="IG20" s="21"/>
      <c r="IH20" s="28">
        <f>SUM(IH3:IH19)</f>
        <v>1095.03</v>
      </c>
      <c r="II20" s="21"/>
      <c r="IJ20" s="28">
        <f>SUM(IJ3:IJ19)</f>
        <v>1994</v>
      </c>
      <c r="IK20" s="21"/>
      <c r="IL20" s="28">
        <f>SUM(IL3:IL19)</f>
        <v>1731.22</v>
      </c>
      <c r="IM20" s="21"/>
      <c r="IN20" s="28">
        <f>SUM(IN3:IN19)</f>
        <v>2927.7999999999997</v>
      </c>
      <c r="IO20" s="21"/>
      <c r="IP20" s="28">
        <f>SUM(IP3:IP19)</f>
        <v>322.10000000000002</v>
      </c>
      <c r="IQ20" s="21"/>
      <c r="IR20" s="28">
        <f>SUM(IR3:IR19)</f>
        <v>4272.2</v>
      </c>
      <c r="IS20" s="21"/>
      <c r="IT20" s="28">
        <f>SUM(IT3:IT19)</f>
        <v>1190.2</v>
      </c>
      <c r="IU20" s="21"/>
      <c r="IV20" s="28">
        <f>SUM(IV3:IV19)</f>
        <v>2629.5600000000004</v>
      </c>
      <c r="IW20" s="21"/>
      <c r="IX20" s="28">
        <f>SUM(IX3:IX19)</f>
        <v>1756.4699999999998</v>
      </c>
      <c r="IY20" s="21"/>
      <c r="IZ20" s="28">
        <f>SUM(IZ3:IZ19)</f>
        <v>521.12</v>
      </c>
      <c r="JA20" s="21"/>
      <c r="JB20" s="28">
        <f>SUM(JB3:JB19)</f>
        <v>1180.76</v>
      </c>
      <c r="JC20" s="21"/>
      <c r="JD20" s="28">
        <f>SUM(JD3:JD19)</f>
        <v>1159.1199999999999</v>
      </c>
      <c r="JE20" s="21"/>
      <c r="JF20" s="28">
        <f>SUM(JF3:JF19)</f>
        <v>832.76</v>
      </c>
      <c r="JG20" s="21"/>
      <c r="JH20" s="28">
        <f>SUM(JH3:JH19)</f>
        <v>3300.95</v>
      </c>
      <c r="JI20" s="21"/>
      <c r="JJ20" s="28">
        <f>SUM(JJ3:JJ19)</f>
        <v>496.81000000000006</v>
      </c>
      <c r="JK20" s="21"/>
      <c r="JL20" s="28">
        <f>SUM(JL3:JL19)</f>
        <v>805.74</v>
      </c>
      <c r="JM20" s="21"/>
      <c r="JN20" s="28">
        <f>SUM(JN3:JN19)</f>
        <v>928</v>
      </c>
      <c r="JO20" s="21"/>
      <c r="JP20" s="28">
        <f>SUM(JP3:JP19)</f>
        <v>1177.74</v>
      </c>
      <c r="JQ20" s="21"/>
      <c r="JR20" s="28">
        <f>SUM(JR3:JR19)</f>
        <v>2440</v>
      </c>
      <c r="JS20" s="21"/>
      <c r="JT20" s="28">
        <f>SUM(JT3:JT19)</f>
        <v>1244</v>
      </c>
      <c r="JU20" s="21"/>
      <c r="JV20" s="28">
        <f>SUM(JV3:JV19)</f>
        <v>2107.9700000000003</v>
      </c>
      <c r="JW20" s="21"/>
      <c r="JX20" s="28">
        <f>SUM(JX3:JX19)</f>
        <v>1680</v>
      </c>
      <c r="JY20" s="21"/>
      <c r="JZ20" s="28">
        <f>SUM(JZ3:JZ19)</f>
        <v>2030</v>
      </c>
      <c r="KA20" s="21"/>
      <c r="KB20" s="28">
        <f>SUM(KB3:KB19)</f>
        <v>1900.27</v>
      </c>
      <c r="KC20" s="21"/>
      <c r="KD20" s="28">
        <f>SUM(KD3:KD19)</f>
        <v>330.26</v>
      </c>
      <c r="KE20" s="21"/>
      <c r="KF20" s="28">
        <f>SUM(KF3:KF19)</f>
        <v>0</v>
      </c>
      <c r="KG20" s="21"/>
      <c r="KH20" s="28">
        <f>SUM(KH3:KH19)</f>
        <v>3019.74</v>
      </c>
      <c r="KI20" s="21"/>
      <c r="KJ20" s="28">
        <f>SUM(KJ3:KJ19)</f>
        <v>959.74</v>
      </c>
      <c r="KK20" s="21"/>
      <c r="KL20" s="28">
        <f>SUM(KL3:KL19)</f>
        <v>4763.8599999999997</v>
      </c>
      <c r="KM20" s="21"/>
      <c r="KN20" s="28">
        <f>SUM(KN3:KN19)</f>
        <v>2522.2299999999996</v>
      </c>
      <c r="KO20" s="21"/>
      <c r="KP20" s="28">
        <f>SUM(KP3:KP19)</f>
        <v>367.72</v>
      </c>
      <c r="KQ20" s="21"/>
      <c r="KR20" s="28">
        <f>SUM(KR3:KR19)</f>
        <v>140</v>
      </c>
      <c r="KS20" s="21"/>
      <c r="KT20" s="28">
        <f>SUM(KT3:KT19)</f>
        <v>2526.38</v>
      </c>
      <c r="KU20" s="21"/>
      <c r="KV20" s="28">
        <f>SUM(KV3:KV19)</f>
        <v>2380</v>
      </c>
      <c r="KW20" s="21"/>
      <c r="KX20" s="28">
        <f>SUM(KX3:KX19)</f>
        <v>3010</v>
      </c>
      <c r="KY20" s="21"/>
      <c r="KZ20" s="28">
        <f>SUM(KZ3:KZ19)</f>
        <v>2142.92</v>
      </c>
      <c r="LA20" s="21"/>
      <c r="LB20" s="28">
        <f>SUM(LB3:LB19)</f>
        <v>700</v>
      </c>
      <c r="LC20" s="21"/>
      <c r="LD20" s="28">
        <f>SUM(LD3:LD19)</f>
        <v>540.36</v>
      </c>
      <c r="LE20" s="21"/>
      <c r="LF20" s="28">
        <f>SUM(LF3:LF19)</f>
        <v>1015.68</v>
      </c>
      <c r="LG20" s="21"/>
      <c r="LH20" s="28">
        <f>SUM(LH3:LH19)</f>
        <v>1658.98</v>
      </c>
      <c r="LI20" s="21"/>
      <c r="LJ20" s="28">
        <f>SUM(LJ3:LJ19)</f>
        <v>2760</v>
      </c>
      <c r="LK20" s="21"/>
      <c r="LL20" s="28">
        <f>SUM(LL3:LL19)</f>
        <v>140</v>
      </c>
      <c r="LM20" s="21"/>
      <c r="LN20" s="28">
        <f>SUM(LN3:LN19)</f>
        <v>2739.2400000000002</v>
      </c>
      <c r="LO20" s="21"/>
      <c r="LP20" s="28">
        <f>SUM(LP3:LP19)</f>
        <v>1499.69</v>
      </c>
      <c r="LQ20" s="21"/>
      <c r="LR20" s="28">
        <f>SUM(LR3:LR19)</f>
        <v>1497.9</v>
      </c>
      <c r="LS20" s="21"/>
      <c r="LT20" s="28">
        <f>SUM(LT3:LT19)</f>
        <v>0</v>
      </c>
      <c r="LU20" s="21"/>
    </row>
    <row r="21" spans="1:333" ht="14.65" thickBot="1" x14ac:dyDescent="0.5">
      <c r="A21" s="5">
        <f>SUM(B21:ZZ21)</f>
        <v>54451.990000000013</v>
      </c>
      <c r="B21" s="10"/>
      <c r="C21" s="11">
        <f>SUM(C3:C13)</f>
        <v>1391.6</v>
      </c>
      <c r="D21" s="10"/>
      <c r="E21" s="11">
        <f>SUM(E3:E13)</f>
        <v>3029</v>
      </c>
      <c r="F21" s="10"/>
      <c r="G21" s="11">
        <f>SUM(G3:G13)</f>
        <v>3203</v>
      </c>
      <c r="H21" s="10"/>
      <c r="I21" s="11">
        <f>SUM(I3:I13)</f>
        <v>3538.4</v>
      </c>
      <c r="J21" s="10"/>
      <c r="K21" s="11">
        <f>SUM(K3:K13)</f>
        <v>1070.8</v>
      </c>
      <c r="L21" s="10"/>
      <c r="M21" s="11">
        <f>SUM(M3:M13)</f>
        <v>660</v>
      </c>
      <c r="N21" s="10"/>
      <c r="O21" s="11">
        <f>SUM(O3:O13)</f>
        <v>1365</v>
      </c>
      <c r="P21" s="10"/>
      <c r="Q21" s="11">
        <f>SUM(Q3:Q13)</f>
        <v>2223</v>
      </c>
      <c r="R21" s="10"/>
      <c r="S21" s="22">
        <f>SUM(S3:S13)</f>
        <v>1600</v>
      </c>
      <c r="T21" s="23"/>
      <c r="U21" s="22">
        <f>SUM(U3:U13)</f>
        <v>375</v>
      </c>
      <c r="V21" s="23"/>
      <c r="W21" s="22">
        <f>SUM(W3:W13)</f>
        <v>335</v>
      </c>
      <c r="X21" s="23"/>
      <c r="Y21" s="22">
        <f>SUM(Y3:Y13)</f>
        <v>0</v>
      </c>
      <c r="Z21" s="6"/>
      <c r="AA21" s="6">
        <f>SUM(AA3:AA13)</f>
        <v>0</v>
      </c>
      <c r="AB21" s="6"/>
      <c r="AC21" s="6">
        <f>SUM(AC3:AC13)</f>
        <v>0</v>
      </c>
      <c r="AD21" s="6"/>
      <c r="AE21" s="6">
        <f>SUM(AE3:AE13)</f>
        <v>0</v>
      </c>
      <c r="AF21" s="6"/>
      <c r="AG21" s="6">
        <f>SUM(AG3:AG13)</f>
        <v>1050</v>
      </c>
      <c r="AH21" s="6"/>
      <c r="AI21" s="6">
        <f>SUM(AI3:AI13)</f>
        <v>0</v>
      </c>
      <c r="AJ21" s="6"/>
      <c r="AK21" s="6">
        <f>SUM(AK3:AK13)</f>
        <v>185.54</v>
      </c>
      <c r="AL21" s="6"/>
      <c r="AM21" s="6">
        <f>SUM(AM3:AM13)</f>
        <v>1927.9</v>
      </c>
      <c r="AN21" s="6"/>
      <c r="AO21" s="6">
        <f>SUM(AO3:AO13)</f>
        <v>130</v>
      </c>
      <c r="AP21" s="6"/>
      <c r="AQ21" s="6">
        <f>SUM(AQ3:AQ13)</f>
        <v>610</v>
      </c>
      <c r="AR21" s="6"/>
      <c r="AS21" s="6">
        <f>SUM(AS3:AS13)</f>
        <v>180</v>
      </c>
      <c r="AT21" s="6"/>
      <c r="AU21" s="6">
        <f>SUM(AU3:AU13)</f>
        <v>80</v>
      </c>
      <c r="AV21" s="6"/>
      <c r="AW21" s="6">
        <f>SUM(AW3:AW13)</f>
        <v>110</v>
      </c>
      <c r="AX21" s="6"/>
      <c r="AY21" s="6">
        <f>SUM(AY3:AY13)</f>
        <v>230</v>
      </c>
      <c r="AZ21" s="6"/>
      <c r="BA21" s="6">
        <f>SUM(BA3:BA13)</f>
        <v>180</v>
      </c>
      <c r="BB21" s="6"/>
      <c r="BC21" s="6">
        <f>SUM(BC3:BC13)</f>
        <v>210</v>
      </c>
      <c r="BD21" s="6"/>
      <c r="BE21" s="6">
        <f>SUM(BE3:BE13)</f>
        <v>60</v>
      </c>
      <c r="BF21" s="6"/>
      <c r="BG21" s="6">
        <f>SUM(BG3:BG13)</f>
        <v>210</v>
      </c>
      <c r="BH21" s="6"/>
      <c r="BI21" s="6">
        <f>SUM(BI3:BI13)</f>
        <v>480</v>
      </c>
      <c r="BJ21" s="6"/>
      <c r="BK21" s="6">
        <f>SUM(BK3:BK13)</f>
        <v>0</v>
      </c>
      <c r="BL21" s="6"/>
      <c r="BM21" s="6">
        <f>SUM(BM3:BM13)</f>
        <v>528.5</v>
      </c>
      <c r="BN21" s="6"/>
      <c r="BO21" s="6">
        <f>SUM(BO3:BO13)</f>
        <v>543.55999999999995</v>
      </c>
      <c r="BP21" s="6"/>
      <c r="BQ21" s="6">
        <f>SUM(BQ3:BQ13)</f>
        <v>0</v>
      </c>
      <c r="BR21" s="6"/>
      <c r="BS21" s="6">
        <f>SUM(BS3:BS13)</f>
        <v>0</v>
      </c>
      <c r="BT21" s="6"/>
      <c r="BU21" s="6">
        <f>SUM(BU3:BU13)</f>
        <v>387.12</v>
      </c>
      <c r="BV21" s="6"/>
      <c r="BW21" s="6">
        <f>SUM(BW3:BW13)</f>
        <v>370</v>
      </c>
      <c r="BX21" s="6"/>
      <c r="BY21" s="6">
        <f>SUM(BY3:BY13)</f>
        <v>0</v>
      </c>
      <c r="BZ21" s="6"/>
      <c r="CA21" s="6">
        <f>SUM(CA3:CA13)</f>
        <v>0</v>
      </c>
      <c r="CB21" s="6"/>
      <c r="CC21" s="6">
        <f>SUM(CC3:CC13)</f>
        <v>366</v>
      </c>
      <c r="CD21" s="6"/>
      <c r="CE21" s="6">
        <f>SUM(CE3:CE13)</f>
        <v>1595</v>
      </c>
      <c r="CF21" s="6"/>
      <c r="CG21" s="6">
        <f>SUM(CG3:CG13)</f>
        <v>3230.1800000000003</v>
      </c>
      <c r="CH21" s="6"/>
      <c r="CI21" s="6">
        <f>SUM(CI3:CI13)</f>
        <v>1860</v>
      </c>
      <c r="CJ21" s="6"/>
      <c r="CK21" s="6">
        <f>SUM(CK3:CK13)</f>
        <v>1734</v>
      </c>
      <c r="CL21" s="6"/>
      <c r="CM21" s="6">
        <f>SUM(CM3:CM13)</f>
        <v>860</v>
      </c>
      <c r="CN21" s="6"/>
      <c r="CO21" s="6">
        <f>SUM(CO3:CO13)</f>
        <v>1920</v>
      </c>
      <c r="CP21" s="6"/>
      <c r="CQ21" s="6">
        <f>SUM(CQ3:CQ13)</f>
        <v>1340</v>
      </c>
      <c r="CR21" s="6"/>
      <c r="CS21" s="6">
        <f>SUM(CS3:CS13)</f>
        <v>2199</v>
      </c>
      <c r="CT21" s="6"/>
      <c r="CU21" s="6">
        <f>SUM(CU3:CU13)</f>
        <v>734</v>
      </c>
      <c r="CV21" s="6"/>
      <c r="CW21" s="6">
        <f>SUM(CW3:CW13)</f>
        <v>1007.98</v>
      </c>
      <c r="CX21" s="6"/>
      <c r="CY21" s="6">
        <f>SUM(CY3:CY13)</f>
        <v>1030</v>
      </c>
      <c r="CZ21" s="6"/>
      <c r="DA21" s="6">
        <f>SUM(DA3:DA13)</f>
        <v>1040</v>
      </c>
      <c r="DB21" s="6"/>
      <c r="DC21" s="6">
        <f>SUM(DC3:DC13)</f>
        <v>570</v>
      </c>
      <c r="DD21" s="6"/>
      <c r="DE21" s="6">
        <f>SUM(DE3:DE15)</f>
        <v>650</v>
      </c>
      <c r="DF21" s="6"/>
      <c r="DG21" s="6">
        <f>SUM(DG3:DG15)</f>
        <v>560</v>
      </c>
      <c r="DH21" s="6"/>
      <c r="DI21" s="6">
        <f>SUM(DI3:DI15)</f>
        <v>830</v>
      </c>
      <c r="DJ21" s="6"/>
      <c r="DK21" s="6">
        <f>SUM(DK3:DK15)</f>
        <v>0</v>
      </c>
      <c r="DL21" s="6"/>
      <c r="DM21" s="6">
        <f>SUM(DM3:DM15)</f>
        <v>330</v>
      </c>
      <c r="DN21" s="6"/>
      <c r="DO21" s="6">
        <f>SUM(DO3:DO15)</f>
        <v>890</v>
      </c>
      <c r="DP21" s="6"/>
      <c r="DQ21" s="6">
        <f>SUM(DQ3:DQ13)</f>
        <v>230</v>
      </c>
      <c r="DR21" s="6"/>
      <c r="DS21" s="6">
        <f>SUM(DS3:DS13)</f>
        <v>0</v>
      </c>
      <c r="DT21" s="6"/>
      <c r="DU21" s="6">
        <f>SUM(DU3:DU13)</f>
        <v>5.5</v>
      </c>
      <c r="DV21" s="6"/>
      <c r="DW21" s="6">
        <f>SUM(DW3:DW13)</f>
        <v>0</v>
      </c>
      <c r="DX21" s="6"/>
      <c r="DY21" s="6">
        <f>SUM(DY3:DY13)</f>
        <v>30</v>
      </c>
      <c r="DZ21" s="6"/>
      <c r="EA21" s="6">
        <f>SUM(EA3:EA13)</f>
        <v>0</v>
      </c>
      <c r="EB21" s="6"/>
      <c r="EC21" s="6">
        <f>SUM(EC3:EC13)</f>
        <v>20</v>
      </c>
      <c r="ED21" s="28"/>
      <c r="EE21" s="28">
        <f>SUM(EE3:EE15)</f>
        <v>0</v>
      </c>
      <c r="EF21" s="28"/>
      <c r="EG21" s="28">
        <f>SUM(EG3:EG15)</f>
        <v>0</v>
      </c>
      <c r="EH21" s="28"/>
      <c r="EI21" s="28">
        <f>SUM(EI3:EI15)</f>
        <v>0</v>
      </c>
      <c r="EJ21" s="28"/>
      <c r="EK21" s="28">
        <f>SUM(EK3:EK15)</f>
        <v>0</v>
      </c>
      <c r="EL21" s="28"/>
      <c r="EM21" s="28">
        <f>SUM(EM3:EM15)</f>
        <v>0</v>
      </c>
      <c r="EN21" s="28"/>
      <c r="EO21" s="28">
        <f>SUM(EO3:EO20)</f>
        <v>0</v>
      </c>
      <c r="EP21" s="28"/>
      <c r="EQ21" s="28">
        <f>SUM(EQ3:EQ20)</f>
        <v>0</v>
      </c>
      <c r="ER21" s="28"/>
      <c r="ES21" s="28">
        <f>SUM(ES3:ES20)</f>
        <v>0</v>
      </c>
      <c r="ET21" s="28"/>
      <c r="EU21" s="28">
        <f>SUM(EU3:EU20)</f>
        <v>1560</v>
      </c>
      <c r="EV21" s="21"/>
      <c r="EW21" s="28">
        <f>SUM(EW3:EW20)</f>
        <v>195</v>
      </c>
      <c r="EX21" s="21"/>
      <c r="EY21" s="28">
        <f>SUM(EY3:EY20)</f>
        <v>2015</v>
      </c>
      <c r="EZ21" s="21"/>
      <c r="FA21" s="28">
        <f>SUM(FA3:FA20)</f>
        <v>0</v>
      </c>
      <c r="FB21" s="21"/>
      <c r="FC21" s="28">
        <f>SUM(FC3:FC20)</f>
        <v>0</v>
      </c>
      <c r="FD21" s="21"/>
      <c r="FE21" s="28">
        <f>SUM(FE3:FE20)</f>
        <v>0</v>
      </c>
      <c r="FF21" s="21"/>
      <c r="FG21" s="28">
        <f>SUM(FG3:FG20)</f>
        <v>67</v>
      </c>
      <c r="FH21" s="21"/>
      <c r="FI21" s="28">
        <f>SUM(FI3:FI20)</f>
        <v>30</v>
      </c>
      <c r="FJ21" s="21"/>
      <c r="FK21" s="28">
        <f>SUM(FK3:FK20)</f>
        <v>30</v>
      </c>
      <c r="FL21" s="21"/>
      <c r="FM21" s="28">
        <f>SUM(FM3:FM20)</f>
        <v>0</v>
      </c>
      <c r="FN21" s="21"/>
      <c r="FO21" s="28">
        <f>SUM(FO3:FO20)</f>
        <v>90</v>
      </c>
      <c r="FP21" s="21"/>
      <c r="FQ21" s="28">
        <f>SUM(FQ3:FQ20)</f>
        <v>140</v>
      </c>
      <c r="FR21" s="21"/>
      <c r="FS21" s="28">
        <f>SUM(FS3:FS20)</f>
        <v>60</v>
      </c>
      <c r="FT21" s="21"/>
      <c r="FU21" s="28">
        <f>SUM(FU3:FU20)</f>
        <v>60</v>
      </c>
      <c r="FV21" s="21"/>
      <c r="FW21" s="28">
        <f>SUM(FW3:FW20)</f>
        <v>30</v>
      </c>
      <c r="FX21" s="21"/>
      <c r="FY21" s="28">
        <f>SUM(FY3:FY20)</f>
        <v>147</v>
      </c>
      <c r="FZ21" s="21"/>
      <c r="GA21" s="28">
        <f>SUM(GA3:GA20)</f>
        <v>60</v>
      </c>
      <c r="GB21" s="21"/>
      <c r="GC21" s="28">
        <f>SUM(GC3:GC20)</f>
        <v>0</v>
      </c>
      <c r="GD21" s="21"/>
      <c r="GE21" s="28">
        <f>SUM(GE3:GE20)</f>
        <v>0</v>
      </c>
      <c r="GF21" s="21"/>
      <c r="GG21" s="28">
        <f>SUM(GG3:GG20)</f>
        <v>0</v>
      </c>
      <c r="GH21" s="21"/>
      <c r="GI21" s="28">
        <f>SUM(GI3:GI20)</f>
        <v>0</v>
      </c>
      <c r="GJ21" s="21"/>
      <c r="GK21" s="28">
        <f>SUM(GK3:GK20)</f>
        <v>207.08</v>
      </c>
      <c r="GL21" s="21"/>
      <c r="GM21" s="28">
        <f>SUM(GM3:GM20)</f>
        <v>0</v>
      </c>
      <c r="GN21" s="21"/>
      <c r="GO21" s="28">
        <f>SUM(GO3:GO20)</f>
        <v>0</v>
      </c>
      <c r="GP21" s="21"/>
      <c r="GQ21" s="28">
        <f>SUM(GQ3:GQ20)</f>
        <v>107</v>
      </c>
      <c r="GR21" s="21"/>
      <c r="GS21" s="28">
        <f>SUM(GS3:GS20)</f>
        <v>60</v>
      </c>
      <c r="GT21" s="21"/>
      <c r="GU21" s="28">
        <f>SUM(GU3:GU20)</f>
        <v>0</v>
      </c>
      <c r="GV21" s="21"/>
      <c r="GW21" s="28">
        <f>SUM(GW3:GW20)</f>
        <v>64</v>
      </c>
      <c r="GX21" s="21"/>
      <c r="GY21" s="28">
        <f>SUM(GY3:GY20)</f>
        <v>30</v>
      </c>
      <c r="GZ21" s="21"/>
      <c r="HA21" s="28">
        <f>SUM(HA3:HA20)</f>
        <v>0</v>
      </c>
      <c r="HB21" s="21"/>
      <c r="HC21" s="28">
        <f>SUM(HC3:HC19)</f>
        <v>0</v>
      </c>
      <c r="HD21" s="21"/>
      <c r="HE21" s="28">
        <f>SUM(HE3:HE19)</f>
        <v>30</v>
      </c>
      <c r="HF21" s="21"/>
      <c r="HG21" s="28">
        <f>SUM(HG3:HG19)</f>
        <v>34.83</v>
      </c>
      <c r="HH21" s="21"/>
      <c r="HI21" s="28">
        <f>SUM(HI3:HI19)</f>
        <v>0</v>
      </c>
      <c r="HJ21" s="21"/>
      <c r="HK21" s="28">
        <f>SUM(HK3:HK19)</f>
        <v>0</v>
      </c>
      <c r="HL21" s="21"/>
      <c r="HM21" s="28">
        <f>SUM(HM3:HM19)</f>
        <v>0</v>
      </c>
      <c r="HN21" s="21"/>
      <c r="HO21" s="28">
        <f>SUM(HO3:HO19)</f>
        <v>0</v>
      </c>
      <c r="HP21" s="21"/>
      <c r="HQ21" s="28">
        <f>SUM(HQ3:HQ19)</f>
        <v>0</v>
      </c>
      <c r="HR21" s="21"/>
      <c r="HS21" s="28">
        <f>SUM(HS3:HS19)</f>
        <v>0</v>
      </c>
      <c r="HT21" s="21"/>
      <c r="HU21" s="28">
        <f>SUM(HU3:HU19)</f>
        <v>0</v>
      </c>
      <c r="HV21" s="21"/>
      <c r="HW21" s="28">
        <f>SUM(HW3:HW19)</f>
        <v>0</v>
      </c>
      <c r="HX21" s="21"/>
      <c r="HY21" s="28">
        <f>SUM(HY3:HY19)</f>
        <v>0</v>
      </c>
      <c r="HZ21" s="21"/>
      <c r="IA21" s="28">
        <f>SUM(IA3:IA19)</f>
        <v>0</v>
      </c>
      <c r="IB21" s="21"/>
      <c r="IC21" s="28">
        <f>SUM(IC3:IC19)</f>
        <v>0</v>
      </c>
      <c r="ID21" s="21"/>
      <c r="IE21" s="28">
        <f>SUM(IE3:IE19)</f>
        <v>0</v>
      </c>
      <c r="IF21" s="21"/>
      <c r="IG21" s="28">
        <f>SUM(IG3:IG19)</f>
        <v>0</v>
      </c>
      <c r="IH21" s="21"/>
      <c r="II21" s="28">
        <f>SUM(II3:II19)</f>
        <v>0</v>
      </c>
      <c r="IJ21" s="21"/>
      <c r="IK21" s="28">
        <f>SUM(IK3:IK19)</f>
        <v>0</v>
      </c>
      <c r="IL21" s="21"/>
      <c r="IM21" s="28">
        <f>SUM(IM3:IM19)</f>
        <v>0</v>
      </c>
      <c r="IN21" s="21"/>
      <c r="IO21" s="28">
        <f>SUM(IO3:IO19)</f>
        <v>0</v>
      </c>
      <c r="IP21" s="21"/>
      <c r="IQ21" s="28">
        <f>SUM(IQ3:IQ19)</f>
        <v>0</v>
      </c>
      <c r="IR21" s="21"/>
      <c r="IS21" s="28">
        <f>SUM(IS3:IS19)</f>
        <v>0</v>
      </c>
      <c r="IT21" s="21"/>
      <c r="IU21" s="28">
        <f>SUM(IU3:IU19)</f>
        <v>0</v>
      </c>
      <c r="IV21" s="21"/>
      <c r="IW21" s="28">
        <f>SUM(IW3:IW19)</f>
        <v>0</v>
      </c>
      <c r="IX21" s="21"/>
      <c r="IY21" s="28">
        <f>SUM(IY3:IY19)</f>
        <v>0</v>
      </c>
      <c r="IZ21" s="21"/>
      <c r="JA21" s="28">
        <f>SUM(JA3:JA19)</f>
        <v>0</v>
      </c>
      <c r="JB21" s="21"/>
      <c r="JC21" s="28">
        <f>SUM(JC3:JC19)</f>
        <v>0</v>
      </c>
      <c r="JD21" s="21"/>
      <c r="JE21" s="28">
        <f>SUM(JE3:JE19)</f>
        <v>0</v>
      </c>
      <c r="JF21" s="21"/>
      <c r="JG21" s="28">
        <f>SUM(JG3:JG19)</f>
        <v>0</v>
      </c>
      <c r="JH21" s="21"/>
      <c r="JI21" s="28">
        <f>SUM(JI3:JI19)</f>
        <v>0</v>
      </c>
      <c r="JJ21" s="21"/>
      <c r="JK21" s="28">
        <f>SUM(JK3:JK19)</f>
        <v>0</v>
      </c>
      <c r="JL21" s="21"/>
      <c r="JM21" s="28">
        <f>SUM(JM3:JM19)</f>
        <v>0</v>
      </c>
      <c r="JN21" s="21"/>
      <c r="JO21" s="28">
        <f>SUM(JO3:JO19)</f>
        <v>0</v>
      </c>
      <c r="JP21" s="21"/>
      <c r="JQ21" s="28">
        <f>SUM(JQ3:JQ19)</f>
        <v>0</v>
      </c>
      <c r="JR21" s="21"/>
      <c r="JS21" s="28">
        <f>SUM(JS3:JS19)</f>
        <v>0</v>
      </c>
      <c r="JT21" s="21"/>
      <c r="JU21" s="28">
        <f>SUM(JU3:JU19)</f>
        <v>0</v>
      </c>
      <c r="JV21" s="21"/>
      <c r="JW21" s="28">
        <f>SUM(JW3:JW19)</f>
        <v>0</v>
      </c>
      <c r="JX21" s="21"/>
      <c r="JY21" s="28">
        <f>SUM(JY3:JY19)</f>
        <v>0</v>
      </c>
      <c r="JZ21" s="21"/>
      <c r="KA21" s="28">
        <f>SUM(KA3:KA19)</f>
        <v>105</v>
      </c>
      <c r="KB21" s="21"/>
      <c r="KC21" s="28">
        <f>SUM(KC3:KC19)</f>
        <v>35</v>
      </c>
      <c r="KD21" s="21"/>
      <c r="KE21" s="28">
        <f>SUM(KE3:KE19)</f>
        <v>0</v>
      </c>
      <c r="KF21" s="21"/>
      <c r="KG21" s="28">
        <f>SUM(KG3:KG19)</f>
        <v>0</v>
      </c>
      <c r="KH21" s="21"/>
      <c r="KI21" s="28">
        <f>SUM(KI3:KI19)</f>
        <v>0</v>
      </c>
      <c r="KJ21" s="21"/>
      <c r="KK21" s="28">
        <f>SUM(KK3:KK19)</f>
        <v>0</v>
      </c>
      <c r="KL21" s="21"/>
      <c r="KM21" s="28">
        <f>SUM(KM3:KM19)</f>
        <v>0</v>
      </c>
      <c r="KN21" s="21"/>
      <c r="KO21" s="28">
        <f>SUM(KO3:KO19)</f>
        <v>0</v>
      </c>
      <c r="KP21" s="21"/>
      <c r="KQ21" s="28">
        <f>SUM(KQ3:KQ19)</f>
        <v>0</v>
      </c>
      <c r="KR21" s="21"/>
      <c r="KS21" s="28">
        <f>SUM(KS3:KS19)</f>
        <v>0</v>
      </c>
      <c r="KT21" s="21"/>
      <c r="KU21" s="28">
        <f>SUM(KU3:KU19)</f>
        <v>0</v>
      </c>
      <c r="KV21" s="21"/>
      <c r="KW21" s="28">
        <f>SUM(KW3:KW19)</f>
        <v>0</v>
      </c>
      <c r="KX21" s="21"/>
      <c r="KY21" s="28">
        <f>SUM(KY3:KY19)</f>
        <v>0</v>
      </c>
      <c r="KZ21" s="21"/>
      <c r="LA21" s="28">
        <f>SUM(LA3:LA19)</f>
        <v>0</v>
      </c>
      <c r="LB21" s="21"/>
      <c r="LC21" s="28">
        <f>SUM(LC3:LC19)</f>
        <v>0</v>
      </c>
      <c r="LD21" s="21"/>
      <c r="LE21" s="28">
        <f>SUM(LE3:LE19)</f>
        <v>0</v>
      </c>
      <c r="LF21" s="21"/>
      <c r="LG21" s="28">
        <f>SUM(LG3:LG19)</f>
        <v>0</v>
      </c>
      <c r="LH21" s="21"/>
      <c r="LI21" s="28">
        <f>SUM(LI3:LI19)</f>
        <v>0</v>
      </c>
      <c r="LJ21" s="21"/>
      <c r="LK21" s="28">
        <f>SUM(LK3:LK19)</f>
        <v>0</v>
      </c>
      <c r="LL21" s="21"/>
      <c r="LM21" s="28">
        <f>SUM(LM3:LM19)</f>
        <v>0</v>
      </c>
      <c r="LN21" s="21"/>
      <c r="LO21" s="28">
        <f>SUM(LO3:LO19)</f>
        <v>0</v>
      </c>
      <c r="LP21" s="21"/>
      <c r="LQ21" s="28">
        <f>SUM(LQ3:LQ19)</f>
        <v>0</v>
      </c>
      <c r="LR21" s="21"/>
      <c r="LS21" s="28">
        <f>SUM(LS3:LS19)</f>
        <v>0</v>
      </c>
      <c r="LT21" s="21"/>
      <c r="LU21" s="28">
        <f>SUM(LU3:LU19)</f>
        <v>0</v>
      </c>
    </row>
    <row r="22" spans="1:333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50" t="s">
        <v>13</v>
      </c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1" t="s">
        <v>14</v>
      </c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3"/>
      <c r="BH22" s="56" t="s">
        <v>15</v>
      </c>
      <c r="BI22" s="57"/>
      <c r="BJ22" s="57"/>
      <c r="BK22" s="57"/>
      <c r="DD22" s="17">
        <f>SUM(DD21:DO21)</f>
        <v>3260</v>
      </c>
    </row>
    <row r="23" spans="1:333" x14ac:dyDescent="0.45">
      <c r="BH23" s="58" t="s">
        <v>16</v>
      </c>
      <c r="BI23" s="59"/>
      <c r="BJ23" s="59"/>
      <c r="BK23" s="59"/>
      <c r="BL23" s="60" t="s">
        <v>17</v>
      </c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2"/>
      <c r="CH23" s="60" t="s">
        <v>18</v>
      </c>
      <c r="CI23" s="61"/>
      <c r="CJ23" s="61"/>
      <c r="CK23" s="61"/>
    </row>
    <row r="24" spans="1:333" x14ac:dyDescent="0.45">
      <c r="P24">
        <v>3588</v>
      </c>
      <c r="BB24">
        <v>4113.4399999999996</v>
      </c>
      <c r="BC24" s="17">
        <f>BB24-AK9</f>
        <v>3927.8999999999996</v>
      </c>
      <c r="BD24" s="17">
        <f>BC24-AM9</f>
        <v>3309.9999999999995</v>
      </c>
    </row>
    <row r="25" spans="1:333" x14ac:dyDescent="0.45">
      <c r="P25">
        <v>-245</v>
      </c>
    </row>
    <row r="26" spans="1:333" x14ac:dyDescent="0.45">
      <c r="P26">
        <f>SUM(P24:P25)</f>
        <v>3343</v>
      </c>
      <c r="Z26" s="14">
        <v>43973</v>
      </c>
      <c r="AA26">
        <v>1.4004000000000001</v>
      </c>
    </row>
    <row r="27" spans="1:333" x14ac:dyDescent="0.45">
      <c r="AM27" s="18"/>
      <c r="AO27" s="18"/>
      <c r="AQ27" s="18"/>
      <c r="AS27" s="18"/>
      <c r="AU27" s="18"/>
      <c r="AW27" s="18"/>
      <c r="AY27" s="18"/>
    </row>
    <row r="28" spans="1:333" x14ac:dyDescent="0.45">
      <c r="Z28" s="14">
        <v>43976</v>
      </c>
      <c r="AA28" s="15">
        <v>1.3980999999999999</v>
      </c>
      <c r="AB28">
        <v>50</v>
      </c>
      <c r="AC28" s="16">
        <f>AA28*AB28</f>
        <v>69.905000000000001</v>
      </c>
      <c r="AF28" s="12">
        <v>4680</v>
      </c>
      <c r="AG28" s="12">
        <v>4680</v>
      </c>
      <c r="AH28" s="12">
        <v>4680</v>
      </c>
      <c r="AI28" s="12">
        <v>4680</v>
      </c>
    </row>
    <row r="29" spans="1:333" x14ac:dyDescent="0.45">
      <c r="Z29" s="14">
        <v>43977</v>
      </c>
      <c r="AA29" s="15">
        <v>1.3786</v>
      </c>
      <c r="AB29">
        <v>50</v>
      </c>
      <c r="AC29" s="16">
        <f t="shared" ref="AC29:AC48" si="0">AA29*AB29</f>
        <v>68.930000000000007</v>
      </c>
      <c r="AE29">
        <v>1050</v>
      </c>
      <c r="AF29" s="12">
        <v>1428.1680000000003</v>
      </c>
      <c r="AG29" s="12">
        <v>1468.0049999999999</v>
      </c>
      <c r="AH29" s="12">
        <v>1470.42</v>
      </c>
      <c r="AI29" s="12">
        <v>1466.85</v>
      </c>
    </row>
    <row r="30" spans="1:333" x14ac:dyDescent="0.45">
      <c r="Z30" s="14">
        <v>43978</v>
      </c>
      <c r="AA30" s="15">
        <v>1.3756999999999999</v>
      </c>
      <c r="AB30">
        <v>50</v>
      </c>
      <c r="AC30" s="16">
        <f t="shared" si="0"/>
        <v>68.784999999999997</v>
      </c>
      <c r="AF30" s="12">
        <v>3251.8319999999994</v>
      </c>
      <c r="AG30" s="12">
        <v>3211.9949999999999</v>
      </c>
      <c r="AH30" s="12">
        <v>3209.58</v>
      </c>
      <c r="AI30" s="12">
        <v>3213.15</v>
      </c>
      <c r="AK30" s="17">
        <v>2733.15</v>
      </c>
      <c r="AL30" s="17"/>
      <c r="AM30">
        <f>120*7</f>
        <v>840</v>
      </c>
      <c r="AN30" s="17">
        <f>120*14</f>
        <v>1680</v>
      </c>
      <c r="AO30">
        <v>1680</v>
      </c>
      <c r="AP30" s="17">
        <v>1680</v>
      </c>
      <c r="AR30" s="17"/>
      <c r="AT30" s="17"/>
      <c r="AV30" s="17"/>
      <c r="AX30" s="17"/>
    </row>
    <row r="31" spans="1:333" x14ac:dyDescent="0.45">
      <c r="Z31" s="14">
        <v>43979</v>
      </c>
      <c r="AA31" s="15">
        <v>1.3771</v>
      </c>
      <c r="AB31">
        <v>50</v>
      </c>
      <c r="AC31" s="16">
        <f t="shared" si="0"/>
        <v>68.855000000000004</v>
      </c>
      <c r="AN31" s="17">
        <f>AM30+AN30</f>
        <v>2520</v>
      </c>
    </row>
    <row r="32" spans="1:333" x14ac:dyDescent="0.45">
      <c r="Z32" s="14">
        <v>43980</v>
      </c>
      <c r="AA32" s="15">
        <v>1.3764000000000001</v>
      </c>
      <c r="AB32">
        <v>50</v>
      </c>
      <c r="AC32" s="16">
        <f t="shared" si="0"/>
        <v>68.820000000000007</v>
      </c>
    </row>
    <row r="33" spans="26:267" x14ac:dyDescent="0.45">
      <c r="Z33" s="14">
        <v>43981</v>
      </c>
      <c r="AA33" s="15">
        <v>1.3764000000000001</v>
      </c>
      <c r="AB33">
        <v>50</v>
      </c>
      <c r="AC33" s="16">
        <f t="shared" si="0"/>
        <v>68.820000000000007</v>
      </c>
      <c r="CQ33" s="17"/>
    </row>
    <row r="34" spans="26:267" x14ac:dyDescent="0.45">
      <c r="Z34" s="14">
        <v>43982</v>
      </c>
      <c r="AA34" s="15">
        <v>1.3767</v>
      </c>
      <c r="AB34">
        <v>50</v>
      </c>
      <c r="AC34" s="16">
        <f t="shared" si="0"/>
        <v>68.835000000000008</v>
      </c>
      <c r="AM34">
        <v>1.3587</v>
      </c>
    </row>
    <row r="35" spans="26:267" x14ac:dyDescent="0.45">
      <c r="Z35" s="14">
        <v>43983</v>
      </c>
      <c r="AA35" s="15">
        <v>1.3572</v>
      </c>
      <c r="AB35">
        <v>50</v>
      </c>
      <c r="AC35" s="16">
        <f t="shared" si="0"/>
        <v>67.86</v>
      </c>
      <c r="AM35" s="17">
        <f>AM10*AM34</f>
        <v>1426.635</v>
      </c>
      <c r="AN35" s="17">
        <f>AN31-AM35</f>
        <v>1093.365</v>
      </c>
    </row>
    <row r="36" spans="26:267" x14ac:dyDescent="0.45">
      <c r="Z36" s="14">
        <v>43984</v>
      </c>
      <c r="AA36" s="15">
        <v>1.3523000000000001</v>
      </c>
      <c r="AB36">
        <v>50</v>
      </c>
      <c r="AC36" s="16">
        <f t="shared" si="0"/>
        <v>67.615000000000009</v>
      </c>
    </row>
    <row r="37" spans="26:267" x14ac:dyDescent="0.45">
      <c r="Z37" s="14">
        <v>43985</v>
      </c>
      <c r="AA37" s="15">
        <v>1.3493999999999999</v>
      </c>
      <c r="AB37">
        <v>50</v>
      </c>
      <c r="AC37" s="16">
        <f t="shared" si="0"/>
        <v>67.47</v>
      </c>
      <c r="IZ37" t="s">
        <v>27</v>
      </c>
    </row>
    <row r="38" spans="26:267" x14ac:dyDescent="0.45">
      <c r="Z38" s="14">
        <v>43986</v>
      </c>
      <c r="AA38" s="15">
        <v>1.3503000000000001</v>
      </c>
      <c r="AB38">
        <v>50</v>
      </c>
      <c r="AC38" s="16">
        <f t="shared" si="0"/>
        <v>67.515000000000001</v>
      </c>
    </row>
    <row r="39" spans="26:267" x14ac:dyDescent="0.45">
      <c r="Z39" s="14">
        <v>43987</v>
      </c>
      <c r="AA39" s="15">
        <v>1.3426</v>
      </c>
      <c r="AB39">
        <v>50</v>
      </c>
      <c r="AC39" s="16">
        <f t="shared" si="0"/>
        <v>67.13</v>
      </c>
      <c r="JA39" s="34" t="s">
        <v>25</v>
      </c>
      <c r="JB39" s="34" t="s">
        <v>26</v>
      </c>
    </row>
    <row r="40" spans="26:267" x14ac:dyDescent="0.45">
      <c r="Z40" s="14">
        <v>43988</v>
      </c>
      <c r="AA40" s="15">
        <v>1.3426</v>
      </c>
      <c r="AB40">
        <v>50</v>
      </c>
      <c r="AC40" s="16">
        <f t="shared" si="0"/>
        <v>67.13</v>
      </c>
      <c r="IZ40" s="32">
        <v>45508</v>
      </c>
      <c r="JA40" s="33">
        <v>322.10000000000002</v>
      </c>
      <c r="JB40" s="33">
        <v>322.10000000000002</v>
      </c>
      <c r="JE40" s="34" t="s">
        <v>25</v>
      </c>
      <c r="JF40" s="34" t="s">
        <v>26</v>
      </c>
    </row>
    <row r="41" spans="26:267" x14ac:dyDescent="0.45">
      <c r="Z41" s="14">
        <v>43989</v>
      </c>
      <c r="AA41" s="15">
        <v>1.3411</v>
      </c>
      <c r="AB41">
        <v>50</v>
      </c>
      <c r="AC41" s="16">
        <f t="shared" si="0"/>
        <v>67.054999999999993</v>
      </c>
      <c r="IZ41" s="32">
        <v>45522</v>
      </c>
      <c r="JA41" s="33">
        <v>640</v>
      </c>
      <c r="JB41" s="33">
        <v>1360</v>
      </c>
      <c r="JD41" s="37">
        <v>45522</v>
      </c>
      <c r="JE41" s="38">
        <v>640</v>
      </c>
      <c r="JF41" s="38">
        <v>1360</v>
      </c>
    </row>
    <row r="42" spans="26:267" x14ac:dyDescent="0.45">
      <c r="Z42" s="14">
        <v>43990</v>
      </c>
      <c r="AA42" s="15">
        <v>1.3386</v>
      </c>
      <c r="AB42">
        <v>50</v>
      </c>
      <c r="AC42" s="16">
        <f t="shared" si="0"/>
        <v>66.930000000000007</v>
      </c>
      <c r="IZ42" s="32">
        <v>45536</v>
      </c>
      <c r="JA42" s="33">
        <v>1101.75</v>
      </c>
      <c r="JB42" s="33">
        <v>0</v>
      </c>
      <c r="JD42" s="37">
        <v>45536</v>
      </c>
      <c r="JE42" s="38">
        <v>1101.75</v>
      </c>
      <c r="JF42" s="38">
        <v>0</v>
      </c>
    </row>
    <row r="43" spans="26:267" x14ac:dyDescent="0.45">
      <c r="Z43" s="14">
        <v>43991</v>
      </c>
      <c r="AA43" s="15">
        <v>1.3416999999999999</v>
      </c>
      <c r="AB43">
        <v>50</v>
      </c>
      <c r="AC43" s="16">
        <f t="shared" si="0"/>
        <v>67.084999999999994</v>
      </c>
      <c r="IZ43" s="32">
        <v>45550</v>
      </c>
      <c r="JA43" s="33">
        <v>113.22</v>
      </c>
      <c r="JB43" s="33">
        <v>574.97</v>
      </c>
      <c r="JD43" s="37">
        <v>45550</v>
      </c>
      <c r="JE43" s="38">
        <v>113.22</v>
      </c>
      <c r="JF43" s="38">
        <v>574.97</v>
      </c>
    </row>
    <row r="44" spans="26:267" x14ac:dyDescent="0.45">
      <c r="Z44" s="14">
        <v>43992</v>
      </c>
      <c r="AA44" s="15">
        <v>1.3402000000000001</v>
      </c>
      <c r="AB44">
        <v>50</v>
      </c>
      <c r="AC44" s="16">
        <f t="shared" si="0"/>
        <v>67.010000000000005</v>
      </c>
      <c r="IZ44" s="35">
        <v>45564</v>
      </c>
      <c r="JA44" s="36">
        <v>522</v>
      </c>
      <c r="JB44" s="36">
        <v>442</v>
      </c>
      <c r="JE44" s="38">
        <f>SUM(JE41:JE43)</f>
        <v>1854.97</v>
      </c>
      <c r="JF44" s="38">
        <f>SUM(JF41:JF43)</f>
        <v>1934.97</v>
      </c>
      <c r="JG44" s="39">
        <f>JE44-JF44</f>
        <v>-80</v>
      </c>
    </row>
    <row r="45" spans="26:267" x14ac:dyDescent="0.45">
      <c r="Z45" s="14">
        <v>43993</v>
      </c>
      <c r="AA45" s="15">
        <v>1.3612</v>
      </c>
      <c r="AB45">
        <v>50</v>
      </c>
      <c r="AC45" s="16">
        <f t="shared" si="0"/>
        <v>68.06</v>
      </c>
      <c r="IZ45" s="32">
        <v>45578</v>
      </c>
      <c r="JA45" s="33">
        <v>0</v>
      </c>
      <c r="JB45" s="33">
        <v>0</v>
      </c>
    </row>
    <row r="46" spans="26:267" x14ac:dyDescent="0.45">
      <c r="Z46" s="14">
        <v>43994</v>
      </c>
      <c r="AA46" s="15">
        <v>1.3584000000000001</v>
      </c>
      <c r="AB46">
        <v>50</v>
      </c>
      <c r="AC46" s="16">
        <f t="shared" si="0"/>
        <v>67.92</v>
      </c>
      <c r="IZ46" s="32">
        <v>45592</v>
      </c>
      <c r="JA46" s="40">
        <v>406</v>
      </c>
      <c r="JB46" s="40">
        <v>406</v>
      </c>
    </row>
    <row r="47" spans="26:267" x14ac:dyDescent="0.45">
      <c r="Z47" s="14">
        <v>43995</v>
      </c>
      <c r="AA47" s="15">
        <v>1.3584000000000001</v>
      </c>
      <c r="AB47">
        <v>50</v>
      </c>
      <c r="AC47" s="16">
        <f t="shared" si="0"/>
        <v>67.92</v>
      </c>
      <c r="JA47" s="41">
        <f>SUM(JA40:JA46)</f>
        <v>3105.0699999999997</v>
      </c>
      <c r="JB47" s="42">
        <f>SUM(JB40:JB46)</f>
        <v>3105.0699999999997</v>
      </c>
      <c r="JC47" s="43">
        <f>JB47-JA47</f>
        <v>0</v>
      </c>
    </row>
    <row r="48" spans="26:267" x14ac:dyDescent="0.45">
      <c r="Z48" s="14">
        <v>43996</v>
      </c>
      <c r="AA48" s="15">
        <v>1.3607</v>
      </c>
      <c r="AB48">
        <v>50</v>
      </c>
      <c r="AC48" s="16">
        <f t="shared" si="0"/>
        <v>68.034999999999997</v>
      </c>
    </row>
    <row r="49" spans="26:263" x14ac:dyDescent="0.45">
      <c r="Z49" s="14">
        <v>43997</v>
      </c>
      <c r="AA49" s="15">
        <v>1.3565</v>
      </c>
      <c r="AB49">
        <v>50</v>
      </c>
      <c r="AC49" s="16"/>
    </row>
    <row r="50" spans="26:263" x14ac:dyDescent="0.45">
      <c r="Z50" s="14">
        <v>43998</v>
      </c>
      <c r="AA50" s="15">
        <v>1.3546</v>
      </c>
      <c r="AB50">
        <v>50</v>
      </c>
      <c r="AC50" s="16"/>
    </row>
    <row r="51" spans="26:263" x14ac:dyDescent="0.45">
      <c r="Z51" s="14">
        <v>43999</v>
      </c>
      <c r="AA51" s="15">
        <v>1.3563000000000001</v>
      </c>
      <c r="AB51">
        <v>50</v>
      </c>
      <c r="AC51" s="16"/>
      <c r="IZ51" t="s">
        <v>28</v>
      </c>
    </row>
    <row r="52" spans="26:263" x14ac:dyDescent="0.45">
      <c r="Z52" s="14">
        <v>44000</v>
      </c>
      <c r="AA52" s="15">
        <v>1.3603000000000001</v>
      </c>
      <c r="AB52">
        <v>50</v>
      </c>
      <c r="AC52" s="16"/>
    </row>
    <row r="53" spans="26:263" x14ac:dyDescent="0.45">
      <c r="Z53" s="14">
        <v>44001</v>
      </c>
      <c r="AA53" s="15">
        <v>1.3605</v>
      </c>
      <c r="AB53">
        <v>50</v>
      </c>
      <c r="AC53" s="16"/>
      <c r="JA53" s="34" t="s">
        <v>25</v>
      </c>
      <c r="JB53" s="34" t="s">
        <v>26</v>
      </c>
    </row>
    <row r="54" spans="26:263" x14ac:dyDescent="0.45">
      <c r="Z54" s="14">
        <v>44002</v>
      </c>
      <c r="AA54" s="15">
        <v>1.3605</v>
      </c>
      <c r="AB54">
        <v>50</v>
      </c>
      <c r="AC54" s="16"/>
      <c r="IZ54" s="44">
        <v>45508</v>
      </c>
      <c r="JA54" s="45">
        <v>0</v>
      </c>
      <c r="JB54" s="45">
        <v>0</v>
      </c>
    </row>
    <row r="55" spans="26:263" x14ac:dyDescent="0.45">
      <c r="Z55" s="14">
        <v>44003</v>
      </c>
      <c r="AA55" s="15">
        <v>1.3614999999999999</v>
      </c>
      <c r="AB55">
        <v>50</v>
      </c>
      <c r="AC55" s="16"/>
      <c r="IZ55" s="44">
        <v>45522</v>
      </c>
      <c r="JA55" s="45">
        <v>640</v>
      </c>
      <c r="JB55" s="45">
        <v>0</v>
      </c>
    </row>
    <row r="56" spans="26:263" x14ac:dyDescent="0.45">
      <c r="Z56" s="14">
        <v>44004</v>
      </c>
      <c r="AA56" s="15">
        <v>1.3523000000000001</v>
      </c>
      <c r="AB56">
        <v>50</v>
      </c>
      <c r="AC56" s="16"/>
      <c r="IZ56" s="44">
        <v>45536</v>
      </c>
      <c r="JA56" s="45">
        <v>1070.25</v>
      </c>
      <c r="JB56" s="45">
        <v>1280</v>
      </c>
    </row>
    <row r="57" spans="26:263" x14ac:dyDescent="0.45">
      <c r="Z57" s="14">
        <v>44005</v>
      </c>
      <c r="AA57" s="15">
        <v>1.355</v>
      </c>
      <c r="AB57">
        <v>50</v>
      </c>
      <c r="AC57" s="16"/>
      <c r="IZ57" s="44">
        <v>45550</v>
      </c>
      <c r="JA57" s="45">
        <v>56.93</v>
      </c>
      <c r="JB57" s="45">
        <v>487.18</v>
      </c>
    </row>
    <row r="58" spans="26:263" x14ac:dyDescent="0.45">
      <c r="Z58" s="14">
        <v>44006</v>
      </c>
      <c r="AA58" s="15">
        <v>1.3638999999999999</v>
      </c>
      <c r="AB58">
        <v>50</v>
      </c>
      <c r="AC58" s="16"/>
      <c r="IZ58" s="44">
        <v>45564</v>
      </c>
      <c r="JA58" s="45">
        <v>503.35</v>
      </c>
      <c r="JB58" s="45">
        <v>503.35</v>
      </c>
    </row>
    <row r="59" spans="26:263" x14ac:dyDescent="0.45">
      <c r="Z59" s="14">
        <v>44007</v>
      </c>
      <c r="AA59" s="15">
        <v>1.3636999999999999</v>
      </c>
      <c r="AB59">
        <v>50</v>
      </c>
      <c r="AC59" s="16"/>
      <c r="IZ59" s="44">
        <v>45578</v>
      </c>
      <c r="JA59" s="45">
        <v>0</v>
      </c>
      <c r="JB59" s="45">
        <v>0</v>
      </c>
    </row>
    <row r="60" spans="26:263" x14ac:dyDescent="0.45">
      <c r="Z60" s="14">
        <v>44008</v>
      </c>
      <c r="AA60" s="15">
        <v>1.369</v>
      </c>
      <c r="AB60">
        <v>50</v>
      </c>
      <c r="AC60" s="16"/>
      <c r="IZ60" s="44">
        <v>45592</v>
      </c>
      <c r="JA60" s="46">
        <v>0</v>
      </c>
      <c r="JB60" s="46">
        <v>0</v>
      </c>
    </row>
    <row r="61" spans="26:263" x14ac:dyDescent="0.45">
      <c r="Z61" s="14">
        <v>44009</v>
      </c>
      <c r="AA61" s="15">
        <v>1.369</v>
      </c>
      <c r="AB61">
        <v>50</v>
      </c>
      <c r="AC61" s="16"/>
      <c r="JA61" s="7">
        <f>SUM(JA54:JA60)</f>
        <v>2270.5300000000002</v>
      </c>
      <c r="JB61" s="7">
        <f>SUM(JB54:JB60)</f>
        <v>2270.5300000000002</v>
      </c>
      <c r="JC61" s="47">
        <f>JB61-JA61</f>
        <v>0</v>
      </c>
    </row>
    <row r="62" spans="26:263" x14ac:dyDescent="0.45">
      <c r="Z62" s="14">
        <v>44010</v>
      </c>
      <c r="AA62" s="15">
        <v>1.3688</v>
      </c>
      <c r="AB62">
        <v>50</v>
      </c>
      <c r="AC62" s="16"/>
    </row>
    <row r="63" spans="26:263" x14ac:dyDescent="0.45">
      <c r="AC63">
        <f>SUM(AC28:AC62)</f>
        <v>1427.6850000000002</v>
      </c>
    </row>
  </sheetData>
  <mergeCells count="172">
    <mergeCell ref="LF1:LG1"/>
    <mergeCell ref="LH1:LI1"/>
    <mergeCell ref="LJ1:LK1"/>
    <mergeCell ref="LL1:LM1"/>
    <mergeCell ref="LN1:LO1"/>
    <mergeCell ref="LP1:LQ1"/>
    <mergeCell ref="LR1:LS1"/>
    <mergeCell ref="LT1:LU1"/>
    <mergeCell ref="KP1:KQ1"/>
    <mergeCell ref="KR1:KS1"/>
    <mergeCell ref="KT1:KU1"/>
    <mergeCell ref="KV1:KW1"/>
    <mergeCell ref="KX1:KY1"/>
    <mergeCell ref="KZ1:LA1"/>
    <mergeCell ref="IZ1:JA1"/>
    <mergeCell ref="JB1:JC1"/>
    <mergeCell ref="JD1:JE1"/>
    <mergeCell ref="JZ1:KA1"/>
    <mergeCell ref="KB1:KC1"/>
    <mergeCell ref="KD1:KE1"/>
    <mergeCell ref="KF1:KG1"/>
    <mergeCell ref="KH1:KI1"/>
    <mergeCell ref="KJ1:KK1"/>
    <mergeCell ref="KL1:KM1"/>
    <mergeCell ref="KN1:KO1"/>
    <mergeCell ref="JF1:JG1"/>
    <mergeCell ref="JH1:JI1"/>
    <mergeCell ref="JJ1:JK1"/>
    <mergeCell ref="JL1:JM1"/>
    <mergeCell ref="JN1:JO1"/>
    <mergeCell ref="JP1:JQ1"/>
    <mergeCell ref="JR1:JS1"/>
    <mergeCell ref="DV1:DW1"/>
    <mergeCell ref="FT1:FU1"/>
    <mergeCell ref="IH1:II1"/>
    <mergeCell ref="IJ1:IK1"/>
    <mergeCell ref="IL1:IM1"/>
    <mergeCell ref="IN1:IO1"/>
    <mergeCell ref="HR1:HS1"/>
    <mergeCell ref="GV1:GW1"/>
    <mergeCell ref="BL23:CG23"/>
    <mergeCell ref="BX1:BY1"/>
    <mergeCell ref="BZ1:CA1"/>
    <mergeCell ref="CH1:CI1"/>
    <mergeCell ref="CB1:CC1"/>
    <mergeCell ref="CD1:CE1"/>
    <mergeCell ref="CF1:CG1"/>
    <mergeCell ref="BT1:BU1"/>
    <mergeCell ref="BV1:BW1"/>
    <mergeCell ref="BL1:BM1"/>
    <mergeCell ref="BN1:BO1"/>
    <mergeCell ref="BP1:BQ1"/>
    <mergeCell ref="CH23:CK23"/>
    <mergeCell ref="CJ1:CK1"/>
    <mergeCell ref="BR1:BS1"/>
    <mergeCell ref="DX1:DY1"/>
    <mergeCell ref="DR1:DS1"/>
    <mergeCell ref="DT1:DU1"/>
    <mergeCell ref="FX1:FY1"/>
    <mergeCell ref="GL1:GM1"/>
    <mergeCell ref="BH22:BK22"/>
    <mergeCell ref="BH23:BK23"/>
    <mergeCell ref="AZ1:BA1"/>
    <mergeCell ref="BD1:BE1"/>
    <mergeCell ref="BF1:BG1"/>
    <mergeCell ref="BH1:BI1"/>
    <mergeCell ref="BJ1:BK1"/>
    <mergeCell ref="FH1:FI1"/>
    <mergeCell ref="EN1:EO1"/>
    <mergeCell ref="CZ1:DA1"/>
    <mergeCell ref="EZ1:FA1"/>
    <mergeCell ref="FB1:FC1"/>
    <mergeCell ref="EP1:EQ1"/>
    <mergeCell ref="ER1:ES1"/>
    <mergeCell ref="ET1:EU1"/>
    <mergeCell ref="EV1:EW1"/>
    <mergeCell ref="EX1:EY1"/>
    <mergeCell ref="FD1:FE1"/>
    <mergeCell ref="FF1:FG1"/>
    <mergeCell ref="DB1:DC1"/>
    <mergeCell ref="CN1:CO1"/>
    <mergeCell ref="CP1:CQ1"/>
    <mergeCell ref="CR1:CS1"/>
    <mergeCell ref="B1:C1"/>
    <mergeCell ref="D1:E1"/>
    <mergeCell ref="F1:G1"/>
    <mergeCell ref="H1:I1"/>
    <mergeCell ref="J1:K1"/>
    <mergeCell ref="L1:M1"/>
    <mergeCell ref="N1:O1"/>
    <mergeCell ref="P1:Q1"/>
    <mergeCell ref="DP1:DQ1"/>
    <mergeCell ref="DZ1:EA1"/>
    <mergeCell ref="EB1:EC1"/>
    <mergeCell ref="S22:AG22"/>
    <mergeCell ref="AH22:BG22"/>
    <mergeCell ref="BB1:BC1"/>
    <mergeCell ref="AJ1:AK1"/>
    <mergeCell ref="AL1:AM1"/>
    <mergeCell ref="Z1:AA1"/>
    <mergeCell ref="AB1:AC1"/>
    <mergeCell ref="AD1:AE1"/>
    <mergeCell ref="AF1:AG1"/>
    <mergeCell ref="AH1:AI1"/>
    <mergeCell ref="R1:S1"/>
    <mergeCell ref="AN1:AO1"/>
    <mergeCell ref="AP1:AQ1"/>
    <mergeCell ref="AR1:AS1"/>
    <mergeCell ref="T1:U1"/>
    <mergeCell ref="AT1:AU1"/>
    <mergeCell ref="AV1:AW1"/>
    <mergeCell ref="AX1:AY1"/>
    <mergeCell ref="V1:W1"/>
    <mergeCell ref="X1:Y1"/>
    <mergeCell ref="CL1:CM1"/>
    <mergeCell ref="HV1:HW1"/>
    <mergeCell ref="HX1:HY1"/>
    <mergeCell ref="HJ1:HK1"/>
    <mergeCell ref="HL1:HM1"/>
    <mergeCell ref="HN1:HO1"/>
    <mergeCell ref="FR1:FS1"/>
    <mergeCell ref="CT1:CU1"/>
    <mergeCell ref="CV1:CW1"/>
    <mergeCell ref="CX1:CY1"/>
    <mergeCell ref="FN1:FO1"/>
    <mergeCell ref="FP1:FQ1"/>
    <mergeCell ref="FL1:FM1"/>
    <mergeCell ref="EL1:EM1"/>
    <mergeCell ref="FJ1:FK1"/>
    <mergeCell ref="DD1:DE1"/>
    <mergeCell ref="DF1:DG1"/>
    <mergeCell ref="DH1:DI1"/>
    <mergeCell ref="DJ1:DK1"/>
    <mergeCell ref="DL1:DM1"/>
    <mergeCell ref="ED1:EE1"/>
    <mergeCell ref="EF1:EG1"/>
    <mergeCell ref="EH1:EI1"/>
    <mergeCell ref="EJ1:EK1"/>
    <mergeCell ref="DN1:DO1"/>
    <mergeCell ref="GZ1:HA1"/>
    <mergeCell ref="HB1:HC1"/>
    <mergeCell ref="HP1:HQ1"/>
    <mergeCell ref="GN1:GO1"/>
    <mergeCell ref="GP1:GQ1"/>
    <mergeCell ref="GR1:GS1"/>
    <mergeCell ref="GT1:GU1"/>
    <mergeCell ref="GJ1:GK1"/>
    <mergeCell ref="HT1:HU1"/>
    <mergeCell ref="JT1:JU1"/>
    <mergeCell ref="JV1:JW1"/>
    <mergeCell ref="JX1:JY1"/>
    <mergeCell ref="LB1:LC1"/>
    <mergeCell ref="LD1:LE1"/>
    <mergeCell ref="FV1:FW1"/>
    <mergeCell ref="IP1:IQ1"/>
    <mergeCell ref="ID1:IE1"/>
    <mergeCell ref="IF1:IG1"/>
    <mergeCell ref="HD1:HE1"/>
    <mergeCell ref="HF1:HG1"/>
    <mergeCell ref="HH1:HI1"/>
    <mergeCell ref="IX1:IY1"/>
    <mergeCell ref="IT1:IU1"/>
    <mergeCell ref="IV1:IW1"/>
    <mergeCell ref="HZ1:IA1"/>
    <mergeCell ref="IB1:IC1"/>
    <mergeCell ref="FZ1:GA1"/>
    <mergeCell ref="GB1:GC1"/>
    <mergeCell ref="GD1:GE1"/>
    <mergeCell ref="GF1:GG1"/>
    <mergeCell ref="GH1:GI1"/>
    <mergeCell ref="IR1:IS1"/>
    <mergeCell ref="GX1:GY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Alkemade</dc:creator>
  <cp:lastModifiedBy>Drew Alkemade</cp:lastModifiedBy>
  <dcterms:created xsi:type="dcterms:W3CDTF">2020-01-21T16:03:55Z</dcterms:created>
  <dcterms:modified xsi:type="dcterms:W3CDTF">2026-02-19T19:22:04Z</dcterms:modified>
</cp:coreProperties>
</file>