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d94f35454ffe4a7/02 R^0D Controls Corp/"/>
    </mc:Choice>
  </mc:AlternateContent>
  <xr:revisionPtr revIDLastSave="814" documentId="13_ncr:1_{B779054F-8A2A-4F23-AD00-33EAECC5FBE1}" xr6:coauthVersionLast="47" xr6:coauthVersionMax="47" xr10:uidLastSave="{A3C915DA-A62F-4B52-810A-769EADC5B165}"/>
  <bookViews>
    <workbookView xWindow="-98" yWindow="-98" windowWidth="20715" windowHeight="13155" activeTab="2" xr2:uid="{7D131445-EB70-4F97-BA7D-1C7A7F267664}"/>
  </bookViews>
  <sheets>
    <sheet name="Worksheet" sheetId="1" r:id="rId1"/>
    <sheet name="Current" sheetId="3" r:id="rId2"/>
    <sheet name="Time Log" sheetId="2" r:id="rId3"/>
    <sheet name="Sheet2" sheetId="5" r:id="rId4"/>
    <sheet name="Sheet1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1489" i="2" l="1"/>
  <c r="AB1489" i="2"/>
  <c r="AA1489" i="2"/>
  <c r="Z1489" i="2"/>
  <c r="Y1489" i="2"/>
  <c r="AC1489" i="2" s="1"/>
  <c r="X1489" i="2"/>
  <c r="U1489" i="2"/>
  <c r="T1489" i="2"/>
  <c r="S1489" i="2"/>
  <c r="C1489" i="2"/>
  <c r="AB1488" i="2"/>
  <c r="AA1488" i="2"/>
  <c r="Z1488" i="2"/>
  <c r="Y1488" i="2"/>
  <c r="AC1488" i="2" s="1"/>
  <c r="X1488" i="2"/>
  <c r="U1488" i="2"/>
  <c r="T1488" i="2"/>
  <c r="S1488" i="2"/>
  <c r="C1488" i="2"/>
  <c r="AB1487" i="2"/>
  <c r="AA1487" i="2"/>
  <c r="Z1487" i="2"/>
  <c r="Y1487" i="2"/>
  <c r="AC1487" i="2" s="1"/>
  <c r="X1487" i="2"/>
  <c r="U1487" i="2"/>
  <c r="T1487" i="2"/>
  <c r="S1487" i="2"/>
  <c r="C1487" i="2"/>
  <c r="AJ1486" i="2"/>
  <c r="AB1486" i="2"/>
  <c r="AA1486" i="2"/>
  <c r="Z1486" i="2"/>
  <c r="Y1486" i="2"/>
  <c r="X1486" i="2"/>
  <c r="U1486" i="2"/>
  <c r="T1486" i="2"/>
  <c r="S1486" i="2"/>
  <c r="C1486" i="2"/>
  <c r="AB1485" i="2"/>
  <c r="AA1485" i="2"/>
  <c r="Z1485" i="2"/>
  <c r="Y1485" i="2"/>
  <c r="X1485" i="2"/>
  <c r="U1485" i="2"/>
  <c r="T1485" i="2"/>
  <c r="S1485" i="2"/>
  <c r="C1485" i="2"/>
  <c r="AB1484" i="2"/>
  <c r="AA1484" i="2"/>
  <c r="Z1484" i="2"/>
  <c r="Y1484" i="2"/>
  <c r="X1484" i="2"/>
  <c r="U1484" i="2"/>
  <c r="T1484" i="2"/>
  <c r="S1484" i="2"/>
  <c r="C1484" i="2"/>
  <c r="AB1483" i="2"/>
  <c r="AA1483" i="2"/>
  <c r="Z1483" i="2"/>
  <c r="Y1483" i="2"/>
  <c r="AC1483" i="2" s="1"/>
  <c r="X1483" i="2"/>
  <c r="U1483" i="2"/>
  <c r="T1483" i="2"/>
  <c r="S1483" i="2"/>
  <c r="C1483" i="2"/>
  <c r="AB1482" i="2"/>
  <c r="AA1482" i="2"/>
  <c r="Z1482" i="2"/>
  <c r="Y1482" i="2"/>
  <c r="X1482" i="2"/>
  <c r="U1482" i="2"/>
  <c r="T1482" i="2"/>
  <c r="S1482" i="2"/>
  <c r="C1482" i="2"/>
  <c r="AC1485" i="2" l="1"/>
  <c r="AE1484" i="2"/>
  <c r="AC1484" i="2"/>
  <c r="AC1486" i="2"/>
  <c r="AC1482" i="2"/>
  <c r="AE1488" i="2"/>
  <c r="AE1486" i="2"/>
  <c r="AE1489" i="2"/>
  <c r="AE1487" i="2"/>
  <c r="AE1482" i="2"/>
  <c r="AE1483" i="2"/>
  <c r="AE1485" i="2"/>
  <c r="AH1481" i="2"/>
  <c r="AB1481" i="2"/>
  <c r="AA1481" i="2"/>
  <c r="Z1481" i="2"/>
  <c r="Y1481" i="2"/>
  <c r="X1481" i="2"/>
  <c r="U1481" i="2"/>
  <c r="T1481" i="2"/>
  <c r="S1481" i="2"/>
  <c r="C1481" i="2"/>
  <c r="AB1480" i="2"/>
  <c r="AA1480" i="2"/>
  <c r="Z1480" i="2"/>
  <c r="Y1480" i="2"/>
  <c r="X1480" i="2"/>
  <c r="U1480" i="2"/>
  <c r="T1480" i="2"/>
  <c r="S1480" i="2"/>
  <c r="C1480" i="2"/>
  <c r="AB1479" i="2"/>
  <c r="AA1479" i="2"/>
  <c r="Z1479" i="2"/>
  <c r="Y1479" i="2"/>
  <c r="X1479" i="2"/>
  <c r="U1479" i="2"/>
  <c r="T1479" i="2"/>
  <c r="S1479" i="2"/>
  <c r="C1479" i="2"/>
  <c r="AJ1478" i="2"/>
  <c r="AB1478" i="2"/>
  <c r="AA1478" i="2"/>
  <c r="Z1478" i="2"/>
  <c r="Y1478" i="2"/>
  <c r="AC1478" i="2" s="1"/>
  <c r="X1478" i="2"/>
  <c r="U1478" i="2"/>
  <c r="T1478" i="2"/>
  <c r="S1478" i="2"/>
  <c r="C1478" i="2"/>
  <c r="AB1477" i="2"/>
  <c r="AA1477" i="2"/>
  <c r="Z1477" i="2"/>
  <c r="Y1477" i="2"/>
  <c r="X1477" i="2"/>
  <c r="U1477" i="2"/>
  <c r="T1477" i="2"/>
  <c r="S1477" i="2"/>
  <c r="C1477" i="2"/>
  <c r="AB1476" i="2"/>
  <c r="AA1476" i="2"/>
  <c r="Z1476" i="2"/>
  <c r="Y1476" i="2"/>
  <c r="X1476" i="2"/>
  <c r="U1476" i="2"/>
  <c r="T1476" i="2"/>
  <c r="S1476" i="2"/>
  <c r="C1476" i="2"/>
  <c r="AB1475" i="2"/>
  <c r="AA1475" i="2"/>
  <c r="Z1475" i="2"/>
  <c r="Y1475" i="2"/>
  <c r="X1475" i="2"/>
  <c r="U1475" i="2"/>
  <c r="T1475" i="2"/>
  <c r="S1475" i="2"/>
  <c r="C1475" i="2"/>
  <c r="AB1474" i="2"/>
  <c r="AA1474" i="2"/>
  <c r="Z1474" i="2"/>
  <c r="Y1474" i="2"/>
  <c r="AC1474" i="2" s="1"/>
  <c r="X1474" i="2"/>
  <c r="U1474" i="2"/>
  <c r="T1474" i="2"/>
  <c r="S1474" i="2"/>
  <c r="C1474" i="2"/>
  <c r="AB1473" i="2"/>
  <c r="AA1473" i="2"/>
  <c r="Z1473" i="2"/>
  <c r="Y1473" i="2"/>
  <c r="AC1473" i="2" s="1"/>
  <c r="X1473" i="2"/>
  <c r="U1473" i="2"/>
  <c r="T1473" i="2"/>
  <c r="S1473" i="2"/>
  <c r="C1473" i="2"/>
  <c r="Y49" i="3"/>
  <c r="W49" i="3"/>
  <c r="Y48" i="3"/>
  <c r="W48" i="3"/>
  <c r="Y47" i="3"/>
  <c r="W47" i="3"/>
  <c r="Y46" i="3"/>
  <c r="W46" i="3"/>
  <c r="Y45" i="3"/>
  <c r="W45" i="3"/>
  <c r="Y44" i="3"/>
  <c r="W44" i="3"/>
  <c r="Y43" i="3"/>
  <c r="W43" i="3"/>
  <c r="Y42" i="3"/>
  <c r="W42" i="3"/>
  <c r="Y41" i="3"/>
  <c r="W41" i="3"/>
  <c r="Y40" i="3"/>
  <c r="W40" i="3"/>
  <c r="Y39" i="3"/>
  <c r="W39" i="3"/>
  <c r="Y38" i="3"/>
  <c r="W38" i="3"/>
  <c r="P14" i="1"/>
  <c r="O14" i="1"/>
  <c r="N14" i="1"/>
  <c r="M14" i="1"/>
  <c r="K14" i="1"/>
  <c r="J14" i="1"/>
  <c r="I14" i="1"/>
  <c r="H14" i="1"/>
  <c r="G14" i="1"/>
  <c r="F14" i="1"/>
  <c r="E14" i="1"/>
  <c r="D14" i="1"/>
  <c r="P13" i="1"/>
  <c r="O13" i="1"/>
  <c r="N13" i="1"/>
  <c r="M13" i="1"/>
  <c r="K13" i="1"/>
  <c r="J13" i="1"/>
  <c r="I13" i="1"/>
  <c r="H13" i="1"/>
  <c r="G13" i="1"/>
  <c r="F13" i="1"/>
  <c r="E13" i="1"/>
  <c r="D13" i="1"/>
  <c r="AF1482" i="2" l="1"/>
  <c r="AC1475" i="2"/>
  <c r="AC1480" i="2"/>
  <c r="AC1481" i="2"/>
  <c r="AE1481" i="2"/>
  <c r="AE1479" i="2"/>
  <c r="AC1477" i="2"/>
  <c r="AE1477" i="2"/>
  <c r="AE1478" i="2"/>
  <c r="AE1474" i="2"/>
  <c r="AC1476" i="2"/>
  <c r="AE1475" i="2"/>
  <c r="AC1479" i="2"/>
  <c r="AE1476" i="2"/>
  <c r="AE1480" i="2"/>
  <c r="AE1473" i="2"/>
  <c r="AB1471" i="2"/>
  <c r="AA1471" i="2"/>
  <c r="Z1471" i="2"/>
  <c r="Y1471" i="2"/>
  <c r="AC1471" i="2" s="1"/>
  <c r="X1471" i="2"/>
  <c r="AE1471" i="2" s="1"/>
  <c r="U1471" i="2"/>
  <c r="T1471" i="2"/>
  <c r="S1471" i="2"/>
  <c r="C1471" i="2"/>
  <c r="AF1473" i="2" l="1"/>
  <c r="AH1472" i="2"/>
  <c r="AB1472" i="2"/>
  <c r="AA1472" i="2"/>
  <c r="Z1472" i="2"/>
  <c r="Y1472" i="2"/>
  <c r="X1472" i="2"/>
  <c r="U1472" i="2"/>
  <c r="T1472" i="2"/>
  <c r="S1472" i="2"/>
  <c r="C1472" i="2"/>
  <c r="AB1470" i="2"/>
  <c r="AA1470" i="2"/>
  <c r="Z1470" i="2"/>
  <c r="Y1470" i="2"/>
  <c r="X1470" i="2"/>
  <c r="U1470" i="2"/>
  <c r="T1470" i="2"/>
  <c r="S1470" i="2"/>
  <c r="C1470" i="2"/>
  <c r="AJ1469" i="2"/>
  <c r="AB1469" i="2"/>
  <c r="AA1469" i="2"/>
  <c r="Z1469" i="2"/>
  <c r="Y1469" i="2"/>
  <c r="X1469" i="2"/>
  <c r="U1469" i="2"/>
  <c r="T1469" i="2"/>
  <c r="S1469" i="2"/>
  <c r="C1469" i="2"/>
  <c r="AB1468" i="2"/>
  <c r="AA1468" i="2"/>
  <c r="Z1468" i="2"/>
  <c r="Y1468" i="2"/>
  <c r="X1468" i="2"/>
  <c r="U1468" i="2"/>
  <c r="T1468" i="2"/>
  <c r="S1468" i="2"/>
  <c r="C1468" i="2"/>
  <c r="AB1467" i="2"/>
  <c r="AA1467" i="2"/>
  <c r="Z1467" i="2"/>
  <c r="Y1467" i="2"/>
  <c r="X1467" i="2"/>
  <c r="U1467" i="2"/>
  <c r="T1467" i="2"/>
  <c r="S1467" i="2"/>
  <c r="C1467" i="2"/>
  <c r="AB1466" i="2"/>
  <c r="AA1466" i="2"/>
  <c r="Z1466" i="2"/>
  <c r="Y1466" i="2"/>
  <c r="X1466" i="2"/>
  <c r="U1466" i="2"/>
  <c r="T1466" i="2"/>
  <c r="S1466" i="2"/>
  <c r="C1466" i="2"/>
  <c r="AB1465" i="2"/>
  <c r="AA1465" i="2"/>
  <c r="Z1465" i="2"/>
  <c r="Y1465" i="2"/>
  <c r="X1465" i="2"/>
  <c r="U1465" i="2"/>
  <c r="T1465" i="2"/>
  <c r="S1465" i="2"/>
  <c r="C1465" i="2"/>
  <c r="AB1464" i="2"/>
  <c r="AA1464" i="2"/>
  <c r="Z1464" i="2"/>
  <c r="Y1464" i="2"/>
  <c r="X1464" i="2"/>
  <c r="U1464" i="2"/>
  <c r="T1464" i="2"/>
  <c r="S1464" i="2"/>
  <c r="C1464" i="2"/>
  <c r="AH1462" i="2"/>
  <c r="AC1464" i="2" l="1"/>
  <c r="AE1465" i="2"/>
  <c r="AC1468" i="2"/>
  <c r="AC1467" i="2"/>
  <c r="AC1466" i="2"/>
  <c r="AC1472" i="2"/>
  <c r="AE1469" i="2"/>
  <c r="AE1472" i="2"/>
  <c r="AC1465" i="2"/>
  <c r="AC1469" i="2"/>
  <c r="AE1470" i="2"/>
  <c r="AC1470" i="2"/>
  <c r="AE1467" i="2"/>
  <c r="AE1466" i="2"/>
  <c r="AE1468" i="2"/>
  <c r="AE1464" i="2"/>
  <c r="AF1464" i="2" l="1"/>
  <c r="AB1462" i="2"/>
  <c r="AA1462" i="2"/>
  <c r="Z1462" i="2"/>
  <c r="Y1462" i="2"/>
  <c r="X1462" i="2"/>
  <c r="U1462" i="2"/>
  <c r="T1462" i="2"/>
  <c r="S1462" i="2"/>
  <c r="C1462" i="2"/>
  <c r="AB1463" i="2"/>
  <c r="AA1463" i="2"/>
  <c r="Z1463" i="2"/>
  <c r="Y1463" i="2"/>
  <c r="X1463" i="2"/>
  <c r="U1463" i="2"/>
  <c r="T1463" i="2"/>
  <c r="S1463" i="2"/>
  <c r="C1463" i="2"/>
  <c r="AB1461" i="2"/>
  <c r="AA1461" i="2"/>
  <c r="Z1461" i="2"/>
  <c r="Y1461" i="2"/>
  <c r="X1461" i="2"/>
  <c r="U1461" i="2"/>
  <c r="T1461" i="2"/>
  <c r="S1461" i="2"/>
  <c r="C1461" i="2"/>
  <c r="AJ1460" i="2"/>
  <c r="AB1460" i="2"/>
  <c r="AA1460" i="2"/>
  <c r="Z1460" i="2"/>
  <c r="Y1460" i="2"/>
  <c r="X1460" i="2"/>
  <c r="U1460" i="2"/>
  <c r="T1460" i="2"/>
  <c r="S1460" i="2"/>
  <c r="C1460" i="2"/>
  <c r="AB1459" i="2"/>
  <c r="AA1459" i="2"/>
  <c r="Z1459" i="2"/>
  <c r="Y1459" i="2"/>
  <c r="X1459" i="2"/>
  <c r="U1459" i="2"/>
  <c r="T1459" i="2"/>
  <c r="S1459" i="2"/>
  <c r="C1459" i="2"/>
  <c r="AB1458" i="2"/>
  <c r="AA1458" i="2"/>
  <c r="Z1458" i="2"/>
  <c r="Y1458" i="2"/>
  <c r="X1458" i="2"/>
  <c r="U1458" i="2"/>
  <c r="T1458" i="2"/>
  <c r="S1458" i="2"/>
  <c r="C1458" i="2"/>
  <c r="AB1457" i="2"/>
  <c r="AA1457" i="2"/>
  <c r="Z1457" i="2"/>
  <c r="Y1457" i="2"/>
  <c r="U1457" i="2"/>
  <c r="T1457" i="2"/>
  <c r="X1457" i="2"/>
  <c r="C1457" i="2"/>
  <c r="AB1456" i="2"/>
  <c r="AA1456" i="2"/>
  <c r="Z1456" i="2"/>
  <c r="Y1456" i="2"/>
  <c r="X1456" i="2"/>
  <c r="U1456" i="2"/>
  <c r="T1456" i="2"/>
  <c r="S1456" i="2"/>
  <c r="C1456" i="2"/>
  <c r="AB1455" i="2"/>
  <c r="AA1455" i="2"/>
  <c r="Z1455" i="2"/>
  <c r="Y1455" i="2"/>
  <c r="X1455" i="2"/>
  <c r="U1455" i="2"/>
  <c r="T1455" i="2"/>
  <c r="S1455" i="2"/>
  <c r="C1455" i="2"/>
  <c r="D1449" i="2"/>
  <c r="X1449" i="2" s="1"/>
  <c r="AB1454" i="2"/>
  <c r="AA1454" i="2"/>
  <c r="Z1454" i="2"/>
  <c r="Y1454" i="2"/>
  <c r="X1454" i="2"/>
  <c r="U1454" i="2"/>
  <c r="T1454" i="2"/>
  <c r="S1454" i="2"/>
  <c r="C1454" i="2"/>
  <c r="AH1453" i="2"/>
  <c r="AB1453" i="2"/>
  <c r="AA1453" i="2"/>
  <c r="Z1453" i="2"/>
  <c r="Y1453" i="2"/>
  <c r="X1453" i="2"/>
  <c r="U1453" i="2"/>
  <c r="T1453" i="2"/>
  <c r="S1453" i="2"/>
  <c r="C1453" i="2"/>
  <c r="AJ1452" i="2"/>
  <c r="AB1452" i="2"/>
  <c r="AA1452" i="2"/>
  <c r="Z1452" i="2"/>
  <c r="Y1452" i="2"/>
  <c r="X1452" i="2"/>
  <c r="U1452" i="2"/>
  <c r="T1452" i="2"/>
  <c r="S1452" i="2"/>
  <c r="C1452" i="2"/>
  <c r="AB1451" i="2"/>
  <c r="AA1451" i="2"/>
  <c r="Z1451" i="2"/>
  <c r="Y1451" i="2"/>
  <c r="AC1451" i="2" s="1"/>
  <c r="X1451" i="2"/>
  <c r="U1451" i="2"/>
  <c r="T1451" i="2"/>
  <c r="S1451" i="2"/>
  <c r="C1451" i="2"/>
  <c r="AB1450" i="2"/>
  <c r="AA1450" i="2"/>
  <c r="Z1450" i="2"/>
  <c r="Y1450" i="2"/>
  <c r="X1450" i="2"/>
  <c r="U1450" i="2"/>
  <c r="T1450" i="2"/>
  <c r="S1450" i="2"/>
  <c r="C1450" i="2"/>
  <c r="AB1449" i="2"/>
  <c r="AA1449" i="2"/>
  <c r="Z1449" i="2"/>
  <c r="Y1449" i="2"/>
  <c r="U1449" i="2"/>
  <c r="T1449" i="2"/>
  <c r="C1449" i="2"/>
  <c r="AB1448" i="2"/>
  <c r="AA1448" i="2"/>
  <c r="Z1448" i="2"/>
  <c r="Y1448" i="2"/>
  <c r="X1448" i="2"/>
  <c r="U1448" i="2"/>
  <c r="T1448" i="2"/>
  <c r="S1448" i="2"/>
  <c r="C1448" i="2"/>
  <c r="AB1447" i="2"/>
  <c r="AA1447" i="2"/>
  <c r="Z1447" i="2"/>
  <c r="Y1447" i="2"/>
  <c r="X1447" i="2"/>
  <c r="U1447" i="2"/>
  <c r="T1447" i="2"/>
  <c r="S1447" i="2"/>
  <c r="C1447" i="2"/>
  <c r="AJ1445" i="2"/>
  <c r="AC1450" i="2" l="1"/>
  <c r="S1449" i="2"/>
  <c r="AC1447" i="2"/>
  <c r="AC1454" i="2"/>
  <c r="AE1458" i="2"/>
  <c r="AC1461" i="2"/>
  <c r="AC1460" i="2"/>
  <c r="AC1463" i="2"/>
  <c r="AC1458" i="2"/>
  <c r="AC1462" i="2"/>
  <c r="AE1456" i="2"/>
  <c r="AE1459" i="2"/>
  <c r="AE1462" i="2"/>
  <c r="AE1455" i="2"/>
  <c r="AC1456" i="2"/>
  <c r="AE1461" i="2"/>
  <c r="AC1453" i="2"/>
  <c r="AC1455" i="2"/>
  <c r="AC1457" i="2"/>
  <c r="AE1460" i="2"/>
  <c r="AC1452" i="2"/>
  <c r="AC1459" i="2"/>
  <c r="AC1448" i="2"/>
  <c r="AE1463" i="2"/>
  <c r="AE1457" i="2"/>
  <c r="S1457" i="2"/>
  <c r="AE1453" i="2"/>
  <c r="AE1447" i="2"/>
  <c r="AC1449" i="2"/>
  <c r="AE1452" i="2"/>
  <c r="AE1448" i="2"/>
  <c r="AE1451" i="2"/>
  <c r="AE1450" i="2"/>
  <c r="AE1449" i="2"/>
  <c r="AE1454" i="2"/>
  <c r="AH1446" i="2"/>
  <c r="AB1446" i="2"/>
  <c r="AA1446" i="2"/>
  <c r="Z1446" i="2"/>
  <c r="Y1446" i="2"/>
  <c r="X1446" i="2"/>
  <c r="U1446" i="2"/>
  <c r="T1446" i="2"/>
  <c r="S1446" i="2"/>
  <c r="C1446" i="2"/>
  <c r="AB1445" i="2"/>
  <c r="AA1445" i="2"/>
  <c r="Z1445" i="2"/>
  <c r="Y1445" i="2"/>
  <c r="X1445" i="2"/>
  <c r="U1445" i="2"/>
  <c r="T1445" i="2"/>
  <c r="S1445" i="2"/>
  <c r="C1445" i="2"/>
  <c r="AB1444" i="2"/>
  <c r="AA1444" i="2"/>
  <c r="Z1444" i="2"/>
  <c r="Y1444" i="2"/>
  <c r="X1444" i="2"/>
  <c r="U1444" i="2"/>
  <c r="T1444" i="2"/>
  <c r="S1444" i="2"/>
  <c r="C1444" i="2"/>
  <c r="AB1443" i="2"/>
  <c r="AA1443" i="2"/>
  <c r="Z1443" i="2"/>
  <c r="Y1443" i="2"/>
  <c r="X1443" i="2"/>
  <c r="U1443" i="2"/>
  <c r="T1443" i="2"/>
  <c r="S1443" i="2"/>
  <c r="C1443" i="2"/>
  <c r="AB1442" i="2"/>
  <c r="AA1442" i="2"/>
  <c r="Z1442" i="2"/>
  <c r="Y1442" i="2"/>
  <c r="X1442" i="2"/>
  <c r="U1442" i="2"/>
  <c r="T1442" i="2"/>
  <c r="S1442" i="2"/>
  <c r="C1442" i="2"/>
  <c r="AB1441" i="2"/>
  <c r="AA1441" i="2"/>
  <c r="Z1441" i="2"/>
  <c r="Y1441" i="2"/>
  <c r="X1441" i="2"/>
  <c r="U1441" i="2"/>
  <c r="T1441" i="2"/>
  <c r="S1441" i="2"/>
  <c r="C1441" i="2"/>
  <c r="AB1440" i="2"/>
  <c r="AA1440" i="2"/>
  <c r="Z1440" i="2"/>
  <c r="Y1440" i="2"/>
  <c r="X1440" i="2"/>
  <c r="U1440" i="2"/>
  <c r="T1440" i="2"/>
  <c r="S1440" i="2"/>
  <c r="C1440" i="2"/>
  <c r="AH1439" i="2"/>
  <c r="AB1439" i="2"/>
  <c r="AA1439" i="2"/>
  <c r="Z1439" i="2"/>
  <c r="Y1439" i="2"/>
  <c r="X1439" i="2"/>
  <c r="U1439" i="2"/>
  <c r="T1439" i="2"/>
  <c r="S1439" i="2"/>
  <c r="C1439" i="2"/>
  <c r="AB1438" i="2"/>
  <c r="AA1438" i="2"/>
  <c r="Z1438" i="2"/>
  <c r="Y1438" i="2"/>
  <c r="X1438" i="2"/>
  <c r="U1438" i="2"/>
  <c r="T1438" i="2"/>
  <c r="S1438" i="2"/>
  <c r="C1438" i="2"/>
  <c r="AB1437" i="2"/>
  <c r="AA1437" i="2"/>
  <c r="Z1437" i="2"/>
  <c r="Y1437" i="2"/>
  <c r="X1437" i="2"/>
  <c r="U1437" i="2"/>
  <c r="T1437" i="2"/>
  <c r="S1437" i="2"/>
  <c r="C1437" i="2"/>
  <c r="AB1436" i="2"/>
  <c r="AA1436" i="2"/>
  <c r="Z1436" i="2"/>
  <c r="Y1436" i="2"/>
  <c r="X1436" i="2"/>
  <c r="U1436" i="2"/>
  <c r="T1436" i="2"/>
  <c r="S1436" i="2"/>
  <c r="C1436" i="2"/>
  <c r="AB1435" i="2"/>
  <c r="AA1435" i="2"/>
  <c r="Z1435" i="2"/>
  <c r="Y1435" i="2"/>
  <c r="X1435" i="2"/>
  <c r="U1435" i="2"/>
  <c r="T1435" i="2"/>
  <c r="S1435" i="2"/>
  <c r="C1435" i="2"/>
  <c r="AB1434" i="2"/>
  <c r="AA1434" i="2"/>
  <c r="Z1434" i="2"/>
  <c r="Y1434" i="2"/>
  <c r="X1434" i="2"/>
  <c r="U1434" i="2"/>
  <c r="T1434" i="2"/>
  <c r="S1434" i="2"/>
  <c r="C1434" i="2"/>
  <c r="AB1433" i="2"/>
  <c r="AA1433" i="2"/>
  <c r="Z1433" i="2"/>
  <c r="Y1433" i="2"/>
  <c r="X1433" i="2"/>
  <c r="U1433" i="2"/>
  <c r="T1433" i="2"/>
  <c r="S1433" i="2"/>
  <c r="C1433" i="2"/>
  <c r="AC1436" i="2" l="1"/>
  <c r="AC1445" i="2"/>
  <c r="AE1436" i="2"/>
  <c r="AC1444" i="2"/>
  <c r="AC1433" i="2"/>
  <c r="AC1434" i="2"/>
  <c r="AC1441" i="2"/>
  <c r="AF1455" i="2"/>
  <c r="AC1446" i="2"/>
  <c r="W34" i="3"/>
  <c r="W33" i="3"/>
  <c r="W36" i="3"/>
  <c r="W32" i="3"/>
  <c r="W37" i="3"/>
  <c r="W35" i="3"/>
  <c r="W26" i="3"/>
  <c r="W28" i="3"/>
  <c r="W27" i="3"/>
  <c r="W31" i="3"/>
  <c r="W30" i="3"/>
  <c r="W29" i="3"/>
  <c r="AF1447" i="2"/>
  <c r="AE1442" i="2"/>
  <c r="AC1442" i="2"/>
  <c r="AE1444" i="2"/>
  <c r="AC1443" i="2"/>
  <c r="AE1441" i="2"/>
  <c r="AE1445" i="2"/>
  <c r="AE1443" i="2"/>
  <c r="AE1446" i="2"/>
  <c r="AC1440" i="2"/>
  <c r="AE1440" i="2"/>
  <c r="AC1437" i="2"/>
  <c r="AC1438" i="2"/>
  <c r="AC1439" i="2"/>
  <c r="AE1439" i="2"/>
  <c r="AC1435" i="2"/>
  <c r="AE1434" i="2"/>
  <c r="AE1437" i="2"/>
  <c r="AE1438" i="2"/>
  <c r="AE1435" i="2"/>
  <c r="AE1433" i="2"/>
  <c r="AF1440" i="2" l="1"/>
  <c r="AF1433" i="2"/>
  <c r="AH1432" i="2" l="1"/>
  <c r="AB1432" i="2"/>
  <c r="AA1432" i="2"/>
  <c r="Z1432" i="2"/>
  <c r="Y1432" i="2"/>
  <c r="AC1432" i="2" s="1"/>
  <c r="X1432" i="2"/>
  <c r="U1432" i="2"/>
  <c r="T1432" i="2"/>
  <c r="S1432" i="2"/>
  <c r="C1432" i="2"/>
  <c r="AB1431" i="2"/>
  <c r="AA1431" i="2"/>
  <c r="Z1431" i="2"/>
  <c r="Y1431" i="2"/>
  <c r="X1431" i="2"/>
  <c r="U1431" i="2"/>
  <c r="T1431" i="2"/>
  <c r="S1431" i="2"/>
  <c r="C1431" i="2"/>
  <c r="AB1430" i="2"/>
  <c r="AA1430" i="2"/>
  <c r="Z1430" i="2"/>
  <c r="Y1430" i="2"/>
  <c r="X1430" i="2"/>
  <c r="U1430" i="2"/>
  <c r="T1430" i="2"/>
  <c r="S1430" i="2"/>
  <c r="C1430" i="2"/>
  <c r="AB1429" i="2"/>
  <c r="AA1429" i="2"/>
  <c r="Z1429" i="2"/>
  <c r="Y1429" i="2"/>
  <c r="X1429" i="2"/>
  <c r="U1429" i="2"/>
  <c r="T1429" i="2"/>
  <c r="S1429" i="2"/>
  <c r="C1429" i="2"/>
  <c r="AB1428" i="2"/>
  <c r="AA1428" i="2"/>
  <c r="Z1428" i="2"/>
  <c r="Y1428" i="2"/>
  <c r="X1428" i="2"/>
  <c r="U1428" i="2"/>
  <c r="T1428" i="2"/>
  <c r="S1428" i="2"/>
  <c r="C1428" i="2"/>
  <c r="AB1427" i="2"/>
  <c r="AA1427" i="2"/>
  <c r="Z1427" i="2"/>
  <c r="Y1427" i="2"/>
  <c r="X1427" i="2"/>
  <c r="U1427" i="2"/>
  <c r="T1427" i="2"/>
  <c r="S1427" i="2"/>
  <c r="C1427" i="2"/>
  <c r="AB1426" i="2"/>
  <c r="AA1426" i="2"/>
  <c r="Z1426" i="2"/>
  <c r="Y1426" i="2"/>
  <c r="X1426" i="2"/>
  <c r="U1426" i="2"/>
  <c r="T1426" i="2"/>
  <c r="S1426" i="2"/>
  <c r="C1426" i="2"/>
  <c r="AH1425" i="2"/>
  <c r="AB1425" i="2"/>
  <c r="AE1425" i="2" s="1"/>
  <c r="X1425" i="2"/>
  <c r="Z1425" i="2"/>
  <c r="Y1425" i="2"/>
  <c r="AA1425" i="2"/>
  <c r="U1425" i="2"/>
  <c r="T1425" i="2"/>
  <c r="S1425" i="2"/>
  <c r="C1425" i="2"/>
  <c r="AB1424" i="2"/>
  <c r="X1424" i="2"/>
  <c r="Z1424" i="2"/>
  <c r="Y1424" i="2"/>
  <c r="AA1424" i="2"/>
  <c r="U1424" i="2"/>
  <c r="T1424" i="2"/>
  <c r="S1424" i="2"/>
  <c r="C1424" i="2"/>
  <c r="AB1423" i="2"/>
  <c r="X1423" i="2"/>
  <c r="Z1423" i="2"/>
  <c r="Y1423" i="2"/>
  <c r="AA1423" i="2"/>
  <c r="U1423" i="2"/>
  <c r="T1423" i="2"/>
  <c r="S1423" i="2"/>
  <c r="C1423" i="2"/>
  <c r="AB1422" i="2"/>
  <c r="X1422" i="2"/>
  <c r="Z1422" i="2"/>
  <c r="Y1422" i="2"/>
  <c r="AC1422" i="2" s="1"/>
  <c r="AA1422" i="2"/>
  <c r="U1422" i="2"/>
  <c r="T1422" i="2"/>
  <c r="S1422" i="2"/>
  <c r="C1422" i="2"/>
  <c r="AB1421" i="2"/>
  <c r="X1421" i="2"/>
  <c r="Z1421" i="2"/>
  <c r="Y1421" i="2"/>
  <c r="AA1421" i="2"/>
  <c r="U1421" i="2"/>
  <c r="T1421" i="2"/>
  <c r="S1421" i="2"/>
  <c r="C1421" i="2"/>
  <c r="AB1420" i="2"/>
  <c r="X1420" i="2"/>
  <c r="Z1420" i="2"/>
  <c r="Y1420" i="2"/>
  <c r="AA1420" i="2"/>
  <c r="U1420" i="2"/>
  <c r="T1420" i="2"/>
  <c r="S1420" i="2"/>
  <c r="C1420" i="2"/>
  <c r="AB1419" i="2"/>
  <c r="X1419" i="2"/>
  <c r="Z1419" i="2"/>
  <c r="Y1419" i="2"/>
  <c r="AA1419" i="2"/>
  <c r="U1419" i="2"/>
  <c r="T1419" i="2"/>
  <c r="S1419" i="2"/>
  <c r="C1419" i="2"/>
  <c r="AH1418" i="2"/>
  <c r="AB1418" i="2"/>
  <c r="X1418" i="2"/>
  <c r="Z1418" i="2"/>
  <c r="Y1418" i="2"/>
  <c r="AA1418" i="2"/>
  <c r="U1418" i="2"/>
  <c r="T1418" i="2"/>
  <c r="S1418" i="2"/>
  <c r="C1418" i="2"/>
  <c r="AB1417" i="2"/>
  <c r="X1417" i="2"/>
  <c r="Z1417" i="2"/>
  <c r="Y1417" i="2"/>
  <c r="AA1417" i="2"/>
  <c r="U1417" i="2"/>
  <c r="T1417" i="2"/>
  <c r="S1417" i="2"/>
  <c r="C1417" i="2"/>
  <c r="AB1416" i="2"/>
  <c r="X1416" i="2"/>
  <c r="Z1416" i="2"/>
  <c r="Y1416" i="2"/>
  <c r="AA1416" i="2"/>
  <c r="U1416" i="2"/>
  <c r="T1416" i="2"/>
  <c r="S1416" i="2"/>
  <c r="C1416" i="2"/>
  <c r="AB1415" i="2"/>
  <c r="X1415" i="2"/>
  <c r="Z1415" i="2"/>
  <c r="Y1415" i="2"/>
  <c r="AA1415" i="2"/>
  <c r="U1415" i="2"/>
  <c r="T1415" i="2"/>
  <c r="S1415" i="2"/>
  <c r="C1415" i="2"/>
  <c r="AB1414" i="2"/>
  <c r="X1414" i="2"/>
  <c r="Z1414" i="2"/>
  <c r="Y1414" i="2"/>
  <c r="AA1414" i="2"/>
  <c r="U1414" i="2"/>
  <c r="T1414" i="2"/>
  <c r="S1414" i="2"/>
  <c r="C1414" i="2"/>
  <c r="AB1413" i="2"/>
  <c r="X1413" i="2"/>
  <c r="Z1413" i="2"/>
  <c r="Y1413" i="2"/>
  <c r="AA1413" i="2"/>
  <c r="U1413" i="2"/>
  <c r="T1413" i="2"/>
  <c r="S1413" i="2"/>
  <c r="C1413" i="2"/>
  <c r="AB1412" i="2"/>
  <c r="X1412" i="2"/>
  <c r="Z1412" i="2"/>
  <c r="Y1412" i="2"/>
  <c r="AA1412" i="2"/>
  <c r="U1412" i="2"/>
  <c r="T1412" i="2"/>
  <c r="S1412" i="2"/>
  <c r="C1412" i="2"/>
  <c r="AH1411" i="2"/>
  <c r="AB1411" i="2"/>
  <c r="X1411" i="2"/>
  <c r="Z1411" i="2"/>
  <c r="Y1411" i="2"/>
  <c r="AA1411" i="2"/>
  <c r="U1411" i="2"/>
  <c r="T1411" i="2"/>
  <c r="S1411" i="2"/>
  <c r="C1411" i="2"/>
  <c r="AB1410" i="2"/>
  <c r="X1410" i="2"/>
  <c r="Z1410" i="2"/>
  <c r="Y1410" i="2"/>
  <c r="AA1410" i="2"/>
  <c r="U1410" i="2"/>
  <c r="T1410" i="2"/>
  <c r="S1410" i="2"/>
  <c r="C1410" i="2"/>
  <c r="AB1409" i="2"/>
  <c r="X1409" i="2"/>
  <c r="Z1409" i="2"/>
  <c r="Y1409" i="2"/>
  <c r="AA1409" i="2"/>
  <c r="U1409" i="2"/>
  <c r="T1409" i="2"/>
  <c r="S1409" i="2"/>
  <c r="C1409" i="2"/>
  <c r="AB1408" i="2"/>
  <c r="X1408" i="2"/>
  <c r="Z1408" i="2"/>
  <c r="Y1408" i="2"/>
  <c r="AC1408" i="2" s="1"/>
  <c r="AA1408" i="2"/>
  <c r="U1408" i="2"/>
  <c r="T1408" i="2"/>
  <c r="S1408" i="2"/>
  <c r="C1408" i="2"/>
  <c r="AB1407" i="2"/>
  <c r="X1407" i="2"/>
  <c r="Z1407" i="2"/>
  <c r="Y1407" i="2"/>
  <c r="AA1407" i="2"/>
  <c r="U1407" i="2"/>
  <c r="T1407" i="2"/>
  <c r="S1407" i="2"/>
  <c r="C1407" i="2"/>
  <c r="AB1406" i="2"/>
  <c r="X1406" i="2"/>
  <c r="Z1406" i="2"/>
  <c r="Y1406" i="2"/>
  <c r="AA1406" i="2"/>
  <c r="U1406" i="2"/>
  <c r="T1406" i="2"/>
  <c r="S1406" i="2"/>
  <c r="C1406" i="2"/>
  <c r="AB1405" i="2"/>
  <c r="X1405" i="2"/>
  <c r="Z1405" i="2"/>
  <c r="Y1405" i="2"/>
  <c r="AA1405" i="2"/>
  <c r="AC1405" i="2" s="1"/>
  <c r="U1405" i="2"/>
  <c r="T1405" i="2"/>
  <c r="S1405" i="2"/>
  <c r="C1405" i="2"/>
  <c r="AH1404" i="2"/>
  <c r="AB1404" i="2"/>
  <c r="AA1404" i="2"/>
  <c r="Z1404" i="2"/>
  <c r="Y1404" i="2"/>
  <c r="X1404" i="2"/>
  <c r="U1404" i="2"/>
  <c r="T1404" i="2"/>
  <c r="S1404" i="2"/>
  <c r="C1404" i="2"/>
  <c r="AB1403" i="2"/>
  <c r="AA1403" i="2"/>
  <c r="Z1403" i="2"/>
  <c r="Y1403" i="2"/>
  <c r="X1403" i="2"/>
  <c r="U1403" i="2"/>
  <c r="T1403" i="2"/>
  <c r="S1403" i="2"/>
  <c r="C1403" i="2"/>
  <c r="AB1402" i="2"/>
  <c r="AA1402" i="2"/>
  <c r="Z1402" i="2"/>
  <c r="Y1402" i="2"/>
  <c r="X1402" i="2"/>
  <c r="U1402" i="2"/>
  <c r="T1402" i="2"/>
  <c r="S1402" i="2"/>
  <c r="C1402" i="2"/>
  <c r="AB1401" i="2"/>
  <c r="AA1401" i="2"/>
  <c r="Z1401" i="2"/>
  <c r="Y1401" i="2"/>
  <c r="X1401" i="2"/>
  <c r="U1401" i="2"/>
  <c r="T1401" i="2"/>
  <c r="S1401" i="2"/>
  <c r="C1401" i="2"/>
  <c r="AB1400" i="2"/>
  <c r="AE1400" i="2" s="1"/>
  <c r="AA1400" i="2"/>
  <c r="Z1400" i="2"/>
  <c r="Y1400" i="2"/>
  <c r="X1400" i="2"/>
  <c r="U1400" i="2"/>
  <c r="T1400" i="2"/>
  <c r="S1400" i="2"/>
  <c r="C1400" i="2"/>
  <c r="AB1399" i="2"/>
  <c r="AA1399" i="2"/>
  <c r="Z1399" i="2"/>
  <c r="Y1399" i="2"/>
  <c r="X1399" i="2"/>
  <c r="U1399" i="2"/>
  <c r="T1399" i="2"/>
  <c r="S1399" i="2"/>
  <c r="C1399" i="2"/>
  <c r="AB1398" i="2"/>
  <c r="AA1398" i="2"/>
  <c r="Z1398" i="2"/>
  <c r="Y1398" i="2"/>
  <c r="X1398" i="2"/>
  <c r="U1398" i="2"/>
  <c r="T1398" i="2"/>
  <c r="S1398" i="2"/>
  <c r="C1398" i="2"/>
  <c r="AH1397" i="2"/>
  <c r="AB1397" i="2"/>
  <c r="AA1397" i="2"/>
  <c r="Z1397" i="2"/>
  <c r="Y1397" i="2"/>
  <c r="X1397" i="2"/>
  <c r="U1397" i="2"/>
  <c r="T1397" i="2"/>
  <c r="S1397" i="2"/>
  <c r="C1397" i="2"/>
  <c r="AB1396" i="2"/>
  <c r="AA1396" i="2"/>
  <c r="Z1396" i="2"/>
  <c r="Y1396" i="2"/>
  <c r="X1396" i="2"/>
  <c r="U1396" i="2"/>
  <c r="T1396" i="2"/>
  <c r="S1396" i="2"/>
  <c r="C1396" i="2"/>
  <c r="AB1395" i="2"/>
  <c r="AA1395" i="2"/>
  <c r="Z1395" i="2"/>
  <c r="AE1395" i="2" s="1"/>
  <c r="Y1395" i="2"/>
  <c r="X1395" i="2"/>
  <c r="U1395" i="2"/>
  <c r="T1395" i="2"/>
  <c r="S1395" i="2"/>
  <c r="C1395" i="2"/>
  <c r="AB1394" i="2"/>
  <c r="AA1394" i="2"/>
  <c r="AC1394" i="2" s="1"/>
  <c r="Z1394" i="2"/>
  <c r="Y1394" i="2"/>
  <c r="X1394" i="2"/>
  <c r="U1394" i="2"/>
  <c r="T1394" i="2"/>
  <c r="S1394" i="2"/>
  <c r="C1394" i="2"/>
  <c r="AB1393" i="2"/>
  <c r="AE1393" i="2" s="1"/>
  <c r="AA1393" i="2"/>
  <c r="Z1393" i="2"/>
  <c r="Y1393" i="2"/>
  <c r="X1393" i="2"/>
  <c r="U1393" i="2"/>
  <c r="T1393" i="2"/>
  <c r="S1393" i="2"/>
  <c r="C1393" i="2"/>
  <c r="AB1392" i="2"/>
  <c r="AA1392" i="2"/>
  <c r="Z1392" i="2"/>
  <c r="Y1392" i="2"/>
  <c r="X1392" i="2"/>
  <c r="U1392" i="2"/>
  <c r="T1392" i="2"/>
  <c r="S1392" i="2"/>
  <c r="C1392" i="2"/>
  <c r="AB1391" i="2"/>
  <c r="AA1391" i="2"/>
  <c r="Z1391" i="2"/>
  <c r="Y1391" i="2"/>
  <c r="X1391" i="2"/>
  <c r="U1391" i="2"/>
  <c r="T1391" i="2"/>
  <c r="S1391" i="2"/>
  <c r="C1391" i="2"/>
  <c r="AH1390" i="2"/>
  <c r="AB1390" i="2"/>
  <c r="AA1390" i="2"/>
  <c r="AC1390" i="2" s="1"/>
  <c r="Z1390" i="2"/>
  <c r="Y1390" i="2"/>
  <c r="X1390" i="2"/>
  <c r="U1390" i="2"/>
  <c r="T1390" i="2"/>
  <c r="S1390" i="2"/>
  <c r="C1390" i="2"/>
  <c r="AB1389" i="2"/>
  <c r="AA1389" i="2"/>
  <c r="Z1389" i="2"/>
  <c r="Y1389" i="2"/>
  <c r="X1389" i="2"/>
  <c r="U1389" i="2"/>
  <c r="T1389" i="2"/>
  <c r="S1389" i="2"/>
  <c r="C1389" i="2"/>
  <c r="AB1388" i="2"/>
  <c r="AA1388" i="2"/>
  <c r="Z1388" i="2"/>
  <c r="Y1388" i="2"/>
  <c r="X1388" i="2"/>
  <c r="U1388" i="2"/>
  <c r="T1388" i="2"/>
  <c r="S1388" i="2"/>
  <c r="C1388" i="2"/>
  <c r="AB1387" i="2"/>
  <c r="AA1387" i="2"/>
  <c r="AC1387" i="2" s="1"/>
  <c r="Z1387" i="2"/>
  <c r="Y1387" i="2"/>
  <c r="X1387" i="2"/>
  <c r="U1387" i="2"/>
  <c r="T1387" i="2"/>
  <c r="S1387" i="2"/>
  <c r="C1387" i="2"/>
  <c r="AB1386" i="2"/>
  <c r="AE1386" i="2" s="1"/>
  <c r="AA1386" i="2"/>
  <c r="Z1386" i="2"/>
  <c r="Y1386" i="2"/>
  <c r="X1386" i="2"/>
  <c r="U1386" i="2"/>
  <c r="T1386" i="2"/>
  <c r="S1386" i="2"/>
  <c r="C1386" i="2"/>
  <c r="AB1385" i="2"/>
  <c r="AA1385" i="2"/>
  <c r="Z1385" i="2"/>
  <c r="Y1385" i="2"/>
  <c r="X1385" i="2"/>
  <c r="U1385" i="2"/>
  <c r="T1385" i="2"/>
  <c r="S1385" i="2"/>
  <c r="C1385" i="2"/>
  <c r="AB1384" i="2"/>
  <c r="AA1384" i="2"/>
  <c r="Z1384" i="2"/>
  <c r="Y1384" i="2"/>
  <c r="X1384" i="2"/>
  <c r="AE1384" i="2" s="1"/>
  <c r="U1384" i="2"/>
  <c r="T1384" i="2"/>
  <c r="S1384" i="2"/>
  <c r="C1384" i="2"/>
  <c r="AH1383" i="2"/>
  <c r="AB1383" i="2"/>
  <c r="AA1383" i="2"/>
  <c r="Z1383" i="2"/>
  <c r="Y1383" i="2"/>
  <c r="X1383" i="2"/>
  <c r="U1383" i="2"/>
  <c r="T1383" i="2"/>
  <c r="S1383" i="2"/>
  <c r="C1383" i="2"/>
  <c r="AB1382" i="2"/>
  <c r="AA1382" i="2"/>
  <c r="Z1382" i="2"/>
  <c r="Y1382" i="2"/>
  <c r="AC1382" i="2" s="1"/>
  <c r="X1382" i="2"/>
  <c r="U1382" i="2"/>
  <c r="T1382" i="2"/>
  <c r="S1382" i="2"/>
  <c r="C1382" i="2"/>
  <c r="AB1381" i="2"/>
  <c r="AA1381" i="2"/>
  <c r="Z1381" i="2"/>
  <c r="Y1381" i="2"/>
  <c r="X1381" i="2"/>
  <c r="U1381" i="2"/>
  <c r="T1381" i="2"/>
  <c r="S1381" i="2"/>
  <c r="C1381" i="2"/>
  <c r="AB1380" i="2"/>
  <c r="AA1380" i="2"/>
  <c r="AC1380" i="2" s="1"/>
  <c r="Z1380" i="2"/>
  <c r="Y1380" i="2"/>
  <c r="X1380" i="2"/>
  <c r="U1380" i="2"/>
  <c r="T1380" i="2"/>
  <c r="S1380" i="2"/>
  <c r="C1380" i="2"/>
  <c r="AB1379" i="2"/>
  <c r="AE1379" i="2" s="1"/>
  <c r="AA1379" i="2"/>
  <c r="Z1379" i="2"/>
  <c r="Y1379" i="2"/>
  <c r="X1379" i="2"/>
  <c r="U1379" i="2"/>
  <c r="T1379" i="2"/>
  <c r="S1379" i="2"/>
  <c r="C1379" i="2"/>
  <c r="AB1378" i="2"/>
  <c r="AA1378" i="2"/>
  <c r="Z1378" i="2"/>
  <c r="Y1378" i="2"/>
  <c r="X1378" i="2"/>
  <c r="U1378" i="2"/>
  <c r="T1378" i="2"/>
  <c r="S1378" i="2"/>
  <c r="C1378" i="2"/>
  <c r="AB1377" i="2"/>
  <c r="AA1377" i="2"/>
  <c r="Z1377" i="2"/>
  <c r="Y1377" i="2"/>
  <c r="AC1377" i="2" s="1"/>
  <c r="X1377" i="2"/>
  <c r="U1377" i="2"/>
  <c r="T1377" i="2"/>
  <c r="S1377" i="2"/>
  <c r="C1377" i="2"/>
  <c r="AH1376" i="2"/>
  <c r="AB1376" i="2"/>
  <c r="AA1376" i="2"/>
  <c r="Z1376" i="2"/>
  <c r="Y1376" i="2"/>
  <c r="X1376" i="2"/>
  <c r="U1376" i="2"/>
  <c r="T1376" i="2"/>
  <c r="S1376" i="2"/>
  <c r="C1376" i="2"/>
  <c r="AB1375" i="2"/>
  <c r="AA1375" i="2"/>
  <c r="Z1375" i="2"/>
  <c r="Y1375" i="2"/>
  <c r="X1375" i="2"/>
  <c r="U1375" i="2"/>
  <c r="T1375" i="2"/>
  <c r="S1375" i="2"/>
  <c r="C1375" i="2"/>
  <c r="AB1374" i="2"/>
  <c r="AA1374" i="2"/>
  <c r="Z1374" i="2"/>
  <c r="Y1374" i="2"/>
  <c r="X1374" i="2"/>
  <c r="U1374" i="2"/>
  <c r="T1374" i="2"/>
  <c r="S1374" i="2"/>
  <c r="C1374" i="2"/>
  <c r="AB1373" i="2"/>
  <c r="AA1373" i="2"/>
  <c r="Z1373" i="2"/>
  <c r="Y1373" i="2"/>
  <c r="X1373" i="2"/>
  <c r="U1373" i="2"/>
  <c r="T1373" i="2"/>
  <c r="S1373" i="2"/>
  <c r="C1373" i="2"/>
  <c r="AB1372" i="2"/>
  <c r="AA1372" i="2"/>
  <c r="Z1372" i="2"/>
  <c r="Y1372" i="2"/>
  <c r="X1372" i="2"/>
  <c r="U1372" i="2"/>
  <c r="T1372" i="2"/>
  <c r="S1372" i="2"/>
  <c r="C1372" i="2"/>
  <c r="AB1371" i="2"/>
  <c r="AA1371" i="2"/>
  <c r="Z1371" i="2"/>
  <c r="Y1371" i="2"/>
  <c r="X1371" i="2"/>
  <c r="U1371" i="2"/>
  <c r="T1371" i="2"/>
  <c r="S1371" i="2"/>
  <c r="C1371" i="2"/>
  <c r="AB1370" i="2"/>
  <c r="AA1370" i="2"/>
  <c r="Z1370" i="2"/>
  <c r="Y1370" i="2"/>
  <c r="X1370" i="2"/>
  <c r="U1370" i="2"/>
  <c r="T1370" i="2"/>
  <c r="S1370" i="2"/>
  <c r="C1370" i="2"/>
  <c r="AH1369" i="2"/>
  <c r="AB1369" i="2"/>
  <c r="AA1369" i="2"/>
  <c r="Z1369" i="2"/>
  <c r="Y1369" i="2"/>
  <c r="X1369" i="2"/>
  <c r="U1369" i="2"/>
  <c r="T1369" i="2"/>
  <c r="S1369" i="2"/>
  <c r="C1369" i="2"/>
  <c r="AB1368" i="2"/>
  <c r="AA1368" i="2"/>
  <c r="Z1368" i="2"/>
  <c r="Y1368" i="2"/>
  <c r="X1368" i="2"/>
  <c r="U1368" i="2"/>
  <c r="T1368" i="2"/>
  <c r="S1368" i="2"/>
  <c r="C1368" i="2"/>
  <c r="AB1367" i="2"/>
  <c r="AA1367" i="2"/>
  <c r="Z1367" i="2"/>
  <c r="Y1367" i="2"/>
  <c r="X1367" i="2"/>
  <c r="U1367" i="2"/>
  <c r="T1367" i="2"/>
  <c r="S1367" i="2"/>
  <c r="C1367" i="2"/>
  <c r="AB1366" i="2"/>
  <c r="AA1366" i="2"/>
  <c r="Z1366" i="2"/>
  <c r="Y1366" i="2"/>
  <c r="X1366" i="2"/>
  <c r="U1366" i="2"/>
  <c r="T1366" i="2"/>
  <c r="S1366" i="2"/>
  <c r="C1366" i="2"/>
  <c r="AB1365" i="2"/>
  <c r="AA1365" i="2"/>
  <c r="AC1365" i="2" s="1"/>
  <c r="Z1365" i="2"/>
  <c r="Y1365" i="2"/>
  <c r="X1365" i="2"/>
  <c r="U1365" i="2"/>
  <c r="T1365" i="2"/>
  <c r="S1365" i="2"/>
  <c r="C1365" i="2"/>
  <c r="AB1364" i="2"/>
  <c r="AA1364" i="2"/>
  <c r="Z1364" i="2"/>
  <c r="Y1364" i="2"/>
  <c r="AC1364" i="2" s="1"/>
  <c r="X1364" i="2"/>
  <c r="U1364" i="2"/>
  <c r="T1364" i="2"/>
  <c r="S1364" i="2"/>
  <c r="C1364" i="2"/>
  <c r="AB1363" i="2"/>
  <c r="AA1363" i="2"/>
  <c r="Z1363" i="2"/>
  <c r="Y1363" i="2"/>
  <c r="X1363" i="2"/>
  <c r="AE1363" i="2" s="1"/>
  <c r="U1363" i="2"/>
  <c r="T1363" i="2"/>
  <c r="S1363" i="2"/>
  <c r="C1363" i="2"/>
  <c r="AH1362" i="2"/>
  <c r="AB1362" i="2"/>
  <c r="AA1362" i="2"/>
  <c r="Z1362" i="2"/>
  <c r="Y1362" i="2"/>
  <c r="X1362" i="2"/>
  <c r="U1362" i="2"/>
  <c r="T1362" i="2"/>
  <c r="S1362" i="2"/>
  <c r="C1362" i="2"/>
  <c r="AB1361" i="2"/>
  <c r="AA1361" i="2"/>
  <c r="Z1361" i="2"/>
  <c r="Y1361" i="2"/>
  <c r="X1361" i="2"/>
  <c r="U1361" i="2"/>
  <c r="T1361" i="2"/>
  <c r="S1361" i="2"/>
  <c r="C1361" i="2"/>
  <c r="AB1360" i="2"/>
  <c r="AA1360" i="2"/>
  <c r="Z1360" i="2"/>
  <c r="Y1360" i="2"/>
  <c r="X1360" i="2"/>
  <c r="U1360" i="2"/>
  <c r="T1360" i="2"/>
  <c r="S1360" i="2"/>
  <c r="C1360" i="2"/>
  <c r="AB1359" i="2"/>
  <c r="AA1359" i="2"/>
  <c r="AC1359" i="2" s="1"/>
  <c r="Z1359" i="2"/>
  <c r="Y1359" i="2"/>
  <c r="X1359" i="2"/>
  <c r="U1359" i="2"/>
  <c r="T1359" i="2"/>
  <c r="S1359" i="2"/>
  <c r="C1359" i="2"/>
  <c r="AB1358" i="2"/>
  <c r="AA1358" i="2"/>
  <c r="Z1358" i="2"/>
  <c r="Y1358" i="2"/>
  <c r="X1358" i="2"/>
  <c r="U1358" i="2"/>
  <c r="T1358" i="2"/>
  <c r="S1358" i="2"/>
  <c r="C1358" i="2"/>
  <c r="AB1357" i="2"/>
  <c r="AA1357" i="2"/>
  <c r="Z1357" i="2"/>
  <c r="Y1357" i="2"/>
  <c r="AC1357" i="2" s="1"/>
  <c r="X1357" i="2"/>
  <c r="U1357" i="2"/>
  <c r="T1357" i="2"/>
  <c r="S1357" i="2"/>
  <c r="C1357" i="2"/>
  <c r="AB1356" i="2"/>
  <c r="AA1356" i="2"/>
  <c r="Z1356" i="2"/>
  <c r="Y1356" i="2"/>
  <c r="X1356" i="2"/>
  <c r="AE1356" i="2" s="1"/>
  <c r="U1356" i="2"/>
  <c r="T1356" i="2"/>
  <c r="S1356" i="2"/>
  <c r="C1356" i="2"/>
  <c r="AH1355" i="2"/>
  <c r="AB1355" i="2"/>
  <c r="AA1355" i="2"/>
  <c r="Z1355" i="2"/>
  <c r="Y1355" i="2"/>
  <c r="X1355" i="2"/>
  <c r="U1355" i="2"/>
  <c r="T1355" i="2"/>
  <c r="S1355" i="2"/>
  <c r="C1355" i="2"/>
  <c r="AB1354" i="2"/>
  <c r="AE1354" i="2" s="1"/>
  <c r="AA1354" i="2"/>
  <c r="Z1354" i="2"/>
  <c r="Y1354" i="2"/>
  <c r="X1354" i="2"/>
  <c r="U1354" i="2"/>
  <c r="T1354" i="2"/>
  <c r="S1354" i="2"/>
  <c r="C1354" i="2"/>
  <c r="AB1353" i="2"/>
  <c r="AA1353" i="2"/>
  <c r="Z1353" i="2"/>
  <c r="Y1353" i="2"/>
  <c r="X1353" i="2"/>
  <c r="U1353" i="2"/>
  <c r="T1353" i="2"/>
  <c r="S1353" i="2"/>
  <c r="C1353" i="2"/>
  <c r="AB1352" i="2"/>
  <c r="AA1352" i="2"/>
  <c r="AC1352" i="2" s="1"/>
  <c r="Z1352" i="2"/>
  <c r="Y1352" i="2"/>
  <c r="X1352" i="2"/>
  <c r="U1352" i="2"/>
  <c r="T1352" i="2"/>
  <c r="S1352" i="2"/>
  <c r="C1352" i="2"/>
  <c r="AB1351" i="2"/>
  <c r="AA1351" i="2"/>
  <c r="Z1351" i="2"/>
  <c r="Y1351" i="2"/>
  <c r="X1351" i="2"/>
  <c r="U1351" i="2"/>
  <c r="T1351" i="2"/>
  <c r="S1351" i="2"/>
  <c r="C1351" i="2"/>
  <c r="AB1350" i="2"/>
  <c r="AA1350" i="2"/>
  <c r="Z1350" i="2"/>
  <c r="Y1350" i="2"/>
  <c r="AC1350" i="2"/>
  <c r="X1350" i="2"/>
  <c r="U1350" i="2"/>
  <c r="T1350" i="2"/>
  <c r="S1350" i="2"/>
  <c r="C1350" i="2"/>
  <c r="AB1349" i="2"/>
  <c r="AA1349" i="2"/>
  <c r="Z1349" i="2"/>
  <c r="Y1349" i="2"/>
  <c r="X1349" i="2"/>
  <c r="U1349" i="2"/>
  <c r="T1349" i="2"/>
  <c r="S1349" i="2"/>
  <c r="C1349" i="2"/>
  <c r="AH1348" i="2"/>
  <c r="AB1348" i="2"/>
  <c r="AA1348" i="2"/>
  <c r="Z1348" i="2"/>
  <c r="Y1348" i="2"/>
  <c r="X1348" i="2"/>
  <c r="U1348" i="2"/>
  <c r="T1348" i="2"/>
  <c r="S1348" i="2"/>
  <c r="C1348" i="2"/>
  <c r="AB1347" i="2"/>
  <c r="AA1347" i="2"/>
  <c r="Z1347" i="2"/>
  <c r="Y1347" i="2"/>
  <c r="X1347" i="2"/>
  <c r="U1347" i="2"/>
  <c r="T1347" i="2"/>
  <c r="S1347" i="2"/>
  <c r="C1347" i="2"/>
  <c r="AB1346" i="2"/>
  <c r="AA1346" i="2"/>
  <c r="Z1346" i="2"/>
  <c r="Y1346" i="2"/>
  <c r="X1346" i="2"/>
  <c r="AE1346" i="2" s="1"/>
  <c r="U1346" i="2"/>
  <c r="T1346" i="2"/>
  <c r="S1346" i="2"/>
  <c r="C1346" i="2"/>
  <c r="AB1345" i="2"/>
  <c r="AA1345" i="2"/>
  <c r="Z1345" i="2"/>
  <c r="Y1345" i="2"/>
  <c r="X1345" i="2"/>
  <c r="U1345" i="2"/>
  <c r="T1345" i="2"/>
  <c r="S1345" i="2"/>
  <c r="C1345" i="2"/>
  <c r="AB1344" i="2"/>
  <c r="AA1344" i="2"/>
  <c r="Z1344" i="2"/>
  <c r="Y1344" i="2"/>
  <c r="AC1344" i="2" s="1"/>
  <c r="X1344" i="2"/>
  <c r="U1344" i="2"/>
  <c r="T1344" i="2"/>
  <c r="S1344" i="2"/>
  <c r="C1344" i="2"/>
  <c r="AB1343" i="2"/>
  <c r="AA1343" i="2"/>
  <c r="Z1343" i="2"/>
  <c r="Y1343" i="2"/>
  <c r="X1343" i="2"/>
  <c r="U1343" i="2"/>
  <c r="T1343" i="2"/>
  <c r="S1343" i="2"/>
  <c r="C1343" i="2"/>
  <c r="AB1342" i="2"/>
  <c r="AA1342" i="2"/>
  <c r="Z1342" i="2"/>
  <c r="Y1342" i="2"/>
  <c r="X1342" i="2"/>
  <c r="U1342" i="2"/>
  <c r="T1342" i="2"/>
  <c r="S1342" i="2"/>
  <c r="C1342" i="2"/>
  <c r="AH1341" i="2"/>
  <c r="AB1341" i="2"/>
  <c r="AA1341" i="2"/>
  <c r="Z1341" i="2"/>
  <c r="Y1341" i="2"/>
  <c r="X1341" i="2"/>
  <c r="U1341" i="2"/>
  <c r="T1341" i="2"/>
  <c r="S1341" i="2"/>
  <c r="C1341" i="2"/>
  <c r="AB1340" i="2"/>
  <c r="AA1340" i="2"/>
  <c r="Z1340" i="2"/>
  <c r="Y1340" i="2"/>
  <c r="X1340" i="2"/>
  <c r="U1340" i="2"/>
  <c r="T1340" i="2"/>
  <c r="S1340" i="2"/>
  <c r="C1340" i="2"/>
  <c r="AB1339" i="2"/>
  <c r="AA1339" i="2"/>
  <c r="Z1339" i="2"/>
  <c r="Y1339" i="2"/>
  <c r="X1339" i="2"/>
  <c r="U1339" i="2"/>
  <c r="T1339" i="2"/>
  <c r="S1339" i="2"/>
  <c r="C1339" i="2"/>
  <c r="AB1338" i="2"/>
  <c r="AA1338" i="2"/>
  <c r="Z1338" i="2"/>
  <c r="Y1338" i="2"/>
  <c r="AC1338" i="2" s="1"/>
  <c r="X1338" i="2"/>
  <c r="U1338" i="2"/>
  <c r="T1338" i="2"/>
  <c r="S1338" i="2"/>
  <c r="C1338" i="2"/>
  <c r="AB1337" i="2"/>
  <c r="AA1337" i="2"/>
  <c r="Z1337" i="2"/>
  <c r="Y1337" i="2"/>
  <c r="AC1337" i="2" s="1"/>
  <c r="X1337" i="2"/>
  <c r="U1337" i="2"/>
  <c r="T1337" i="2"/>
  <c r="S1337" i="2"/>
  <c r="C1337" i="2"/>
  <c r="AB1336" i="2"/>
  <c r="AA1336" i="2"/>
  <c r="Z1336" i="2"/>
  <c r="Y1336" i="2"/>
  <c r="X1336" i="2"/>
  <c r="U1336" i="2"/>
  <c r="T1336" i="2"/>
  <c r="S1336" i="2"/>
  <c r="C1336" i="2"/>
  <c r="AB1335" i="2"/>
  <c r="AA1335" i="2"/>
  <c r="Z1335" i="2"/>
  <c r="Y1335" i="2"/>
  <c r="X1335" i="2"/>
  <c r="U1335" i="2"/>
  <c r="T1335" i="2"/>
  <c r="S1335" i="2"/>
  <c r="C1335" i="2"/>
  <c r="AH1334" i="2"/>
  <c r="AB1334" i="2"/>
  <c r="AE1334" i="2" s="1"/>
  <c r="AA1334" i="2"/>
  <c r="Z1334" i="2"/>
  <c r="Y1334" i="2"/>
  <c r="AC1334" i="2" s="1"/>
  <c r="X1334" i="2"/>
  <c r="U1334" i="2"/>
  <c r="T1334" i="2"/>
  <c r="S1334" i="2"/>
  <c r="C1334" i="2"/>
  <c r="AB1333" i="2"/>
  <c r="AA1333" i="2"/>
  <c r="Z1333" i="2"/>
  <c r="Y1333" i="2"/>
  <c r="AC1333" i="2" s="1"/>
  <c r="X1333" i="2"/>
  <c r="U1333" i="2"/>
  <c r="T1333" i="2"/>
  <c r="S1333" i="2"/>
  <c r="C1333" i="2"/>
  <c r="AB1332" i="2"/>
  <c r="AA1332" i="2"/>
  <c r="Z1332" i="2"/>
  <c r="Y1332" i="2"/>
  <c r="X1332" i="2"/>
  <c r="U1332" i="2"/>
  <c r="T1332" i="2"/>
  <c r="S1332" i="2"/>
  <c r="C1332" i="2"/>
  <c r="AB1331" i="2"/>
  <c r="AA1331" i="2"/>
  <c r="Z1331" i="2"/>
  <c r="Y1331" i="2"/>
  <c r="AC1331" i="2" s="1"/>
  <c r="X1331" i="2"/>
  <c r="U1331" i="2"/>
  <c r="T1331" i="2"/>
  <c r="S1331" i="2"/>
  <c r="C1331" i="2"/>
  <c r="AB1330" i="2"/>
  <c r="AA1330" i="2"/>
  <c r="Z1330" i="2"/>
  <c r="Y1330" i="2"/>
  <c r="X1330" i="2"/>
  <c r="U1330" i="2"/>
  <c r="T1330" i="2"/>
  <c r="S1330" i="2"/>
  <c r="C1330" i="2"/>
  <c r="AB1329" i="2"/>
  <c r="AA1329" i="2"/>
  <c r="Z1329" i="2"/>
  <c r="Y1329" i="2"/>
  <c r="X1329" i="2"/>
  <c r="U1329" i="2"/>
  <c r="T1329" i="2"/>
  <c r="S1329" i="2"/>
  <c r="C1329" i="2"/>
  <c r="AB1328" i="2"/>
  <c r="AA1328" i="2"/>
  <c r="Z1328" i="2"/>
  <c r="Y1328" i="2"/>
  <c r="X1328" i="2"/>
  <c r="U1328" i="2"/>
  <c r="T1328" i="2"/>
  <c r="S1328" i="2"/>
  <c r="C1328" i="2"/>
  <c r="AH1327" i="2"/>
  <c r="AB1327" i="2"/>
  <c r="AA1327" i="2"/>
  <c r="Z1327" i="2"/>
  <c r="Y1327" i="2"/>
  <c r="AC1327" i="2" s="1"/>
  <c r="X1327" i="2"/>
  <c r="U1327" i="2"/>
  <c r="T1327" i="2"/>
  <c r="S1327" i="2"/>
  <c r="C1327" i="2"/>
  <c r="AB1326" i="2"/>
  <c r="AA1326" i="2"/>
  <c r="Z1326" i="2"/>
  <c r="Y1326" i="2"/>
  <c r="AC1326" i="2" s="1"/>
  <c r="X1326" i="2"/>
  <c r="U1326" i="2"/>
  <c r="T1326" i="2"/>
  <c r="S1326" i="2"/>
  <c r="C1326" i="2"/>
  <c r="AB1325" i="2"/>
  <c r="AA1325" i="2"/>
  <c r="AC1325" i="2" s="1"/>
  <c r="Z1325" i="2"/>
  <c r="Y1325" i="2"/>
  <c r="X1325" i="2"/>
  <c r="U1325" i="2"/>
  <c r="T1325" i="2"/>
  <c r="S1325" i="2"/>
  <c r="C1325" i="2"/>
  <c r="AB1324" i="2"/>
  <c r="AA1324" i="2"/>
  <c r="Z1324" i="2"/>
  <c r="Y1324" i="2"/>
  <c r="AC1324" i="2" s="1"/>
  <c r="X1324" i="2"/>
  <c r="U1324" i="2"/>
  <c r="T1324" i="2"/>
  <c r="S1324" i="2"/>
  <c r="C1324" i="2"/>
  <c r="AB1323" i="2"/>
  <c r="AA1323" i="2"/>
  <c r="Z1323" i="2"/>
  <c r="Y1323" i="2"/>
  <c r="X1323" i="2"/>
  <c r="U1323" i="2"/>
  <c r="T1323" i="2"/>
  <c r="S1323" i="2"/>
  <c r="C1323" i="2"/>
  <c r="AB1322" i="2"/>
  <c r="AA1322" i="2"/>
  <c r="Z1322" i="2"/>
  <c r="Y1322" i="2"/>
  <c r="AC1322" i="2" s="1"/>
  <c r="X1322" i="2"/>
  <c r="U1322" i="2"/>
  <c r="T1322" i="2"/>
  <c r="S1322" i="2"/>
  <c r="C1322" i="2"/>
  <c r="AB1321" i="2"/>
  <c r="AA1321" i="2"/>
  <c r="Z1321" i="2"/>
  <c r="Y1321" i="2"/>
  <c r="X1321" i="2"/>
  <c r="U1321" i="2"/>
  <c r="T1321" i="2"/>
  <c r="S1321" i="2"/>
  <c r="C1321" i="2"/>
  <c r="AC1404" i="2"/>
  <c r="AC1402" i="2"/>
  <c r="AE1398" i="2"/>
  <c r="AC1391" i="2"/>
  <c r="AC1392" i="2"/>
  <c r="AC1393" i="2"/>
  <c r="AC1397" i="2"/>
  <c r="AE1391" i="2"/>
  <c r="AC1386" i="2"/>
  <c r="AC1385" i="2"/>
  <c r="AE1383" i="2"/>
  <c r="AC1381" i="2"/>
  <c r="AE1377" i="2"/>
  <c r="AE1380" i="2"/>
  <c r="AC1371" i="2"/>
  <c r="AC1374" i="2"/>
  <c r="AC1363" i="2"/>
  <c r="AC1356" i="2"/>
  <c r="AC1353" i="2"/>
  <c r="AC1347" i="2"/>
  <c r="AE1336" i="2"/>
  <c r="AH1320" i="2"/>
  <c r="AB1320" i="2"/>
  <c r="AE1320" i="2" s="1"/>
  <c r="AA1320" i="2"/>
  <c r="Z1320" i="2"/>
  <c r="Y1320" i="2"/>
  <c r="X1320" i="2"/>
  <c r="U1320" i="2"/>
  <c r="T1320" i="2"/>
  <c r="S1320" i="2"/>
  <c r="C1320" i="2"/>
  <c r="AB1319" i="2"/>
  <c r="AA1319" i="2"/>
  <c r="Z1319" i="2"/>
  <c r="Y1319" i="2"/>
  <c r="X1319" i="2"/>
  <c r="U1319" i="2"/>
  <c r="T1319" i="2"/>
  <c r="S1319" i="2"/>
  <c r="C1319" i="2"/>
  <c r="AB1318" i="2"/>
  <c r="AA1318" i="2"/>
  <c r="Z1318" i="2"/>
  <c r="Y1318" i="2"/>
  <c r="X1318" i="2"/>
  <c r="U1318" i="2"/>
  <c r="T1318" i="2"/>
  <c r="S1318" i="2"/>
  <c r="C1318" i="2"/>
  <c r="AB1317" i="2"/>
  <c r="AA1317" i="2"/>
  <c r="Z1317" i="2"/>
  <c r="Y1317" i="2"/>
  <c r="AC1317" i="2" s="1"/>
  <c r="X1317" i="2"/>
  <c r="U1317" i="2"/>
  <c r="T1317" i="2"/>
  <c r="S1317" i="2"/>
  <c r="C1317" i="2"/>
  <c r="AB1316" i="2"/>
  <c r="AA1316" i="2"/>
  <c r="Z1316" i="2"/>
  <c r="Y1316" i="2"/>
  <c r="X1316" i="2"/>
  <c r="U1316" i="2"/>
  <c r="T1316" i="2"/>
  <c r="S1316" i="2"/>
  <c r="C1316" i="2"/>
  <c r="AB1315" i="2"/>
  <c r="AA1315" i="2"/>
  <c r="Z1315" i="2"/>
  <c r="Y1315" i="2"/>
  <c r="X1315" i="2"/>
  <c r="U1315" i="2"/>
  <c r="T1315" i="2"/>
  <c r="S1315" i="2"/>
  <c r="C1315" i="2"/>
  <c r="AB1314" i="2"/>
  <c r="AA1314" i="2"/>
  <c r="Z1314" i="2"/>
  <c r="Y1314" i="2"/>
  <c r="X1314" i="2"/>
  <c r="U1314" i="2"/>
  <c r="T1314" i="2"/>
  <c r="S1314" i="2"/>
  <c r="C1314" i="2"/>
  <c r="AH1313" i="2"/>
  <c r="AB1313" i="2"/>
  <c r="AE1313" i="2" s="1"/>
  <c r="AA1313" i="2"/>
  <c r="Z1313" i="2"/>
  <c r="Y1313" i="2"/>
  <c r="X1313" i="2"/>
  <c r="U1313" i="2"/>
  <c r="T1313" i="2"/>
  <c r="S1313" i="2"/>
  <c r="C1313" i="2"/>
  <c r="AB1312" i="2"/>
  <c r="AA1312" i="2"/>
  <c r="Z1312" i="2"/>
  <c r="Y1312" i="2"/>
  <c r="X1312" i="2"/>
  <c r="AE1312" i="2" s="1"/>
  <c r="U1312" i="2"/>
  <c r="T1312" i="2"/>
  <c r="S1312" i="2"/>
  <c r="C1312" i="2"/>
  <c r="AB1311" i="2"/>
  <c r="AA1311" i="2"/>
  <c r="Z1311" i="2"/>
  <c r="Y1311" i="2"/>
  <c r="X1311" i="2"/>
  <c r="AE1311" i="2" s="1"/>
  <c r="U1311" i="2"/>
  <c r="T1311" i="2"/>
  <c r="S1311" i="2"/>
  <c r="C1311" i="2"/>
  <c r="AB1310" i="2"/>
  <c r="AA1310" i="2"/>
  <c r="Z1310" i="2"/>
  <c r="Y1310" i="2"/>
  <c r="AC1310" i="2" s="1"/>
  <c r="X1310" i="2"/>
  <c r="U1310" i="2"/>
  <c r="T1310" i="2"/>
  <c r="S1310" i="2"/>
  <c r="C1310" i="2"/>
  <c r="AB1309" i="2"/>
  <c r="AA1309" i="2"/>
  <c r="Z1309" i="2"/>
  <c r="Y1309" i="2"/>
  <c r="X1309" i="2"/>
  <c r="U1309" i="2"/>
  <c r="T1309" i="2"/>
  <c r="S1309" i="2"/>
  <c r="C1309" i="2"/>
  <c r="AB1308" i="2"/>
  <c r="AA1308" i="2"/>
  <c r="Z1308" i="2"/>
  <c r="Y1308" i="2"/>
  <c r="X1308" i="2"/>
  <c r="U1308" i="2"/>
  <c r="T1308" i="2"/>
  <c r="S1308" i="2"/>
  <c r="C1308" i="2"/>
  <c r="AB1307" i="2"/>
  <c r="AA1307" i="2"/>
  <c r="Z1307" i="2"/>
  <c r="Y1307" i="2"/>
  <c r="X1307" i="2"/>
  <c r="U1307" i="2"/>
  <c r="T1307" i="2"/>
  <c r="S1307" i="2"/>
  <c r="C1307" i="2"/>
  <c r="AH1306" i="2"/>
  <c r="AB1306" i="2"/>
  <c r="AA1306" i="2"/>
  <c r="Z1306" i="2"/>
  <c r="Y1306" i="2"/>
  <c r="X1306" i="2"/>
  <c r="U1306" i="2"/>
  <c r="T1306" i="2"/>
  <c r="S1306" i="2"/>
  <c r="C1306" i="2"/>
  <c r="AB1305" i="2"/>
  <c r="AA1305" i="2"/>
  <c r="Z1305" i="2"/>
  <c r="Y1305" i="2"/>
  <c r="X1305" i="2"/>
  <c r="AE1305" i="2" s="1"/>
  <c r="U1305" i="2"/>
  <c r="T1305" i="2"/>
  <c r="S1305" i="2"/>
  <c r="C1305" i="2"/>
  <c r="AB1304" i="2"/>
  <c r="AA1304" i="2"/>
  <c r="Z1304" i="2"/>
  <c r="Y1304" i="2"/>
  <c r="AC1304" i="2" s="1"/>
  <c r="X1304" i="2"/>
  <c r="AE1304" i="2" s="1"/>
  <c r="U1304" i="2"/>
  <c r="T1304" i="2"/>
  <c r="S1304" i="2"/>
  <c r="C1304" i="2"/>
  <c r="AB1303" i="2"/>
  <c r="AA1303" i="2"/>
  <c r="Z1303" i="2"/>
  <c r="Y1303" i="2"/>
  <c r="AC1303" i="2" s="1"/>
  <c r="X1303" i="2"/>
  <c r="U1303" i="2"/>
  <c r="T1303" i="2"/>
  <c r="S1303" i="2"/>
  <c r="C1303" i="2"/>
  <c r="AB1302" i="2"/>
  <c r="AA1302" i="2"/>
  <c r="AC1302" i="2" s="1"/>
  <c r="Z1302" i="2"/>
  <c r="Y1302" i="2"/>
  <c r="X1302" i="2"/>
  <c r="U1302" i="2"/>
  <c r="T1302" i="2"/>
  <c r="S1302" i="2"/>
  <c r="C1302" i="2"/>
  <c r="AB1301" i="2"/>
  <c r="AE1301" i="2" s="1"/>
  <c r="AA1301" i="2"/>
  <c r="Z1301" i="2"/>
  <c r="Y1301" i="2"/>
  <c r="X1301" i="2"/>
  <c r="U1301" i="2"/>
  <c r="T1301" i="2"/>
  <c r="S1301" i="2"/>
  <c r="C1301" i="2"/>
  <c r="AB1300" i="2"/>
  <c r="AA1300" i="2"/>
  <c r="Z1300" i="2"/>
  <c r="Y1300" i="2"/>
  <c r="X1300" i="2"/>
  <c r="U1300" i="2"/>
  <c r="T1300" i="2"/>
  <c r="S1300" i="2"/>
  <c r="C1300" i="2"/>
  <c r="AH1299" i="2"/>
  <c r="AB1299" i="2"/>
  <c r="AA1299" i="2"/>
  <c r="Z1299" i="2"/>
  <c r="Y1299" i="2"/>
  <c r="X1299" i="2"/>
  <c r="U1299" i="2"/>
  <c r="T1299" i="2"/>
  <c r="S1299" i="2"/>
  <c r="C1299" i="2"/>
  <c r="AB1298" i="2"/>
  <c r="AA1298" i="2"/>
  <c r="Z1298" i="2"/>
  <c r="Y1298" i="2"/>
  <c r="X1298" i="2"/>
  <c r="AE1298" i="2" s="1"/>
  <c r="U1298" i="2"/>
  <c r="T1298" i="2"/>
  <c r="S1298" i="2"/>
  <c r="C1298" i="2"/>
  <c r="AB1297" i="2"/>
  <c r="AA1297" i="2"/>
  <c r="Z1297" i="2"/>
  <c r="Y1297" i="2"/>
  <c r="X1297" i="2"/>
  <c r="AE1297" i="2" s="1"/>
  <c r="U1297" i="2"/>
  <c r="T1297" i="2"/>
  <c r="S1297" i="2"/>
  <c r="C1297" i="2"/>
  <c r="AB1296" i="2"/>
  <c r="AA1296" i="2"/>
  <c r="Z1296" i="2"/>
  <c r="Y1296" i="2"/>
  <c r="AC1296" i="2" s="1"/>
  <c r="X1296" i="2"/>
  <c r="U1296" i="2"/>
  <c r="T1296" i="2"/>
  <c r="S1296" i="2"/>
  <c r="C1296" i="2"/>
  <c r="AB1295" i="2"/>
  <c r="AA1295" i="2"/>
  <c r="Z1295" i="2"/>
  <c r="Y1295" i="2"/>
  <c r="X1295" i="2"/>
  <c r="U1295" i="2"/>
  <c r="T1295" i="2"/>
  <c r="S1295" i="2"/>
  <c r="C1295" i="2"/>
  <c r="AB1294" i="2"/>
  <c r="AE1294" i="2" s="1"/>
  <c r="AA1294" i="2"/>
  <c r="Z1294" i="2"/>
  <c r="Y1294" i="2"/>
  <c r="X1294" i="2"/>
  <c r="U1294" i="2"/>
  <c r="T1294" i="2"/>
  <c r="S1294" i="2"/>
  <c r="C1294" i="2"/>
  <c r="AB1293" i="2"/>
  <c r="AA1293" i="2"/>
  <c r="Z1293" i="2"/>
  <c r="Y1293" i="2"/>
  <c r="AC1293" i="2" s="1"/>
  <c r="X1293" i="2"/>
  <c r="U1293" i="2"/>
  <c r="T1293" i="2"/>
  <c r="S1293" i="2"/>
  <c r="C1293" i="2"/>
  <c r="AH1292" i="2"/>
  <c r="AB1292" i="2"/>
  <c r="AE1292" i="2" s="1"/>
  <c r="AA1292" i="2"/>
  <c r="Z1292" i="2"/>
  <c r="Y1292" i="2"/>
  <c r="X1292" i="2"/>
  <c r="U1292" i="2"/>
  <c r="T1292" i="2"/>
  <c r="S1292" i="2"/>
  <c r="C1292" i="2"/>
  <c r="AB1291" i="2"/>
  <c r="AA1291" i="2"/>
  <c r="Z1291" i="2"/>
  <c r="Y1291" i="2"/>
  <c r="X1291" i="2"/>
  <c r="U1291" i="2"/>
  <c r="T1291" i="2"/>
  <c r="S1291" i="2"/>
  <c r="C1291" i="2"/>
  <c r="AB1290" i="2"/>
  <c r="AA1290" i="2"/>
  <c r="Z1290" i="2"/>
  <c r="Y1290" i="2"/>
  <c r="AC1290" i="2" s="1"/>
  <c r="X1290" i="2"/>
  <c r="U1290" i="2"/>
  <c r="T1290" i="2"/>
  <c r="S1290" i="2"/>
  <c r="C1290" i="2"/>
  <c r="AB1289" i="2"/>
  <c r="AA1289" i="2"/>
  <c r="Z1289" i="2"/>
  <c r="Y1289" i="2"/>
  <c r="AC1289" i="2" s="1"/>
  <c r="X1289" i="2"/>
  <c r="U1289" i="2"/>
  <c r="T1289" i="2"/>
  <c r="S1289" i="2"/>
  <c r="C1289" i="2"/>
  <c r="AB1288" i="2"/>
  <c r="AA1288" i="2"/>
  <c r="Z1288" i="2"/>
  <c r="Y1288" i="2"/>
  <c r="X1288" i="2"/>
  <c r="U1288" i="2"/>
  <c r="T1288" i="2"/>
  <c r="S1288" i="2"/>
  <c r="C1288" i="2"/>
  <c r="AB1287" i="2"/>
  <c r="AE1287" i="2" s="1"/>
  <c r="AA1287" i="2"/>
  <c r="Z1287" i="2"/>
  <c r="Y1287" i="2"/>
  <c r="X1287" i="2"/>
  <c r="U1287" i="2"/>
  <c r="T1287" i="2"/>
  <c r="S1287" i="2"/>
  <c r="C1287" i="2"/>
  <c r="AB1286" i="2"/>
  <c r="AA1286" i="2"/>
  <c r="Z1286" i="2"/>
  <c r="Y1286" i="2"/>
  <c r="X1286" i="2"/>
  <c r="U1286" i="2"/>
  <c r="T1286" i="2"/>
  <c r="S1286" i="2"/>
  <c r="C1286" i="2"/>
  <c r="AW1258" i="2"/>
  <c r="AH1285" i="2"/>
  <c r="AB1285" i="2"/>
  <c r="AA1285" i="2"/>
  <c r="Z1285" i="2"/>
  <c r="Y1285" i="2"/>
  <c r="X1285" i="2"/>
  <c r="AE1285" i="2" s="1"/>
  <c r="U1285" i="2"/>
  <c r="T1285" i="2"/>
  <c r="S1285" i="2"/>
  <c r="C1285" i="2"/>
  <c r="AB1284" i="2"/>
  <c r="AA1284" i="2"/>
  <c r="Z1284" i="2"/>
  <c r="Y1284" i="2"/>
  <c r="AC1284" i="2" s="1"/>
  <c r="X1284" i="2"/>
  <c r="AE1284" i="2" s="1"/>
  <c r="U1284" i="2"/>
  <c r="T1284" i="2"/>
  <c r="S1284" i="2"/>
  <c r="C1284" i="2"/>
  <c r="AB1283" i="2"/>
  <c r="AA1283" i="2"/>
  <c r="Z1283" i="2"/>
  <c r="AE1283" i="2" s="1"/>
  <c r="Y1283" i="2"/>
  <c r="AC1283" i="2" s="1"/>
  <c r="X1283" i="2"/>
  <c r="U1283" i="2"/>
  <c r="T1283" i="2"/>
  <c r="S1283" i="2"/>
  <c r="C1283" i="2"/>
  <c r="AB1282" i="2"/>
  <c r="AA1282" i="2"/>
  <c r="Z1282" i="2"/>
  <c r="Y1282" i="2"/>
  <c r="X1282" i="2"/>
  <c r="U1282" i="2"/>
  <c r="T1282" i="2"/>
  <c r="S1282" i="2"/>
  <c r="C1282" i="2"/>
  <c r="AB1281" i="2"/>
  <c r="AE1281" i="2" s="1"/>
  <c r="AA1281" i="2"/>
  <c r="Z1281" i="2"/>
  <c r="Y1281" i="2"/>
  <c r="X1281" i="2"/>
  <c r="U1281" i="2"/>
  <c r="T1281" i="2"/>
  <c r="S1281" i="2"/>
  <c r="C1281" i="2"/>
  <c r="AB1280" i="2"/>
  <c r="AA1280" i="2"/>
  <c r="Z1280" i="2"/>
  <c r="Y1280" i="2"/>
  <c r="X1280" i="2"/>
  <c r="U1280" i="2"/>
  <c r="T1280" i="2"/>
  <c r="S1280" i="2"/>
  <c r="C1280" i="2"/>
  <c r="AB1279" i="2"/>
  <c r="AA1279" i="2"/>
  <c r="Z1279" i="2"/>
  <c r="Y1279" i="2"/>
  <c r="X1279" i="2"/>
  <c r="U1279" i="2"/>
  <c r="T1279" i="2"/>
  <c r="S1279" i="2"/>
  <c r="C1279" i="2"/>
  <c r="AS1262" i="2"/>
  <c r="AU1262" i="2" s="1"/>
  <c r="AW1254" i="2"/>
  <c r="AW1264" i="2"/>
  <c r="X1276" i="2"/>
  <c r="AJ1277" i="2"/>
  <c r="AC1318" i="2"/>
  <c r="AC1320" i="2"/>
  <c r="AC1311" i="2"/>
  <c r="AC1305" i="2"/>
  <c r="AE1296" i="2"/>
  <c r="AC1286" i="2"/>
  <c r="AU1264" i="2"/>
  <c r="AU1263" i="2"/>
  <c r="AU1261" i="2"/>
  <c r="AU1260" i="2"/>
  <c r="AU1259" i="2"/>
  <c r="AU1258" i="2"/>
  <c r="AU1257" i="2"/>
  <c r="AU1256" i="2"/>
  <c r="AU1255" i="2"/>
  <c r="AU1254" i="2"/>
  <c r="AU1253" i="2"/>
  <c r="AV1253" i="2"/>
  <c r="AW1253" i="2"/>
  <c r="AT1264" i="2"/>
  <c r="BC1257" i="2"/>
  <c r="BC1256" i="2"/>
  <c r="BC1255" i="2"/>
  <c r="BC1254" i="2"/>
  <c r="BB1257" i="2"/>
  <c r="BB1256" i="2"/>
  <c r="BB1255" i="2"/>
  <c r="BB1254" i="2"/>
  <c r="AH1278" i="2"/>
  <c r="AB1278" i="2"/>
  <c r="AA1278" i="2"/>
  <c r="Z1278" i="2"/>
  <c r="Y1278" i="2"/>
  <c r="X1278" i="2"/>
  <c r="U1278" i="2"/>
  <c r="T1278" i="2"/>
  <c r="S1278" i="2"/>
  <c r="C1278" i="2"/>
  <c r="AB1277" i="2"/>
  <c r="AA1277" i="2"/>
  <c r="Z1277" i="2"/>
  <c r="Y1277" i="2"/>
  <c r="X1277" i="2"/>
  <c r="U1277" i="2"/>
  <c r="T1277" i="2"/>
  <c r="S1277" i="2"/>
  <c r="C1277" i="2"/>
  <c r="AB1276" i="2"/>
  <c r="AA1276" i="2"/>
  <c r="Z1276" i="2"/>
  <c r="Y1276" i="2"/>
  <c r="AC1276" i="2" s="1"/>
  <c r="U1276" i="2"/>
  <c r="T1276" i="2"/>
  <c r="S1276" i="2"/>
  <c r="C1276" i="2"/>
  <c r="AB1275" i="2"/>
  <c r="AA1275" i="2"/>
  <c r="Z1275" i="2"/>
  <c r="Y1275" i="2"/>
  <c r="X1275" i="2"/>
  <c r="U1275" i="2"/>
  <c r="T1275" i="2"/>
  <c r="S1275" i="2"/>
  <c r="C1275" i="2"/>
  <c r="AB1274" i="2"/>
  <c r="AA1274" i="2"/>
  <c r="Z1274" i="2"/>
  <c r="Y1274" i="2"/>
  <c r="X1274" i="2"/>
  <c r="U1274" i="2"/>
  <c r="T1274" i="2"/>
  <c r="S1274" i="2"/>
  <c r="C1274" i="2"/>
  <c r="AB1273" i="2"/>
  <c r="AA1273" i="2"/>
  <c r="Z1273" i="2"/>
  <c r="Y1273" i="2"/>
  <c r="X1273" i="2"/>
  <c r="U1273" i="2"/>
  <c r="T1273" i="2"/>
  <c r="S1273" i="2"/>
  <c r="C1273" i="2"/>
  <c r="AB1272" i="2"/>
  <c r="AA1272" i="2"/>
  <c r="Z1272" i="2"/>
  <c r="Y1272" i="2"/>
  <c r="X1272" i="2"/>
  <c r="U1272" i="2"/>
  <c r="T1272" i="2"/>
  <c r="S1272" i="2"/>
  <c r="C1272" i="2"/>
  <c r="AC1274" i="2"/>
  <c r="AH1271" i="2"/>
  <c r="AB1271" i="2"/>
  <c r="AA1271" i="2"/>
  <c r="Z1271" i="2"/>
  <c r="Y1271" i="2"/>
  <c r="X1271" i="2"/>
  <c r="U1271" i="2"/>
  <c r="T1271" i="2"/>
  <c r="S1271" i="2"/>
  <c r="C1271" i="2"/>
  <c r="AB1270" i="2"/>
  <c r="AA1270" i="2"/>
  <c r="Z1270" i="2"/>
  <c r="Y1270" i="2"/>
  <c r="X1270" i="2"/>
  <c r="U1270" i="2"/>
  <c r="T1270" i="2"/>
  <c r="S1270" i="2"/>
  <c r="C1270" i="2"/>
  <c r="AB1269" i="2"/>
  <c r="AA1269" i="2"/>
  <c r="Z1269" i="2"/>
  <c r="Y1269" i="2"/>
  <c r="U1269" i="2"/>
  <c r="T1269" i="2"/>
  <c r="S1269" i="2"/>
  <c r="C1269" i="2"/>
  <c r="AB1268" i="2"/>
  <c r="AA1268" i="2"/>
  <c r="Z1268" i="2"/>
  <c r="Y1268" i="2"/>
  <c r="X1268" i="2"/>
  <c r="U1268" i="2"/>
  <c r="T1268" i="2"/>
  <c r="S1268" i="2"/>
  <c r="C1268" i="2"/>
  <c r="AB1267" i="2"/>
  <c r="AA1267" i="2"/>
  <c r="Z1267" i="2"/>
  <c r="AE1267" i="2" s="1"/>
  <c r="Y1267" i="2"/>
  <c r="AC1267" i="2" s="1"/>
  <c r="X1267" i="2"/>
  <c r="U1267" i="2"/>
  <c r="T1267" i="2"/>
  <c r="S1267" i="2"/>
  <c r="C1267" i="2"/>
  <c r="AB1266" i="2"/>
  <c r="AA1266" i="2"/>
  <c r="Z1266" i="2"/>
  <c r="Y1266" i="2"/>
  <c r="X1266" i="2"/>
  <c r="U1266" i="2"/>
  <c r="T1266" i="2"/>
  <c r="S1266" i="2"/>
  <c r="C1266" i="2"/>
  <c r="AB1265" i="2"/>
  <c r="AA1265" i="2"/>
  <c r="Z1265" i="2"/>
  <c r="Y1265" i="2"/>
  <c r="AC1265" i="2" s="1"/>
  <c r="X1265" i="2"/>
  <c r="U1265" i="2"/>
  <c r="T1265" i="2"/>
  <c r="S1265" i="2"/>
  <c r="C1265" i="2"/>
  <c r="D1260" i="2"/>
  <c r="S1260" i="2" s="1"/>
  <c r="AC1266" i="2"/>
  <c r="X1269" i="2"/>
  <c r="F1262" i="2"/>
  <c r="X1262" i="2" s="1"/>
  <c r="AW1249" i="2"/>
  <c r="AW1248" i="2"/>
  <c r="AW1247" i="2"/>
  <c r="AH1264" i="2"/>
  <c r="AB1264" i="2"/>
  <c r="AA1264" i="2"/>
  <c r="Z1264" i="2"/>
  <c r="Y1264" i="2"/>
  <c r="X1264" i="2"/>
  <c r="U1264" i="2"/>
  <c r="T1264" i="2"/>
  <c r="S1264" i="2"/>
  <c r="C1264" i="2"/>
  <c r="AB1263" i="2"/>
  <c r="AA1263" i="2"/>
  <c r="Z1263" i="2"/>
  <c r="Y1263" i="2"/>
  <c r="X1263" i="2"/>
  <c r="U1263" i="2"/>
  <c r="T1263" i="2"/>
  <c r="S1263" i="2"/>
  <c r="C1263" i="2"/>
  <c r="AB1262" i="2"/>
  <c r="AA1262" i="2"/>
  <c r="Z1262" i="2"/>
  <c r="Y1262" i="2"/>
  <c r="U1262" i="2"/>
  <c r="T1262" i="2"/>
  <c r="S1262" i="2"/>
  <c r="C1262" i="2"/>
  <c r="AB1261" i="2"/>
  <c r="AA1261" i="2"/>
  <c r="Z1261" i="2"/>
  <c r="Y1261" i="2"/>
  <c r="X1261" i="2"/>
  <c r="U1261" i="2"/>
  <c r="T1261" i="2"/>
  <c r="S1261" i="2"/>
  <c r="C1261" i="2"/>
  <c r="AB1260" i="2"/>
  <c r="AA1260" i="2"/>
  <c r="Z1260" i="2"/>
  <c r="Y1260" i="2"/>
  <c r="X1260" i="2"/>
  <c r="AE1260" i="2" s="1"/>
  <c r="U1260" i="2"/>
  <c r="T1260" i="2"/>
  <c r="C1260" i="2"/>
  <c r="AB1259" i="2"/>
  <c r="AA1259" i="2"/>
  <c r="Z1259" i="2"/>
  <c r="Y1259" i="2"/>
  <c r="X1259" i="2"/>
  <c r="U1259" i="2"/>
  <c r="T1259" i="2"/>
  <c r="S1259" i="2"/>
  <c r="C1259" i="2"/>
  <c r="AB1258" i="2"/>
  <c r="AA1258" i="2"/>
  <c r="Z1258" i="2"/>
  <c r="Y1258" i="2"/>
  <c r="X1258" i="2"/>
  <c r="U1258" i="2"/>
  <c r="T1258" i="2"/>
  <c r="S1258" i="2"/>
  <c r="C1258" i="2"/>
  <c r="AW1263" i="2"/>
  <c r="AW1261" i="2"/>
  <c r="AW1260" i="2"/>
  <c r="AW1259" i="2"/>
  <c r="AW1257" i="2"/>
  <c r="AW1256" i="2"/>
  <c r="AW1255" i="2"/>
  <c r="AV1254" i="2"/>
  <c r="AV1255" i="2"/>
  <c r="AV1256" i="2"/>
  <c r="AV1257" i="2"/>
  <c r="AV1258" i="2"/>
  <c r="AV1259" i="2"/>
  <c r="AV1260" i="2"/>
  <c r="AV1261" i="2"/>
  <c r="AV1262" i="2"/>
  <c r="AV1263" i="2"/>
  <c r="AV1264" i="2"/>
  <c r="AX1250" i="2"/>
  <c r="AT1250" i="2"/>
  <c r="AT1263" i="2"/>
  <c r="AT1261" i="2"/>
  <c r="AT1260" i="2"/>
  <c r="AT1259" i="2"/>
  <c r="AT1258" i="2"/>
  <c r="AT1257" i="2"/>
  <c r="AT1256" i="2"/>
  <c r="AT1255" i="2"/>
  <c r="AT1254" i="2"/>
  <c r="AT1253" i="2"/>
  <c r="O1250" i="2"/>
  <c r="AB1250" i="2" s="1"/>
  <c r="B4" i="4"/>
  <c r="B3" i="4"/>
  <c r="AH1257" i="2"/>
  <c r="AB1257" i="2"/>
  <c r="AA1257" i="2"/>
  <c r="Z1257" i="2"/>
  <c r="Y1257" i="2"/>
  <c r="AC1257" i="2" s="1"/>
  <c r="X1257" i="2"/>
  <c r="U1257" i="2"/>
  <c r="T1257" i="2"/>
  <c r="S1257" i="2"/>
  <c r="C1257" i="2"/>
  <c r="AB1256" i="2"/>
  <c r="AA1256" i="2"/>
  <c r="Z1256" i="2"/>
  <c r="Y1256" i="2"/>
  <c r="X1256" i="2"/>
  <c r="U1256" i="2"/>
  <c r="T1256" i="2"/>
  <c r="S1256" i="2"/>
  <c r="C1256" i="2"/>
  <c r="AB1255" i="2"/>
  <c r="AA1255" i="2"/>
  <c r="Z1255" i="2"/>
  <c r="Y1255" i="2"/>
  <c r="X1255" i="2"/>
  <c r="U1255" i="2"/>
  <c r="T1255" i="2"/>
  <c r="S1255" i="2"/>
  <c r="C1255" i="2"/>
  <c r="AB1254" i="2"/>
  <c r="AA1254" i="2"/>
  <c r="Z1254" i="2"/>
  <c r="AE1254" i="2" s="1"/>
  <c r="Y1254" i="2"/>
  <c r="AC1254" i="2" s="1"/>
  <c r="X1254" i="2"/>
  <c r="U1254" i="2"/>
  <c r="T1254" i="2"/>
  <c r="S1254" i="2"/>
  <c r="C1254" i="2"/>
  <c r="AB1253" i="2"/>
  <c r="AA1253" i="2"/>
  <c r="Z1253" i="2"/>
  <c r="Y1253" i="2"/>
  <c r="X1253" i="2"/>
  <c r="U1253" i="2"/>
  <c r="T1253" i="2"/>
  <c r="S1253" i="2"/>
  <c r="C1253" i="2"/>
  <c r="AB1252" i="2"/>
  <c r="AA1252" i="2"/>
  <c r="Z1252" i="2"/>
  <c r="Y1252" i="2"/>
  <c r="X1252" i="2"/>
  <c r="U1252" i="2"/>
  <c r="T1252" i="2"/>
  <c r="S1252" i="2"/>
  <c r="C1252" i="2"/>
  <c r="AB1251" i="2"/>
  <c r="AA1251" i="2"/>
  <c r="Z1251" i="2"/>
  <c r="Y1251" i="2"/>
  <c r="X1251" i="2"/>
  <c r="U1251" i="2"/>
  <c r="T1251" i="2"/>
  <c r="S1251" i="2"/>
  <c r="C1251" i="2"/>
  <c r="C1244" i="2"/>
  <c r="S1244" i="2"/>
  <c r="T1244" i="2"/>
  <c r="U1244" i="2"/>
  <c r="X1244" i="2"/>
  <c r="Y1244" i="2"/>
  <c r="Z1244" i="2"/>
  <c r="AE1244" i="2" s="1"/>
  <c r="AA1244" i="2"/>
  <c r="AB1244" i="2"/>
  <c r="C1245" i="2"/>
  <c r="S1245" i="2"/>
  <c r="T1245" i="2"/>
  <c r="U1245" i="2"/>
  <c r="X1245" i="2"/>
  <c r="Y1245" i="2"/>
  <c r="Z1245" i="2"/>
  <c r="AA1245" i="2"/>
  <c r="AB1245" i="2"/>
  <c r="C1246" i="2"/>
  <c r="S1246" i="2"/>
  <c r="T1246" i="2"/>
  <c r="U1246" i="2"/>
  <c r="X1246" i="2"/>
  <c r="Y1246" i="2"/>
  <c r="Z1246" i="2"/>
  <c r="AA1246" i="2"/>
  <c r="AB1246" i="2"/>
  <c r="C1247" i="2"/>
  <c r="S1247" i="2"/>
  <c r="T1247" i="2"/>
  <c r="U1247" i="2"/>
  <c r="X1247" i="2"/>
  <c r="Y1247" i="2"/>
  <c r="Z1247" i="2"/>
  <c r="AA1247" i="2"/>
  <c r="AB1247" i="2"/>
  <c r="C1248" i="2"/>
  <c r="S1248" i="2"/>
  <c r="T1248" i="2"/>
  <c r="U1248" i="2"/>
  <c r="X1248" i="2"/>
  <c r="Y1248" i="2"/>
  <c r="Z1248" i="2"/>
  <c r="AA1248" i="2"/>
  <c r="AB1248" i="2"/>
  <c r="C1249" i="2"/>
  <c r="S1249" i="2"/>
  <c r="T1249" i="2"/>
  <c r="U1249" i="2"/>
  <c r="X1249" i="2"/>
  <c r="Y1249" i="2"/>
  <c r="Z1249" i="2"/>
  <c r="AA1249" i="2"/>
  <c r="AB1249" i="2"/>
  <c r="C1250" i="2"/>
  <c r="S1250" i="2"/>
  <c r="U1250" i="2"/>
  <c r="X1250" i="2"/>
  <c r="Y1250" i="2"/>
  <c r="AC1250" i="2" s="1"/>
  <c r="Z1250" i="2"/>
  <c r="AA1250" i="2"/>
  <c r="AH1250" i="2"/>
  <c r="AH1243" i="2"/>
  <c r="AB1243" i="2"/>
  <c r="AA1243" i="2"/>
  <c r="AC1243" i="2" s="1"/>
  <c r="Z1243" i="2"/>
  <c r="Y1243" i="2"/>
  <c r="X1243" i="2"/>
  <c r="U1243" i="2"/>
  <c r="T1243" i="2"/>
  <c r="S1243" i="2"/>
  <c r="C1243" i="2"/>
  <c r="AB1242" i="2"/>
  <c r="AE1242" i="2" s="1"/>
  <c r="AA1242" i="2"/>
  <c r="Z1242" i="2"/>
  <c r="Y1242" i="2"/>
  <c r="X1242" i="2"/>
  <c r="U1242" i="2"/>
  <c r="T1242" i="2"/>
  <c r="S1242" i="2"/>
  <c r="C1242" i="2"/>
  <c r="AB1241" i="2"/>
  <c r="AA1241" i="2"/>
  <c r="Z1241" i="2"/>
  <c r="Y1241" i="2"/>
  <c r="X1241" i="2"/>
  <c r="U1241" i="2"/>
  <c r="T1241" i="2"/>
  <c r="S1241" i="2"/>
  <c r="C1241" i="2"/>
  <c r="AB1240" i="2"/>
  <c r="AA1240" i="2"/>
  <c r="Z1240" i="2"/>
  <c r="Y1240" i="2"/>
  <c r="AC1240" i="2" s="1"/>
  <c r="X1240" i="2"/>
  <c r="AE1240" i="2" s="1"/>
  <c r="U1240" i="2"/>
  <c r="T1240" i="2"/>
  <c r="S1240" i="2"/>
  <c r="C1240" i="2"/>
  <c r="AB1239" i="2"/>
  <c r="AA1239" i="2"/>
  <c r="Z1239" i="2"/>
  <c r="Y1239" i="2"/>
  <c r="AC1239" i="2" s="1"/>
  <c r="X1239" i="2"/>
  <c r="U1239" i="2"/>
  <c r="T1239" i="2"/>
  <c r="S1239" i="2"/>
  <c r="C1239" i="2"/>
  <c r="AB1238" i="2"/>
  <c r="AA1238" i="2"/>
  <c r="Z1238" i="2"/>
  <c r="Y1238" i="2"/>
  <c r="X1238" i="2"/>
  <c r="U1238" i="2"/>
  <c r="T1238" i="2"/>
  <c r="S1238" i="2"/>
  <c r="C1238" i="2"/>
  <c r="AB1237" i="2"/>
  <c r="AA1237" i="2"/>
  <c r="Z1237" i="2"/>
  <c r="Y1237" i="2"/>
  <c r="X1237" i="2"/>
  <c r="U1237" i="2"/>
  <c r="T1237" i="2"/>
  <c r="S1237" i="2"/>
  <c r="C1237" i="2"/>
  <c r="AH1236" i="2"/>
  <c r="AB1236" i="2"/>
  <c r="AA1236" i="2"/>
  <c r="Z1236" i="2"/>
  <c r="Y1236" i="2"/>
  <c r="X1236" i="2"/>
  <c r="U1236" i="2"/>
  <c r="T1236" i="2"/>
  <c r="S1236" i="2"/>
  <c r="C1236" i="2"/>
  <c r="AB1235" i="2"/>
  <c r="AA1235" i="2"/>
  <c r="AC1235" i="2" s="1"/>
  <c r="Z1235" i="2"/>
  <c r="Y1235" i="2"/>
  <c r="X1235" i="2"/>
  <c r="U1235" i="2"/>
  <c r="T1235" i="2"/>
  <c r="S1235" i="2"/>
  <c r="C1235" i="2"/>
  <c r="AB1234" i="2"/>
  <c r="AA1234" i="2"/>
  <c r="Z1234" i="2"/>
  <c r="Y1234" i="2"/>
  <c r="X1234" i="2"/>
  <c r="U1234" i="2"/>
  <c r="T1234" i="2"/>
  <c r="S1234" i="2"/>
  <c r="C1234" i="2"/>
  <c r="AB1233" i="2"/>
  <c r="AA1233" i="2"/>
  <c r="Z1233" i="2"/>
  <c r="Y1233" i="2"/>
  <c r="AC1233" i="2" s="1"/>
  <c r="X1233" i="2"/>
  <c r="U1233" i="2"/>
  <c r="T1233" i="2"/>
  <c r="S1233" i="2"/>
  <c r="C1233" i="2"/>
  <c r="AB1232" i="2"/>
  <c r="AA1232" i="2"/>
  <c r="Z1232" i="2"/>
  <c r="Y1232" i="2"/>
  <c r="X1232" i="2"/>
  <c r="U1232" i="2"/>
  <c r="T1232" i="2"/>
  <c r="S1232" i="2"/>
  <c r="C1232" i="2"/>
  <c r="AB1231" i="2"/>
  <c r="AA1231" i="2"/>
  <c r="Z1231" i="2"/>
  <c r="Y1231" i="2"/>
  <c r="X1231" i="2"/>
  <c r="U1231" i="2"/>
  <c r="T1231" i="2"/>
  <c r="S1231" i="2"/>
  <c r="C1231" i="2"/>
  <c r="AB1230" i="2"/>
  <c r="AA1230" i="2"/>
  <c r="Z1230" i="2"/>
  <c r="Y1230" i="2"/>
  <c r="X1230" i="2"/>
  <c r="U1230" i="2"/>
  <c r="T1230" i="2"/>
  <c r="S1230" i="2"/>
  <c r="C1230" i="2"/>
  <c r="AH1229" i="2"/>
  <c r="AB1229" i="2"/>
  <c r="AA1229" i="2"/>
  <c r="AC1229" i="2" s="1"/>
  <c r="Z1229" i="2"/>
  <c r="Y1229" i="2"/>
  <c r="X1229" i="2"/>
  <c r="U1229" i="2"/>
  <c r="T1229" i="2"/>
  <c r="S1229" i="2"/>
  <c r="C1229" i="2"/>
  <c r="AB1228" i="2"/>
  <c r="AA1228" i="2"/>
  <c r="Z1228" i="2"/>
  <c r="Y1228" i="2"/>
  <c r="X1228" i="2"/>
  <c r="U1228" i="2"/>
  <c r="T1228" i="2"/>
  <c r="S1228" i="2"/>
  <c r="C1228" i="2"/>
  <c r="AB1227" i="2"/>
  <c r="AA1227" i="2"/>
  <c r="Z1227" i="2"/>
  <c r="Y1227" i="2"/>
  <c r="AC1227" i="2" s="1"/>
  <c r="X1227" i="2"/>
  <c r="AE1227" i="2" s="1"/>
  <c r="U1227" i="2"/>
  <c r="T1227" i="2"/>
  <c r="S1227" i="2"/>
  <c r="C1227" i="2"/>
  <c r="AB1226" i="2"/>
  <c r="AA1226" i="2"/>
  <c r="Z1226" i="2"/>
  <c r="Y1226" i="2"/>
  <c r="AC1226" i="2" s="1"/>
  <c r="X1226" i="2"/>
  <c r="U1226" i="2"/>
  <c r="T1226" i="2"/>
  <c r="S1226" i="2"/>
  <c r="C1226" i="2"/>
  <c r="AB1225" i="2"/>
  <c r="AA1225" i="2"/>
  <c r="Z1225" i="2"/>
  <c r="Y1225" i="2"/>
  <c r="X1225" i="2"/>
  <c r="U1225" i="2"/>
  <c r="T1225" i="2"/>
  <c r="S1225" i="2"/>
  <c r="C1225" i="2"/>
  <c r="AB1224" i="2"/>
  <c r="AA1224" i="2"/>
  <c r="Z1224" i="2"/>
  <c r="Y1224" i="2"/>
  <c r="X1224" i="2"/>
  <c r="U1224" i="2"/>
  <c r="T1224" i="2"/>
  <c r="S1224" i="2"/>
  <c r="C1224" i="2"/>
  <c r="AB1223" i="2"/>
  <c r="AA1223" i="2"/>
  <c r="Z1223" i="2"/>
  <c r="Y1223" i="2"/>
  <c r="AC1223" i="2" s="1"/>
  <c r="X1223" i="2"/>
  <c r="U1223" i="2"/>
  <c r="T1223" i="2"/>
  <c r="S1223" i="2"/>
  <c r="C1223" i="2"/>
  <c r="U1222" i="2"/>
  <c r="T1222" i="2"/>
  <c r="S1222" i="2"/>
  <c r="U1221" i="2"/>
  <c r="T1221" i="2"/>
  <c r="S1221" i="2"/>
  <c r="U1220" i="2"/>
  <c r="T1220" i="2"/>
  <c r="S1220" i="2"/>
  <c r="U1219" i="2"/>
  <c r="T1219" i="2"/>
  <c r="S1219" i="2"/>
  <c r="U1218" i="2"/>
  <c r="T1218" i="2"/>
  <c r="S1218" i="2"/>
  <c r="U1217" i="2"/>
  <c r="T1217" i="2"/>
  <c r="S1217" i="2"/>
  <c r="U1216" i="2"/>
  <c r="T1216" i="2"/>
  <c r="S1216" i="2"/>
  <c r="N26" i="4"/>
  <c r="N25" i="4"/>
  <c r="O25" i="4"/>
  <c r="L26" i="4"/>
  <c r="L25" i="4"/>
  <c r="O26" i="4"/>
  <c r="O27" i="4"/>
  <c r="AH1222" i="2"/>
  <c r="AB1222" i="2"/>
  <c r="AA1222" i="2"/>
  <c r="Z1222" i="2"/>
  <c r="Y1222" i="2"/>
  <c r="X1222" i="2"/>
  <c r="C1222" i="2"/>
  <c r="AB1221" i="2"/>
  <c r="AA1221" i="2"/>
  <c r="Z1221" i="2"/>
  <c r="Y1221" i="2"/>
  <c r="X1221" i="2"/>
  <c r="C1221" i="2"/>
  <c r="AB1220" i="2"/>
  <c r="AA1220" i="2"/>
  <c r="Z1220" i="2"/>
  <c r="Y1220" i="2"/>
  <c r="X1220" i="2"/>
  <c r="C1220" i="2"/>
  <c r="AB1219" i="2"/>
  <c r="AA1219" i="2"/>
  <c r="Z1219" i="2"/>
  <c r="Y1219" i="2"/>
  <c r="X1219" i="2"/>
  <c r="C1219" i="2"/>
  <c r="AB1218" i="2"/>
  <c r="AA1218" i="2"/>
  <c r="Z1218" i="2"/>
  <c r="Y1218" i="2"/>
  <c r="AC1218" i="2" s="1"/>
  <c r="X1218" i="2"/>
  <c r="C1218" i="2"/>
  <c r="AB1217" i="2"/>
  <c r="AA1217" i="2"/>
  <c r="Z1217" i="2"/>
  <c r="Y1217" i="2"/>
  <c r="X1217" i="2"/>
  <c r="C1217" i="2"/>
  <c r="AB1216" i="2"/>
  <c r="AA1216" i="2"/>
  <c r="Z1216" i="2"/>
  <c r="Y1216" i="2"/>
  <c r="X1216" i="2"/>
  <c r="C1216" i="2"/>
  <c r="H7" i="4"/>
  <c r="H9" i="4"/>
  <c r="AC1217" i="2"/>
  <c r="AH1215" i="2"/>
  <c r="AB1215" i="2"/>
  <c r="AA1215" i="2"/>
  <c r="Z1215" i="2"/>
  <c r="Y1215" i="2"/>
  <c r="X1215" i="2"/>
  <c r="U1215" i="2"/>
  <c r="T1215" i="2"/>
  <c r="S1215" i="2"/>
  <c r="C1215" i="2"/>
  <c r="AB1214" i="2"/>
  <c r="AA1214" i="2"/>
  <c r="Z1214" i="2"/>
  <c r="Y1214" i="2"/>
  <c r="X1214" i="2"/>
  <c r="U1214" i="2"/>
  <c r="T1214" i="2"/>
  <c r="S1214" i="2"/>
  <c r="C1214" i="2"/>
  <c r="AB1213" i="2"/>
  <c r="AA1213" i="2"/>
  <c r="Z1213" i="2"/>
  <c r="Y1213" i="2"/>
  <c r="AC1213" i="2" s="1"/>
  <c r="X1213" i="2"/>
  <c r="U1213" i="2"/>
  <c r="T1213" i="2"/>
  <c r="S1213" i="2"/>
  <c r="C1213" i="2"/>
  <c r="AB1212" i="2"/>
  <c r="AA1212" i="2"/>
  <c r="Z1212" i="2"/>
  <c r="Y1212" i="2"/>
  <c r="AC1212" i="2" s="1"/>
  <c r="X1212" i="2"/>
  <c r="U1212" i="2"/>
  <c r="T1212" i="2"/>
  <c r="S1212" i="2"/>
  <c r="C1212" i="2"/>
  <c r="AB1211" i="2"/>
  <c r="AA1211" i="2"/>
  <c r="Z1211" i="2"/>
  <c r="Y1211" i="2"/>
  <c r="X1211" i="2"/>
  <c r="U1211" i="2"/>
  <c r="T1211" i="2"/>
  <c r="S1211" i="2"/>
  <c r="C1211" i="2"/>
  <c r="AB1210" i="2"/>
  <c r="AA1210" i="2"/>
  <c r="Z1210" i="2"/>
  <c r="Y1210" i="2"/>
  <c r="X1210" i="2"/>
  <c r="U1210" i="2"/>
  <c r="T1210" i="2"/>
  <c r="S1210" i="2"/>
  <c r="C1210" i="2"/>
  <c r="AB1209" i="2"/>
  <c r="AA1209" i="2"/>
  <c r="Z1209" i="2"/>
  <c r="Y1209" i="2"/>
  <c r="X1209" i="2"/>
  <c r="U1209" i="2"/>
  <c r="T1209" i="2"/>
  <c r="S1209" i="2"/>
  <c r="C1209" i="2"/>
  <c r="AH1208" i="2"/>
  <c r="AB1208" i="2"/>
  <c r="AA1208" i="2"/>
  <c r="Z1208" i="2"/>
  <c r="Y1208" i="2"/>
  <c r="X1208" i="2"/>
  <c r="U1208" i="2"/>
  <c r="T1208" i="2"/>
  <c r="S1208" i="2"/>
  <c r="C1208" i="2"/>
  <c r="AB1207" i="2"/>
  <c r="AA1207" i="2"/>
  <c r="AC1207" i="2" s="1"/>
  <c r="Z1207" i="2"/>
  <c r="Y1207" i="2"/>
  <c r="X1207" i="2"/>
  <c r="AE1207" i="2" s="1"/>
  <c r="U1207" i="2"/>
  <c r="T1207" i="2"/>
  <c r="S1207" i="2"/>
  <c r="C1207" i="2"/>
  <c r="AB1206" i="2"/>
  <c r="AA1206" i="2"/>
  <c r="Z1206" i="2"/>
  <c r="Y1206" i="2"/>
  <c r="AC1206" i="2" s="1"/>
  <c r="X1206" i="2"/>
  <c r="U1206" i="2"/>
  <c r="T1206" i="2"/>
  <c r="S1206" i="2"/>
  <c r="C1206" i="2"/>
  <c r="AB1205" i="2"/>
  <c r="AA1205" i="2"/>
  <c r="Z1205" i="2"/>
  <c r="Y1205" i="2"/>
  <c r="AC1205" i="2" s="1"/>
  <c r="X1205" i="2"/>
  <c r="U1205" i="2"/>
  <c r="T1205" i="2"/>
  <c r="S1205" i="2"/>
  <c r="C1205" i="2"/>
  <c r="AB1204" i="2"/>
  <c r="AA1204" i="2"/>
  <c r="Z1204" i="2"/>
  <c r="Y1204" i="2"/>
  <c r="X1204" i="2"/>
  <c r="U1204" i="2"/>
  <c r="T1204" i="2"/>
  <c r="S1204" i="2"/>
  <c r="C1204" i="2"/>
  <c r="AB1203" i="2"/>
  <c r="AA1203" i="2"/>
  <c r="Z1203" i="2"/>
  <c r="Y1203" i="2"/>
  <c r="X1203" i="2"/>
  <c r="U1203" i="2"/>
  <c r="T1203" i="2"/>
  <c r="S1203" i="2"/>
  <c r="C1203" i="2"/>
  <c r="AB1202" i="2"/>
  <c r="AA1202" i="2"/>
  <c r="Z1202" i="2"/>
  <c r="Y1202" i="2"/>
  <c r="X1202" i="2"/>
  <c r="U1202" i="2"/>
  <c r="T1202" i="2"/>
  <c r="S1202" i="2"/>
  <c r="C1202" i="2"/>
  <c r="AH1201" i="2"/>
  <c r="AB1201" i="2"/>
  <c r="AA1201" i="2"/>
  <c r="Z1201" i="2"/>
  <c r="Y1201" i="2"/>
  <c r="X1201" i="2"/>
  <c r="U1201" i="2"/>
  <c r="T1201" i="2"/>
  <c r="S1201" i="2"/>
  <c r="C1201" i="2"/>
  <c r="AB1200" i="2"/>
  <c r="AA1200" i="2"/>
  <c r="Z1200" i="2"/>
  <c r="Y1200" i="2"/>
  <c r="X1200" i="2"/>
  <c r="U1200" i="2"/>
  <c r="T1200" i="2"/>
  <c r="S1200" i="2"/>
  <c r="C1200" i="2"/>
  <c r="AB1199" i="2"/>
  <c r="AA1199" i="2"/>
  <c r="Z1199" i="2"/>
  <c r="Y1199" i="2"/>
  <c r="X1199" i="2"/>
  <c r="U1199" i="2"/>
  <c r="T1199" i="2"/>
  <c r="S1199" i="2"/>
  <c r="C1199" i="2"/>
  <c r="AB1198" i="2"/>
  <c r="AA1198" i="2"/>
  <c r="Z1198" i="2"/>
  <c r="Y1198" i="2"/>
  <c r="X1198" i="2"/>
  <c r="U1198" i="2"/>
  <c r="T1198" i="2"/>
  <c r="S1198" i="2"/>
  <c r="C1198" i="2"/>
  <c r="AB1197" i="2"/>
  <c r="AA1197" i="2"/>
  <c r="Z1197" i="2"/>
  <c r="Y1197" i="2"/>
  <c r="X1197" i="2"/>
  <c r="U1197" i="2"/>
  <c r="T1197" i="2"/>
  <c r="S1197" i="2"/>
  <c r="C1197" i="2"/>
  <c r="AB1196" i="2"/>
  <c r="AA1196" i="2"/>
  <c r="Z1196" i="2"/>
  <c r="Y1196" i="2"/>
  <c r="X1196" i="2"/>
  <c r="U1196" i="2"/>
  <c r="T1196" i="2"/>
  <c r="S1196" i="2"/>
  <c r="C1196" i="2"/>
  <c r="AB1195" i="2"/>
  <c r="AA1195" i="2"/>
  <c r="Z1195" i="2"/>
  <c r="Y1195" i="2"/>
  <c r="X1195" i="2"/>
  <c r="U1195" i="2"/>
  <c r="T1195" i="2"/>
  <c r="S1195" i="2"/>
  <c r="C1195" i="2"/>
  <c r="AB1194" i="2"/>
  <c r="AA1194" i="2"/>
  <c r="Z1194" i="2"/>
  <c r="Y1194" i="2"/>
  <c r="AC1194" i="2" s="1"/>
  <c r="X1194" i="2"/>
  <c r="U1194" i="2"/>
  <c r="T1194" i="2"/>
  <c r="S1194" i="2"/>
  <c r="C1194" i="2"/>
  <c r="AB1193" i="2"/>
  <c r="AA1193" i="2"/>
  <c r="Z1193" i="2"/>
  <c r="Y1193" i="2"/>
  <c r="AC1193" i="2" s="1"/>
  <c r="X1193" i="2"/>
  <c r="U1193" i="2"/>
  <c r="T1193" i="2"/>
  <c r="S1193" i="2"/>
  <c r="C1193" i="2"/>
  <c r="AB1192" i="2"/>
  <c r="AA1192" i="2"/>
  <c r="Z1192" i="2"/>
  <c r="Y1192" i="2"/>
  <c r="X1192" i="2"/>
  <c r="U1192" i="2"/>
  <c r="T1192" i="2"/>
  <c r="S1192" i="2"/>
  <c r="C1192" i="2"/>
  <c r="AB1191" i="2"/>
  <c r="AA1191" i="2"/>
  <c r="Z1191" i="2"/>
  <c r="Y1191" i="2"/>
  <c r="X1191" i="2"/>
  <c r="U1191" i="2"/>
  <c r="T1191" i="2"/>
  <c r="S1191" i="2"/>
  <c r="C1191" i="2"/>
  <c r="AB1190" i="2"/>
  <c r="AA1190" i="2"/>
  <c r="Z1190" i="2"/>
  <c r="Y1190" i="2"/>
  <c r="X1190" i="2"/>
  <c r="U1190" i="2"/>
  <c r="T1190" i="2"/>
  <c r="S1190" i="2"/>
  <c r="C1190" i="2"/>
  <c r="AB1189" i="2"/>
  <c r="AA1189" i="2"/>
  <c r="Z1189" i="2"/>
  <c r="Y1189" i="2"/>
  <c r="X1189" i="2"/>
  <c r="U1189" i="2"/>
  <c r="T1189" i="2"/>
  <c r="S1189" i="2"/>
  <c r="C1189" i="2"/>
  <c r="AB1188" i="2"/>
  <c r="AA1188" i="2"/>
  <c r="Z1188" i="2"/>
  <c r="Y1188" i="2"/>
  <c r="X1188" i="2"/>
  <c r="U1188" i="2"/>
  <c r="T1188" i="2"/>
  <c r="S1188" i="2"/>
  <c r="C1188" i="2"/>
  <c r="S1186" i="2"/>
  <c r="AC1195" i="2"/>
  <c r="AH1187" i="2"/>
  <c r="AB1187" i="2"/>
  <c r="AA1187" i="2"/>
  <c r="Z1187" i="2"/>
  <c r="Y1187" i="2"/>
  <c r="X1187" i="2"/>
  <c r="U1187" i="2"/>
  <c r="T1187" i="2"/>
  <c r="S1187" i="2"/>
  <c r="C1187" i="2"/>
  <c r="AB1186" i="2"/>
  <c r="AA1186" i="2"/>
  <c r="Z1186" i="2"/>
  <c r="Y1186" i="2"/>
  <c r="X1186" i="2"/>
  <c r="U1186" i="2"/>
  <c r="T1186" i="2"/>
  <c r="C1186" i="2"/>
  <c r="AB1185" i="2"/>
  <c r="AA1185" i="2"/>
  <c r="Z1185" i="2"/>
  <c r="Y1185" i="2"/>
  <c r="X1185" i="2"/>
  <c r="U1185" i="2"/>
  <c r="T1185" i="2"/>
  <c r="S1185" i="2"/>
  <c r="C1185" i="2"/>
  <c r="AB1184" i="2"/>
  <c r="AA1184" i="2"/>
  <c r="Z1184" i="2"/>
  <c r="Y1184" i="2"/>
  <c r="X1184" i="2"/>
  <c r="U1184" i="2"/>
  <c r="T1184" i="2"/>
  <c r="S1184" i="2"/>
  <c r="C1184" i="2"/>
  <c r="AB1183" i="2"/>
  <c r="AA1183" i="2"/>
  <c r="Z1183" i="2"/>
  <c r="Y1183" i="2"/>
  <c r="AC1183" i="2" s="1"/>
  <c r="X1183" i="2"/>
  <c r="U1183" i="2"/>
  <c r="T1183" i="2"/>
  <c r="S1183" i="2"/>
  <c r="C1183" i="2"/>
  <c r="AB1182" i="2"/>
  <c r="AA1182" i="2"/>
  <c r="Z1182" i="2"/>
  <c r="Y1182" i="2"/>
  <c r="AC1182" i="2" s="1"/>
  <c r="X1182" i="2"/>
  <c r="U1182" i="2"/>
  <c r="T1182" i="2"/>
  <c r="S1182" i="2"/>
  <c r="C1182" i="2"/>
  <c r="AB1181" i="2"/>
  <c r="AA1181" i="2"/>
  <c r="Z1181" i="2"/>
  <c r="Y1181" i="2"/>
  <c r="X1181" i="2"/>
  <c r="U1181" i="2"/>
  <c r="T1181" i="2"/>
  <c r="S1181" i="2"/>
  <c r="C1181" i="2"/>
  <c r="AB1180" i="2"/>
  <c r="AA1180" i="2"/>
  <c r="Z1180" i="2"/>
  <c r="Y1180" i="2"/>
  <c r="X1180" i="2"/>
  <c r="U1180" i="2"/>
  <c r="T1180" i="2"/>
  <c r="S1180" i="2"/>
  <c r="C1180" i="2"/>
  <c r="B2" i="1"/>
  <c r="AC1186" i="2"/>
  <c r="AC1185" i="2"/>
  <c r="AH1179" i="2"/>
  <c r="AB1179" i="2"/>
  <c r="AA1179" i="2"/>
  <c r="Z1179" i="2"/>
  <c r="Y1179" i="2"/>
  <c r="X1179" i="2"/>
  <c r="U1179" i="2"/>
  <c r="T1179" i="2"/>
  <c r="S1179" i="2"/>
  <c r="C1179" i="2"/>
  <c r="AB1178" i="2"/>
  <c r="AA1178" i="2"/>
  <c r="Z1178" i="2"/>
  <c r="Y1178" i="2"/>
  <c r="X1178" i="2"/>
  <c r="U1178" i="2"/>
  <c r="T1178" i="2"/>
  <c r="S1178" i="2"/>
  <c r="C1178" i="2"/>
  <c r="AB1177" i="2"/>
  <c r="AA1177" i="2"/>
  <c r="Z1177" i="2"/>
  <c r="Y1177" i="2"/>
  <c r="X1177" i="2"/>
  <c r="U1177" i="2"/>
  <c r="T1177" i="2"/>
  <c r="S1177" i="2"/>
  <c r="C1177" i="2"/>
  <c r="AB1176" i="2"/>
  <c r="AE1176" i="2" s="1"/>
  <c r="AA1176" i="2"/>
  <c r="Z1176" i="2"/>
  <c r="Y1176" i="2"/>
  <c r="X1176" i="2"/>
  <c r="U1176" i="2"/>
  <c r="T1176" i="2"/>
  <c r="S1176" i="2"/>
  <c r="C1176" i="2"/>
  <c r="AB1175" i="2"/>
  <c r="AE1175" i="2" s="1"/>
  <c r="AA1175" i="2"/>
  <c r="AC1175" i="2" s="1"/>
  <c r="Z1175" i="2"/>
  <c r="Y1175" i="2"/>
  <c r="X1175" i="2"/>
  <c r="U1175" i="2"/>
  <c r="T1175" i="2"/>
  <c r="S1175" i="2"/>
  <c r="C1175" i="2"/>
  <c r="AB1174" i="2"/>
  <c r="AA1174" i="2"/>
  <c r="Z1174" i="2"/>
  <c r="Y1174" i="2"/>
  <c r="X1174" i="2"/>
  <c r="U1174" i="2"/>
  <c r="T1174" i="2"/>
  <c r="S1174" i="2"/>
  <c r="C1174" i="2"/>
  <c r="AB1173" i="2"/>
  <c r="AA1173" i="2"/>
  <c r="Z1173" i="2"/>
  <c r="Y1173" i="2"/>
  <c r="AC1173" i="2" s="1"/>
  <c r="X1173" i="2"/>
  <c r="U1173" i="2"/>
  <c r="T1173" i="2"/>
  <c r="S1173" i="2"/>
  <c r="C1173" i="2"/>
  <c r="AB1172" i="2"/>
  <c r="AA1172" i="2"/>
  <c r="Z1172" i="2"/>
  <c r="Y1172" i="2"/>
  <c r="X1172" i="2"/>
  <c r="U1172" i="2"/>
  <c r="T1172" i="2"/>
  <c r="S1172" i="2"/>
  <c r="C1172" i="2"/>
  <c r="AH1171" i="2"/>
  <c r="AB1171" i="2"/>
  <c r="AA1171" i="2"/>
  <c r="Z1171" i="2"/>
  <c r="Y1171" i="2"/>
  <c r="X1171" i="2"/>
  <c r="U1171" i="2"/>
  <c r="T1171" i="2"/>
  <c r="S1171" i="2"/>
  <c r="C1171" i="2"/>
  <c r="AB1170" i="2"/>
  <c r="AA1170" i="2"/>
  <c r="Z1170" i="2"/>
  <c r="Y1170" i="2"/>
  <c r="X1170" i="2"/>
  <c r="U1170" i="2"/>
  <c r="T1170" i="2"/>
  <c r="S1170" i="2"/>
  <c r="C1170" i="2"/>
  <c r="AB1169" i="2"/>
  <c r="AA1169" i="2"/>
  <c r="Z1169" i="2"/>
  <c r="Y1169" i="2"/>
  <c r="X1169" i="2"/>
  <c r="U1169" i="2"/>
  <c r="T1169" i="2"/>
  <c r="S1169" i="2"/>
  <c r="C1169" i="2"/>
  <c r="AB1168" i="2"/>
  <c r="AE1168" i="2" s="1"/>
  <c r="AA1168" i="2"/>
  <c r="AC1168" i="2" s="1"/>
  <c r="Z1168" i="2"/>
  <c r="Y1168" i="2"/>
  <c r="X1168" i="2"/>
  <c r="U1168" i="2"/>
  <c r="T1168" i="2"/>
  <c r="S1168" i="2"/>
  <c r="C1168" i="2"/>
  <c r="AB1167" i="2"/>
  <c r="AA1167" i="2"/>
  <c r="AC1167" i="2" s="1"/>
  <c r="Z1167" i="2"/>
  <c r="Y1167" i="2"/>
  <c r="X1167" i="2"/>
  <c r="U1167" i="2"/>
  <c r="T1167" i="2"/>
  <c r="S1167" i="2"/>
  <c r="C1167" i="2"/>
  <c r="AB1166" i="2"/>
  <c r="AA1166" i="2"/>
  <c r="Z1166" i="2"/>
  <c r="Y1166" i="2"/>
  <c r="AC1166" i="2" s="1"/>
  <c r="X1166" i="2"/>
  <c r="U1166" i="2"/>
  <c r="T1166" i="2"/>
  <c r="S1166" i="2"/>
  <c r="C1166" i="2"/>
  <c r="AB1165" i="2"/>
  <c r="AA1165" i="2"/>
  <c r="Z1165" i="2"/>
  <c r="Y1165" i="2"/>
  <c r="X1165" i="2"/>
  <c r="U1165" i="2"/>
  <c r="T1165" i="2"/>
  <c r="S1165" i="2"/>
  <c r="C1165" i="2"/>
  <c r="AB1164" i="2"/>
  <c r="AA1164" i="2"/>
  <c r="Z1164" i="2"/>
  <c r="Y1164" i="2"/>
  <c r="X1164" i="2"/>
  <c r="U1164" i="2"/>
  <c r="T1164" i="2"/>
  <c r="S1164" i="2"/>
  <c r="C1164" i="2"/>
  <c r="AB1163" i="2"/>
  <c r="AA1163" i="2"/>
  <c r="Z1163" i="2"/>
  <c r="Y1163" i="2"/>
  <c r="X1163" i="2"/>
  <c r="U1163" i="2"/>
  <c r="T1163" i="2"/>
  <c r="S1163" i="2"/>
  <c r="C1163" i="2"/>
  <c r="AH1162" i="2"/>
  <c r="AB1162" i="2"/>
  <c r="AA1162" i="2"/>
  <c r="Z1162" i="2"/>
  <c r="Y1162" i="2"/>
  <c r="X1162" i="2"/>
  <c r="U1162" i="2"/>
  <c r="T1162" i="2"/>
  <c r="S1162" i="2"/>
  <c r="C1162" i="2"/>
  <c r="AB1161" i="2"/>
  <c r="AA1161" i="2"/>
  <c r="Z1161" i="2"/>
  <c r="Y1161" i="2"/>
  <c r="X1161" i="2"/>
  <c r="U1161" i="2"/>
  <c r="T1161" i="2"/>
  <c r="S1161" i="2"/>
  <c r="C1161" i="2"/>
  <c r="AB1160" i="2"/>
  <c r="AA1160" i="2"/>
  <c r="Z1160" i="2"/>
  <c r="Y1160" i="2"/>
  <c r="X1160" i="2"/>
  <c r="U1160" i="2"/>
  <c r="T1160" i="2"/>
  <c r="S1160" i="2"/>
  <c r="C1160" i="2"/>
  <c r="AB1159" i="2"/>
  <c r="AA1159" i="2"/>
  <c r="Z1159" i="2"/>
  <c r="Y1159" i="2"/>
  <c r="AC1159" i="2" s="1"/>
  <c r="X1159" i="2"/>
  <c r="U1159" i="2"/>
  <c r="T1159" i="2"/>
  <c r="S1159" i="2"/>
  <c r="C1159" i="2"/>
  <c r="AB1158" i="2"/>
  <c r="AA1158" i="2"/>
  <c r="Z1158" i="2"/>
  <c r="Y1158" i="2"/>
  <c r="X1158" i="2"/>
  <c r="U1158" i="2"/>
  <c r="T1158" i="2"/>
  <c r="S1158" i="2"/>
  <c r="C1158" i="2"/>
  <c r="AB1157" i="2"/>
  <c r="AA1157" i="2"/>
  <c r="Z1157" i="2"/>
  <c r="Y1157" i="2"/>
  <c r="X1157" i="2"/>
  <c r="U1157" i="2"/>
  <c r="T1157" i="2"/>
  <c r="S1157" i="2"/>
  <c r="C1157" i="2"/>
  <c r="AB1156" i="2"/>
  <c r="AA1156" i="2"/>
  <c r="Z1156" i="2"/>
  <c r="Y1156" i="2"/>
  <c r="X1156" i="2"/>
  <c r="U1156" i="2"/>
  <c r="T1156" i="2"/>
  <c r="S1156" i="2"/>
  <c r="C1156" i="2"/>
  <c r="AB1155" i="2"/>
  <c r="AA1155" i="2"/>
  <c r="Z1155" i="2"/>
  <c r="Y1155" i="2"/>
  <c r="X1155" i="2"/>
  <c r="U1155" i="2"/>
  <c r="T1155" i="2"/>
  <c r="S1155" i="2"/>
  <c r="C1155" i="2"/>
  <c r="AB1154" i="2"/>
  <c r="AA1154" i="2"/>
  <c r="Z1154" i="2"/>
  <c r="Y1154" i="2"/>
  <c r="X1154" i="2"/>
  <c r="U1154" i="2"/>
  <c r="T1154" i="2"/>
  <c r="S1154" i="2"/>
  <c r="C1154" i="2"/>
  <c r="AH1153" i="2"/>
  <c r="AB1153" i="2"/>
  <c r="AA1153" i="2"/>
  <c r="Z1153" i="2"/>
  <c r="Y1153" i="2"/>
  <c r="X1153" i="2"/>
  <c r="U1153" i="2"/>
  <c r="T1153" i="2"/>
  <c r="S1153" i="2"/>
  <c r="C1153" i="2"/>
  <c r="AB1152" i="2"/>
  <c r="AA1152" i="2"/>
  <c r="Z1152" i="2"/>
  <c r="Y1152" i="2"/>
  <c r="AC1152" i="2" s="1"/>
  <c r="X1152" i="2"/>
  <c r="U1152" i="2"/>
  <c r="T1152" i="2"/>
  <c r="S1152" i="2"/>
  <c r="C1152" i="2"/>
  <c r="AB1151" i="2"/>
  <c r="AA1151" i="2"/>
  <c r="Z1151" i="2"/>
  <c r="Y1151" i="2"/>
  <c r="X1151" i="2"/>
  <c r="U1151" i="2"/>
  <c r="T1151" i="2"/>
  <c r="S1151" i="2"/>
  <c r="C1151" i="2"/>
  <c r="AB1150" i="2"/>
  <c r="AA1150" i="2"/>
  <c r="Z1150" i="2"/>
  <c r="Y1150" i="2"/>
  <c r="X1150" i="2"/>
  <c r="U1150" i="2"/>
  <c r="T1150" i="2"/>
  <c r="S1150" i="2"/>
  <c r="C1150" i="2"/>
  <c r="AB1149" i="2"/>
  <c r="AA1149" i="2"/>
  <c r="Z1149" i="2"/>
  <c r="Y1149" i="2"/>
  <c r="X1149" i="2"/>
  <c r="U1149" i="2"/>
  <c r="T1149" i="2"/>
  <c r="S1149" i="2"/>
  <c r="C1149" i="2"/>
  <c r="AB1148" i="2"/>
  <c r="AA1148" i="2"/>
  <c r="Z1148" i="2"/>
  <c r="Y1148" i="2"/>
  <c r="X1148" i="2"/>
  <c r="U1148" i="2"/>
  <c r="T1148" i="2"/>
  <c r="S1148" i="2"/>
  <c r="C1148" i="2"/>
  <c r="AB1147" i="2"/>
  <c r="AE1147" i="2" s="1"/>
  <c r="AA1147" i="2"/>
  <c r="Z1147" i="2"/>
  <c r="Y1147" i="2"/>
  <c r="X1147" i="2"/>
  <c r="U1147" i="2"/>
  <c r="T1147" i="2"/>
  <c r="S1147" i="2"/>
  <c r="C1147" i="2"/>
  <c r="AB1146" i="2"/>
  <c r="AA1146" i="2"/>
  <c r="Z1146" i="2"/>
  <c r="Y1146" i="2"/>
  <c r="X1146" i="2"/>
  <c r="U1146" i="2"/>
  <c r="T1146" i="2"/>
  <c r="S1146" i="2"/>
  <c r="C1146" i="2"/>
  <c r="AB1145" i="2"/>
  <c r="AA1145" i="2"/>
  <c r="Z1145" i="2"/>
  <c r="Y1145" i="2"/>
  <c r="X1145" i="2"/>
  <c r="U1145" i="2"/>
  <c r="T1145" i="2"/>
  <c r="S1145" i="2"/>
  <c r="C1145" i="2"/>
  <c r="AH1144" i="2"/>
  <c r="AB1144" i="2"/>
  <c r="AA1144" i="2"/>
  <c r="Z1144" i="2"/>
  <c r="Y1144" i="2"/>
  <c r="X1144" i="2"/>
  <c r="U1144" i="2"/>
  <c r="T1144" i="2"/>
  <c r="S1144" i="2"/>
  <c r="C1144" i="2"/>
  <c r="AB1143" i="2"/>
  <c r="AA1143" i="2"/>
  <c r="Z1143" i="2"/>
  <c r="Y1143" i="2"/>
  <c r="X1143" i="2"/>
  <c r="U1143" i="2"/>
  <c r="T1143" i="2"/>
  <c r="S1143" i="2"/>
  <c r="C1143" i="2"/>
  <c r="AB1142" i="2"/>
  <c r="AA1142" i="2"/>
  <c r="Z1142" i="2"/>
  <c r="Y1142" i="2"/>
  <c r="X1142" i="2"/>
  <c r="U1142" i="2"/>
  <c r="T1142" i="2"/>
  <c r="S1142" i="2"/>
  <c r="C1142" i="2"/>
  <c r="AB1141" i="2"/>
  <c r="AA1141" i="2"/>
  <c r="Z1141" i="2"/>
  <c r="Y1141" i="2"/>
  <c r="X1141" i="2"/>
  <c r="U1141" i="2"/>
  <c r="T1141" i="2"/>
  <c r="S1141" i="2"/>
  <c r="C1141" i="2"/>
  <c r="AB1140" i="2"/>
  <c r="AA1140" i="2"/>
  <c r="Z1140" i="2"/>
  <c r="Y1140" i="2"/>
  <c r="X1140" i="2"/>
  <c r="U1140" i="2"/>
  <c r="T1140" i="2"/>
  <c r="S1140" i="2"/>
  <c r="C1140" i="2"/>
  <c r="AB1139" i="2"/>
  <c r="AA1139" i="2"/>
  <c r="Z1139" i="2"/>
  <c r="Y1139" i="2"/>
  <c r="X1139" i="2"/>
  <c r="U1139" i="2"/>
  <c r="T1139" i="2"/>
  <c r="S1139" i="2"/>
  <c r="C1139" i="2"/>
  <c r="AB1138" i="2"/>
  <c r="AA1138" i="2"/>
  <c r="Z1138" i="2"/>
  <c r="Y1138" i="2"/>
  <c r="X1138" i="2"/>
  <c r="U1138" i="2"/>
  <c r="T1138" i="2"/>
  <c r="S1138" i="2"/>
  <c r="C1138" i="2"/>
  <c r="AB1137" i="2"/>
  <c r="AA1137" i="2"/>
  <c r="Z1137" i="2"/>
  <c r="Y1137" i="2"/>
  <c r="X1137" i="2"/>
  <c r="U1137" i="2"/>
  <c r="T1137" i="2"/>
  <c r="S1137" i="2"/>
  <c r="C1137" i="2"/>
  <c r="AB1136" i="2"/>
  <c r="AA1136" i="2"/>
  <c r="Z1136" i="2"/>
  <c r="Y1136" i="2"/>
  <c r="X1136" i="2"/>
  <c r="U1136" i="2"/>
  <c r="T1136" i="2"/>
  <c r="S1136" i="2"/>
  <c r="C1136" i="2"/>
  <c r="AH1135" i="2"/>
  <c r="AB1135" i="2"/>
  <c r="AA1135" i="2"/>
  <c r="Z1135" i="2"/>
  <c r="Y1135" i="2"/>
  <c r="X1135" i="2"/>
  <c r="U1135" i="2"/>
  <c r="T1135" i="2"/>
  <c r="S1135" i="2"/>
  <c r="C1135" i="2"/>
  <c r="AB1134" i="2"/>
  <c r="AA1134" i="2"/>
  <c r="Z1134" i="2"/>
  <c r="Y1134" i="2"/>
  <c r="X1134" i="2"/>
  <c r="U1134" i="2"/>
  <c r="T1134" i="2"/>
  <c r="S1134" i="2"/>
  <c r="C1134" i="2"/>
  <c r="AB1133" i="2"/>
  <c r="AA1133" i="2"/>
  <c r="Z1133" i="2"/>
  <c r="Y1133" i="2"/>
  <c r="AC1133" i="2" s="1"/>
  <c r="X1133" i="2"/>
  <c r="U1133" i="2"/>
  <c r="T1133" i="2"/>
  <c r="S1133" i="2"/>
  <c r="C1133" i="2"/>
  <c r="AB1132" i="2"/>
  <c r="AA1132" i="2"/>
  <c r="Z1132" i="2"/>
  <c r="Y1132" i="2"/>
  <c r="X1132" i="2"/>
  <c r="U1132" i="2"/>
  <c r="T1132" i="2"/>
  <c r="S1132" i="2"/>
  <c r="C1132" i="2"/>
  <c r="AB1131" i="2"/>
  <c r="AA1131" i="2"/>
  <c r="Z1131" i="2"/>
  <c r="Y1131" i="2"/>
  <c r="X1131" i="2"/>
  <c r="U1131" i="2"/>
  <c r="T1131" i="2"/>
  <c r="S1131" i="2"/>
  <c r="C1131" i="2"/>
  <c r="AB1130" i="2"/>
  <c r="AA1130" i="2"/>
  <c r="Z1130" i="2"/>
  <c r="Y1130" i="2"/>
  <c r="X1130" i="2"/>
  <c r="U1130" i="2"/>
  <c r="T1130" i="2"/>
  <c r="S1130" i="2"/>
  <c r="C1130" i="2"/>
  <c r="AB1129" i="2"/>
  <c r="AA1129" i="2"/>
  <c r="Z1129" i="2"/>
  <c r="Y1129" i="2"/>
  <c r="AC1129" i="2" s="1"/>
  <c r="X1129" i="2"/>
  <c r="U1129" i="2"/>
  <c r="T1129" i="2"/>
  <c r="S1129" i="2"/>
  <c r="C1129" i="2"/>
  <c r="AB1128" i="2"/>
  <c r="AA1128" i="2"/>
  <c r="Z1128" i="2"/>
  <c r="Y1128" i="2"/>
  <c r="X1128" i="2"/>
  <c r="U1128" i="2"/>
  <c r="T1128" i="2"/>
  <c r="S1128" i="2"/>
  <c r="C1128" i="2"/>
  <c r="AB1127" i="2"/>
  <c r="AA1127" i="2"/>
  <c r="Z1127" i="2"/>
  <c r="Y1127" i="2"/>
  <c r="X1127" i="2"/>
  <c r="U1127" i="2"/>
  <c r="T1127" i="2"/>
  <c r="S1127" i="2"/>
  <c r="C1127" i="2"/>
  <c r="AH1126" i="2"/>
  <c r="AB1126" i="2"/>
  <c r="AA1126" i="2"/>
  <c r="Z1126" i="2"/>
  <c r="Y1126" i="2"/>
  <c r="X1126" i="2"/>
  <c r="U1126" i="2"/>
  <c r="T1126" i="2"/>
  <c r="S1126" i="2"/>
  <c r="C1126" i="2"/>
  <c r="AB1125" i="2"/>
  <c r="AA1125" i="2"/>
  <c r="Z1125" i="2"/>
  <c r="Y1125" i="2"/>
  <c r="X1125" i="2"/>
  <c r="U1125" i="2"/>
  <c r="T1125" i="2"/>
  <c r="S1125" i="2"/>
  <c r="C1125" i="2"/>
  <c r="AB1124" i="2"/>
  <c r="AA1124" i="2"/>
  <c r="AC1124" i="2" s="1"/>
  <c r="Z1124" i="2"/>
  <c r="Y1124" i="2"/>
  <c r="X1124" i="2"/>
  <c r="U1124" i="2"/>
  <c r="T1124" i="2"/>
  <c r="S1124" i="2"/>
  <c r="C1124" i="2"/>
  <c r="AB1123" i="2"/>
  <c r="AA1123" i="2"/>
  <c r="Z1123" i="2"/>
  <c r="Y1123" i="2"/>
  <c r="X1123" i="2"/>
  <c r="U1123" i="2"/>
  <c r="T1123" i="2"/>
  <c r="S1123" i="2"/>
  <c r="C1123" i="2"/>
  <c r="AB1122" i="2"/>
  <c r="AA1122" i="2"/>
  <c r="Z1122" i="2"/>
  <c r="Y1122" i="2"/>
  <c r="AC1122" i="2" s="1"/>
  <c r="X1122" i="2"/>
  <c r="U1122" i="2"/>
  <c r="T1122" i="2"/>
  <c r="S1122" i="2"/>
  <c r="C1122" i="2"/>
  <c r="AB1121" i="2"/>
  <c r="AA1121" i="2"/>
  <c r="Z1121" i="2"/>
  <c r="Y1121" i="2"/>
  <c r="X1121" i="2"/>
  <c r="U1121" i="2"/>
  <c r="T1121" i="2"/>
  <c r="S1121" i="2"/>
  <c r="C1121" i="2"/>
  <c r="AB1120" i="2"/>
  <c r="AA1120" i="2"/>
  <c r="Z1120" i="2"/>
  <c r="Y1120" i="2"/>
  <c r="X1120" i="2"/>
  <c r="U1120" i="2"/>
  <c r="T1120" i="2"/>
  <c r="S1120" i="2"/>
  <c r="C1120" i="2"/>
  <c r="AB1119" i="2"/>
  <c r="AA1119" i="2"/>
  <c r="AC1119" i="2" s="1"/>
  <c r="Z1119" i="2"/>
  <c r="Y1119" i="2"/>
  <c r="X1119" i="2"/>
  <c r="U1119" i="2"/>
  <c r="T1119" i="2"/>
  <c r="S1119" i="2"/>
  <c r="C1119" i="2"/>
  <c r="AB1118" i="2"/>
  <c r="AA1118" i="2"/>
  <c r="Z1118" i="2"/>
  <c r="Y1118" i="2"/>
  <c r="X1118" i="2"/>
  <c r="U1118" i="2"/>
  <c r="T1118" i="2"/>
  <c r="S1118" i="2"/>
  <c r="C1118" i="2"/>
  <c r="Y8" i="3"/>
  <c r="AC1147" i="2"/>
  <c r="AH1117" i="2"/>
  <c r="AB1117" i="2"/>
  <c r="AA1117" i="2"/>
  <c r="AC1117" i="2" s="1"/>
  <c r="Z1117" i="2"/>
  <c r="Y1117" i="2"/>
  <c r="X1117" i="2"/>
  <c r="U1117" i="2"/>
  <c r="T1117" i="2"/>
  <c r="S1117" i="2"/>
  <c r="C1117" i="2"/>
  <c r="AB1116" i="2"/>
  <c r="AE1116" i="2" s="1"/>
  <c r="AA1116" i="2"/>
  <c r="Z1116" i="2"/>
  <c r="Y1116" i="2"/>
  <c r="X1116" i="2"/>
  <c r="U1116" i="2"/>
  <c r="T1116" i="2"/>
  <c r="S1116" i="2"/>
  <c r="C1116" i="2"/>
  <c r="AB1115" i="2"/>
  <c r="AA1115" i="2"/>
  <c r="Z1115" i="2"/>
  <c r="Y1115" i="2"/>
  <c r="X1115" i="2"/>
  <c r="U1115" i="2"/>
  <c r="T1115" i="2"/>
  <c r="S1115" i="2"/>
  <c r="C1115" i="2"/>
  <c r="AB1114" i="2"/>
  <c r="AA1114" i="2"/>
  <c r="Z1114" i="2"/>
  <c r="Y1114" i="2"/>
  <c r="X1114" i="2"/>
  <c r="U1114" i="2"/>
  <c r="T1114" i="2"/>
  <c r="S1114" i="2"/>
  <c r="C1114" i="2"/>
  <c r="AB1113" i="2"/>
  <c r="AA1113" i="2"/>
  <c r="Z1113" i="2"/>
  <c r="Y1113" i="2"/>
  <c r="X1113" i="2"/>
  <c r="U1113" i="2"/>
  <c r="T1113" i="2"/>
  <c r="S1113" i="2"/>
  <c r="C1113" i="2"/>
  <c r="AB1112" i="2"/>
  <c r="AA1112" i="2"/>
  <c r="Z1112" i="2"/>
  <c r="Y1112" i="2"/>
  <c r="X1112" i="2"/>
  <c r="AE1112" i="2" s="1"/>
  <c r="U1112" i="2"/>
  <c r="T1112" i="2"/>
  <c r="S1112" i="2"/>
  <c r="C1112" i="2"/>
  <c r="AB1111" i="2"/>
  <c r="AA1111" i="2"/>
  <c r="Z1111" i="2"/>
  <c r="Y1111" i="2"/>
  <c r="AC1111" i="2" s="1"/>
  <c r="X1111" i="2"/>
  <c r="U1111" i="2"/>
  <c r="T1111" i="2"/>
  <c r="S1111" i="2"/>
  <c r="C1111" i="2"/>
  <c r="AB1110" i="2"/>
  <c r="AA1110" i="2"/>
  <c r="Z1110" i="2"/>
  <c r="Y1110" i="2"/>
  <c r="X1110" i="2"/>
  <c r="U1110" i="2"/>
  <c r="T1110" i="2"/>
  <c r="S1110" i="2"/>
  <c r="C1110" i="2"/>
  <c r="AB1109" i="2"/>
  <c r="AA1109" i="2"/>
  <c r="AC1109" i="2" s="1"/>
  <c r="Z1109" i="2"/>
  <c r="Y1109" i="2"/>
  <c r="X1109" i="2"/>
  <c r="U1109" i="2"/>
  <c r="T1109" i="2"/>
  <c r="S1109" i="2"/>
  <c r="C1109" i="2"/>
  <c r="AB1101" i="2"/>
  <c r="AE1101" i="2" s="1"/>
  <c r="AA1101" i="2"/>
  <c r="Z1101" i="2"/>
  <c r="Y1101" i="2"/>
  <c r="X1101" i="2"/>
  <c r="U1101" i="2"/>
  <c r="T1101" i="2"/>
  <c r="S1101" i="2"/>
  <c r="C1101" i="2"/>
  <c r="AH1108" i="2"/>
  <c r="AB1108" i="2"/>
  <c r="AA1108" i="2"/>
  <c r="Z1108" i="2"/>
  <c r="Y1108" i="2"/>
  <c r="X1108" i="2"/>
  <c r="U1108" i="2"/>
  <c r="T1108" i="2"/>
  <c r="S1108" i="2"/>
  <c r="C1108" i="2"/>
  <c r="AB1107" i="2"/>
  <c r="AA1107" i="2"/>
  <c r="Z1107" i="2"/>
  <c r="Y1107" i="2"/>
  <c r="X1107" i="2"/>
  <c r="U1107" i="2"/>
  <c r="T1107" i="2"/>
  <c r="S1107" i="2"/>
  <c r="C1107" i="2"/>
  <c r="AB1106" i="2"/>
  <c r="AA1106" i="2"/>
  <c r="Z1106" i="2"/>
  <c r="Y1106" i="2"/>
  <c r="X1106" i="2"/>
  <c r="U1106" i="2"/>
  <c r="T1106" i="2"/>
  <c r="S1106" i="2"/>
  <c r="C1106" i="2"/>
  <c r="AB1105" i="2"/>
  <c r="AA1105" i="2"/>
  <c r="Z1105" i="2"/>
  <c r="Y1105" i="2"/>
  <c r="AC1105" i="2" s="1"/>
  <c r="X1105" i="2"/>
  <c r="U1105" i="2"/>
  <c r="T1105" i="2"/>
  <c r="S1105" i="2"/>
  <c r="C1105" i="2"/>
  <c r="AB1104" i="2"/>
  <c r="AA1104" i="2"/>
  <c r="Z1104" i="2"/>
  <c r="Y1104" i="2"/>
  <c r="X1104" i="2"/>
  <c r="U1104" i="2"/>
  <c r="T1104" i="2"/>
  <c r="S1104" i="2"/>
  <c r="C1104" i="2"/>
  <c r="AB1103" i="2"/>
  <c r="AA1103" i="2"/>
  <c r="Z1103" i="2"/>
  <c r="Y1103" i="2"/>
  <c r="X1103" i="2"/>
  <c r="U1103" i="2"/>
  <c r="T1103" i="2"/>
  <c r="S1103" i="2"/>
  <c r="C1103" i="2"/>
  <c r="AB1102" i="2"/>
  <c r="AA1102" i="2"/>
  <c r="Z1102" i="2"/>
  <c r="Y1102" i="2"/>
  <c r="X1102" i="2"/>
  <c r="U1102" i="2"/>
  <c r="T1102" i="2"/>
  <c r="S1102" i="2"/>
  <c r="C1102" i="2"/>
  <c r="AB1100" i="2"/>
  <c r="AA1100" i="2"/>
  <c r="Z1100" i="2"/>
  <c r="Y1100" i="2"/>
  <c r="X1100" i="2"/>
  <c r="U1100" i="2"/>
  <c r="T1100" i="2"/>
  <c r="S1100" i="2"/>
  <c r="C1100" i="2"/>
  <c r="AH1099" i="2"/>
  <c r="AB1099" i="2"/>
  <c r="AA1099" i="2"/>
  <c r="Z1099" i="2"/>
  <c r="Y1099" i="2"/>
  <c r="X1099" i="2"/>
  <c r="U1099" i="2"/>
  <c r="T1099" i="2"/>
  <c r="S1099" i="2"/>
  <c r="C1099" i="2"/>
  <c r="AB1098" i="2"/>
  <c r="AA1098" i="2"/>
  <c r="Z1098" i="2"/>
  <c r="Y1098" i="2"/>
  <c r="X1098" i="2"/>
  <c r="U1098" i="2"/>
  <c r="T1098" i="2"/>
  <c r="S1098" i="2"/>
  <c r="C1098" i="2"/>
  <c r="AB1097" i="2"/>
  <c r="AA1097" i="2"/>
  <c r="Z1097" i="2"/>
  <c r="Y1097" i="2"/>
  <c r="AC1097" i="2" s="1"/>
  <c r="X1097" i="2"/>
  <c r="U1097" i="2"/>
  <c r="T1097" i="2"/>
  <c r="S1097" i="2"/>
  <c r="C1097" i="2"/>
  <c r="AB1096" i="2"/>
  <c r="AA1096" i="2"/>
  <c r="Z1096" i="2"/>
  <c r="Y1096" i="2"/>
  <c r="X1096" i="2"/>
  <c r="U1096" i="2"/>
  <c r="T1096" i="2"/>
  <c r="S1096" i="2"/>
  <c r="C1096" i="2"/>
  <c r="AB1095" i="2"/>
  <c r="AA1095" i="2"/>
  <c r="AC1095" i="2" s="1"/>
  <c r="Z1095" i="2"/>
  <c r="Y1095" i="2"/>
  <c r="X1095" i="2"/>
  <c r="U1095" i="2"/>
  <c r="T1095" i="2"/>
  <c r="S1095" i="2"/>
  <c r="C1095" i="2"/>
  <c r="AB1094" i="2"/>
  <c r="AA1094" i="2"/>
  <c r="Z1094" i="2"/>
  <c r="Y1094" i="2"/>
  <c r="X1094" i="2"/>
  <c r="U1094" i="2"/>
  <c r="T1094" i="2"/>
  <c r="S1094" i="2"/>
  <c r="C1094" i="2"/>
  <c r="AB1093" i="2"/>
  <c r="AA1093" i="2"/>
  <c r="Z1093" i="2"/>
  <c r="Y1093" i="2"/>
  <c r="X1093" i="2"/>
  <c r="U1093" i="2"/>
  <c r="T1093" i="2"/>
  <c r="S1093" i="2"/>
  <c r="C1093" i="2"/>
  <c r="AB1092" i="2"/>
  <c r="AA1092" i="2"/>
  <c r="Z1092" i="2"/>
  <c r="Y1092" i="2"/>
  <c r="X1092" i="2"/>
  <c r="U1092" i="2"/>
  <c r="T1092" i="2"/>
  <c r="S1092" i="2"/>
  <c r="C1092" i="2"/>
  <c r="AB1091" i="2"/>
  <c r="AA1091" i="2"/>
  <c r="Z1091" i="2"/>
  <c r="Y1091" i="2"/>
  <c r="X1091" i="2"/>
  <c r="U1091" i="2"/>
  <c r="T1091" i="2"/>
  <c r="S1091" i="2"/>
  <c r="C1091" i="2"/>
  <c r="Y1082" i="2"/>
  <c r="X1089" i="2"/>
  <c r="AH1090" i="2"/>
  <c r="AB1090" i="2"/>
  <c r="AA1090" i="2"/>
  <c r="Z1090" i="2"/>
  <c r="Y1090" i="2"/>
  <c r="X1090" i="2"/>
  <c r="U1090" i="2"/>
  <c r="T1090" i="2"/>
  <c r="S1090" i="2"/>
  <c r="C1090" i="2"/>
  <c r="AB1089" i="2"/>
  <c r="AA1089" i="2"/>
  <c r="Z1089" i="2"/>
  <c r="Y1089" i="2"/>
  <c r="U1089" i="2"/>
  <c r="T1089" i="2"/>
  <c r="S1089" i="2"/>
  <c r="C1089" i="2"/>
  <c r="AB1088" i="2"/>
  <c r="AA1088" i="2"/>
  <c r="Z1088" i="2"/>
  <c r="Y1088" i="2"/>
  <c r="X1088" i="2"/>
  <c r="U1088" i="2"/>
  <c r="T1088" i="2"/>
  <c r="S1088" i="2"/>
  <c r="C1088" i="2"/>
  <c r="AB1087" i="2"/>
  <c r="AA1087" i="2"/>
  <c r="Z1087" i="2"/>
  <c r="Y1087" i="2"/>
  <c r="X1087" i="2"/>
  <c r="U1087" i="2"/>
  <c r="T1087" i="2"/>
  <c r="S1087" i="2"/>
  <c r="C1087" i="2"/>
  <c r="AB1086" i="2"/>
  <c r="AA1086" i="2"/>
  <c r="Z1086" i="2"/>
  <c r="Y1086" i="2"/>
  <c r="X1086" i="2"/>
  <c r="U1086" i="2"/>
  <c r="T1086" i="2"/>
  <c r="S1086" i="2"/>
  <c r="C1086" i="2"/>
  <c r="AB1085" i="2"/>
  <c r="AA1085" i="2"/>
  <c r="Z1085" i="2"/>
  <c r="Y1085" i="2"/>
  <c r="AC1085" i="2" s="1"/>
  <c r="X1085" i="2"/>
  <c r="U1085" i="2"/>
  <c r="T1085" i="2"/>
  <c r="S1085" i="2"/>
  <c r="C1085" i="2"/>
  <c r="AB1084" i="2"/>
  <c r="AA1084" i="2"/>
  <c r="Z1084" i="2"/>
  <c r="Y1084" i="2"/>
  <c r="X1084" i="2"/>
  <c r="U1084" i="2"/>
  <c r="T1084" i="2"/>
  <c r="S1084" i="2"/>
  <c r="C1084" i="2"/>
  <c r="AB1083" i="2"/>
  <c r="AA1083" i="2"/>
  <c r="Z1083" i="2"/>
  <c r="Y1083" i="2"/>
  <c r="X1083" i="2"/>
  <c r="U1083" i="2"/>
  <c r="T1083" i="2"/>
  <c r="S1083" i="2"/>
  <c r="C1083" i="2"/>
  <c r="AB1082" i="2"/>
  <c r="AA1082" i="2"/>
  <c r="Z1082" i="2"/>
  <c r="X1082" i="2"/>
  <c r="U1082" i="2"/>
  <c r="T1082" i="2"/>
  <c r="S1082" i="2"/>
  <c r="C1082" i="2"/>
  <c r="X1073" i="2"/>
  <c r="AB1073" i="2"/>
  <c r="AC1086" i="2"/>
  <c r="AB1081" i="2"/>
  <c r="AA1081" i="2"/>
  <c r="Z1081" i="2"/>
  <c r="Y1081" i="2"/>
  <c r="AC1081" i="2" s="1"/>
  <c r="X1081" i="2"/>
  <c r="AE1081" i="2" s="1"/>
  <c r="U1081" i="2"/>
  <c r="T1081" i="2"/>
  <c r="S1081" i="2"/>
  <c r="C1081" i="2"/>
  <c r="AB1080" i="2"/>
  <c r="AA1080" i="2"/>
  <c r="Z1080" i="2"/>
  <c r="Y1080" i="2"/>
  <c r="AC1080" i="2" s="1"/>
  <c r="X1080" i="2"/>
  <c r="U1080" i="2"/>
  <c r="T1080" i="2"/>
  <c r="S1080" i="2"/>
  <c r="C1080" i="2"/>
  <c r="AB1079" i="2"/>
  <c r="AA1079" i="2"/>
  <c r="Z1079" i="2"/>
  <c r="Y1079" i="2"/>
  <c r="X1079" i="2"/>
  <c r="U1079" i="2"/>
  <c r="T1079" i="2"/>
  <c r="S1079" i="2"/>
  <c r="C1079" i="2"/>
  <c r="AB1078" i="2"/>
  <c r="AA1078" i="2"/>
  <c r="Z1078" i="2"/>
  <c r="Y1078" i="2"/>
  <c r="X1078" i="2"/>
  <c r="U1078" i="2"/>
  <c r="T1078" i="2"/>
  <c r="S1078" i="2"/>
  <c r="C1078" i="2"/>
  <c r="AB1077" i="2"/>
  <c r="AE1077" i="2" s="1"/>
  <c r="AA1077" i="2"/>
  <c r="Z1077" i="2"/>
  <c r="Y1077" i="2"/>
  <c r="X1077" i="2"/>
  <c r="U1077" i="2"/>
  <c r="T1077" i="2"/>
  <c r="S1077" i="2"/>
  <c r="C1077" i="2"/>
  <c r="AB1076" i="2"/>
  <c r="AA1076" i="2"/>
  <c r="Z1076" i="2"/>
  <c r="Y1076" i="2"/>
  <c r="X1076" i="2"/>
  <c r="U1076" i="2"/>
  <c r="T1076" i="2"/>
  <c r="S1076" i="2"/>
  <c r="C1076" i="2"/>
  <c r="AB1075" i="2"/>
  <c r="AA1075" i="2"/>
  <c r="AC1075" i="2" s="1"/>
  <c r="Z1075" i="2"/>
  <c r="Y1075" i="2"/>
  <c r="X1075" i="2"/>
  <c r="U1075" i="2"/>
  <c r="T1075" i="2"/>
  <c r="S1075" i="2"/>
  <c r="C1075" i="2"/>
  <c r="AB1074" i="2"/>
  <c r="AA1074" i="2"/>
  <c r="Z1074" i="2"/>
  <c r="Y1074" i="2"/>
  <c r="AC1074" i="2" s="1"/>
  <c r="X1074" i="2"/>
  <c r="U1074" i="2"/>
  <c r="T1074" i="2"/>
  <c r="S1074" i="2"/>
  <c r="C1074" i="2"/>
  <c r="AA1073" i="2"/>
  <c r="Z1073" i="2"/>
  <c r="Y1073" i="2"/>
  <c r="U1073" i="2"/>
  <c r="T1073" i="2"/>
  <c r="S1073" i="2"/>
  <c r="C1073" i="2"/>
  <c r="C1065" i="2"/>
  <c r="AB1072" i="2"/>
  <c r="AA1072" i="2"/>
  <c r="Z1072" i="2"/>
  <c r="Y1072" i="2"/>
  <c r="AC1072" i="2" s="1"/>
  <c r="X1072" i="2"/>
  <c r="U1072" i="2"/>
  <c r="T1072" i="2"/>
  <c r="S1072" i="2"/>
  <c r="C1072" i="2"/>
  <c r="AB1071" i="2"/>
  <c r="AA1071" i="2"/>
  <c r="Z1071" i="2"/>
  <c r="AE1071" i="2" s="1"/>
  <c r="Y1071" i="2"/>
  <c r="X1071" i="2"/>
  <c r="U1071" i="2"/>
  <c r="T1071" i="2"/>
  <c r="S1071" i="2"/>
  <c r="C1071" i="2"/>
  <c r="AB1070" i="2"/>
  <c r="AA1070" i="2"/>
  <c r="AC1070" i="2" s="1"/>
  <c r="Z1070" i="2"/>
  <c r="Y1070" i="2"/>
  <c r="X1070" i="2"/>
  <c r="U1070" i="2"/>
  <c r="T1070" i="2"/>
  <c r="S1070" i="2"/>
  <c r="C1070" i="2"/>
  <c r="AB1069" i="2"/>
  <c r="AA1069" i="2"/>
  <c r="Z1069" i="2"/>
  <c r="Y1069" i="2"/>
  <c r="AC1069" i="2" s="1"/>
  <c r="X1069" i="2"/>
  <c r="U1069" i="2"/>
  <c r="T1069" i="2"/>
  <c r="S1069" i="2"/>
  <c r="C1069" i="2"/>
  <c r="AB1068" i="2"/>
  <c r="AA1068" i="2"/>
  <c r="Z1068" i="2"/>
  <c r="Y1068" i="2"/>
  <c r="X1068" i="2"/>
  <c r="U1068" i="2"/>
  <c r="T1068" i="2"/>
  <c r="S1068" i="2"/>
  <c r="C1068" i="2"/>
  <c r="AB1067" i="2"/>
  <c r="AA1067" i="2"/>
  <c r="AC1067" i="2" s="1"/>
  <c r="Z1067" i="2"/>
  <c r="Y1067" i="2"/>
  <c r="X1067" i="2"/>
  <c r="U1067" i="2"/>
  <c r="T1067" i="2"/>
  <c r="S1067" i="2"/>
  <c r="C1067" i="2"/>
  <c r="AB1066" i="2"/>
  <c r="AA1066" i="2"/>
  <c r="Z1066" i="2"/>
  <c r="Y1066" i="2"/>
  <c r="AC1066" i="2" s="1"/>
  <c r="X1066" i="2"/>
  <c r="U1066" i="2"/>
  <c r="T1066" i="2"/>
  <c r="S1066" i="2"/>
  <c r="C1066" i="2"/>
  <c r="AB1065" i="2"/>
  <c r="AA1065" i="2"/>
  <c r="Z1065" i="2"/>
  <c r="Y1065" i="2"/>
  <c r="AC1065" i="2" s="1"/>
  <c r="X1065" i="2"/>
  <c r="U1065" i="2"/>
  <c r="T1065" i="2"/>
  <c r="S1065" i="2"/>
  <c r="AB1064" i="2"/>
  <c r="AA1064" i="2"/>
  <c r="Z1064" i="2"/>
  <c r="Y1064" i="2"/>
  <c r="AC1064" i="2" s="1"/>
  <c r="X1064" i="2"/>
  <c r="U1064" i="2"/>
  <c r="T1064" i="2"/>
  <c r="S1064" i="2"/>
  <c r="C1064" i="2"/>
  <c r="AB1063" i="2"/>
  <c r="AA1063" i="2"/>
  <c r="Z1063" i="2"/>
  <c r="Y1063" i="2"/>
  <c r="AC1063" i="2" s="1"/>
  <c r="X1063" i="2"/>
  <c r="U1063" i="2"/>
  <c r="T1063" i="2"/>
  <c r="S1063" i="2"/>
  <c r="C1063" i="2"/>
  <c r="AB1062" i="2"/>
  <c r="AA1062" i="2"/>
  <c r="Z1062" i="2"/>
  <c r="AE1062" i="2" s="1"/>
  <c r="Y1062" i="2"/>
  <c r="X1062" i="2"/>
  <c r="U1062" i="2"/>
  <c r="T1062" i="2"/>
  <c r="S1062" i="2"/>
  <c r="C1062" i="2"/>
  <c r="AB1061" i="2"/>
  <c r="AA1061" i="2"/>
  <c r="AC1061" i="2" s="1"/>
  <c r="Z1061" i="2"/>
  <c r="Y1061" i="2"/>
  <c r="X1061" i="2"/>
  <c r="U1061" i="2"/>
  <c r="T1061" i="2"/>
  <c r="S1061" i="2"/>
  <c r="C1061" i="2"/>
  <c r="AB1060" i="2"/>
  <c r="AA1060" i="2"/>
  <c r="Z1060" i="2"/>
  <c r="Y1060" i="2"/>
  <c r="AC1060" i="2" s="1"/>
  <c r="X1060" i="2"/>
  <c r="U1060" i="2"/>
  <c r="T1060" i="2"/>
  <c r="S1060" i="2"/>
  <c r="C1060" i="2"/>
  <c r="AB1059" i="2"/>
  <c r="AA1059" i="2"/>
  <c r="Z1059" i="2"/>
  <c r="Y1059" i="2"/>
  <c r="X1059" i="2"/>
  <c r="U1059" i="2"/>
  <c r="T1059" i="2"/>
  <c r="S1059" i="2"/>
  <c r="C1059" i="2"/>
  <c r="AB1058" i="2"/>
  <c r="AA1058" i="2"/>
  <c r="Z1058" i="2"/>
  <c r="Y1058" i="2"/>
  <c r="X1058" i="2"/>
  <c r="U1058" i="2"/>
  <c r="T1058" i="2"/>
  <c r="S1058" i="2"/>
  <c r="C1058" i="2"/>
  <c r="AB1057" i="2"/>
  <c r="AA1057" i="2"/>
  <c r="Z1057" i="2"/>
  <c r="Y1057" i="2"/>
  <c r="AC1057" i="2" s="1"/>
  <c r="X1057" i="2"/>
  <c r="U1057" i="2"/>
  <c r="T1057" i="2"/>
  <c r="S1057" i="2"/>
  <c r="C1057" i="2"/>
  <c r="AB1056" i="2"/>
  <c r="AA1056" i="2"/>
  <c r="Z1056" i="2"/>
  <c r="Y1056" i="2"/>
  <c r="AC1056" i="2" s="1"/>
  <c r="X1056" i="2"/>
  <c r="U1056" i="2"/>
  <c r="T1056" i="2"/>
  <c r="S1056" i="2"/>
  <c r="C1056" i="2"/>
  <c r="AB1055" i="2"/>
  <c r="AA1055" i="2"/>
  <c r="Z1055" i="2"/>
  <c r="Y1055" i="2"/>
  <c r="X1055" i="2"/>
  <c r="U1055" i="2"/>
  <c r="T1055" i="2"/>
  <c r="S1055" i="2"/>
  <c r="C1055" i="2"/>
  <c r="AB1054" i="2"/>
  <c r="AA1054" i="2"/>
  <c r="Z1054" i="2"/>
  <c r="Y1054" i="2"/>
  <c r="X1054" i="2"/>
  <c r="U1054" i="2"/>
  <c r="T1054" i="2"/>
  <c r="S1054" i="2"/>
  <c r="C1054" i="2"/>
  <c r="AB1053" i="2"/>
  <c r="AA1053" i="2"/>
  <c r="AC1053" i="2" s="1"/>
  <c r="Z1053" i="2"/>
  <c r="Y1053" i="2"/>
  <c r="X1053" i="2"/>
  <c r="U1053" i="2"/>
  <c r="T1053" i="2"/>
  <c r="S1053" i="2"/>
  <c r="C1053" i="2"/>
  <c r="AB1052" i="2"/>
  <c r="AA1052" i="2"/>
  <c r="Z1052" i="2"/>
  <c r="Y1052" i="2"/>
  <c r="X1052" i="2"/>
  <c r="U1052" i="2"/>
  <c r="T1052" i="2"/>
  <c r="S1052" i="2"/>
  <c r="C1052" i="2"/>
  <c r="AB1051" i="2"/>
  <c r="AA1051" i="2"/>
  <c r="Z1051" i="2"/>
  <c r="Y1051" i="2"/>
  <c r="AC1051" i="2" s="1"/>
  <c r="X1051" i="2"/>
  <c r="U1051" i="2"/>
  <c r="T1051" i="2"/>
  <c r="S1051" i="2"/>
  <c r="C1051" i="2"/>
  <c r="AB1050" i="2"/>
  <c r="AA1050" i="2"/>
  <c r="Z1050" i="2"/>
  <c r="Y1050" i="2"/>
  <c r="AC1050" i="2" s="1"/>
  <c r="X1050" i="2"/>
  <c r="U1050" i="2"/>
  <c r="T1050" i="2"/>
  <c r="S1050" i="2"/>
  <c r="C1050" i="2"/>
  <c r="AB1049" i="2"/>
  <c r="AA1049" i="2"/>
  <c r="Z1049" i="2"/>
  <c r="Y1049" i="2"/>
  <c r="X1049" i="2"/>
  <c r="U1049" i="2"/>
  <c r="T1049" i="2"/>
  <c r="S1049" i="2"/>
  <c r="C1049" i="2"/>
  <c r="AB1048" i="2"/>
  <c r="AA1048" i="2"/>
  <c r="Z1048" i="2"/>
  <c r="Y1048" i="2"/>
  <c r="X1048" i="2"/>
  <c r="U1048" i="2"/>
  <c r="T1048" i="2"/>
  <c r="S1048" i="2"/>
  <c r="C1048" i="2"/>
  <c r="AB1047" i="2"/>
  <c r="AA1047" i="2"/>
  <c r="Z1047" i="2"/>
  <c r="Y1047" i="2"/>
  <c r="AC1047" i="2" s="1"/>
  <c r="X1047" i="2"/>
  <c r="U1047" i="2"/>
  <c r="T1047" i="2"/>
  <c r="S1047" i="2"/>
  <c r="C1047" i="2"/>
  <c r="AB1046" i="2"/>
  <c r="AA1046" i="2"/>
  <c r="Z1046" i="2"/>
  <c r="AE1046" i="2" s="1"/>
  <c r="Y1046" i="2"/>
  <c r="X1046" i="2"/>
  <c r="U1046" i="2"/>
  <c r="T1046" i="2"/>
  <c r="S1046" i="2"/>
  <c r="C1046" i="2"/>
  <c r="AB1045" i="2"/>
  <c r="AA1045" i="2"/>
  <c r="Z1045" i="2"/>
  <c r="Y1045" i="2"/>
  <c r="X1045" i="2"/>
  <c r="U1045" i="2"/>
  <c r="T1045" i="2"/>
  <c r="S1045" i="2"/>
  <c r="C1045" i="2"/>
  <c r="AB1044" i="2"/>
  <c r="AA1044" i="2"/>
  <c r="Z1044" i="2"/>
  <c r="Y1044" i="2"/>
  <c r="X1044" i="2"/>
  <c r="U1044" i="2"/>
  <c r="T1044" i="2"/>
  <c r="S1044" i="2"/>
  <c r="C1044" i="2"/>
  <c r="AB1043" i="2"/>
  <c r="AA1043" i="2"/>
  <c r="Z1043" i="2"/>
  <c r="Y1043" i="2"/>
  <c r="X1043" i="2"/>
  <c r="U1043" i="2"/>
  <c r="T1043" i="2"/>
  <c r="S1043" i="2"/>
  <c r="C1043" i="2"/>
  <c r="AB1042" i="2"/>
  <c r="AA1042" i="2"/>
  <c r="Z1042" i="2"/>
  <c r="Y1042" i="2"/>
  <c r="AC1042" i="2" s="1"/>
  <c r="X1042" i="2"/>
  <c r="U1042" i="2"/>
  <c r="T1042" i="2"/>
  <c r="S1042" i="2"/>
  <c r="C1042" i="2"/>
  <c r="AB1041" i="2"/>
  <c r="AA1041" i="2"/>
  <c r="Z1041" i="2"/>
  <c r="Y1041" i="2"/>
  <c r="X1041" i="2"/>
  <c r="U1041" i="2"/>
  <c r="T1041" i="2"/>
  <c r="S1041" i="2"/>
  <c r="C1041" i="2"/>
  <c r="AB1040" i="2"/>
  <c r="AA1040" i="2"/>
  <c r="Z1040" i="2"/>
  <c r="Y1040" i="2"/>
  <c r="X1040" i="2"/>
  <c r="U1040" i="2"/>
  <c r="T1040" i="2"/>
  <c r="S1040" i="2"/>
  <c r="C1040" i="2"/>
  <c r="AB1039" i="2"/>
  <c r="AA1039" i="2"/>
  <c r="Z1039" i="2"/>
  <c r="Y1039" i="2"/>
  <c r="X1039" i="2"/>
  <c r="U1039" i="2"/>
  <c r="T1039" i="2"/>
  <c r="S1039" i="2"/>
  <c r="C1039" i="2"/>
  <c r="AB1038" i="2"/>
  <c r="AA1038" i="2"/>
  <c r="Z1038" i="2"/>
  <c r="Y1038" i="2"/>
  <c r="X1038" i="2"/>
  <c r="U1038" i="2"/>
  <c r="T1038" i="2"/>
  <c r="S1038" i="2"/>
  <c r="C1038" i="2"/>
  <c r="AB1037" i="2"/>
  <c r="AA1037" i="2"/>
  <c r="Z1037" i="2"/>
  <c r="Y1037" i="2"/>
  <c r="X1037" i="2"/>
  <c r="U1037" i="2"/>
  <c r="T1037" i="2"/>
  <c r="S1037" i="2"/>
  <c r="C1037" i="2"/>
  <c r="AB1036" i="2"/>
  <c r="AA1036" i="2"/>
  <c r="Z1036" i="2"/>
  <c r="Y1036" i="2"/>
  <c r="X1036" i="2"/>
  <c r="U1036" i="2"/>
  <c r="T1036" i="2"/>
  <c r="S1036" i="2"/>
  <c r="C1036" i="2"/>
  <c r="AB1035" i="2"/>
  <c r="AA1035" i="2"/>
  <c r="Z1035" i="2"/>
  <c r="Y1035" i="2"/>
  <c r="X1035" i="2"/>
  <c r="U1035" i="2"/>
  <c r="T1035" i="2"/>
  <c r="S1035" i="2"/>
  <c r="C1035" i="2"/>
  <c r="AB1034" i="2"/>
  <c r="AA1034" i="2"/>
  <c r="Z1034" i="2"/>
  <c r="Y1034" i="2"/>
  <c r="AC1034" i="2" s="1"/>
  <c r="X1034" i="2"/>
  <c r="U1034" i="2"/>
  <c r="T1034" i="2"/>
  <c r="S1034" i="2"/>
  <c r="C1034" i="2"/>
  <c r="AB1033" i="2"/>
  <c r="AA1033" i="2"/>
  <c r="Z1033" i="2"/>
  <c r="Y1033" i="2"/>
  <c r="X1033" i="2"/>
  <c r="U1033" i="2"/>
  <c r="T1033" i="2"/>
  <c r="S1033" i="2"/>
  <c r="C1033" i="2"/>
  <c r="AB1032" i="2"/>
  <c r="AA1032" i="2"/>
  <c r="Z1032" i="2"/>
  <c r="Y1032" i="2"/>
  <c r="X1032" i="2"/>
  <c r="U1032" i="2"/>
  <c r="T1032" i="2"/>
  <c r="S1032" i="2"/>
  <c r="C1032" i="2"/>
  <c r="AB1031" i="2"/>
  <c r="AA1031" i="2"/>
  <c r="Z1031" i="2"/>
  <c r="Y1031" i="2"/>
  <c r="X1031" i="2"/>
  <c r="U1031" i="2"/>
  <c r="T1031" i="2"/>
  <c r="S1031" i="2"/>
  <c r="C1031" i="2"/>
  <c r="AB1030" i="2"/>
  <c r="AA1030" i="2"/>
  <c r="Z1030" i="2"/>
  <c r="AE1030" i="2" s="1"/>
  <c r="Y1030" i="2"/>
  <c r="AC1030" i="2" s="1"/>
  <c r="X1030" i="2"/>
  <c r="U1030" i="2"/>
  <c r="T1030" i="2"/>
  <c r="S1030" i="2"/>
  <c r="C1030" i="2"/>
  <c r="AB1029" i="2"/>
  <c r="AA1029" i="2"/>
  <c r="Z1029" i="2"/>
  <c r="Y1029" i="2"/>
  <c r="X1029" i="2"/>
  <c r="U1029" i="2"/>
  <c r="T1029" i="2"/>
  <c r="S1029" i="2"/>
  <c r="C1029" i="2"/>
  <c r="AB1028" i="2"/>
  <c r="AA1028" i="2"/>
  <c r="Z1028" i="2"/>
  <c r="Y1028" i="2"/>
  <c r="X1028" i="2"/>
  <c r="U1028" i="2"/>
  <c r="T1028" i="2"/>
  <c r="S1028" i="2"/>
  <c r="C1028" i="2"/>
  <c r="AB1027" i="2"/>
  <c r="AA1027" i="2"/>
  <c r="Z1027" i="2"/>
  <c r="Y1027" i="2"/>
  <c r="X1027" i="2"/>
  <c r="U1027" i="2"/>
  <c r="T1027" i="2"/>
  <c r="S1027" i="2"/>
  <c r="C1027" i="2"/>
  <c r="AB1026" i="2"/>
  <c r="AA1026" i="2"/>
  <c r="Z1026" i="2"/>
  <c r="Y1026" i="2"/>
  <c r="AC1026" i="2" s="1"/>
  <c r="X1026" i="2"/>
  <c r="U1026" i="2"/>
  <c r="T1026" i="2"/>
  <c r="S1026" i="2"/>
  <c r="C1026" i="2"/>
  <c r="AB1025" i="2"/>
  <c r="AA1025" i="2"/>
  <c r="Z1025" i="2"/>
  <c r="Y1025" i="2"/>
  <c r="X1025" i="2"/>
  <c r="U1025" i="2"/>
  <c r="T1025" i="2"/>
  <c r="S1025" i="2"/>
  <c r="C1025" i="2"/>
  <c r="AB1024" i="2"/>
  <c r="AA1024" i="2"/>
  <c r="Z1024" i="2"/>
  <c r="Y1024" i="2"/>
  <c r="X1024" i="2"/>
  <c r="U1024" i="2"/>
  <c r="T1024" i="2"/>
  <c r="S1024" i="2"/>
  <c r="C1024" i="2"/>
  <c r="AB1023" i="2"/>
  <c r="AA1023" i="2"/>
  <c r="Z1023" i="2"/>
  <c r="Y1023" i="2"/>
  <c r="AC1023" i="2" s="1"/>
  <c r="X1023" i="2"/>
  <c r="U1023" i="2"/>
  <c r="T1023" i="2"/>
  <c r="S1023" i="2"/>
  <c r="C1023" i="2"/>
  <c r="AB1022" i="2"/>
  <c r="AA1022" i="2"/>
  <c r="Z1022" i="2"/>
  <c r="Y1022" i="2"/>
  <c r="X1022" i="2"/>
  <c r="U1022" i="2"/>
  <c r="T1022" i="2"/>
  <c r="S1022" i="2"/>
  <c r="C1022" i="2"/>
  <c r="AB1021" i="2"/>
  <c r="AA1021" i="2"/>
  <c r="Z1021" i="2"/>
  <c r="Y1021" i="2"/>
  <c r="X1021" i="2"/>
  <c r="U1021" i="2"/>
  <c r="T1021" i="2"/>
  <c r="S1021" i="2"/>
  <c r="C1021" i="2"/>
  <c r="AB1020" i="2"/>
  <c r="AA1020" i="2"/>
  <c r="Z1020" i="2"/>
  <c r="Y1020" i="2"/>
  <c r="X1020" i="2"/>
  <c r="U1020" i="2"/>
  <c r="T1020" i="2"/>
  <c r="S1020" i="2"/>
  <c r="C1020" i="2"/>
  <c r="AB1019" i="2"/>
  <c r="AA1019" i="2"/>
  <c r="Z1019" i="2"/>
  <c r="Y1019" i="2"/>
  <c r="AC1019" i="2" s="1"/>
  <c r="X1019" i="2"/>
  <c r="U1019" i="2"/>
  <c r="T1019" i="2"/>
  <c r="S1019" i="2"/>
  <c r="C1019" i="2"/>
  <c r="M12" i="1"/>
  <c r="AB1018" i="2"/>
  <c r="AA1018" i="2"/>
  <c r="Z1018" i="2"/>
  <c r="Y1018" i="2"/>
  <c r="AC1018" i="2" s="1"/>
  <c r="X1018" i="2"/>
  <c r="U1018" i="2"/>
  <c r="T1018" i="2"/>
  <c r="S1018" i="2"/>
  <c r="C1018" i="2"/>
  <c r="AB1017" i="2"/>
  <c r="AA1017" i="2"/>
  <c r="Z1017" i="2"/>
  <c r="Y1017" i="2"/>
  <c r="X1017" i="2"/>
  <c r="AE1017" i="2" s="1"/>
  <c r="U1017" i="2"/>
  <c r="T1017" i="2"/>
  <c r="S1017" i="2"/>
  <c r="C1017" i="2"/>
  <c r="AB1016" i="2"/>
  <c r="AA1016" i="2"/>
  <c r="Z1016" i="2"/>
  <c r="Y1016" i="2"/>
  <c r="AC1016" i="2" s="1"/>
  <c r="X1016" i="2"/>
  <c r="U1016" i="2"/>
  <c r="T1016" i="2"/>
  <c r="S1016" i="2"/>
  <c r="C1016" i="2"/>
  <c r="AB1015" i="2"/>
  <c r="AA1015" i="2"/>
  <c r="Z1015" i="2"/>
  <c r="Y1015" i="2"/>
  <c r="X1015" i="2"/>
  <c r="U1015" i="2"/>
  <c r="T1015" i="2"/>
  <c r="S1015" i="2"/>
  <c r="C1015" i="2"/>
  <c r="AB1014" i="2"/>
  <c r="AA1014" i="2"/>
  <c r="Z1014" i="2"/>
  <c r="Y1014" i="2"/>
  <c r="X1014" i="2"/>
  <c r="U1014" i="2"/>
  <c r="T1014" i="2"/>
  <c r="S1014" i="2"/>
  <c r="C1014" i="2"/>
  <c r="AB1013" i="2"/>
  <c r="AA1013" i="2"/>
  <c r="Z1013" i="2"/>
  <c r="Y1013" i="2"/>
  <c r="X1013" i="2"/>
  <c r="U1013" i="2"/>
  <c r="T1013" i="2"/>
  <c r="S1013" i="2"/>
  <c r="C1013" i="2"/>
  <c r="AB1012" i="2"/>
  <c r="AA1012" i="2"/>
  <c r="AC1012" i="2" s="1"/>
  <c r="Z1012" i="2"/>
  <c r="Y1012" i="2"/>
  <c r="X1012" i="2"/>
  <c r="U1012" i="2"/>
  <c r="T1012" i="2"/>
  <c r="S1012" i="2"/>
  <c r="C1012" i="2"/>
  <c r="AB1011" i="2"/>
  <c r="AE1011" i="2" s="1"/>
  <c r="AA1011" i="2"/>
  <c r="Z1011" i="2"/>
  <c r="Y1011" i="2"/>
  <c r="X1011" i="2"/>
  <c r="U1011" i="2"/>
  <c r="T1011" i="2"/>
  <c r="S1011" i="2"/>
  <c r="C1011" i="2"/>
  <c r="AB1010" i="2"/>
  <c r="AA1010" i="2"/>
  <c r="Z1010" i="2"/>
  <c r="Y1010" i="2"/>
  <c r="X1010" i="2"/>
  <c r="U1010" i="2"/>
  <c r="T1010" i="2"/>
  <c r="S1010" i="2"/>
  <c r="C1010" i="2"/>
  <c r="AB1009" i="2"/>
  <c r="AA1009" i="2"/>
  <c r="Z1009" i="2"/>
  <c r="Y1009" i="2"/>
  <c r="X1009" i="2"/>
  <c r="U1009" i="2"/>
  <c r="T1009" i="2"/>
  <c r="S1009" i="2"/>
  <c r="C1009" i="2"/>
  <c r="AB1008" i="2"/>
  <c r="AA1008" i="2"/>
  <c r="Z1008" i="2"/>
  <c r="Y1008" i="2"/>
  <c r="X1008" i="2"/>
  <c r="U1008" i="2"/>
  <c r="T1008" i="2"/>
  <c r="S1008" i="2"/>
  <c r="C1008" i="2"/>
  <c r="AB1007" i="2"/>
  <c r="AA1007" i="2"/>
  <c r="Z1007" i="2"/>
  <c r="Y1007" i="2"/>
  <c r="AC1007" i="2" s="1"/>
  <c r="X1007" i="2"/>
  <c r="U1007" i="2"/>
  <c r="T1007" i="2"/>
  <c r="S1007" i="2"/>
  <c r="C1007" i="2"/>
  <c r="AB1006" i="2"/>
  <c r="AA1006" i="2"/>
  <c r="Z1006" i="2"/>
  <c r="Y1006" i="2"/>
  <c r="AC1006" i="2" s="1"/>
  <c r="X1006" i="2"/>
  <c r="U1006" i="2"/>
  <c r="T1006" i="2"/>
  <c r="S1006" i="2"/>
  <c r="C1006" i="2"/>
  <c r="AB1005" i="2"/>
  <c r="AA1005" i="2"/>
  <c r="Z1005" i="2"/>
  <c r="Y1005" i="2"/>
  <c r="X1005" i="2"/>
  <c r="U1005" i="2"/>
  <c r="T1005" i="2"/>
  <c r="S1005" i="2"/>
  <c r="C1005" i="2"/>
  <c r="AB1004" i="2"/>
  <c r="AA1004" i="2"/>
  <c r="Z1004" i="2"/>
  <c r="Y1004" i="2"/>
  <c r="X1004" i="2"/>
  <c r="U1004" i="2"/>
  <c r="T1004" i="2"/>
  <c r="S1004" i="2"/>
  <c r="C1004" i="2"/>
  <c r="AB1003" i="2"/>
  <c r="AA1003" i="2"/>
  <c r="Z1003" i="2"/>
  <c r="Y1003" i="2"/>
  <c r="X1003" i="2"/>
  <c r="U1003" i="2"/>
  <c r="T1003" i="2"/>
  <c r="S1003" i="2"/>
  <c r="C1003" i="2"/>
  <c r="AB1002" i="2"/>
  <c r="AA1002" i="2"/>
  <c r="Z1002" i="2"/>
  <c r="Y1002" i="2"/>
  <c r="X1002" i="2"/>
  <c r="U1002" i="2"/>
  <c r="T1002" i="2"/>
  <c r="S1002" i="2"/>
  <c r="C1002" i="2"/>
  <c r="AB1001" i="2"/>
  <c r="AA1001" i="2"/>
  <c r="Z1001" i="2"/>
  <c r="Y1001" i="2"/>
  <c r="X1001" i="2"/>
  <c r="U1001" i="2"/>
  <c r="T1001" i="2"/>
  <c r="S1001" i="2"/>
  <c r="C1001" i="2"/>
  <c r="AB1000" i="2"/>
  <c r="AA1000" i="2"/>
  <c r="Z1000" i="2"/>
  <c r="Y1000" i="2"/>
  <c r="X1000" i="2"/>
  <c r="U1000" i="2"/>
  <c r="T1000" i="2"/>
  <c r="S1000" i="2"/>
  <c r="C1000" i="2"/>
  <c r="AB999" i="2"/>
  <c r="AA999" i="2"/>
  <c r="Z999" i="2"/>
  <c r="Y999" i="2"/>
  <c r="X999" i="2"/>
  <c r="U999" i="2"/>
  <c r="T999" i="2"/>
  <c r="S999" i="2"/>
  <c r="C999" i="2"/>
  <c r="AB998" i="2"/>
  <c r="AA998" i="2"/>
  <c r="Z998" i="2"/>
  <c r="Y998" i="2"/>
  <c r="AC998" i="2" s="1"/>
  <c r="X998" i="2"/>
  <c r="U998" i="2"/>
  <c r="T998" i="2"/>
  <c r="S998" i="2"/>
  <c r="C998" i="2"/>
  <c r="AB997" i="2"/>
  <c r="AA997" i="2"/>
  <c r="Z997" i="2"/>
  <c r="Y997" i="2"/>
  <c r="X997" i="2"/>
  <c r="U997" i="2"/>
  <c r="T997" i="2"/>
  <c r="S997" i="2"/>
  <c r="C997" i="2"/>
  <c r="AB996" i="2"/>
  <c r="AA996" i="2"/>
  <c r="Z996" i="2"/>
  <c r="Y996" i="2"/>
  <c r="X996" i="2"/>
  <c r="U996" i="2"/>
  <c r="T996" i="2"/>
  <c r="S996" i="2"/>
  <c r="C996" i="2"/>
  <c r="AB995" i="2"/>
  <c r="AA995" i="2"/>
  <c r="Z995" i="2"/>
  <c r="Y995" i="2"/>
  <c r="X995" i="2"/>
  <c r="U995" i="2"/>
  <c r="T995" i="2"/>
  <c r="S995" i="2"/>
  <c r="C995" i="2"/>
  <c r="AB994" i="2"/>
  <c r="AA994" i="2"/>
  <c r="Z994" i="2"/>
  <c r="Y994" i="2"/>
  <c r="X994" i="2"/>
  <c r="U994" i="2"/>
  <c r="T994" i="2"/>
  <c r="S994" i="2"/>
  <c r="C994" i="2"/>
  <c r="AB993" i="2"/>
  <c r="AA993" i="2"/>
  <c r="Z993" i="2"/>
  <c r="Y993" i="2"/>
  <c r="AC993" i="2" s="1"/>
  <c r="X993" i="2"/>
  <c r="U993" i="2"/>
  <c r="T993" i="2"/>
  <c r="S993" i="2"/>
  <c r="C993" i="2"/>
  <c r="AB992" i="2"/>
  <c r="AA992" i="2"/>
  <c r="Z992" i="2"/>
  <c r="Y992" i="2"/>
  <c r="X992" i="2"/>
  <c r="U992" i="2"/>
  <c r="T992" i="2"/>
  <c r="S992" i="2"/>
  <c r="C992" i="2"/>
  <c r="AB991" i="2"/>
  <c r="AA991" i="2"/>
  <c r="Z991" i="2"/>
  <c r="Y991" i="2"/>
  <c r="X991" i="2"/>
  <c r="U991" i="2"/>
  <c r="T991" i="2"/>
  <c r="S991" i="2"/>
  <c r="C991" i="2"/>
  <c r="AB990" i="2"/>
  <c r="AA990" i="2"/>
  <c r="AC990" i="2" s="1"/>
  <c r="Z990" i="2"/>
  <c r="Y990" i="2"/>
  <c r="X990" i="2"/>
  <c r="U990" i="2"/>
  <c r="T990" i="2"/>
  <c r="S990" i="2"/>
  <c r="C990" i="2"/>
  <c r="AB989" i="2"/>
  <c r="AE989" i="2" s="1"/>
  <c r="AA989" i="2"/>
  <c r="Z989" i="2"/>
  <c r="Y989" i="2"/>
  <c r="X989" i="2"/>
  <c r="U989" i="2"/>
  <c r="T989" i="2"/>
  <c r="S989" i="2"/>
  <c r="C989" i="2"/>
  <c r="AB988" i="2"/>
  <c r="AA988" i="2"/>
  <c r="Z988" i="2"/>
  <c r="Y988" i="2"/>
  <c r="X988" i="2"/>
  <c r="U988" i="2"/>
  <c r="T988" i="2"/>
  <c r="S988" i="2"/>
  <c r="C988" i="2"/>
  <c r="AB987" i="2"/>
  <c r="AA987" i="2"/>
  <c r="Z987" i="2"/>
  <c r="Y987" i="2"/>
  <c r="X987" i="2"/>
  <c r="U987" i="2"/>
  <c r="T987" i="2"/>
  <c r="S987" i="2"/>
  <c r="C987" i="2"/>
  <c r="AB986" i="2"/>
  <c r="AA986" i="2"/>
  <c r="Z986" i="2"/>
  <c r="Y986" i="2"/>
  <c r="AC986" i="2" s="1"/>
  <c r="X986" i="2"/>
  <c r="U986" i="2"/>
  <c r="T986" i="2"/>
  <c r="S986" i="2"/>
  <c r="C986" i="2"/>
  <c r="AB985" i="2"/>
  <c r="AA985" i="2"/>
  <c r="Z985" i="2"/>
  <c r="Y985" i="2"/>
  <c r="X985" i="2"/>
  <c r="U985" i="2"/>
  <c r="T985" i="2"/>
  <c r="S985" i="2"/>
  <c r="C985" i="2"/>
  <c r="AB984" i="2"/>
  <c r="AA984" i="2"/>
  <c r="Z984" i="2"/>
  <c r="Y984" i="2"/>
  <c r="X984" i="2"/>
  <c r="U984" i="2"/>
  <c r="T984" i="2"/>
  <c r="S984" i="2"/>
  <c r="C984" i="2"/>
  <c r="AB983" i="2"/>
  <c r="AA983" i="2"/>
  <c r="Z983" i="2"/>
  <c r="Y983" i="2"/>
  <c r="X983" i="2"/>
  <c r="U983" i="2"/>
  <c r="T983" i="2"/>
  <c r="S983" i="2"/>
  <c r="C983" i="2"/>
  <c r="AB982" i="2"/>
  <c r="AA982" i="2"/>
  <c r="Z982" i="2"/>
  <c r="Y982" i="2"/>
  <c r="X982" i="2"/>
  <c r="U982" i="2"/>
  <c r="T982" i="2"/>
  <c r="S982" i="2"/>
  <c r="C982" i="2"/>
  <c r="AB981" i="2"/>
  <c r="AA981" i="2"/>
  <c r="AC981" i="2" s="1"/>
  <c r="Z981" i="2"/>
  <c r="Y981" i="2"/>
  <c r="X981" i="2"/>
  <c r="U981" i="2"/>
  <c r="T981" i="2"/>
  <c r="S981" i="2"/>
  <c r="C981" i="2"/>
  <c r="AB980" i="2"/>
  <c r="AA980" i="2"/>
  <c r="Z980" i="2"/>
  <c r="Y980" i="2"/>
  <c r="X980" i="2"/>
  <c r="U980" i="2"/>
  <c r="T980" i="2"/>
  <c r="S980" i="2"/>
  <c r="C980" i="2"/>
  <c r="AB979" i="2"/>
  <c r="AA979" i="2"/>
  <c r="Z979" i="2"/>
  <c r="Y979" i="2"/>
  <c r="X979" i="2"/>
  <c r="U979" i="2"/>
  <c r="T979" i="2"/>
  <c r="S979" i="2"/>
  <c r="C979" i="2"/>
  <c r="AB978" i="2"/>
  <c r="AA978" i="2"/>
  <c r="Z978" i="2"/>
  <c r="Y978" i="2"/>
  <c r="X978" i="2"/>
  <c r="AE978" i="2" s="1"/>
  <c r="U978" i="2"/>
  <c r="T978" i="2"/>
  <c r="S978" i="2"/>
  <c r="C978" i="2"/>
  <c r="AB977" i="2"/>
  <c r="AA977" i="2"/>
  <c r="Z977" i="2"/>
  <c r="Y977" i="2"/>
  <c r="AC977" i="2" s="1"/>
  <c r="X977" i="2"/>
  <c r="U977" i="2"/>
  <c r="T977" i="2"/>
  <c r="S977" i="2"/>
  <c r="C977" i="2"/>
  <c r="AB976" i="2"/>
  <c r="AA976" i="2"/>
  <c r="Z976" i="2"/>
  <c r="Y976" i="2"/>
  <c r="X976" i="2"/>
  <c r="U976" i="2"/>
  <c r="T976" i="2"/>
  <c r="S976" i="2"/>
  <c r="C976" i="2"/>
  <c r="AB975" i="2"/>
  <c r="AA975" i="2"/>
  <c r="Z975" i="2"/>
  <c r="Y975" i="2"/>
  <c r="X975" i="2"/>
  <c r="U975" i="2"/>
  <c r="T975" i="2"/>
  <c r="S975" i="2"/>
  <c r="C975" i="2"/>
  <c r="AB974" i="2"/>
  <c r="AA974" i="2"/>
  <c r="Z974" i="2"/>
  <c r="Y974" i="2"/>
  <c r="X974" i="2"/>
  <c r="U974" i="2"/>
  <c r="T974" i="2"/>
  <c r="S974" i="2"/>
  <c r="C974" i="2"/>
  <c r="AC979" i="2"/>
  <c r="AB973" i="2"/>
  <c r="AA973" i="2"/>
  <c r="Z973" i="2"/>
  <c r="Y973" i="2"/>
  <c r="X973" i="2"/>
  <c r="U973" i="2"/>
  <c r="T973" i="2"/>
  <c r="S973" i="2"/>
  <c r="C973" i="2"/>
  <c r="AB972" i="2"/>
  <c r="AA972" i="2"/>
  <c r="Z972" i="2"/>
  <c r="Y972" i="2"/>
  <c r="X972" i="2"/>
  <c r="U972" i="2"/>
  <c r="T972" i="2"/>
  <c r="S972" i="2"/>
  <c r="C972" i="2"/>
  <c r="AB971" i="2"/>
  <c r="AA971" i="2"/>
  <c r="Z971" i="2"/>
  <c r="Y971" i="2"/>
  <c r="AC971" i="2" s="1"/>
  <c r="X971" i="2"/>
  <c r="U971" i="2"/>
  <c r="T971" i="2"/>
  <c r="S971" i="2"/>
  <c r="C971" i="2"/>
  <c r="AB970" i="2"/>
  <c r="AA970" i="2"/>
  <c r="Z970" i="2"/>
  <c r="Y970" i="2"/>
  <c r="X970" i="2"/>
  <c r="U970" i="2"/>
  <c r="T970" i="2"/>
  <c r="S970" i="2"/>
  <c r="C970" i="2"/>
  <c r="AB969" i="2"/>
  <c r="AA969" i="2"/>
  <c r="Z969" i="2"/>
  <c r="Y969" i="2"/>
  <c r="X969" i="2"/>
  <c r="U969" i="2"/>
  <c r="T969" i="2"/>
  <c r="S969" i="2"/>
  <c r="C969" i="2"/>
  <c r="AB968" i="2"/>
  <c r="AA968" i="2"/>
  <c r="Z968" i="2"/>
  <c r="Y968" i="2"/>
  <c r="X968" i="2"/>
  <c r="U968" i="2"/>
  <c r="T968" i="2"/>
  <c r="S968" i="2"/>
  <c r="C968" i="2"/>
  <c r="AB967" i="2"/>
  <c r="AA967" i="2"/>
  <c r="Z967" i="2"/>
  <c r="Y967" i="2"/>
  <c r="AC967" i="2" s="1"/>
  <c r="X967" i="2"/>
  <c r="U967" i="2"/>
  <c r="T967" i="2"/>
  <c r="S967" i="2"/>
  <c r="C967" i="2"/>
  <c r="AB966" i="2"/>
  <c r="AA966" i="2"/>
  <c r="Z966" i="2"/>
  <c r="Y966" i="2"/>
  <c r="X966" i="2"/>
  <c r="U966" i="2"/>
  <c r="T966" i="2"/>
  <c r="S966" i="2"/>
  <c r="C966" i="2"/>
  <c r="AB965" i="2"/>
  <c r="AA965" i="2"/>
  <c r="Z965" i="2"/>
  <c r="Y965" i="2"/>
  <c r="X965" i="2"/>
  <c r="U965" i="2"/>
  <c r="T965" i="2"/>
  <c r="S965" i="2"/>
  <c r="C965" i="2"/>
  <c r="AB964" i="2"/>
  <c r="AA964" i="2"/>
  <c r="Z964" i="2"/>
  <c r="Y964" i="2"/>
  <c r="X964" i="2"/>
  <c r="U964" i="2"/>
  <c r="T964" i="2"/>
  <c r="S964" i="2"/>
  <c r="C964" i="2"/>
  <c r="AB963" i="2"/>
  <c r="AA963" i="2"/>
  <c r="Z963" i="2"/>
  <c r="Y963" i="2"/>
  <c r="X963" i="2"/>
  <c r="U963" i="2"/>
  <c r="T963" i="2"/>
  <c r="S963" i="2"/>
  <c r="C963" i="2"/>
  <c r="AB962" i="2"/>
  <c r="AA962" i="2"/>
  <c r="Z962" i="2"/>
  <c r="Y962" i="2"/>
  <c r="X962" i="2"/>
  <c r="U962" i="2"/>
  <c r="T962" i="2"/>
  <c r="S962" i="2"/>
  <c r="C962" i="2"/>
  <c r="AB961" i="2"/>
  <c r="AA961" i="2"/>
  <c r="Z961" i="2"/>
  <c r="Y961" i="2"/>
  <c r="AC961" i="2" s="1"/>
  <c r="X961" i="2"/>
  <c r="U961" i="2"/>
  <c r="T961" i="2"/>
  <c r="S961" i="2"/>
  <c r="C961" i="2"/>
  <c r="AB960" i="2"/>
  <c r="AA960" i="2"/>
  <c r="Z960" i="2"/>
  <c r="Y960" i="2"/>
  <c r="X960" i="2"/>
  <c r="U960" i="2"/>
  <c r="T960" i="2"/>
  <c r="S960" i="2"/>
  <c r="C960" i="2"/>
  <c r="AB959" i="2"/>
  <c r="AA959" i="2"/>
  <c r="Z959" i="2"/>
  <c r="Y959" i="2"/>
  <c r="AC959" i="2" s="1"/>
  <c r="X959" i="2"/>
  <c r="U959" i="2"/>
  <c r="T959" i="2"/>
  <c r="S959" i="2"/>
  <c r="C959" i="2"/>
  <c r="AB958" i="2"/>
  <c r="AA958" i="2"/>
  <c r="Z958" i="2"/>
  <c r="AE958" i="2" s="1"/>
  <c r="Y958" i="2"/>
  <c r="X958" i="2"/>
  <c r="U958" i="2"/>
  <c r="T958" i="2"/>
  <c r="S958" i="2"/>
  <c r="C958" i="2"/>
  <c r="AB957" i="2"/>
  <c r="AA957" i="2"/>
  <c r="AC957" i="2" s="1"/>
  <c r="Z957" i="2"/>
  <c r="Y957" i="2"/>
  <c r="X957" i="2"/>
  <c r="U957" i="2"/>
  <c r="T957" i="2"/>
  <c r="S957" i="2"/>
  <c r="C957" i="2"/>
  <c r="AB956" i="2"/>
  <c r="AE956" i="2" s="1"/>
  <c r="AA956" i="2"/>
  <c r="Z956" i="2"/>
  <c r="Y956" i="2"/>
  <c r="X956" i="2"/>
  <c r="U956" i="2"/>
  <c r="T956" i="2"/>
  <c r="S956" i="2"/>
  <c r="C956" i="2"/>
  <c r="AB955" i="2"/>
  <c r="AA955" i="2"/>
  <c r="Z955" i="2"/>
  <c r="Y955" i="2"/>
  <c r="X955" i="2"/>
  <c r="U955" i="2"/>
  <c r="T955" i="2"/>
  <c r="S955" i="2"/>
  <c r="C955" i="2"/>
  <c r="AB954" i="2"/>
  <c r="AA954" i="2"/>
  <c r="Z954" i="2"/>
  <c r="Y954" i="2"/>
  <c r="X954" i="2"/>
  <c r="U954" i="2"/>
  <c r="T954" i="2"/>
  <c r="S954" i="2"/>
  <c r="C954" i="2"/>
  <c r="AB953" i="2"/>
  <c r="AA953" i="2"/>
  <c r="Z953" i="2"/>
  <c r="Y953" i="2"/>
  <c r="AC953" i="2" s="1"/>
  <c r="X953" i="2"/>
  <c r="U953" i="2"/>
  <c r="T953" i="2"/>
  <c r="S953" i="2"/>
  <c r="C953" i="2"/>
  <c r="AB952" i="2"/>
  <c r="AA952" i="2"/>
  <c r="Z952" i="2"/>
  <c r="Y952" i="2"/>
  <c r="X952" i="2"/>
  <c r="U952" i="2"/>
  <c r="T952" i="2"/>
  <c r="S952" i="2"/>
  <c r="C952" i="2"/>
  <c r="AB951" i="2"/>
  <c r="AA951" i="2"/>
  <c r="Z951" i="2"/>
  <c r="Y951" i="2"/>
  <c r="X951" i="2"/>
  <c r="U951" i="2"/>
  <c r="T951" i="2"/>
  <c r="S951" i="2"/>
  <c r="C951" i="2"/>
  <c r="AB950" i="2"/>
  <c r="AA950" i="2"/>
  <c r="Z950" i="2"/>
  <c r="Y950" i="2"/>
  <c r="X950" i="2"/>
  <c r="U950" i="2"/>
  <c r="T950" i="2"/>
  <c r="S950" i="2"/>
  <c r="C950" i="2"/>
  <c r="AB949" i="2"/>
  <c r="AA949" i="2"/>
  <c r="Z949" i="2"/>
  <c r="Y949" i="2"/>
  <c r="X949" i="2"/>
  <c r="U949" i="2"/>
  <c r="T949" i="2"/>
  <c r="S949" i="2"/>
  <c r="C949" i="2"/>
  <c r="AB948" i="2"/>
  <c r="AA948" i="2"/>
  <c r="AC948" i="2" s="1"/>
  <c r="Z948" i="2"/>
  <c r="Y948" i="2"/>
  <c r="X948" i="2"/>
  <c r="U948" i="2"/>
  <c r="T948" i="2"/>
  <c r="S948" i="2"/>
  <c r="C948" i="2"/>
  <c r="AB947" i="2"/>
  <c r="AA947" i="2"/>
  <c r="Z947" i="2"/>
  <c r="Y947" i="2"/>
  <c r="X947" i="2"/>
  <c r="U947" i="2"/>
  <c r="T947" i="2"/>
  <c r="S947" i="2"/>
  <c r="C947" i="2"/>
  <c r="AB946" i="2"/>
  <c r="AA946" i="2"/>
  <c r="Z946" i="2"/>
  <c r="Y946" i="2"/>
  <c r="X946" i="2"/>
  <c r="U946" i="2"/>
  <c r="T946" i="2"/>
  <c r="S946" i="2"/>
  <c r="C946" i="2"/>
  <c r="AB945" i="2"/>
  <c r="AA945" i="2"/>
  <c r="Z945" i="2"/>
  <c r="Y945" i="2"/>
  <c r="X945" i="2"/>
  <c r="U945" i="2"/>
  <c r="T945" i="2"/>
  <c r="S945" i="2"/>
  <c r="C945" i="2"/>
  <c r="AB944" i="2"/>
  <c r="AA944" i="2"/>
  <c r="Z944" i="2"/>
  <c r="Y944" i="2"/>
  <c r="X944" i="2"/>
  <c r="U944" i="2"/>
  <c r="T944" i="2"/>
  <c r="S944" i="2"/>
  <c r="C944" i="2"/>
  <c r="AB943" i="2"/>
  <c r="AA943" i="2"/>
  <c r="Z943" i="2"/>
  <c r="Y943" i="2"/>
  <c r="X943" i="2"/>
  <c r="U943" i="2"/>
  <c r="T943" i="2"/>
  <c r="S943" i="2"/>
  <c r="C943" i="2"/>
  <c r="AB942" i="2"/>
  <c r="AA942" i="2"/>
  <c r="Z942" i="2"/>
  <c r="Y942" i="2"/>
  <c r="X942" i="2"/>
  <c r="U942" i="2"/>
  <c r="T942" i="2"/>
  <c r="S942" i="2"/>
  <c r="C942" i="2"/>
  <c r="AB941" i="2"/>
  <c r="AA941" i="2"/>
  <c r="Z941" i="2"/>
  <c r="Y941" i="2"/>
  <c r="X941" i="2"/>
  <c r="U941" i="2"/>
  <c r="T941" i="2"/>
  <c r="S941" i="2"/>
  <c r="C941" i="2"/>
  <c r="AB940" i="2"/>
  <c r="AA940" i="2"/>
  <c r="Z940" i="2"/>
  <c r="Y940" i="2"/>
  <c r="X940" i="2"/>
  <c r="U940" i="2"/>
  <c r="T940" i="2"/>
  <c r="S940" i="2"/>
  <c r="C940" i="2"/>
  <c r="AB939" i="2"/>
  <c r="AA939" i="2"/>
  <c r="Z939" i="2"/>
  <c r="Y939" i="2"/>
  <c r="X939" i="2"/>
  <c r="U939" i="2"/>
  <c r="T939" i="2"/>
  <c r="S939" i="2"/>
  <c r="C939" i="2"/>
  <c r="AB938" i="2"/>
  <c r="AA938" i="2"/>
  <c r="Z938" i="2"/>
  <c r="Y938" i="2"/>
  <c r="AC938" i="2" s="1"/>
  <c r="X938" i="2"/>
  <c r="U938" i="2"/>
  <c r="T938" i="2"/>
  <c r="S938" i="2"/>
  <c r="C938" i="2"/>
  <c r="P11" i="1"/>
  <c r="O11" i="1"/>
  <c r="N11" i="1"/>
  <c r="M11" i="1"/>
  <c r="K11" i="1"/>
  <c r="J11" i="1"/>
  <c r="I11" i="1"/>
  <c r="H11" i="1"/>
  <c r="G11" i="1"/>
  <c r="F11" i="1"/>
  <c r="E11" i="1"/>
  <c r="D11" i="1"/>
  <c r="Y37" i="3"/>
  <c r="Y36" i="3"/>
  <c r="Y35" i="3"/>
  <c r="Y34" i="3"/>
  <c r="Y33" i="3"/>
  <c r="Y32" i="3"/>
  <c r="Y31" i="3"/>
  <c r="Y30" i="3"/>
  <c r="Y29" i="3"/>
  <c r="Y28" i="3"/>
  <c r="Y27" i="3"/>
  <c r="Y26" i="3"/>
  <c r="AB937" i="2"/>
  <c r="AA937" i="2"/>
  <c r="Z937" i="2"/>
  <c r="Y937" i="2"/>
  <c r="X937" i="2"/>
  <c r="U937" i="2"/>
  <c r="T937" i="2"/>
  <c r="S937" i="2"/>
  <c r="C937" i="2"/>
  <c r="AB936" i="2"/>
  <c r="AA936" i="2"/>
  <c r="Z936" i="2"/>
  <c r="Y936" i="2"/>
  <c r="X936" i="2"/>
  <c r="U936" i="2"/>
  <c r="T936" i="2"/>
  <c r="S936" i="2"/>
  <c r="C936" i="2"/>
  <c r="AB935" i="2"/>
  <c r="AA935" i="2"/>
  <c r="Z935" i="2"/>
  <c r="Y935" i="2"/>
  <c r="X935" i="2"/>
  <c r="U935" i="2"/>
  <c r="T935" i="2"/>
  <c r="S935" i="2"/>
  <c r="C935" i="2"/>
  <c r="AB934" i="2"/>
  <c r="AA934" i="2"/>
  <c r="Z934" i="2"/>
  <c r="Y934" i="2"/>
  <c r="X934" i="2"/>
  <c r="U934" i="2"/>
  <c r="T934" i="2"/>
  <c r="S934" i="2"/>
  <c r="C934" i="2"/>
  <c r="AB933" i="2"/>
  <c r="AA933" i="2"/>
  <c r="Z933" i="2"/>
  <c r="Y933" i="2"/>
  <c r="X933" i="2"/>
  <c r="U933" i="2"/>
  <c r="T933" i="2"/>
  <c r="S933" i="2"/>
  <c r="C933" i="2"/>
  <c r="AB932" i="2"/>
  <c r="AA932" i="2"/>
  <c r="Z932" i="2"/>
  <c r="Y932" i="2"/>
  <c r="X932" i="2"/>
  <c r="U932" i="2"/>
  <c r="T932" i="2"/>
  <c r="S932" i="2"/>
  <c r="C932" i="2"/>
  <c r="AB931" i="2"/>
  <c r="AA931" i="2"/>
  <c r="Z931" i="2"/>
  <c r="Y931" i="2"/>
  <c r="X931" i="2"/>
  <c r="U931" i="2"/>
  <c r="T931" i="2"/>
  <c r="S931" i="2"/>
  <c r="C931" i="2"/>
  <c r="AB930" i="2"/>
  <c r="AA930" i="2"/>
  <c r="Z930" i="2"/>
  <c r="Y930" i="2"/>
  <c r="X930" i="2"/>
  <c r="U930" i="2"/>
  <c r="T930" i="2"/>
  <c r="S930" i="2"/>
  <c r="C930" i="2"/>
  <c r="AB929" i="2"/>
  <c r="AA929" i="2"/>
  <c r="Z929" i="2"/>
  <c r="Y929" i="2"/>
  <c r="X929" i="2"/>
  <c r="U929" i="2"/>
  <c r="T929" i="2"/>
  <c r="S929" i="2"/>
  <c r="C929" i="2"/>
  <c r="AB928" i="2"/>
  <c r="AA928" i="2"/>
  <c r="Z928" i="2"/>
  <c r="Y928" i="2"/>
  <c r="X928" i="2"/>
  <c r="U928" i="2"/>
  <c r="T928" i="2"/>
  <c r="S928" i="2"/>
  <c r="C928" i="2"/>
  <c r="AB927" i="2"/>
  <c r="AA927" i="2"/>
  <c r="Z927" i="2"/>
  <c r="Y927" i="2"/>
  <c r="X927" i="2"/>
  <c r="U927" i="2"/>
  <c r="T927" i="2"/>
  <c r="S927" i="2"/>
  <c r="C927" i="2"/>
  <c r="AB926" i="2"/>
  <c r="AA926" i="2"/>
  <c r="Z926" i="2"/>
  <c r="Y926" i="2"/>
  <c r="X926" i="2"/>
  <c r="U926" i="2"/>
  <c r="T926" i="2"/>
  <c r="S926" i="2"/>
  <c r="C926" i="2"/>
  <c r="AB925" i="2"/>
  <c r="AA925" i="2"/>
  <c r="Z925" i="2"/>
  <c r="Y925" i="2"/>
  <c r="X925" i="2"/>
  <c r="U925" i="2"/>
  <c r="T925" i="2"/>
  <c r="S925" i="2"/>
  <c r="C925" i="2"/>
  <c r="AB924" i="2"/>
  <c r="AA924" i="2"/>
  <c r="Z924" i="2"/>
  <c r="Y924" i="2"/>
  <c r="X924" i="2"/>
  <c r="U924" i="2"/>
  <c r="T924" i="2"/>
  <c r="S924" i="2"/>
  <c r="C924" i="2"/>
  <c r="AB923" i="2"/>
  <c r="AA923" i="2"/>
  <c r="Z923" i="2"/>
  <c r="Y923" i="2"/>
  <c r="X923" i="2"/>
  <c r="U923" i="2"/>
  <c r="T923" i="2"/>
  <c r="S923" i="2"/>
  <c r="C923" i="2"/>
  <c r="AB922" i="2"/>
  <c r="AA922" i="2"/>
  <c r="Z922" i="2"/>
  <c r="Y922" i="2"/>
  <c r="X922" i="2"/>
  <c r="U922" i="2"/>
  <c r="T922" i="2"/>
  <c r="S922" i="2"/>
  <c r="C922" i="2"/>
  <c r="AB921" i="2"/>
  <c r="AA921" i="2"/>
  <c r="Z921" i="2"/>
  <c r="Y921" i="2"/>
  <c r="X921" i="2"/>
  <c r="U921" i="2"/>
  <c r="T921" i="2"/>
  <c r="S921" i="2"/>
  <c r="C921" i="2"/>
  <c r="AB920" i="2"/>
  <c r="AA920" i="2"/>
  <c r="Z920" i="2"/>
  <c r="Y920" i="2"/>
  <c r="X920" i="2"/>
  <c r="U920" i="2"/>
  <c r="T920" i="2"/>
  <c r="S920" i="2"/>
  <c r="C920" i="2"/>
  <c r="AB919" i="2"/>
  <c r="AA919" i="2"/>
  <c r="Z919" i="2"/>
  <c r="Y919" i="2"/>
  <c r="X919" i="2"/>
  <c r="U919" i="2"/>
  <c r="T919" i="2"/>
  <c r="S919" i="2"/>
  <c r="C919" i="2"/>
  <c r="AB918" i="2"/>
  <c r="AA918" i="2"/>
  <c r="Z918" i="2"/>
  <c r="Y918" i="2"/>
  <c r="X918" i="2"/>
  <c r="U918" i="2"/>
  <c r="T918" i="2"/>
  <c r="S918" i="2"/>
  <c r="C918" i="2"/>
  <c r="AB917" i="2"/>
  <c r="AA917" i="2"/>
  <c r="Z917" i="2"/>
  <c r="Y917" i="2"/>
  <c r="AC917" i="2" s="1"/>
  <c r="X917" i="2"/>
  <c r="U917" i="2"/>
  <c r="T917" i="2"/>
  <c r="S917" i="2"/>
  <c r="C917" i="2"/>
  <c r="AB916" i="2"/>
  <c r="AA916" i="2"/>
  <c r="Z916" i="2"/>
  <c r="Y916" i="2"/>
  <c r="X916" i="2"/>
  <c r="U916" i="2"/>
  <c r="T916" i="2"/>
  <c r="S916" i="2"/>
  <c r="C916" i="2"/>
  <c r="AB915" i="2"/>
  <c r="AA915" i="2"/>
  <c r="Z915" i="2"/>
  <c r="Y915" i="2"/>
  <c r="X915" i="2"/>
  <c r="U915" i="2"/>
  <c r="T915" i="2"/>
  <c r="S915" i="2"/>
  <c r="C915" i="2"/>
  <c r="AB914" i="2"/>
  <c r="AA914" i="2"/>
  <c r="Z914" i="2"/>
  <c r="Y914" i="2"/>
  <c r="X914" i="2"/>
  <c r="U914" i="2"/>
  <c r="T914" i="2"/>
  <c r="S914" i="2"/>
  <c r="C914" i="2"/>
  <c r="AB913" i="2"/>
  <c r="AA913" i="2"/>
  <c r="Z913" i="2"/>
  <c r="Y913" i="2"/>
  <c r="X913" i="2"/>
  <c r="U913" i="2"/>
  <c r="T913" i="2"/>
  <c r="S913" i="2"/>
  <c r="C913" i="2"/>
  <c r="AB912" i="2"/>
  <c r="AA912" i="2"/>
  <c r="Z912" i="2"/>
  <c r="Y912" i="2"/>
  <c r="X912" i="2"/>
  <c r="U912" i="2"/>
  <c r="T912" i="2"/>
  <c r="S912" i="2"/>
  <c r="C912" i="2"/>
  <c r="AB911" i="2"/>
  <c r="AA911" i="2"/>
  <c r="AC911" i="2" s="1"/>
  <c r="Z911" i="2"/>
  <c r="Y911" i="2"/>
  <c r="X911" i="2"/>
  <c r="U911" i="2"/>
  <c r="T911" i="2"/>
  <c r="S911" i="2"/>
  <c r="C911" i="2"/>
  <c r="AB910" i="2"/>
  <c r="AA910" i="2"/>
  <c r="Z910" i="2"/>
  <c r="Y910" i="2"/>
  <c r="X910" i="2"/>
  <c r="U910" i="2"/>
  <c r="T910" i="2"/>
  <c r="S910" i="2"/>
  <c r="C910" i="2"/>
  <c r="AB909" i="2"/>
  <c r="AA909" i="2"/>
  <c r="Z909" i="2"/>
  <c r="Y909" i="2"/>
  <c r="AC909" i="2" s="1"/>
  <c r="X909" i="2"/>
  <c r="U909" i="2"/>
  <c r="T909" i="2"/>
  <c r="S909" i="2"/>
  <c r="C909" i="2"/>
  <c r="AB908" i="2"/>
  <c r="AA908" i="2"/>
  <c r="Z908" i="2"/>
  <c r="Y908" i="2"/>
  <c r="X908" i="2"/>
  <c r="U908" i="2"/>
  <c r="T908" i="2"/>
  <c r="S908" i="2"/>
  <c r="C908" i="2"/>
  <c r="AB907" i="2"/>
  <c r="AA907" i="2"/>
  <c r="Z907" i="2"/>
  <c r="Y907" i="2"/>
  <c r="X907" i="2"/>
  <c r="U907" i="2"/>
  <c r="T907" i="2"/>
  <c r="S907" i="2"/>
  <c r="C907" i="2"/>
  <c r="S903" i="2"/>
  <c r="AB906" i="2"/>
  <c r="AA906" i="2"/>
  <c r="Z906" i="2"/>
  <c r="Y906" i="2"/>
  <c r="X906" i="2"/>
  <c r="U906" i="2"/>
  <c r="T906" i="2"/>
  <c r="S906" i="2"/>
  <c r="C906" i="2"/>
  <c r="AB905" i="2"/>
  <c r="AA905" i="2"/>
  <c r="Z905" i="2"/>
  <c r="Y905" i="2"/>
  <c r="X905" i="2"/>
  <c r="U905" i="2"/>
  <c r="T905" i="2"/>
  <c r="S905" i="2"/>
  <c r="C905" i="2"/>
  <c r="AB904" i="2"/>
  <c r="AA904" i="2"/>
  <c r="AC904" i="2" s="1"/>
  <c r="Z904" i="2"/>
  <c r="Y904" i="2"/>
  <c r="X904" i="2"/>
  <c r="U904" i="2"/>
  <c r="T904" i="2"/>
  <c r="S904" i="2"/>
  <c r="C904" i="2"/>
  <c r="AB903" i="2"/>
  <c r="AA903" i="2"/>
  <c r="Z903" i="2"/>
  <c r="Y903" i="2"/>
  <c r="X903" i="2"/>
  <c r="U903" i="2"/>
  <c r="T903" i="2"/>
  <c r="C903" i="2"/>
  <c r="AB902" i="2"/>
  <c r="AA902" i="2"/>
  <c r="Z902" i="2"/>
  <c r="Y902" i="2"/>
  <c r="X902" i="2"/>
  <c r="U902" i="2"/>
  <c r="T902" i="2"/>
  <c r="S902" i="2"/>
  <c r="C902" i="2"/>
  <c r="AB901" i="2"/>
  <c r="AA901" i="2"/>
  <c r="Z901" i="2"/>
  <c r="Y901" i="2"/>
  <c r="X901" i="2"/>
  <c r="U901" i="2"/>
  <c r="T901" i="2"/>
  <c r="S901" i="2"/>
  <c r="C901" i="2"/>
  <c r="AB900" i="2"/>
  <c r="AA900" i="2"/>
  <c r="Z900" i="2"/>
  <c r="Y900" i="2"/>
  <c r="X900" i="2"/>
  <c r="U900" i="2"/>
  <c r="T900" i="2"/>
  <c r="S900" i="2"/>
  <c r="C900" i="2"/>
  <c r="AB899" i="2"/>
  <c r="AA899" i="2"/>
  <c r="Z899" i="2"/>
  <c r="Y899" i="2"/>
  <c r="AC899" i="2" s="1"/>
  <c r="X899" i="2"/>
  <c r="U899" i="2"/>
  <c r="T899" i="2"/>
  <c r="S899" i="2"/>
  <c r="C899" i="2"/>
  <c r="AB898" i="2"/>
  <c r="AA898" i="2"/>
  <c r="Z898" i="2"/>
  <c r="Y898" i="2"/>
  <c r="X898" i="2"/>
  <c r="U898" i="2"/>
  <c r="T898" i="2"/>
  <c r="S898" i="2"/>
  <c r="C898" i="2"/>
  <c r="AB897" i="2"/>
  <c r="AA897" i="2"/>
  <c r="Z897" i="2"/>
  <c r="Y897" i="2"/>
  <c r="X897" i="2"/>
  <c r="U897" i="2"/>
  <c r="T897" i="2"/>
  <c r="S897" i="2"/>
  <c r="C897" i="2"/>
  <c r="AB896" i="2"/>
  <c r="AA896" i="2"/>
  <c r="Z896" i="2"/>
  <c r="Y896" i="2"/>
  <c r="X896" i="2"/>
  <c r="U896" i="2"/>
  <c r="T896" i="2"/>
  <c r="S896" i="2"/>
  <c r="C896" i="2"/>
  <c r="AB895" i="2"/>
  <c r="AA895" i="2"/>
  <c r="Z895" i="2"/>
  <c r="Y895" i="2"/>
  <c r="X895" i="2"/>
  <c r="U895" i="2"/>
  <c r="T895" i="2"/>
  <c r="S895" i="2"/>
  <c r="C895" i="2"/>
  <c r="AB894" i="2"/>
  <c r="AA894" i="2"/>
  <c r="Z894" i="2"/>
  <c r="Y894" i="2"/>
  <c r="X894" i="2"/>
  <c r="U894" i="2"/>
  <c r="T894" i="2"/>
  <c r="S894" i="2"/>
  <c r="C894" i="2"/>
  <c r="AB893" i="2"/>
  <c r="AA893" i="2"/>
  <c r="Z893" i="2"/>
  <c r="Y893" i="2"/>
  <c r="X893" i="2"/>
  <c r="U893" i="2"/>
  <c r="T893" i="2"/>
  <c r="S893" i="2"/>
  <c r="C893" i="2"/>
  <c r="AB892" i="2"/>
  <c r="AA892" i="2"/>
  <c r="Z892" i="2"/>
  <c r="Y892" i="2"/>
  <c r="X892" i="2"/>
  <c r="U892" i="2"/>
  <c r="T892" i="2"/>
  <c r="S892" i="2"/>
  <c r="C892" i="2"/>
  <c r="AB891" i="2"/>
  <c r="AA891" i="2"/>
  <c r="Z891" i="2"/>
  <c r="Y891" i="2"/>
  <c r="AC891" i="2" s="1"/>
  <c r="X891" i="2"/>
  <c r="U891" i="2"/>
  <c r="T891" i="2"/>
  <c r="S891" i="2"/>
  <c r="C891" i="2"/>
  <c r="AB890" i="2"/>
  <c r="AA890" i="2"/>
  <c r="Z890" i="2"/>
  <c r="Y890" i="2"/>
  <c r="X890" i="2"/>
  <c r="U890" i="2"/>
  <c r="T890" i="2"/>
  <c r="S890" i="2"/>
  <c r="C890" i="2"/>
  <c r="AB889" i="2"/>
  <c r="AA889" i="2"/>
  <c r="Z889" i="2"/>
  <c r="Y889" i="2"/>
  <c r="X889" i="2"/>
  <c r="U889" i="2"/>
  <c r="T889" i="2"/>
  <c r="S889" i="2"/>
  <c r="C889" i="2"/>
  <c r="AB888" i="2"/>
  <c r="AA888" i="2"/>
  <c r="Z888" i="2"/>
  <c r="Y888" i="2"/>
  <c r="X888" i="2"/>
  <c r="U888" i="2"/>
  <c r="T888" i="2"/>
  <c r="S888" i="2"/>
  <c r="C888" i="2"/>
  <c r="AB887" i="2"/>
  <c r="AA887" i="2"/>
  <c r="Z887" i="2"/>
  <c r="Y887" i="2"/>
  <c r="X887" i="2"/>
  <c r="U887" i="2"/>
  <c r="T887" i="2"/>
  <c r="S887" i="2"/>
  <c r="C887" i="2"/>
  <c r="AB886" i="2"/>
  <c r="AA886" i="2"/>
  <c r="Z886" i="2"/>
  <c r="Y886" i="2"/>
  <c r="X886" i="2"/>
  <c r="U886" i="2"/>
  <c r="T886" i="2"/>
  <c r="S886" i="2"/>
  <c r="C886" i="2"/>
  <c r="AB885" i="2"/>
  <c r="AA885" i="2"/>
  <c r="Z885" i="2"/>
  <c r="Y885" i="2"/>
  <c r="X885" i="2"/>
  <c r="U885" i="2"/>
  <c r="T885" i="2"/>
  <c r="S885" i="2"/>
  <c r="C885" i="2"/>
  <c r="AB884" i="2"/>
  <c r="AA884" i="2"/>
  <c r="Z884" i="2"/>
  <c r="Y884" i="2"/>
  <c r="X884" i="2"/>
  <c r="U884" i="2"/>
  <c r="T884" i="2"/>
  <c r="S884" i="2"/>
  <c r="C884" i="2"/>
  <c r="AB883" i="2"/>
  <c r="AA883" i="2"/>
  <c r="Z883" i="2"/>
  <c r="Y883" i="2"/>
  <c r="AC883" i="2" s="1"/>
  <c r="X883" i="2"/>
  <c r="U883" i="2"/>
  <c r="T883" i="2"/>
  <c r="S883" i="2"/>
  <c r="C883" i="2"/>
  <c r="AB882" i="2"/>
  <c r="AA882" i="2"/>
  <c r="Z882" i="2"/>
  <c r="Y882" i="2"/>
  <c r="X882" i="2"/>
  <c r="U882" i="2"/>
  <c r="T882" i="2"/>
  <c r="S882" i="2"/>
  <c r="C882" i="2"/>
  <c r="AB881" i="2"/>
  <c r="AA881" i="2"/>
  <c r="Z881" i="2"/>
  <c r="Y881" i="2"/>
  <c r="X881" i="2"/>
  <c r="U881" i="2"/>
  <c r="T881" i="2"/>
  <c r="S881" i="2"/>
  <c r="C881" i="2"/>
  <c r="AB880" i="2"/>
  <c r="AA880" i="2"/>
  <c r="Z880" i="2"/>
  <c r="Y880" i="2"/>
  <c r="X880" i="2"/>
  <c r="U880" i="2"/>
  <c r="T880" i="2"/>
  <c r="S880" i="2"/>
  <c r="C880" i="2"/>
  <c r="AB879" i="2"/>
  <c r="AA879" i="2"/>
  <c r="Z879" i="2"/>
  <c r="Y879" i="2"/>
  <c r="X879" i="2"/>
  <c r="U879" i="2"/>
  <c r="T879" i="2"/>
  <c r="S879" i="2"/>
  <c r="C879" i="2"/>
  <c r="AB878" i="2"/>
  <c r="AE878" i="2" s="1"/>
  <c r="AA878" i="2"/>
  <c r="Z878" i="2"/>
  <c r="Y878" i="2"/>
  <c r="X878" i="2"/>
  <c r="U878" i="2"/>
  <c r="T878" i="2"/>
  <c r="S878" i="2"/>
  <c r="C878" i="2"/>
  <c r="AB877" i="2"/>
  <c r="AA877" i="2"/>
  <c r="Z877" i="2"/>
  <c r="Y877" i="2"/>
  <c r="X877" i="2"/>
  <c r="U877" i="2"/>
  <c r="T877" i="2"/>
  <c r="S877" i="2"/>
  <c r="C877" i="2"/>
  <c r="AB876" i="2"/>
  <c r="AA876" i="2"/>
  <c r="Z876" i="2"/>
  <c r="Y876" i="2"/>
  <c r="X876" i="2"/>
  <c r="U876" i="2"/>
  <c r="T876" i="2"/>
  <c r="S876" i="2"/>
  <c r="C876" i="2"/>
  <c r="AB875" i="2"/>
  <c r="AA875" i="2"/>
  <c r="Z875" i="2"/>
  <c r="Y875" i="2"/>
  <c r="AC875" i="2" s="1"/>
  <c r="X875" i="2"/>
  <c r="U875" i="2"/>
  <c r="T875" i="2"/>
  <c r="S875" i="2"/>
  <c r="C875" i="2"/>
  <c r="AB874" i="2"/>
  <c r="AA874" i="2"/>
  <c r="Z874" i="2"/>
  <c r="Y874" i="2"/>
  <c r="X874" i="2"/>
  <c r="U874" i="2"/>
  <c r="T874" i="2"/>
  <c r="S874" i="2"/>
  <c r="C874" i="2"/>
  <c r="AB873" i="2"/>
  <c r="AA873" i="2"/>
  <c r="Z873" i="2"/>
  <c r="Y873" i="2"/>
  <c r="X873" i="2"/>
  <c r="U873" i="2"/>
  <c r="T873" i="2"/>
  <c r="S873" i="2"/>
  <c r="C873" i="2"/>
  <c r="AB872" i="2"/>
  <c r="AA872" i="2"/>
  <c r="AC872" i="2" s="1"/>
  <c r="Z872" i="2"/>
  <c r="Y872" i="2"/>
  <c r="X872" i="2"/>
  <c r="U872" i="2"/>
  <c r="T872" i="2"/>
  <c r="S872" i="2"/>
  <c r="C872" i="2"/>
  <c r="AB871" i="2"/>
  <c r="AA871" i="2"/>
  <c r="Z871" i="2"/>
  <c r="Y871" i="2"/>
  <c r="X871" i="2"/>
  <c r="U871" i="2"/>
  <c r="T871" i="2"/>
  <c r="S871" i="2"/>
  <c r="C871" i="2"/>
  <c r="AB870" i="2"/>
  <c r="AA870" i="2"/>
  <c r="Z870" i="2"/>
  <c r="Y870" i="2"/>
  <c r="X870" i="2"/>
  <c r="U870" i="2"/>
  <c r="T870" i="2"/>
  <c r="S870" i="2"/>
  <c r="C870" i="2"/>
  <c r="AB869" i="2"/>
  <c r="AA869" i="2"/>
  <c r="Z869" i="2"/>
  <c r="Y869" i="2"/>
  <c r="X869" i="2"/>
  <c r="U869" i="2"/>
  <c r="T869" i="2"/>
  <c r="S869" i="2"/>
  <c r="C869" i="2"/>
  <c r="AB868" i="2"/>
  <c r="AA868" i="2"/>
  <c r="Z868" i="2"/>
  <c r="Y868" i="2"/>
  <c r="X868" i="2"/>
  <c r="U868" i="2"/>
  <c r="T868" i="2"/>
  <c r="S868" i="2"/>
  <c r="C868" i="2"/>
  <c r="AB867" i="2"/>
  <c r="AA867" i="2"/>
  <c r="Z867" i="2"/>
  <c r="Y867" i="2"/>
  <c r="AC867" i="2" s="1"/>
  <c r="X867" i="2"/>
  <c r="U867" i="2"/>
  <c r="T867" i="2"/>
  <c r="S867" i="2"/>
  <c r="C867" i="2"/>
  <c r="AB866" i="2"/>
  <c r="AA866" i="2"/>
  <c r="Z866" i="2"/>
  <c r="Y866" i="2"/>
  <c r="X866" i="2"/>
  <c r="U866" i="2"/>
  <c r="T866" i="2"/>
  <c r="S866" i="2"/>
  <c r="C866" i="2"/>
  <c r="AB865" i="2"/>
  <c r="AA865" i="2"/>
  <c r="Z865" i="2"/>
  <c r="Y865" i="2"/>
  <c r="X865" i="2"/>
  <c r="U865" i="2"/>
  <c r="T865" i="2"/>
  <c r="S865" i="2"/>
  <c r="C865" i="2"/>
  <c r="AB864" i="2"/>
  <c r="AA864" i="2"/>
  <c r="Z864" i="2"/>
  <c r="Y864" i="2"/>
  <c r="X864" i="2"/>
  <c r="U864" i="2"/>
  <c r="T864" i="2"/>
  <c r="S864" i="2"/>
  <c r="C864" i="2"/>
  <c r="AB863" i="2"/>
  <c r="AA863" i="2"/>
  <c r="Z863" i="2"/>
  <c r="Y863" i="2"/>
  <c r="X863" i="2"/>
  <c r="U863" i="2"/>
  <c r="T863" i="2"/>
  <c r="S863" i="2"/>
  <c r="C863" i="2"/>
  <c r="AB862" i="2"/>
  <c r="AA862" i="2"/>
  <c r="Z862" i="2"/>
  <c r="Y862" i="2"/>
  <c r="X862" i="2"/>
  <c r="U862" i="2"/>
  <c r="T862" i="2"/>
  <c r="S862" i="2"/>
  <c r="C862" i="2"/>
  <c r="AB861" i="2"/>
  <c r="AA861" i="2"/>
  <c r="Z861" i="2"/>
  <c r="Y861" i="2"/>
  <c r="X861" i="2"/>
  <c r="U861" i="2"/>
  <c r="T861" i="2"/>
  <c r="S861" i="2"/>
  <c r="C861" i="2"/>
  <c r="AB860" i="2"/>
  <c r="AA860" i="2"/>
  <c r="Z860" i="2"/>
  <c r="Y860" i="2"/>
  <c r="X860" i="2"/>
  <c r="U860" i="2"/>
  <c r="T860" i="2"/>
  <c r="S860" i="2"/>
  <c r="C860" i="2"/>
  <c r="AB859" i="2"/>
  <c r="AA859" i="2"/>
  <c r="Z859" i="2"/>
  <c r="Y859" i="2"/>
  <c r="AC859" i="2" s="1"/>
  <c r="X859" i="2"/>
  <c r="U859" i="2"/>
  <c r="T859" i="2"/>
  <c r="S859" i="2"/>
  <c r="C859" i="2"/>
  <c r="AB858" i="2"/>
  <c r="AA858" i="2"/>
  <c r="Z858" i="2"/>
  <c r="Y858" i="2"/>
  <c r="X858" i="2"/>
  <c r="U858" i="2"/>
  <c r="T858" i="2"/>
  <c r="S858" i="2"/>
  <c r="C858" i="2"/>
  <c r="AB857" i="2"/>
  <c r="AE857" i="2" s="1"/>
  <c r="AA857" i="2"/>
  <c r="Z857" i="2"/>
  <c r="Y857" i="2"/>
  <c r="X857" i="2"/>
  <c r="U857" i="2"/>
  <c r="T857" i="2"/>
  <c r="S857" i="2"/>
  <c r="C857" i="2"/>
  <c r="AB856" i="2"/>
  <c r="AA856" i="2"/>
  <c r="Z856" i="2"/>
  <c r="Y856" i="2"/>
  <c r="X856" i="2"/>
  <c r="U856" i="2"/>
  <c r="T856" i="2"/>
  <c r="S856" i="2"/>
  <c r="C856" i="2"/>
  <c r="AB855" i="2"/>
  <c r="AA855" i="2"/>
  <c r="Z855" i="2"/>
  <c r="Y855" i="2"/>
  <c r="X855" i="2"/>
  <c r="U855" i="2"/>
  <c r="T855" i="2"/>
  <c r="S855" i="2"/>
  <c r="C855" i="2"/>
  <c r="AB854" i="2"/>
  <c r="AA854" i="2"/>
  <c r="Z854" i="2"/>
  <c r="Y854" i="2"/>
  <c r="X854" i="2"/>
  <c r="U854" i="2"/>
  <c r="T854" i="2"/>
  <c r="S854" i="2"/>
  <c r="C854" i="2"/>
  <c r="AB853" i="2"/>
  <c r="AA853" i="2"/>
  <c r="Z853" i="2"/>
  <c r="Y853" i="2"/>
  <c r="X853" i="2"/>
  <c r="U853" i="2"/>
  <c r="T853" i="2"/>
  <c r="S853" i="2"/>
  <c r="C853" i="2"/>
  <c r="AB852" i="2"/>
  <c r="AA852" i="2"/>
  <c r="Z852" i="2"/>
  <c r="Y852" i="2"/>
  <c r="X852" i="2"/>
  <c r="U852" i="2"/>
  <c r="T852" i="2"/>
  <c r="S852" i="2"/>
  <c r="C852" i="2"/>
  <c r="AB851" i="2"/>
  <c r="AA851" i="2"/>
  <c r="Z851" i="2"/>
  <c r="Y851" i="2"/>
  <c r="AC851" i="2" s="1"/>
  <c r="X851" i="2"/>
  <c r="U851" i="2"/>
  <c r="T851" i="2"/>
  <c r="S851" i="2"/>
  <c r="C851" i="2"/>
  <c r="AB850" i="2"/>
  <c r="AA850" i="2"/>
  <c r="Z850" i="2"/>
  <c r="Y850" i="2"/>
  <c r="X850" i="2"/>
  <c r="U850" i="2"/>
  <c r="T850" i="2"/>
  <c r="S850" i="2"/>
  <c r="C850" i="2"/>
  <c r="AB849" i="2"/>
  <c r="AA849" i="2"/>
  <c r="Z849" i="2"/>
  <c r="Y849" i="2"/>
  <c r="X849" i="2"/>
  <c r="U849" i="2"/>
  <c r="T849" i="2"/>
  <c r="S849" i="2"/>
  <c r="C849" i="2"/>
  <c r="AB848" i="2"/>
  <c r="AA848" i="2"/>
  <c r="Z848" i="2"/>
  <c r="Y848" i="2"/>
  <c r="X848" i="2"/>
  <c r="U848" i="2"/>
  <c r="T848" i="2"/>
  <c r="S848" i="2"/>
  <c r="C848" i="2"/>
  <c r="AB847" i="2"/>
  <c r="AA847" i="2"/>
  <c r="Z847" i="2"/>
  <c r="Y847" i="2"/>
  <c r="X847" i="2"/>
  <c r="U847" i="2"/>
  <c r="T847" i="2"/>
  <c r="S847" i="2"/>
  <c r="C847" i="2"/>
  <c r="AB846" i="2"/>
  <c r="AA846" i="2"/>
  <c r="Z846" i="2"/>
  <c r="Y846" i="2"/>
  <c r="X846" i="2"/>
  <c r="U846" i="2"/>
  <c r="T846" i="2"/>
  <c r="S846" i="2"/>
  <c r="C846" i="2"/>
  <c r="AB845" i="2"/>
  <c r="AA845" i="2"/>
  <c r="Y845" i="2"/>
  <c r="X845" i="2"/>
  <c r="U845" i="2"/>
  <c r="T845" i="2"/>
  <c r="S845" i="2"/>
  <c r="L845" i="2"/>
  <c r="Z845" i="2" s="1"/>
  <c r="C845" i="2"/>
  <c r="AB844" i="2"/>
  <c r="AA844" i="2"/>
  <c r="Z844" i="2"/>
  <c r="Y844" i="2"/>
  <c r="AC844" i="2" s="1"/>
  <c r="X844" i="2"/>
  <c r="U844" i="2"/>
  <c r="T844" i="2"/>
  <c r="S844" i="2"/>
  <c r="C844" i="2"/>
  <c r="AB843" i="2"/>
  <c r="AA843" i="2"/>
  <c r="Z843" i="2"/>
  <c r="Y843" i="2"/>
  <c r="AC843" i="2" s="1"/>
  <c r="X843" i="2"/>
  <c r="U843" i="2"/>
  <c r="T843" i="2"/>
  <c r="S843" i="2"/>
  <c r="C843" i="2"/>
  <c r="AB842" i="2"/>
  <c r="AA842" i="2"/>
  <c r="Z842" i="2"/>
  <c r="Y842" i="2"/>
  <c r="X842" i="2"/>
  <c r="U842" i="2"/>
  <c r="T842" i="2"/>
  <c r="S842" i="2"/>
  <c r="C842" i="2"/>
  <c r="AB841" i="2"/>
  <c r="AA841" i="2"/>
  <c r="Z841" i="2"/>
  <c r="Y841" i="2"/>
  <c r="X841" i="2"/>
  <c r="U841" i="2"/>
  <c r="T841" i="2"/>
  <c r="S841" i="2"/>
  <c r="C841" i="2"/>
  <c r="T838" i="2"/>
  <c r="T840" i="2"/>
  <c r="AC933" i="2"/>
  <c r="AB840" i="2"/>
  <c r="AA840" i="2"/>
  <c r="Z840" i="2"/>
  <c r="Y840" i="2"/>
  <c r="AC840" i="2" s="1"/>
  <c r="X840" i="2"/>
  <c r="U840" i="2"/>
  <c r="S840" i="2"/>
  <c r="C840" i="2"/>
  <c r="AB839" i="2"/>
  <c r="AA839" i="2"/>
  <c r="Z839" i="2"/>
  <c r="Y839" i="2"/>
  <c r="AC839" i="2" s="1"/>
  <c r="X839" i="2"/>
  <c r="U839" i="2"/>
  <c r="T839" i="2"/>
  <c r="S839" i="2"/>
  <c r="C839" i="2"/>
  <c r="AB838" i="2"/>
  <c r="AA838" i="2"/>
  <c r="Z838" i="2"/>
  <c r="Y838" i="2"/>
  <c r="X838" i="2"/>
  <c r="U838" i="2"/>
  <c r="S838" i="2"/>
  <c r="C838" i="2"/>
  <c r="AB837" i="2"/>
  <c r="AA837" i="2"/>
  <c r="Z837" i="2"/>
  <c r="Y837" i="2"/>
  <c r="X837" i="2"/>
  <c r="U837" i="2"/>
  <c r="T837" i="2"/>
  <c r="S837" i="2"/>
  <c r="C837" i="2"/>
  <c r="AB836" i="2"/>
  <c r="AA836" i="2"/>
  <c r="Z836" i="2"/>
  <c r="Y836" i="2"/>
  <c r="X836" i="2"/>
  <c r="U836" i="2"/>
  <c r="T836" i="2"/>
  <c r="S836" i="2"/>
  <c r="C836" i="2"/>
  <c r="AB835" i="2"/>
  <c r="AA835" i="2"/>
  <c r="Z835" i="2"/>
  <c r="Y835" i="2"/>
  <c r="X835" i="2"/>
  <c r="U835" i="2"/>
  <c r="T835" i="2"/>
  <c r="S835" i="2"/>
  <c r="C835" i="2"/>
  <c r="AB834" i="2"/>
  <c r="AA834" i="2"/>
  <c r="Y834" i="2"/>
  <c r="X834" i="2"/>
  <c r="U834" i="2"/>
  <c r="T834" i="2"/>
  <c r="S834" i="2"/>
  <c r="L834" i="2"/>
  <c r="Z834" i="2" s="1"/>
  <c r="C834" i="2"/>
  <c r="AB833" i="2"/>
  <c r="AA833" i="2"/>
  <c r="Z833" i="2"/>
  <c r="Y833" i="2"/>
  <c r="X833" i="2"/>
  <c r="U833" i="2"/>
  <c r="T833" i="2"/>
  <c r="S833" i="2"/>
  <c r="C833" i="2"/>
  <c r="AB832" i="2"/>
  <c r="AA832" i="2"/>
  <c r="Z832" i="2"/>
  <c r="Y832" i="2"/>
  <c r="X832" i="2"/>
  <c r="U832" i="2"/>
  <c r="T832" i="2"/>
  <c r="S832" i="2"/>
  <c r="C832" i="2"/>
  <c r="AB831" i="2"/>
  <c r="AA831" i="2"/>
  <c r="Z831" i="2"/>
  <c r="Y831" i="2"/>
  <c r="AC831" i="2" s="1"/>
  <c r="X831" i="2"/>
  <c r="U831" i="2"/>
  <c r="T831" i="2"/>
  <c r="S831" i="2"/>
  <c r="C831" i="2"/>
  <c r="AB830" i="2"/>
  <c r="AA830" i="2"/>
  <c r="Z830" i="2"/>
  <c r="Y830" i="2"/>
  <c r="X830" i="2"/>
  <c r="U830" i="2"/>
  <c r="T830" i="2"/>
  <c r="S830" i="2"/>
  <c r="C830" i="2"/>
  <c r="C820" i="2"/>
  <c r="L823" i="2"/>
  <c r="Z823" i="2" s="1"/>
  <c r="AB829" i="2"/>
  <c r="AA829" i="2"/>
  <c r="AC829" i="2" s="1"/>
  <c r="Z829" i="2"/>
  <c r="Y829" i="2"/>
  <c r="X829" i="2"/>
  <c r="U829" i="2"/>
  <c r="T829" i="2"/>
  <c r="S829" i="2"/>
  <c r="C829" i="2"/>
  <c r="AB828" i="2"/>
  <c r="AE828" i="2" s="1"/>
  <c r="AA828" i="2"/>
  <c r="Z828" i="2"/>
  <c r="Y828" i="2"/>
  <c r="X828" i="2"/>
  <c r="U828" i="2"/>
  <c r="T828" i="2"/>
  <c r="S828" i="2"/>
  <c r="C828" i="2"/>
  <c r="AB827" i="2"/>
  <c r="AA827" i="2"/>
  <c r="Z827" i="2"/>
  <c r="Y827" i="2"/>
  <c r="X827" i="2"/>
  <c r="U827" i="2"/>
  <c r="T827" i="2"/>
  <c r="S827" i="2"/>
  <c r="C827" i="2"/>
  <c r="AB826" i="2"/>
  <c r="AA826" i="2"/>
  <c r="AC826" i="2" s="1"/>
  <c r="Z826" i="2"/>
  <c r="Y826" i="2"/>
  <c r="X826" i="2"/>
  <c r="U826" i="2"/>
  <c r="T826" i="2"/>
  <c r="S826" i="2"/>
  <c r="C826" i="2"/>
  <c r="AB825" i="2"/>
  <c r="AA825" i="2"/>
  <c r="Z825" i="2"/>
  <c r="Y825" i="2"/>
  <c r="X825" i="2"/>
  <c r="U825" i="2"/>
  <c r="T825" i="2"/>
  <c r="S825" i="2"/>
  <c r="C825" i="2"/>
  <c r="AB824" i="2"/>
  <c r="AA824" i="2"/>
  <c r="Z824" i="2"/>
  <c r="Y824" i="2"/>
  <c r="X824" i="2"/>
  <c r="U824" i="2"/>
  <c r="T824" i="2"/>
  <c r="S824" i="2"/>
  <c r="C824" i="2"/>
  <c r="AB823" i="2"/>
  <c r="AA823" i="2"/>
  <c r="Y823" i="2"/>
  <c r="AC823" i="2" s="1"/>
  <c r="X823" i="2"/>
  <c r="AE823" i="2" s="1"/>
  <c r="U823" i="2"/>
  <c r="T823" i="2"/>
  <c r="S823" i="2"/>
  <c r="C823" i="2"/>
  <c r="AB822" i="2"/>
  <c r="AA822" i="2"/>
  <c r="Z822" i="2"/>
  <c r="Y822" i="2"/>
  <c r="X822" i="2"/>
  <c r="U822" i="2"/>
  <c r="T822" i="2"/>
  <c r="S822" i="2"/>
  <c r="C822" i="2"/>
  <c r="AB821" i="2"/>
  <c r="AA821" i="2"/>
  <c r="Z821" i="2"/>
  <c r="Y821" i="2"/>
  <c r="X821" i="2"/>
  <c r="U821" i="2"/>
  <c r="T821" i="2"/>
  <c r="S821" i="2"/>
  <c r="C821" i="2"/>
  <c r="AB820" i="2"/>
  <c r="AA820" i="2"/>
  <c r="Z820" i="2"/>
  <c r="Y820" i="2"/>
  <c r="X820" i="2"/>
  <c r="U820" i="2"/>
  <c r="T820" i="2"/>
  <c r="S820" i="2"/>
  <c r="AB819" i="2"/>
  <c r="AA819" i="2"/>
  <c r="AC819" i="2" s="1"/>
  <c r="Z819" i="2"/>
  <c r="Y819" i="2"/>
  <c r="X819" i="2"/>
  <c r="U819" i="2"/>
  <c r="T819" i="2"/>
  <c r="S819" i="2"/>
  <c r="C819" i="2"/>
  <c r="AB817" i="2"/>
  <c r="AA817" i="2"/>
  <c r="Z817" i="2"/>
  <c r="Y817" i="2"/>
  <c r="X817" i="2"/>
  <c r="X816" i="2"/>
  <c r="Y816" i="2"/>
  <c r="Z816" i="2"/>
  <c r="AA816" i="2"/>
  <c r="AB816" i="2"/>
  <c r="S816" i="2"/>
  <c r="T816" i="2"/>
  <c r="U816" i="2"/>
  <c r="S817" i="2"/>
  <c r="T817" i="2"/>
  <c r="U817" i="2"/>
  <c r="C817" i="2"/>
  <c r="C816" i="2"/>
  <c r="AB818" i="2"/>
  <c r="AA818" i="2"/>
  <c r="Z818" i="2"/>
  <c r="Y818" i="2"/>
  <c r="X818" i="2"/>
  <c r="U818" i="2"/>
  <c r="T818" i="2"/>
  <c r="S818" i="2"/>
  <c r="C818" i="2"/>
  <c r="AB815" i="2"/>
  <c r="AA815" i="2"/>
  <c r="Z815" i="2"/>
  <c r="Y815" i="2"/>
  <c r="X815" i="2"/>
  <c r="U815" i="2"/>
  <c r="T815" i="2"/>
  <c r="S815" i="2"/>
  <c r="C815" i="2"/>
  <c r="AB814" i="2"/>
  <c r="AA814" i="2"/>
  <c r="Z814" i="2"/>
  <c r="Y814" i="2"/>
  <c r="X814" i="2"/>
  <c r="U814" i="2"/>
  <c r="T814" i="2"/>
  <c r="S814" i="2"/>
  <c r="C814" i="2"/>
  <c r="AB813" i="2"/>
  <c r="AA813" i="2"/>
  <c r="Z813" i="2"/>
  <c r="Y813" i="2"/>
  <c r="X813" i="2"/>
  <c r="U813" i="2"/>
  <c r="T813" i="2"/>
  <c r="S813" i="2"/>
  <c r="C813" i="2"/>
  <c r="AB812" i="2"/>
  <c r="AA812" i="2"/>
  <c r="AC812" i="2" s="1"/>
  <c r="Z812" i="2"/>
  <c r="Y812" i="2"/>
  <c r="X812" i="2"/>
  <c r="AE812" i="2" s="1"/>
  <c r="U812" i="2"/>
  <c r="T812" i="2"/>
  <c r="S812" i="2"/>
  <c r="C812" i="2"/>
  <c r="AB811" i="2"/>
  <c r="AA811" i="2"/>
  <c r="Z811" i="2"/>
  <c r="Y811" i="2"/>
  <c r="X811" i="2"/>
  <c r="U811" i="2"/>
  <c r="T811" i="2"/>
  <c r="S811" i="2"/>
  <c r="C811" i="2"/>
  <c r="AB810" i="2"/>
  <c r="AA810" i="2"/>
  <c r="Z810" i="2"/>
  <c r="Y810" i="2"/>
  <c r="X810" i="2"/>
  <c r="U810" i="2"/>
  <c r="T810" i="2"/>
  <c r="S810" i="2"/>
  <c r="C810" i="2"/>
  <c r="AB809" i="2"/>
  <c r="AA809" i="2"/>
  <c r="Z809" i="2"/>
  <c r="Y809" i="2"/>
  <c r="X809" i="2"/>
  <c r="U809" i="2"/>
  <c r="T809" i="2"/>
  <c r="S809" i="2"/>
  <c r="C809" i="2"/>
  <c r="AB808" i="2"/>
  <c r="AA808" i="2"/>
  <c r="Z808" i="2"/>
  <c r="Y808" i="2"/>
  <c r="X808" i="2"/>
  <c r="U808" i="2"/>
  <c r="T808" i="2"/>
  <c r="S808" i="2"/>
  <c r="C808" i="2"/>
  <c r="AB807" i="2"/>
  <c r="AA807" i="2"/>
  <c r="Z807" i="2"/>
  <c r="Y807" i="2"/>
  <c r="X807" i="2"/>
  <c r="U807" i="2"/>
  <c r="T807" i="2"/>
  <c r="S807" i="2"/>
  <c r="C807" i="2"/>
  <c r="C800" i="2"/>
  <c r="AB806" i="2"/>
  <c r="AA806" i="2"/>
  <c r="Z806" i="2"/>
  <c r="Y806" i="2"/>
  <c r="X806" i="2"/>
  <c r="U806" i="2"/>
  <c r="T806" i="2"/>
  <c r="S806" i="2"/>
  <c r="C806" i="2"/>
  <c r="AB805" i="2"/>
  <c r="AA805" i="2"/>
  <c r="Z805" i="2"/>
  <c r="Y805" i="2"/>
  <c r="X805" i="2"/>
  <c r="AE805" i="2" s="1"/>
  <c r="U805" i="2"/>
  <c r="T805" i="2"/>
  <c r="S805" i="2"/>
  <c r="C805" i="2"/>
  <c r="AB804" i="2"/>
  <c r="AA804" i="2"/>
  <c r="Z804" i="2"/>
  <c r="Y804" i="2"/>
  <c r="AC804" i="2" s="1"/>
  <c r="X804" i="2"/>
  <c r="U804" i="2"/>
  <c r="T804" i="2"/>
  <c r="S804" i="2"/>
  <c r="C804" i="2"/>
  <c r="AB803" i="2"/>
  <c r="AA803" i="2"/>
  <c r="Z803" i="2"/>
  <c r="Y803" i="2"/>
  <c r="AC803" i="2" s="1"/>
  <c r="X803" i="2"/>
  <c r="U803" i="2"/>
  <c r="T803" i="2"/>
  <c r="S803" i="2"/>
  <c r="C803" i="2"/>
  <c r="AB802" i="2"/>
  <c r="AA802" i="2"/>
  <c r="Z802" i="2"/>
  <c r="Y802" i="2"/>
  <c r="X802" i="2"/>
  <c r="U802" i="2"/>
  <c r="T802" i="2"/>
  <c r="S802" i="2"/>
  <c r="C802" i="2"/>
  <c r="AA801" i="2"/>
  <c r="Z801" i="2"/>
  <c r="Y801" i="2"/>
  <c r="X801" i="2"/>
  <c r="U801" i="2"/>
  <c r="S801" i="2"/>
  <c r="T801" i="2"/>
  <c r="C801" i="2"/>
  <c r="AB800" i="2"/>
  <c r="AA800" i="2"/>
  <c r="Z800" i="2"/>
  <c r="Y800" i="2"/>
  <c r="X800" i="2"/>
  <c r="U800" i="2"/>
  <c r="T800" i="2"/>
  <c r="S800" i="2"/>
  <c r="AB799" i="2"/>
  <c r="AA799" i="2"/>
  <c r="Z799" i="2"/>
  <c r="Y799" i="2"/>
  <c r="X799" i="2"/>
  <c r="U799" i="2"/>
  <c r="T799" i="2"/>
  <c r="S799" i="2"/>
  <c r="C799" i="2"/>
  <c r="AB798" i="2"/>
  <c r="AA798" i="2"/>
  <c r="Z798" i="2"/>
  <c r="Y798" i="2"/>
  <c r="X798" i="2"/>
  <c r="U798" i="2"/>
  <c r="T798" i="2"/>
  <c r="S798" i="2"/>
  <c r="C798" i="2"/>
  <c r="AB797" i="2"/>
  <c r="AA797" i="2"/>
  <c r="Z797" i="2"/>
  <c r="Y797" i="2"/>
  <c r="X797" i="2"/>
  <c r="U797" i="2"/>
  <c r="T797" i="2"/>
  <c r="S797" i="2"/>
  <c r="C797" i="2"/>
  <c r="Q791" i="2"/>
  <c r="D7" i="4" s="1"/>
  <c r="AB796" i="2"/>
  <c r="AA796" i="2"/>
  <c r="AC796" i="2" s="1"/>
  <c r="Z796" i="2"/>
  <c r="Y796" i="2"/>
  <c r="X796" i="2"/>
  <c r="U796" i="2"/>
  <c r="T796" i="2"/>
  <c r="S796" i="2"/>
  <c r="C796" i="2"/>
  <c r="AB795" i="2"/>
  <c r="AA795" i="2"/>
  <c r="Z795" i="2"/>
  <c r="Y795" i="2"/>
  <c r="AC795" i="2" s="1"/>
  <c r="X795" i="2"/>
  <c r="U795" i="2"/>
  <c r="T795" i="2"/>
  <c r="S795" i="2"/>
  <c r="C795" i="2"/>
  <c r="AB794" i="2"/>
  <c r="AA794" i="2"/>
  <c r="Z794" i="2"/>
  <c r="Y794" i="2"/>
  <c r="AC794" i="2" s="1"/>
  <c r="X794" i="2"/>
  <c r="U794" i="2"/>
  <c r="T794" i="2"/>
  <c r="S794" i="2"/>
  <c r="C794" i="2"/>
  <c r="AB793" i="2"/>
  <c r="AA793" i="2"/>
  <c r="Z793" i="2"/>
  <c r="Y793" i="2"/>
  <c r="X793" i="2"/>
  <c r="U793" i="2"/>
  <c r="T793" i="2"/>
  <c r="S793" i="2"/>
  <c r="C793" i="2"/>
  <c r="AB792" i="2"/>
  <c r="AA792" i="2"/>
  <c r="Z792" i="2"/>
  <c r="Y792" i="2"/>
  <c r="X792" i="2"/>
  <c r="U792" i="2"/>
  <c r="T792" i="2"/>
  <c r="S792" i="2"/>
  <c r="C792" i="2"/>
  <c r="AA791" i="2"/>
  <c r="Z791" i="2"/>
  <c r="Y791" i="2"/>
  <c r="X791" i="2"/>
  <c r="U791" i="2"/>
  <c r="S791" i="2"/>
  <c r="C791" i="2"/>
  <c r="AB790" i="2"/>
  <c r="AA790" i="2"/>
  <c r="Z790" i="2"/>
  <c r="Y790" i="2"/>
  <c r="X790" i="2"/>
  <c r="U790" i="2"/>
  <c r="T790" i="2"/>
  <c r="S790" i="2"/>
  <c r="C790" i="2"/>
  <c r="AB789" i="2"/>
  <c r="AA789" i="2"/>
  <c r="Z789" i="2"/>
  <c r="Y789" i="2"/>
  <c r="X789" i="2"/>
  <c r="U789" i="2"/>
  <c r="T789" i="2"/>
  <c r="S789" i="2"/>
  <c r="C789" i="2"/>
  <c r="AB788" i="2"/>
  <c r="AA788" i="2"/>
  <c r="Z788" i="2"/>
  <c r="Y788" i="2"/>
  <c r="X788" i="2"/>
  <c r="U788" i="2"/>
  <c r="T788" i="2"/>
  <c r="S788" i="2"/>
  <c r="C788" i="2"/>
  <c r="AB787" i="2"/>
  <c r="AA787" i="2"/>
  <c r="Z787" i="2"/>
  <c r="Y787" i="2"/>
  <c r="X787" i="2"/>
  <c r="U787" i="2"/>
  <c r="T787" i="2"/>
  <c r="S787" i="2"/>
  <c r="C787" i="2"/>
  <c r="AB786" i="2"/>
  <c r="AA786" i="2"/>
  <c r="Z786" i="2"/>
  <c r="Y786" i="2"/>
  <c r="X786" i="2"/>
  <c r="U786" i="2"/>
  <c r="T786" i="2"/>
  <c r="S786" i="2"/>
  <c r="C786" i="2"/>
  <c r="AB785" i="2"/>
  <c r="AE785" i="2" s="1"/>
  <c r="AA785" i="2"/>
  <c r="Z785" i="2"/>
  <c r="Y785" i="2"/>
  <c r="X785" i="2"/>
  <c r="U785" i="2"/>
  <c r="T785" i="2"/>
  <c r="S785" i="2"/>
  <c r="C785" i="2"/>
  <c r="AB784" i="2"/>
  <c r="AA784" i="2"/>
  <c r="Z784" i="2"/>
  <c r="Y784" i="2"/>
  <c r="X784" i="2"/>
  <c r="U784" i="2"/>
  <c r="T784" i="2"/>
  <c r="S784" i="2"/>
  <c r="C784" i="2"/>
  <c r="AB783" i="2"/>
  <c r="AA783" i="2"/>
  <c r="Z783" i="2"/>
  <c r="Y783" i="2"/>
  <c r="X783" i="2"/>
  <c r="U783" i="2"/>
  <c r="T783" i="2"/>
  <c r="S783" i="2"/>
  <c r="C783" i="2"/>
  <c r="AB782" i="2"/>
  <c r="AA782" i="2"/>
  <c r="Z782" i="2"/>
  <c r="Y782" i="2"/>
  <c r="X782" i="2"/>
  <c r="U782" i="2"/>
  <c r="T782" i="2"/>
  <c r="S782" i="2"/>
  <c r="C782" i="2"/>
  <c r="AB781" i="2"/>
  <c r="AA781" i="2"/>
  <c r="Z781" i="2"/>
  <c r="Y781" i="2"/>
  <c r="X781" i="2"/>
  <c r="U781" i="2"/>
  <c r="T781" i="2"/>
  <c r="S781" i="2"/>
  <c r="C781" i="2"/>
  <c r="AB780" i="2"/>
  <c r="AA780" i="2"/>
  <c r="Z780" i="2"/>
  <c r="Y780" i="2"/>
  <c r="X780" i="2"/>
  <c r="U780" i="2"/>
  <c r="T780" i="2"/>
  <c r="S780" i="2"/>
  <c r="C780" i="2"/>
  <c r="AB779" i="2"/>
  <c r="AA779" i="2"/>
  <c r="Z779" i="2"/>
  <c r="Y779" i="2"/>
  <c r="X779" i="2"/>
  <c r="U779" i="2"/>
  <c r="T779" i="2"/>
  <c r="S779" i="2"/>
  <c r="C779" i="2"/>
  <c r="AB778" i="2"/>
  <c r="AA778" i="2"/>
  <c r="Z778" i="2"/>
  <c r="Y778" i="2"/>
  <c r="X778" i="2"/>
  <c r="AE778" i="2" s="1"/>
  <c r="U778" i="2"/>
  <c r="T778" i="2"/>
  <c r="S778" i="2"/>
  <c r="C778" i="2"/>
  <c r="AB777" i="2"/>
  <c r="AA777" i="2"/>
  <c r="Z777" i="2"/>
  <c r="Y777" i="2"/>
  <c r="X777" i="2"/>
  <c r="U777" i="2"/>
  <c r="T777" i="2"/>
  <c r="S777" i="2"/>
  <c r="C777" i="2"/>
  <c r="AB776" i="2"/>
  <c r="AA776" i="2"/>
  <c r="Z776" i="2"/>
  <c r="Y776" i="2"/>
  <c r="AC776" i="2" s="1"/>
  <c r="X776" i="2"/>
  <c r="U776" i="2"/>
  <c r="T776" i="2"/>
  <c r="S776" i="2"/>
  <c r="C776" i="2"/>
  <c r="AB775" i="2"/>
  <c r="AA775" i="2"/>
  <c r="Z775" i="2"/>
  <c r="Y775" i="2"/>
  <c r="X775" i="2"/>
  <c r="U775" i="2"/>
  <c r="T775" i="2"/>
  <c r="S775" i="2"/>
  <c r="C775" i="2"/>
  <c r="AB774" i="2"/>
  <c r="AA774" i="2"/>
  <c r="Z774" i="2"/>
  <c r="Y774" i="2"/>
  <c r="X774" i="2"/>
  <c r="U774" i="2"/>
  <c r="T774" i="2"/>
  <c r="S774" i="2"/>
  <c r="C774" i="2"/>
  <c r="AB773" i="2"/>
  <c r="AA773" i="2"/>
  <c r="Z773" i="2"/>
  <c r="Y773" i="2"/>
  <c r="X773" i="2"/>
  <c r="U773" i="2"/>
  <c r="T773" i="2"/>
  <c r="S773" i="2"/>
  <c r="C773" i="2"/>
  <c r="AB772" i="2"/>
  <c r="AA772" i="2"/>
  <c r="Z772" i="2"/>
  <c r="Y772" i="2"/>
  <c r="X772" i="2"/>
  <c r="U772" i="2"/>
  <c r="T772" i="2"/>
  <c r="S772" i="2"/>
  <c r="C772" i="2"/>
  <c r="AB771" i="2"/>
  <c r="AA771" i="2"/>
  <c r="Z771" i="2"/>
  <c r="Y771" i="2"/>
  <c r="X771" i="2"/>
  <c r="U771" i="2"/>
  <c r="T771" i="2"/>
  <c r="S771" i="2"/>
  <c r="C771" i="2"/>
  <c r="AB770" i="2"/>
  <c r="AA770" i="2"/>
  <c r="AC770" i="2" s="1"/>
  <c r="Z770" i="2"/>
  <c r="Y770" i="2"/>
  <c r="X770" i="2"/>
  <c r="U770" i="2"/>
  <c r="T770" i="2"/>
  <c r="S770" i="2"/>
  <c r="C770" i="2"/>
  <c r="AB769" i="2"/>
  <c r="AA769" i="2"/>
  <c r="Z769" i="2"/>
  <c r="Y769" i="2"/>
  <c r="X769" i="2"/>
  <c r="U769" i="2"/>
  <c r="T769" i="2"/>
  <c r="S769" i="2"/>
  <c r="C769" i="2"/>
  <c r="AB768" i="2"/>
  <c r="AA768" i="2"/>
  <c r="Z768" i="2"/>
  <c r="Y768" i="2"/>
  <c r="X768" i="2"/>
  <c r="U768" i="2"/>
  <c r="T768" i="2"/>
  <c r="S768" i="2"/>
  <c r="C768" i="2"/>
  <c r="AB767" i="2"/>
  <c r="AA767" i="2"/>
  <c r="Z767" i="2"/>
  <c r="Y767" i="2"/>
  <c r="X767" i="2"/>
  <c r="U767" i="2"/>
  <c r="T767" i="2"/>
  <c r="S767" i="2"/>
  <c r="C767" i="2"/>
  <c r="Z766" i="2"/>
  <c r="Z765" i="2"/>
  <c r="Z764" i="2"/>
  <c r="Z763" i="2"/>
  <c r="Z762" i="2"/>
  <c r="Z761" i="2"/>
  <c r="Z760" i="2"/>
  <c r="Z759" i="2"/>
  <c r="Z758" i="2"/>
  <c r="Z757" i="2"/>
  <c r="Z748" i="2"/>
  <c r="AB766" i="2"/>
  <c r="AA766" i="2"/>
  <c r="Y766" i="2"/>
  <c r="AC766" i="2" s="1"/>
  <c r="X766" i="2"/>
  <c r="U766" i="2"/>
  <c r="T766" i="2"/>
  <c r="S766" i="2"/>
  <c r="C766" i="2"/>
  <c r="AB765" i="2"/>
  <c r="AA765" i="2"/>
  <c r="Y765" i="2"/>
  <c r="AC765" i="2" s="1"/>
  <c r="X765" i="2"/>
  <c r="U765" i="2"/>
  <c r="T765" i="2"/>
  <c r="S765" i="2"/>
  <c r="C765" i="2"/>
  <c r="AB764" i="2"/>
  <c r="AA764" i="2"/>
  <c r="Y764" i="2"/>
  <c r="AC764" i="2" s="1"/>
  <c r="X764" i="2"/>
  <c r="U764" i="2"/>
  <c r="T764" i="2"/>
  <c r="S764" i="2"/>
  <c r="C764" i="2"/>
  <c r="AB763" i="2"/>
  <c r="AE763" i="2" s="1"/>
  <c r="AA763" i="2"/>
  <c r="Y763" i="2"/>
  <c r="AC763" i="2" s="1"/>
  <c r="X763" i="2"/>
  <c r="U763" i="2"/>
  <c r="T763" i="2"/>
  <c r="S763" i="2"/>
  <c r="C763" i="2"/>
  <c r="AB762" i="2"/>
  <c r="AA762" i="2"/>
  <c r="Y762" i="2"/>
  <c r="AC762" i="2" s="1"/>
  <c r="X762" i="2"/>
  <c r="U762" i="2"/>
  <c r="T762" i="2"/>
  <c r="S762" i="2"/>
  <c r="C762" i="2"/>
  <c r="AB761" i="2"/>
  <c r="AA761" i="2"/>
  <c r="Y761" i="2"/>
  <c r="AC761" i="2" s="1"/>
  <c r="X761" i="2"/>
  <c r="U761" i="2"/>
  <c r="T761" i="2"/>
  <c r="S761" i="2"/>
  <c r="C761" i="2"/>
  <c r="AB760" i="2"/>
  <c r="AE760" i="2" s="1"/>
  <c r="AA760" i="2"/>
  <c r="Y760" i="2"/>
  <c r="AC760" i="2" s="1"/>
  <c r="X760" i="2"/>
  <c r="U760" i="2"/>
  <c r="T760" i="2"/>
  <c r="S760" i="2"/>
  <c r="C760" i="2"/>
  <c r="AB759" i="2"/>
  <c r="AE759" i="2" s="1"/>
  <c r="AA759" i="2"/>
  <c r="Y759" i="2"/>
  <c r="AC759" i="2" s="1"/>
  <c r="X759" i="2"/>
  <c r="U759" i="2"/>
  <c r="T759" i="2"/>
  <c r="S759" i="2"/>
  <c r="C759" i="2"/>
  <c r="AB758" i="2"/>
  <c r="AA758" i="2"/>
  <c r="Y758" i="2"/>
  <c r="AC758" i="2" s="1"/>
  <c r="X758" i="2"/>
  <c r="U758" i="2"/>
  <c r="T758" i="2"/>
  <c r="S758" i="2"/>
  <c r="C758" i="2"/>
  <c r="AB757" i="2"/>
  <c r="AA757" i="2"/>
  <c r="Y757" i="2"/>
  <c r="AC757" i="2" s="1"/>
  <c r="X757" i="2"/>
  <c r="U757" i="2"/>
  <c r="T757" i="2"/>
  <c r="S757" i="2"/>
  <c r="C757" i="2"/>
  <c r="T749" i="2"/>
  <c r="AB756" i="2"/>
  <c r="AA756" i="2"/>
  <c r="AC756" i="2" s="1"/>
  <c r="Z756" i="2"/>
  <c r="Y756" i="2"/>
  <c r="X756" i="2"/>
  <c r="U756" i="2"/>
  <c r="T756" i="2"/>
  <c r="S756" i="2"/>
  <c r="C756" i="2"/>
  <c r="AB755" i="2"/>
  <c r="AA755" i="2"/>
  <c r="Z755" i="2"/>
  <c r="Y755" i="2"/>
  <c r="AC755" i="2" s="1"/>
  <c r="X755" i="2"/>
  <c r="U755" i="2"/>
  <c r="T755" i="2"/>
  <c r="S755" i="2"/>
  <c r="C755" i="2"/>
  <c r="AB754" i="2"/>
  <c r="AA754" i="2"/>
  <c r="Z754" i="2"/>
  <c r="Y754" i="2"/>
  <c r="AC754" i="2" s="1"/>
  <c r="X754" i="2"/>
  <c r="U754" i="2"/>
  <c r="T754" i="2"/>
  <c r="S754" i="2"/>
  <c r="C754" i="2"/>
  <c r="AB753" i="2"/>
  <c r="AA753" i="2"/>
  <c r="Z753" i="2"/>
  <c r="Y753" i="2"/>
  <c r="X753" i="2"/>
  <c r="U753" i="2"/>
  <c r="T753" i="2"/>
  <c r="S753" i="2"/>
  <c r="C753" i="2"/>
  <c r="AB752" i="2"/>
  <c r="AA752" i="2"/>
  <c r="Z752" i="2"/>
  <c r="Y752" i="2"/>
  <c r="AC752" i="2" s="1"/>
  <c r="X752" i="2"/>
  <c r="U752" i="2"/>
  <c r="T752" i="2"/>
  <c r="S752" i="2"/>
  <c r="C752" i="2"/>
  <c r="AB751" i="2"/>
  <c r="AA751" i="2"/>
  <c r="AC751" i="2" s="1"/>
  <c r="Z751" i="2"/>
  <c r="Y751" i="2"/>
  <c r="X751" i="2"/>
  <c r="U751" i="2"/>
  <c r="T751" i="2"/>
  <c r="S751" i="2"/>
  <c r="C751" i="2"/>
  <c r="AB750" i="2"/>
  <c r="AA750" i="2"/>
  <c r="Z750" i="2"/>
  <c r="Y750" i="2"/>
  <c r="X750" i="2"/>
  <c r="U750" i="2"/>
  <c r="T750" i="2"/>
  <c r="S750" i="2"/>
  <c r="C750" i="2"/>
  <c r="AB749" i="2"/>
  <c r="AA749" i="2"/>
  <c r="Z749" i="2"/>
  <c r="Y749" i="2"/>
  <c r="AC749" i="2" s="1"/>
  <c r="X749" i="2"/>
  <c r="U749" i="2"/>
  <c r="S749" i="2"/>
  <c r="C749" i="2"/>
  <c r="AB748" i="2"/>
  <c r="AA748" i="2"/>
  <c r="Y748" i="2"/>
  <c r="AC748" i="2" s="1"/>
  <c r="X748" i="2"/>
  <c r="U748" i="2"/>
  <c r="T748" i="2"/>
  <c r="S748" i="2"/>
  <c r="C748" i="2"/>
  <c r="AB747" i="2"/>
  <c r="AA747" i="2"/>
  <c r="Z747" i="2"/>
  <c r="Y747" i="2"/>
  <c r="X747" i="2"/>
  <c r="U747" i="2"/>
  <c r="T747" i="2"/>
  <c r="S747" i="2"/>
  <c r="C747" i="2"/>
  <c r="AB746" i="2"/>
  <c r="AA746" i="2"/>
  <c r="AC746" i="2" s="1"/>
  <c r="Z746" i="2"/>
  <c r="Y746" i="2"/>
  <c r="X746" i="2"/>
  <c r="U746" i="2"/>
  <c r="T746" i="2"/>
  <c r="S746" i="2"/>
  <c r="C746" i="2"/>
  <c r="AB745" i="2"/>
  <c r="AA745" i="2"/>
  <c r="Z745" i="2"/>
  <c r="Y745" i="2"/>
  <c r="X745" i="2"/>
  <c r="U745" i="2"/>
  <c r="T745" i="2"/>
  <c r="S745" i="2"/>
  <c r="C745" i="2"/>
  <c r="AB744" i="2"/>
  <c r="AA744" i="2"/>
  <c r="Z744" i="2"/>
  <c r="Y744" i="2"/>
  <c r="X744" i="2"/>
  <c r="U744" i="2"/>
  <c r="T744" i="2"/>
  <c r="S744" i="2"/>
  <c r="C744" i="2"/>
  <c r="AB743" i="2"/>
  <c r="AA743" i="2"/>
  <c r="Z743" i="2"/>
  <c r="Y743" i="2"/>
  <c r="X743" i="2"/>
  <c r="U743" i="2"/>
  <c r="T743" i="2"/>
  <c r="S743" i="2"/>
  <c r="C743" i="2"/>
  <c r="AB742" i="2"/>
  <c r="AA742" i="2"/>
  <c r="Z742" i="2"/>
  <c r="Y742" i="2"/>
  <c r="AC742" i="2" s="1"/>
  <c r="X742" i="2"/>
  <c r="U742" i="2"/>
  <c r="T742" i="2"/>
  <c r="S742" i="2"/>
  <c r="C742" i="2"/>
  <c r="AB741" i="2"/>
  <c r="AA741" i="2"/>
  <c r="Z741" i="2"/>
  <c r="Y741" i="2"/>
  <c r="X741" i="2"/>
  <c r="U741" i="2"/>
  <c r="T741" i="2"/>
  <c r="S741" i="2"/>
  <c r="C741" i="2"/>
  <c r="AB740" i="2"/>
  <c r="AA740" i="2"/>
  <c r="Z740" i="2"/>
  <c r="Y740" i="2"/>
  <c r="X740" i="2"/>
  <c r="U740" i="2"/>
  <c r="T740" i="2"/>
  <c r="S740" i="2"/>
  <c r="C740" i="2"/>
  <c r="AB739" i="2"/>
  <c r="AA739" i="2"/>
  <c r="Z739" i="2"/>
  <c r="Y739" i="2"/>
  <c r="X739" i="2"/>
  <c r="U739" i="2"/>
  <c r="T739" i="2"/>
  <c r="S739" i="2"/>
  <c r="C739" i="2"/>
  <c r="AB738" i="2"/>
  <c r="AA738" i="2"/>
  <c r="AC738" i="2" s="1"/>
  <c r="Z738" i="2"/>
  <c r="Y738" i="2"/>
  <c r="U738" i="2"/>
  <c r="T738" i="2"/>
  <c r="X738" i="2"/>
  <c r="C738" i="2"/>
  <c r="AB737" i="2"/>
  <c r="AA737" i="2"/>
  <c r="Z737" i="2"/>
  <c r="Y737" i="2"/>
  <c r="X737" i="2"/>
  <c r="U737" i="2"/>
  <c r="T737" i="2"/>
  <c r="S737" i="2"/>
  <c r="C737" i="2"/>
  <c r="AC777" i="2"/>
  <c r="AC816" i="2"/>
  <c r="AC813" i="2"/>
  <c r="AC810" i="2"/>
  <c r="AC779" i="2"/>
  <c r="AC806" i="2"/>
  <c r="AC739" i="2"/>
  <c r="AB801" i="2"/>
  <c r="AC784" i="2"/>
  <c r="AE762" i="2"/>
  <c r="S738" i="2"/>
  <c r="E728" i="2"/>
  <c r="X728" i="2" s="1"/>
  <c r="AB736" i="2"/>
  <c r="AA736" i="2"/>
  <c r="Z736" i="2"/>
  <c r="Y736" i="2"/>
  <c r="X736" i="2"/>
  <c r="U736" i="2"/>
  <c r="T736" i="2"/>
  <c r="S736" i="2"/>
  <c r="C736" i="2"/>
  <c r="AB735" i="2"/>
  <c r="AA735" i="2"/>
  <c r="Z735" i="2"/>
  <c r="Y735" i="2"/>
  <c r="X735" i="2"/>
  <c r="U735" i="2"/>
  <c r="T735" i="2"/>
  <c r="S735" i="2"/>
  <c r="C735" i="2"/>
  <c r="AB734" i="2"/>
  <c r="AA734" i="2"/>
  <c r="Z734" i="2"/>
  <c r="Y734" i="2"/>
  <c r="X734" i="2"/>
  <c r="U734" i="2"/>
  <c r="T734" i="2"/>
  <c r="S734" i="2"/>
  <c r="C734" i="2"/>
  <c r="AB733" i="2"/>
  <c r="AA733" i="2"/>
  <c r="Z733" i="2"/>
  <c r="Y733" i="2"/>
  <c r="X733" i="2"/>
  <c r="AE733" i="2" s="1"/>
  <c r="U733" i="2"/>
  <c r="T733" i="2"/>
  <c r="S733" i="2"/>
  <c r="C733" i="2"/>
  <c r="AB732" i="2"/>
  <c r="AA732" i="2"/>
  <c r="Z732" i="2"/>
  <c r="Y732" i="2"/>
  <c r="AC732" i="2" s="1"/>
  <c r="X732" i="2"/>
  <c r="U732" i="2"/>
  <c r="T732" i="2"/>
  <c r="S732" i="2"/>
  <c r="C732" i="2"/>
  <c r="AB731" i="2"/>
  <c r="AA731" i="2"/>
  <c r="Z731" i="2"/>
  <c r="Y731" i="2"/>
  <c r="X731" i="2"/>
  <c r="U731" i="2"/>
  <c r="T731" i="2"/>
  <c r="S731" i="2"/>
  <c r="C731" i="2"/>
  <c r="AB730" i="2"/>
  <c r="AA730" i="2"/>
  <c r="Z730" i="2"/>
  <c r="Y730" i="2"/>
  <c r="X730" i="2"/>
  <c r="U730" i="2"/>
  <c r="T730" i="2"/>
  <c r="S730" i="2"/>
  <c r="C730" i="2"/>
  <c r="AB729" i="2"/>
  <c r="AA729" i="2"/>
  <c r="Z729" i="2"/>
  <c r="Y729" i="2"/>
  <c r="AC729" i="2" s="1"/>
  <c r="X729" i="2"/>
  <c r="U729" i="2"/>
  <c r="T729" i="2"/>
  <c r="S729" i="2"/>
  <c r="C729" i="2"/>
  <c r="AB728" i="2"/>
  <c r="AA728" i="2"/>
  <c r="Z728" i="2"/>
  <c r="Y728" i="2"/>
  <c r="U728" i="2"/>
  <c r="T728" i="2"/>
  <c r="C728" i="2"/>
  <c r="AB727" i="2"/>
  <c r="AA727" i="2"/>
  <c r="Z727" i="2"/>
  <c r="Y727" i="2"/>
  <c r="X727" i="2"/>
  <c r="U727" i="2"/>
  <c r="T727" i="2"/>
  <c r="S727" i="2"/>
  <c r="C727" i="2"/>
  <c r="AB726" i="2"/>
  <c r="AA726" i="2"/>
  <c r="Z726" i="2"/>
  <c r="Y726" i="2"/>
  <c r="X726" i="2"/>
  <c r="U726" i="2"/>
  <c r="T726" i="2"/>
  <c r="S726" i="2"/>
  <c r="C726" i="2"/>
  <c r="AB725" i="2"/>
  <c r="AA725" i="2"/>
  <c r="Z725" i="2"/>
  <c r="Y725" i="2"/>
  <c r="X725" i="2"/>
  <c r="U725" i="2"/>
  <c r="T725" i="2"/>
  <c r="S725" i="2"/>
  <c r="C725" i="2"/>
  <c r="AB724" i="2"/>
  <c r="AA724" i="2"/>
  <c r="Z724" i="2"/>
  <c r="Y724" i="2"/>
  <c r="X724" i="2"/>
  <c r="U724" i="2"/>
  <c r="T724" i="2"/>
  <c r="S724" i="2"/>
  <c r="C724" i="2"/>
  <c r="AB723" i="2"/>
  <c r="AA723" i="2"/>
  <c r="Z723" i="2"/>
  <c r="Y723" i="2"/>
  <c r="X723" i="2"/>
  <c r="U723" i="2"/>
  <c r="T723" i="2"/>
  <c r="S723" i="2"/>
  <c r="C723" i="2"/>
  <c r="AB722" i="2"/>
  <c r="AA722" i="2"/>
  <c r="Z722" i="2"/>
  <c r="Y722" i="2"/>
  <c r="X722" i="2"/>
  <c r="U722" i="2"/>
  <c r="T722" i="2"/>
  <c r="S722" i="2"/>
  <c r="C722" i="2"/>
  <c r="AB721" i="2"/>
  <c r="AA721" i="2"/>
  <c r="Z721" i="2"/>
  <c r="Y721" i="2"/>
  <c r="AC721" i="2" s="1"/>
  <c r="X721" i="2"/>
  <c r="U721" i="2"/>
  <c r="T721" i="2"/>
  <c r="S721" i="2"/>
  <c r="C721" i="2"/>
  <c r="AB720" i="2"/>
  <c r="AA720" i="2"/>
  <c r="Z720" i="2"/>
  <c r="Y720" i="2"/>
  <c r="X720" i="2"/>
  <c r="U720" i="2"/>
  <c r="T720" i="2"/>
  <c r="S720" i="2"/>
  <c r="C720" i="2"/>
  <c r="AB719" i="2"/>
  <c r="AA719" i="2"/>
  <c r="Z719" i="2"/>
  <c r="Y719" i="2"/>
  <c r="X719" i="2"/>
  <c r="U719" i="2"/>
  <c r="T719" i="2"/>
  <c r="S719" i="2"/>
  <c r="C719" i="2"/>
  <c r="AB718" i="2"/>
  <c r="AA718" i="2"/>
  <c r="Z718" i="2"/>
  <c r="Y718" i="2"/>
  <c r="X718" i="2"/>
  <c r="U718" i="2"/>
  <c r="T718" i="2"/>
  <c r="S718" i="2"/>
  <c r="C718" i="2"/>
  <c r="AB717" i="2"/>
  <c r="AA717" i="2"/>
  <c r="Z717" i="2"/>
  <c r="Y717" i="2"/>
  <c r="X717" i="2"/>
  <c r="U717" i="2"/>
  <c r="T717" i="2"/>
  <c r="S717" i="2"/>
  <c r="C717" i="2"/>
  <c r="AB716" i="2"/>
  <c r="AA716" i="2"/>
  <c r="Z716" i="2"/>
  <c r="Y716" i="2"/>
  <c r="AC716" i="2" s="1"/>
  <c r="X716" i="2"/>
  <c r="U716" i="2"/>
  <c r="T716" i="2"/>
  <c r="S716" i="2"/>
  <c r="C716" i="2"/>
  <c r="AB715" i="2"/>
  <c r="AA715" i="2"/>
  <c r="AC715" i="2" s="1"/>
  <c r="Z715" i="2"/>
  <c r="Y715" i="2"/>
  <c r="X715" i="2"/>
  <c r="U715" i="2"/>
  <c r="T715" i="2"/>
  <c r="S715" i="2"/>
  <c r="C715" i="2"/>
  <c r="AB714" i="2"/>
  <c r="AA714" i="2"/>
  <c r="Z714" i="2"/>
  <c r="Y714" i="2"/>
  <c r="X714" i="2"/>
  <c r="U714" i="2"/>
  <c r="T714" i="2"/>
  <c r="S714" i="2"/>
  <c r="C714" i="2"/>
  <c r="AB713" i="2"/>
  <c r="AA713" i="2"/>
  <c r="Z713" i="2"/>
  <c r="Y713" i="2"/>
  <c r="AC713" i="2" s="1"/>
  <c r="X713" i="2"/>
  <c r="U713" i="2"/>
  <c r="T713" i="2"/>
  <c r="S713" i="2"/>
  <c r="C713" i="2"/>
  <c r="AB712" i="2"/>
  <c r="AA712" i="2"/>
  <c r="Z712" i="2"/>
  <c r="Y712" i="2"/>
  <c r="X712" i="2"/>
  <c r="U712" i="2"/>
  <c r="T712" i="2"/>
  <c r="S712" i="2"/>
  <c r="C712" i="2"/>
  <c r="AB711" i="2"/>
  <c r="AA711" i="2"/>
  <c r="Z711" i="2"/>
  <c r="Y711" i="2"/>
  <c r="X711" i="2"/>
  <c r="U711" i="2"/>
  <c r="T711" i="2"/>
  <c r="S711" i="2"/>
  <c r="C711" i="2"/>
  <c r="AA710" i="2"/>
  <c r="Z710" i="2"/>
  <c r="Y710" i="2"/>
  <c r="X710" i="2"/>
  <c r="U710" i="2"/>
  <c r="T710" i="2"/>
  <c r="S710" i="2"/>
  <c r="AB710" i="2"/>
  <c r="C710" i="2"/>
  <c r="AB709" i="2"/>
  <c r="AA709" i="2"/>
  <c r="Z709" i="2"/>
  <c r="Y709" i="2"/>
  <c r="X709" i="2"/>
  <c r="U709" i="2"/>
  <c r="T709" i="2"/>
  <c r="S709" i="2"/>
  <c r="C709" i="2"/>
  <c r="AB708" i="2"/>
  <c r="AA708" i="2"/>
  <c r="Z708" i="2"/>
  <c r="Y708" i="2"/>
  <c r="AC708" i="2" s="1"/>
  <c r="X708" i="2"/>
  <c r="U708" i="2"/>
  <c r="T708" i="2"/>
  <c r="S708" i="2"/>
  <c r="C708" i="2"/>
  <c r="AB707" i="2"/>
  <c r="AA707" i="2"/>
  <c r="Z707" i="2"/>
  <c r="Y707" i="2"/>
  <c r="X707" i="2"/>
  <c r="U707" i="2"/>
  <c r="T707" i="2"/>
  <c r="S707" i="2"/>
  <c r="C707" i="2"/>
  <c r="O700" i="2"/>
  <c r="P700" i="2"/>
  <c r="AB706" i="2"/>
  <c r="AA706" i="2"/>
  <c r="Z706" i="2"/>
  <c r="Y706" i="2"/>
  <c r="AC706" i="2" s="1"/>
  <c r="X706" i="2"/>
  <c r="U706" i="2"/>
  <c r="T706" i="2"/>
  <c r="S706" i="2"/>
  <c r="C706" i="2"/>
  <c r="AB705" i="2"/>
  <c r="AA705" i="2"/>
  <c r="Z705" i="2"/>
  <c r="Y705" i="2"/>
  <c r="X705" i="2"/>
  <c r="AE705" i="2" s="1"/>
  <c r="U705" i="2"/>
  <c r="T705" i="2"/>
  <c r="S705" i="2"/>
  <c r="C705" i="2"/>
  <c r="AB704" i="2"/>
  <c r="AA704" i="2"/>
  <c r="Z704" i="2"/>
  <c r="Y704" i="2"/>
  <c r="X704" i="2"/>
  <c r="AE704" i="2" s="1"/>
  <c r="U704" i="2"/>
  <c r="T704" i="2"/>
  <c r="S704" i="2"/>
  <c r="C704" i="2"/>
  <c r="AB703" i="2"/>
  <c r="AA703" i="2"/>
  <c r="Z703" i="2"/>
  <c r="Y703" i="2"/>
  <c r="AC703" i="2" s="1"/>
  <c r="X703" i="2"/>
  <c r="U703" i="2"/>
  <c r="T703" i="2"/>
  <c r="S703" i="2"/>
  <c r="C703" i="2"/>
  <c r="AB702" i="2"/>
  <c r="AA702" i="2"/>
  <c r="Z702" i="2"/>
  <c r="Y702" i="2"/>
  <c r="X702" i="2"/>
  <c r="U702" i="2"/>
  <c r="T702" i="2"/>
  <c r="S702" i="2"/>
  <c r="C702" i="2"/>
  <c r="AB701" i="2"/>
  <c r="AA701" i="2"/>
  <c r="Z701" i="2"/>
  <c r="Y701" i="2"/>
  <c r="X701" i="2"/>
  <c r="U701" i="2"/>
  <c r="T701" i="2"/>
  <c r="S701" i="2"/>
  <c r="C701" i="2"/>
  <c r="AA700" i="2"/>
  <c r="Z700" i="2"/>
  <c r="Y700" i="2"/>
  <c r="X700" i="2"/>
  <c r="U700" i="2"/>
  <c r="S700" i="2"/>
  <c r="C700" i="2"/>
  <c r="AB699" i="2"/>
  <c r="AA699" i="2"/>
  <c r="Z699" i="2"/>
  <c r="Y699" i="2"/>
  <c r="X699" i="2"/>
  <c r="U699" i="2"/>
  <c r="T699" i="2"/>
  <c r="S699" i="2"/>
  <c r="C699" i="2"/>
  <c r="AB698" i="2"/>
  <c r="AA698" i="2"/>
  <c r="Z698" i="2"/>
  <c r="Y698" i="2"/>
  <c r="X698" i="2"/>
  <c r="U698" i="2"/>
  <c r="T698" i="2"/>
  <c r="S698" i="2"/>
  <c r="C698" i="2"/>
  <c r="AB697" i="2"/>
  <c r="AA697" i="2"/>
  <c r="AC697" i="2" s="1"/>
  <c r="Z697" i="2"/>
  <c r="Y697" i="2"/>
  <c r="X697" i="2"/>
  <c r="U697" i="2"/>
  <c r="T697" i="2"/>
  <c r="S697" i="2"/>
  <c r="C697" i="2"/>
  <c r="AB696" i="2"/>
  <c r="AA696" i="2"/>
  <c r="Z696" i="2"/>
  <c r="Y696" i="2"/>
  <c r="X696" i="2"/>
  <c r="U696" i="2"/>
  <c r="T696" i="2"/>
  <c r="S696" i="2"/>
  <c r="C696" i="2"/>
  <c r="AB695" i="2"/>
  <c r="AA695" i="2"/>
  <c r="Z695" i="2"/>
  <c r="Y695" i="2"/>
  <c r="AC695" i="2" s="1"/>
  <c r="X695" i="2"/>
  <c r="U695" i="2"/>
  <c r="T695" i="2"/>
  <c r="S695" i="2"/>
  <c r="C695" i="2"/>
  <c r="AB694" i="2"/>
  <c r="AA694" i="2"/>
  <c r="Z694" i="2"/>
  <c r="Y694" i="2"/>
  <c r="X694" i="2"/>
  <c r="U694" i="2"/>
  <c r="T694" i="2"/>
  <c r="S694" i="2"/>
  <c r="C694" i="2"/>
  <c r="AB693" i="2"/>
  <c r="AA693" i="2"/>
  <c r="Z693" i="2"/>
  <c r="Y693" i="2"/>
  <c r="AC693" i="2" s="1"/>
  <c r="X693" i="2"/>
  <c r="U693" i="2"/>
  <c r="T693" i="2"/>
  <c r="S693" i="2"/>
  <c r="C693" i="2"/>
  <c r="AB692" i="2"/>
  <c r="AA692" i="2"/>
  <c r="Z692" i="2"/>
  <c r="Y692" i="2"/>
  <c r="X692" i="2"/>
  <c r="U692" i="2"/>
  <c r="T692" i="2"/>
  <c r="S692" i="2"/>
  <c r="C692" i="2"/>
  <c r="AB691" i="2"/>
  <c r="AA691" i="2"/>
  <c r="Z691" i="2"/>
  <c r="Y691" i="2"/>
  <c r="X691" i="2"/>
  <c r="U691" i="2"/>
  <c r="T691" i="2"/>
  <c r="S691" i="2"/>
  <c r="C691" i="2"/>
  <c r="AB690" i="2"/>
  <c r="AA690" i="2"/>
  <c r="Z690" i="2"/>
  <c r="Y690" i="2"/>
  <c r="X690" i="2"/>
  <c r="U690" i="2"/>
  <c r="T690" i="2"/>
  <c r="S690" i="2"/>
  <c r="C690" i="2"/>
  <c r="AB689" i="2"/>
  <c r="AA689" i="2"/>
  <c r="Z689" i="2"/>
  <c r="Y689" i="2"/>
  <c r="X689" i="2"/>
  <c r="U689" i="2"/>
  <c r="T689" i="2"/>
  <c r="S689" i="2"/>
  <c r="C689" i="2"/>
  <c r="AB688" i="2"/>
  <c r="AA688" i="2"/>
  <c r="Z688" i="2"/>
  <c r="Y688" i="2"/>
  <c r="X688" i="2"/>
  <c r="U688" i="2"/>
  <c r="T688" i="2"/>
  <c r="S688" i="2"/>
  <c r="C688" i="2"/>
  <c r="AB687" i="2"/>
  <c r="AA687" i="2"/>
  <c r="Z687" i="2"/>
  <c r="Y687" i="2"/>
  <c r="AC687" i="2" s="1"/>
  <c r="X687" i="2"/>
  <c r="U687" i="2"/>
  <c r="T687" i="2"/>
  <c r="S687" i="2"/>
  <c r="C687" i="2"/>
  <c r="C683" i="2"/>
  <c r="S683" i="2"/>
  <c r="T683" i="2"/>
  <c r="U683" i="2"/>
  <c r="X683" i="2"/>
  <c r="Y683" i="2"/>
  <c r="AC683" i="2" s="1"/>
  <c r="Z683" i="2"/>
  <c r="AA683" i="2"/>
  <c r="AB683" i="2"/>
  <c r="W20" i="3"/>
  <c r="Y20" i="3"/>
  <c r="W21" i="3"/>
  <c r="Y21" i="3"/>
  <c r="W22" i="3"/>
  <c r="Y22" i="3"/>
  <c r="W23" i="3"/>
  <c r="Y23" i="3"/>
  <c r="W24" i="3"/>
  <c r="Y24" i="3"/>
  <c r="W25" i="3"/>
  <c r="Y25" i="3"/>
  <c r="AB686" i="2"/>
  <c r="AE686" i="2" s="1"/>
  <c r="AA686" i="2"/>
  <c r="Z686" i="2"/>
  <c r="Y686" i="2"/>
  <c r="X686" i="2"/>
  <c r="U686" i="2"/>
  <c r="T686" i="2"/>
  <c r="S686" i="2"/>
  <c r="C686" i="2"/>
  <c r="AB685" i="2"/>
  <c r="AA685" i="2"/>
  <c r="Z685" i="2"/>
  <c r="Y685" i="2"/>
  <c r="X685" i="2"/>
  <c r="U685" i="2"/>
  <c r="T685" i="2"/>
  <c r="S685" i="2"/>
  <c r="C685" i="2"/>
  <c r="AB684" i="2"/>
  <c r="AA684" i="2"/>
  <c r="Z684" i="2"/>
  <c r="Y684" i="2"/>
  <c r="AC684" i="2" s="1"/>
  <c r="X684" i="2"/>
  <c r="U684" i="2"/>
  <c r="T684" i="2"/>
  <c r="S684" i="2"/>
  <c r="C684" i="2"/>
  <c r="AB682" i="2"/>
  <c r="AA682" i="2"/>
  <c r="Z682" i="2"/>
  <c r="Y682" i="2"/>
  <c r="X682" i="2"/>
  <c r="AE682" i="2" s="1"/>
  <c r="U682" i="2"/>
  <c r="T682" i="2"/>
  <c r="S682" i="2"/>
  <c r="C682" i="2"/>
  <c r="AB681" i="2"/>
  <c r="AA681" i="2"/>
  <c r="Z681" i="2"/>
  <c r="Y681" i="2"/>
  <c r="AC681" i="2" s="1"/>
  <c r="X681" i="2"/>
  <c r="U681" i="2"/>
  <c r="T681" i="2"/>
  <c r="S681" i="2"/>
  <c r="C681" i="2"/>
  <c r="AB680" i="2"/>
  <c r="AA680" i="2"/>
  <c r="Z680" i="2"/>
  <c r="Y680" i="2"/>
  <c r="X680" i="2"/>
  <c r="U680" i="2"/>
  <c r="T680" i="2"/>
  <c r="S680" i="2"/>
  <c r="C680" i="2"/>
  <c r="AB679" i="2"/>
  <c r="AA679" i="2"/>
  <c r="Z679" i="2"/>
  <c r="Y679" i="2"/>
  <c r="X679" i="2"/>
  <c r="U679" i="2"/>
  <c r="T679" i="2"/>
  <c r="S679" i="2"/>
  <c r="C679" i="2"/>
  <c r="AB678" i="2"/>
  <c r="AA678" i="2"/>
  <c r="AC678" i="2" s="1"/>
  <c r="Z678" i="2"/>
  <c r="Y678" i="2"/>
  <c r="X678" i="2"/>
  <c r="U678" i="2"/>
  <c r="T678" i="2"/>
  <c r="S678" i="2"/>
  <c r="C678" i="2"/>
  <c r="AB677" i="2"/>
  <c r="AE677" i="2" s="1"/>
  <c r="AA677" i="2"/>
  <c r="Z677" i="2"/>
  <c r="Y677" i="2"/>
  <c r="X677" i="2"/>
  <c r="U677" i="2"/>
  <c r="T677" i="2"/>
  <c r="S677" i="2"/>
  <c r="C677" i="2"/>
  <c r="AB676" i="2"/>
  <c r="AA676" i="2"/>
  <c r="Z676" i="2"/>
  <c r="Y676" i="2"/>
  <c r="X676" i="2"/>
  <c r="U676" i="2"/>
  <c r="T676" i="2"/>
  <c r="S676" i="2"/>
  <c r="C676" i="2"/>
  <c r="AB675" i="2"/>
  <c r="AA675" i="2"/>
  <c r="Z675" i="2"/>
  <c r="Y675" i="2"/>
  <c r="AC675" i="2" s="1"/>
  <c r="X675" i="2"/>
  <c r="AE675" i="2" s="1"/>
  <c r="U675" i="2"/>
  <c r="T675" i="2"/>
  <c r="S675" i="2"/>
  <c r="C675" i="2"/>
  <c r="AB674" i="2"/>
  <c r="AA674" i="2"/>
  <c r="Z674" i="2"/>
  <c r="Y674" i="2"/>
  <c r="AC674" i="2" s="1"/>
  <c r="X674" i="2"/>
  <c r="AE674" i="2" s="1"/>
  <c r="U674" i="2"/>
  <c r="T674" i="2"/>
  <c r="S674" i="2"/>
  <c r="C674" i="2"/>
  <c r="AB673" i="2"/>
  <c r="AA673" i="2"/>
  <c r="Z673" i="2"/>
  <c r="Y673" i="2"/>
  <c r="AC673" i="2" s="1"/>
  <c r="X673" i="2"/>
  <c r="U673" i="2"/>
  <c r="T673" i="2"/>
  <c r="S673" i="2"/>
  <c r="C673" i="2"/>
  <c r="AB672" i="2"/>
  <c r="AA672" i="2"/>
  <c r="Z672" i="2"/>
  <c r="Y672" i="2"/>
  <c r="X672" i="2"/>
  <c r="U672" i="2"/>
  <c r="T672" i="2"/>
  <c r="S672" i="2"/>
  <c r="C672" i="2"/>
  <c r="AB671" i="2"/>
  <c r="AA671" i="2"/>
  <c r="Z671" i="2"/>
  <c r="Y671" i="2"/>
  <c r="X671" i="2"/>
  <c r="U671" i="2"/>
  <c r="T671" i="2"/>
  <c r="S671" i="2"/>
  <c r="C671" i="2"/>
  <c r="AB670" i="2"/>
  <c r="AA670" i="2"/>
  <c r="Z670" i="2"/>
  <c r="Y670" i="2"/>
  <c r="X670" i="2"/>
  <c r="U670" i="2"/>
  <c r="T670" i="2"/>
  <c r="S670" i="2"/>
  <c r="C670" i="2"/>
  <c r="AB669" i="2"/>
  <c r="AE669" i="2" s="1"/>
  <c r="AA669" i="2"/>
  <c r="Z669" i="2"/>
  <c r="Y669" i="2"/>
  <c r="X669" i="2"/>
  <c r="U669" i="2"/>
  <c r="T669" i="2"/>
  <c r="S669" i="2"/>
  <c r="C669" i="2"/>
  <c r="AB668" i="2"/>
  <c r="AA668" i="2"/>
  <c r="Z668" i="2"/>
  <c r="Y668" i="2"/>
  <c r="X668" i="2"/>
  <c r="U668" i="2"/>
  <c r="T668" i="2"/>
  <c r="S668" i="2"/>
  <c r="C668" i="2"/>
  <c r="AB667" i="2"/>
  <c r="AA667" i="2"/>
  <c r="Z667" i="2"/>
  <c r="Y667" i="2"/>
  <c r="AC667" i="2" s="1"/>
  <c r="X667" i="2"/>
  <c r="U667" i="2"/>
  <c r="T667" i="2"/>
  <c r="S667" i="2"/>
  <c r="C667" i="2"/>
  <c r="AB666" i="2"/>
  <c r="AA666" i="2"/>
  <c r="Z666" i="2"/>
  <c r="Y666" i="2"/>
  <c r="AC666" i="2" s="1"/>
  <c r="X666" i="2"/>
  <c r="AE666" i="2" s="1"/>
  <c r="U666" i="2"/>
  <c r="T666" i="2"/>
  <c r="S666" i="2"/>
  <c r="C666" i="2"/>
  <c r="AB665" i="2"/>
  <c r="AA665" i="2"/>
  <c r="Z665" i="2"/>
  <c r="Y665" i="2"/>
  <c r="AC665" i="2" s="1"/>
  <c r="X665" i="2"/>
  <c r="U665" i="2"/>
  <c r="T665" i="2"/>
  <c r="S665" i="2"/>
  <c r="C665" i="2"/>
  <c r="AB664" i="2"/>
  <c r="AA664" i="2"/>
  <c r="Z664" i="2"/>
  <c r="Y664" i="2"/>
  <c r="X664" i="2"/>
  <c r="U664" i="2"/>
  <c r="T664" i="2"/>
  <c r="S664" i="2"/>
  <c r="C664" i="2"/>
  <c r="AB663" i="2"/>
  <c r="AA663" i="2"/>
  <c r="Z663" i="2"/>
  <c r="Y663" i="2"/>
  <c r="X663" i="2"/>
  <c r="U663" i="2"/>
  <c r="T663" i="2"/>
  <c r="S663" i="2"/>
  <c r="C663" i="2"/>
  <c r="AB662" i="2"/>
  <c r="AA662" i="2"/>
  <c r="Z662" i="2"/>
  <c r="Y662" i="2"/>
  <c r="X662" i="2"/>
  <c r="U662" i="2"/>
  <c r="T662" i="2"/>
  <c r="S662" i="2"/>
  <c r="C662" i="2"/>
  <c r="AB661" i="2"/>
  <c r="AE661" i="2" s="1"/>
  <c r="AA661" i="2"/>
  <c r="Z661" i="2"/>
  <c r="Y661" i="2"/>
  <c r="X661" i="2"/>
  <c r="U661" i="2"/>
  <c r="T661" i="2"/>
  <c r="S661" i="2"/>
  <c r="C661" i="2"/>
  <c r="AB660" i="2"/>
  <c r="AA660" i="2"/>
  <c r="Z660" i="2"/>
  <c r="Y660" i="2"/>
  <c r="X660" i="2"/>
  <c r="U660" i="2"/>
  <c r="T660" i="2"/>
  <c r="S660" i="2"/>
  <c r="C660" i="2"/>
  <c r="AB659" i="2"/>
  <c r="AA659" i="2"/>
  <c r="Z659" i="2"/>
  <c r="Y659" i="2"/>
  <c r="X659" i="2"/>
  <c r="U659" i="2"/>
  <c r="T659" i="2"/>
  <c r="S659" i="2"/>
  <c r="C659" i="2"/>
  <c r="AB658" i="2"/>
  <c r="AA658" i="2"/>
  <c r="Z658" i="2"/>
  <c r="Y658" i="2"/>
  <c r="AC658" i="2" s="1"/>
  <c r="X658" i="2"/>
  <c r="AE658" i="2" s="1"/>
  <c r="U658" i="2"/>
  <c r="T658" i="2"/>
  <c r="S658" i="2"/>
  <c r="C658" i="2"/>
  <c r="AB657" i="2"/>
  <c r="AA657" i="2"/>
  <c r="Z657" i="2"/>
  <c r="Y657" i="2"/>
  <c r="AC657" i="2" s="1"/>
  <c r="X657" i="2"/>
  <c r="U657" i="2"/>
  <c r="T657" i="2"/>
  <c r="S657" i="2"/>
  <c r="C657" i="2"/>
  <c r="AB656" i="2"/>
  <c r="AA656" i="2"/>
  <c r="Z656" i="2"/>
  <c r="Y656" i="2"/>
  <c r="X656" i="2"/>
  <c r="U656" i="2"/>
  <c r="T656" i="2"/>
  <c r="S656" i="2"/>
  <c r="C656" i="2"/>
  <c r="AB655" i="2"/>
  <c r="AA655" i="2"/>
  <c r="Z655" i="2"/>
  <c r="Y655" i="2"/>
  <c r="X655" i="2"/>
  <c r="U655" i="2"/>
  <c r="T655" i="2"/>
  <c r="S655" i="2"/>
  <c r="C655" i="2"/>
  <c r="AB654" i="2"/>
  <c r="AA654" i="2"/>
  <c r="Z654" i="2"/>
  <c r="Y654" i="2"/>
  <c r="X654" i="2"/>
  <c r="U654" i="2"/>
  <c r="T654" i="2"/>
  <c r="S654" i="2"/>
  <c r="C654" i="2"/>
  <c r="AB653" i="2"/>
  <c r="AE653" i="2" s="1"/>
  <c r="AA653" i="2"/>
  <c r="Z653" i="2"/>
  <c r="Y653" i="2"/>
  <c r="X653" i="2"/>
  <c r="U653" i="2"/>
  <c r="T653" i="2"/>
  <c r="S653" i="2"/>
  <c r="C653" i="2"/>
  <c r="AB652" i="2"/>
  <c r="AA652" i="2"/>
  <c r="AC652" i="2" s="1"/>
  <c r="Z652" i="2"/>
  <c r="Y652" i="2"/>
  <c r="X652" i="2"/>
  <c r="U652" i="2"/>
  <c r="T652" i="2"/>
  <c r="S652" i="2"/>
  <c r="C652" i="2"/>
  <c r="AB651" i="2"/>
  <c r="AA651" i="2"/>
  <c r="Z651" i="2"/>
  <c r="Y651" i="2"/>
  <c r="AC651" i="2" s="1"/>
  <c r="X651" i="2"/>
  <c r="U651" i="2"/>
  <c r="T651" i="2"/>
  <c r="S651" i="2"/>
  <c r="C651" i="2"/>
  <c r="AB650" i="2"/>
  <c r="AA650" i="2"/>
  <c r="Z650" i="2"/>
  <c r="Y650" i="2"/>
  <c r="X650" i="2"/>
  <c r="AE650" i="2" s="1"/>
  <c r="U650" i="2"/>
  <c r="T650" i="2"/>
  <c r="S650" i="2"/>
  <c r="C650" i="2"/>
  <c r="AB649" i="2"/>
  <c r="AA649" i="2"/>
  <c r="Z649" i="2"/>
  <c r="Y649" i="2"/>
  <c r="AC649" i="2" s="1"/>
  <c r="X649" i="2"/>
  <c r="U649" i="2"/>
  <c r="T649" i="2"/>
  <c r="S649" i="2"/>
  <c r="C649" i="2"/>
  <c r="AB648" i="2"/>
  <c r="AA648" i="2"/>
  <c r="Z648" i="2"/>
  <c r="Y648" i="2"/>
  <c r="X648" i="2"/>
  <c r="U648" i="2"/>
  <c r="T648" i="2"/>
  <c r="S648" i="2"/>
  <c r="C648" i="2"/>
  <c r="AB647" i="2"/>
  <c r="AA647" i="2"/>
  <c r="Z647" i="2"/>
  <c r="Y647" i="2"/>
  <c r="X647" i="2"/>
  <c r="U647" i="2"/>
  <c r="T647" i="2"/>
  <c r="S647" i="2"/>
  <c r="C647" i="2"/>
  <c r="AB646" i="2"/>
  <c r="AA646" i="2"/>
  <c r="Z646" i="2"/>
  <c r="Y646" i="2"/>
  <c r="X646" i="2"/>
  <c r="U646" i="2"/>
  <c r="T646" i="2"/>
  <c r="S646" i="2"/>
  <c r="C646" i="2"/>
  <c r="AB645" i="2"/>
  <c r="AE645" i="2" s="1"/>
  <c r="AA645" i="2"/>
  <c r="Z645" i="2"/>
  <c r="Y645" i="2"/>
  <c r="X645" i="2"/>
  <c r="U645" i="2"/>
  <c r="T645" i="2"/>
  <c r="S645" i="2"/>
  <c r="C645" i="2"/>
  <c r="AB644" i="2"/>
  <c r="AA644" i="2"/>
  <c r="AC644" i="2" s="1"/>
  <c r="Z644" i="2"/>
  <c r="Y644" i="2"/>
  <c r="X644" i="2"/>
  <c r="U644" i="2"/>
  <c r="T644" i="2"/>
  <c r="S644" i="2"/>
  <c r="C644" i="2"/>
  <c r="AB642" i="2"/>
  <c r="AA642" i="2"/>
  <c r="Z642" i="2"/>
  <c r="Y642" i="2"/>
  <c r="AC642" i="2" s="1"/>
  <c r="X642" i="2"/>
  <c r="U642" i="2"/>
  <c r="T642" i="2"/>
  <c r="S642" i="2"/>
  <c r="C642" i="2"/>
  <c r="AB643" i="2"/>
  <c r="AA643" i="2"/>
  <c r="Z643" i="2"/>
  <c r="Y643" i="2"/>
  <c r="AC643" i="2" s="1"/>
  <c r="X643" i="2"/>
  <c r="AE643" i="2" s="1"/>
  <c r="U643" i="2"/>
  <c r="T643" i="2"/>
  <c r="S643" i="2"/>
  <c r="C643" i="2"/>
  <c r="AB641" i="2"/>
  <c r="AA641" i="2"/>
  <c r="Z641" i="2"/>
  <c r="Y641" i="2"/>
  <c r="X641" i="2"/>
  <c r="U641" i="2"/>
  <c r="T641" i="2"/>
  <c r="S641" i="2"/>
  <c r="C641" i="2"/>
  <c r="AB640" i="2"/>
  <c r="AA640" i="2"/>
  <c r="Z640" i="2"/>
  <c r="Y640" i="2"/>
  <c r="X640" i="2"/>
  <c r="U640" i="2"/>
  <c r="T640" i="2"/>
  <c r="S640" i="2"/>
  <c r="C640" i="2"/>
  <c r="AB639" i="2"/>
  <c r="AA639" i="2"/>
  <c r="Z639" i="2"/>
  <c r="Y639" i="2"/>
  <c r="X639" i="2"/>
  <c r="U639" i="2"/>
  <c r="T639" i="2"/>
  <c r="S639" i="2"/>
  <c r="C639" i="2"/>
  <c r="AB638" i="2"/>
  <c r="AA638" i="2"/>
  <c r="AC638" i="2" s="1"/>
  <c r="Z638" i="2"/>
  <c r="Y638" i="2"/>
  <c r="X638" i="2"/>
  <c r="U638" i="2"/>
  <c r="T638" i="2"/>
  <c r="S638" i="2"/>
  <c r="C638" i="2"/>
  <c r="AB637" i="2"/>
  <c r="AE637" i="2" s="1"/>
  <c r="AA637" i="2"/>
  <c r="Z637" i="2"/>
  <c r="Y637" i="2"/>
  <c r="X637" i="2"/>
  <c r="U637" i="2"/>
  <c r="T637" i="2"/>
  <c r="S637" i="2"/>
  <c r="C637" i="2"/>
  <c r="AB636" i="2"/>
  <c r="AE636" i="2" s="1"/>
  <c r="AA636" i="2"/>
  <c r="Z636" i="2"/>
  <c r="Y636" i="2"/>
  <c r="X636" i="2"/>
  <c r="U636" i="2"/>
  <c r="T636" i="2"/>
  <c r="S636" i="2"/>
  <c r="C636" i="2"/>
  <c r="AB635" i="2"/>
  <c r="AA635" i="2"/>
  <c r="Z635" i="2"/>
  <c r="Y635" i="2"/>
  <c r="AC635" i="2" s="1"/>
  <c r="X635" i="2"/>
  <c r="AE635" i="2" s="1"/>
  <c r="U635" i="2"/>
  <c r="T635" i="2"/>
  <c r="S635" i="2"/>
  <c r="C635" i="2"/>
  <c r="AB634" i="2"/>
  <c r="AA634" i="2"/>
  <c r="Z634" i="2"/>
  <c r="Y634" i="2"/>
  <c r="X634" i="2"/>
  <c r="AE634" i="2" s="1"/>
  <c r="U634" i="2"/>
  <c r="T634" i="2"/>
  <c r="S634" i="2"/>
  <c r="C634" i="2"/>
  <c r="AB633" i="2"/>
  <c r="AA633" i="2"/>
  <c r="Z633" i="2"/>
  <c r="Y633" i="2"/>
  <c r="AC633" i="2" s="1"/>
  <c r="X633" i="2"/>
  <c r="U633" i="2"/>
  <c r="T633" i="2"/>
  <c r="S633" i="2"/>
  <c r="C633" i="2"/>
  <c r="C628" i="2"/>
  <c r="AB632" i="2"/>
  <c r="AA632" i="2"/>
  <c r="Z632" i="2"/>
  <c r="Y632" i="2"/>
  <c r="X632" i="2"/>
  <c r="U632" i="2"/>
  <c r="T632" i="2"/>
  <c r="S632" i="2"/>
  <c r="C632" i="2"/>
  <c r="AB631" i="2"/>
  <c r="AA631" i="2"/>
  <c r="Z631" i="2"/>
  <c r="Y631" i="2"/>
  <c r="X631" i="2"/>
  <c r="U631" i="2"/>
  <c r="T631" i="2"/>
  <c r="S631" i="2"/>
  <c r="C631" i="2"/>
  <c r="AB630" i="2"/>
  <c r="AE630" i="2" s="1"/>
  <c r="AA630" i="2"/>
  <c r="AC630" i="2" s="1"/>
  <c r="Z630" i="2"/>
  <c r="Y630" i="2"/>
  <c r="X630" i="2"/>
  <c r="U630" i="2"/>
  <c r="T630" i="2"/>
  <c r="S630" i="2"/>
  <c r="C630" i="2"/>
  <c r="AB629" i="2"/>
  <c r="AE629" i="2" s="1"/>
  <c r="AA629" i="2"/>
  <c r="Z629" i="2"/>
  <c r="Y629" i="2"/>
  <c r="X629" i="2"/>
  <c r="U629" i="2"/>
  <c r="T629" i="2"/>
  <c r="S629" i="2"/>
  <c r="C629" i="2"/>
  <c r="AB628" i="2"/>
  <c r="AA628" i="2"/>
  <c r="Z628" i="2"/>
  <c r="Y628" i="2"/>
  <c r="X628" i="2"/>
  <c r="U628" i="2"/>
  <c r="T628" i="2"/>
  <c r="S628" i="2"/>
  <c r="AB627" i="2"/>
  <c r="AA627" i="2"/>
  <c r="Z627" i="2"/>
  <c r="Y627" i="2"/>
  <c r="AC627" i="2" s="1"/>
  <c r="X627" i="2"/>
  <c r="U627" i="2"/>
  <c r="T627" i="2"/>
  <c r="S627" i="2"/>
  <c r="C627" i="2"/>
  <c r="AB626" i="2"/>
  <c r="AA626" i="2"/>
  <c r="Z626" i="2"/>
  <c r="Y626" i="2"/>
  <c r="X626" i="2"/>
  <c r="U626" i="2"/>
  <c r="T626" i="2"/>
  <c r="S626" i="2"/>
  <c r="C626" i="2"/>
  <c r="AB625" i="2"/>
  <c r="AA625" i="2"/>
  <c r="Z625" i="2"/>
  <c r="Y625" i="2"/>
  <c r="AC625" i="2" s="1"/>
  <c r="X625" i="2"/>
  <c r="AE625" i="2" s="1"/>
  <c r="U625" i="2"/>
  <c r="T625" i="2"/>
  <c r="S625" i="2"/>
  <c r="C625" i="2"/>
  <c r="AB624" i="2"/>
  <c r="AA624" i="2"/>
  <c r="Z624" i="2"/>
  <c r="Y624" i="2"/>
  <c r="X624" i="2"/>
  <c r="U624" i="2"/>
  <c r="T624" i="2"/>
  <c r="S624" i="2"/>
  <c r="C624" i="2"/>
  <c r="AB623" i="2"/>
  <c r="AA623" i="2"/>
  <c r="Z623" i="2"/>
  <c r="Y623" i="2"/>
  <c r="AC623" i="2" s="1"/>
  <c r="X623" i="2"/>
  <c r="U623" i="2"/>
  <c r="T623" i="2"/>
  <c r="S623" i="2"/>
  <c r="C623" i="2"/>
  <c r="AB622" i="2"/>
  <c r="AA622" i="2"/>
  <c r="Z622" i="2"/>
  <c r="Y622" i="2"/>
  <c r="X622" i="2"/>
  <c r="U622" i="2"/>
  <c r="T622" i="2"/>
  <c r="S622" i="2"/>
  <c r="C622" i="2"/>
  <c r="AB621" i="2"/>
  <c r="AA621" i="2"/>
  <c r="Z621" i="2"/>
  <c r="Y621" i="2"/>
  <c r="X621" i="2"/>
  <c r="U621" i="2"/>
  <c r="T621" i="2"/>
  <c r="S621" i="2"/>
  <c r="C621" i="2"/>
  <c r="AB620" i="2"/>
  <c r="AA620" i="2"/>
  <c r="AC620" i="2" s="1"/>
  <c r="Z620" i="2"/>
  <c r="Y620" i="2"/>
  <c r="X620" i="2"/>
  <c r="U620" i="2"/>
  <c r="T620" i="2"/>
  <c r="S620" i="2"/>
  <c r="C620" i="2"/>
  <c r="AB619" i="2"/>
  <c r="AA619" i="2"/>
  <c r="Z619" i="2"/>
  <c r="Y619" i="2"/>
  <c r="X619" i="2"/>
  <c r="U619" i="2"/>
  <c r="T619" i="2"/>
  <c r="S619" i="2"/>
  <c r="C619" i="2"/>
  <c r="AB618" i="2"/>
  <c r="AA618" i="2"/>
  <c r="Z618" i="2"/>
  <c r="Y618" i="2"/>
  <c r="AC618" i="2" s="1"/>
  <c r="X618" i="2"/>
  <c r="U618" i="2"/>
  <c r="T618" i="2"/>
  <c r="S618" i="2"/>
  <c r="C618" i="2"/>
  <c r="AB617" i="2"/>
  <c r="AA617" i="2"/>
  <c r="Z617" i="2"/>
  <c r="Y617" i="2"/>
  <c r="AC617" i="2" s="1"/>
  <c r="X617" i="2"/>
  <c r="AE617" i="2" s="1"/>
  <c r="U617" i="2"/>
  <c r="T617" i="2"/>
  <c r="S617" i="2"/>
  <c r="C617" i="2"/>
  <c r="AB616" i="2"/>
  <c r="AA616" i="2"/>
  <c r="Z616" i="2"/>
  <c r="Y616" i="2"/>
  <c r="AC616" i="2" s="1"/>
  <c r="X616" i="2"/>
  <c r="U616" i="2"/>
  <c r="T616" i="2"/>
  <c r="S616" i="2"/>
  <c r="C616" i="2"/>
  <c r="AB615" i="2"/>
  <c r="AE615" i="2" s="1"/>
  <c r="AA615" i="2"/>
  <c r="AC615" i="2" s="1"/>
  <c r="Z615" i="2"/>
  <c r="Y615" i="2"/>
  <c r="X615" i="2"/>
  <c r="U615" i="2"/>
  <c r="T615" i="2"/>
  <c r="S615" i="2"/>
  <c r="C615" i="2"/>
  <c r="AB614" i="2"/>
  <c r="AA614" i="2"/>
  <c r="Z614" i="2"/>
  <c r="Y614" i="2"/>
  <c r="X614" i="2"/>
  <c r="U614" i="2"/>
  <c r="T614" i="2"/>
  <c r="S614" i="2"/>
  <c r="C614" i="2"/>
  <c r="AB613" i="2"/>
  <c r="AA613" i="2"/>
  <c r="Z613" i="2"/>
  <c r="Y613" i="2"/>
  <c r="X613" i="2"/>
  <c r="U613" i="2"/>
  <c r="T613" i="2"/>
  <c r="S613" i="2"/>
  <c r="C613" i="2"/>
  <c r="AC694" i="2"/>
  <c r="AC689" i="2"/>
  <c r="AC688" i="2"/>
  <c r="AE697" i="2"/>
  <c r="AE695" i="2"/>
  <c r="AE694" i="2"/>
  <c r="AE696" i="2"/>
  <c r="AC686" i="2"/>
  <c r="AC634" i="2"/>
  <c r="AC685" i="2"/>
  <c r="AC645" i="2"/>
  <c r="AC653" i="2"/>
  <c r="AC659" i="2"/>
  <c r="AC661" i="2"/>
  <c r="AC677" i="2"/>
  <c r="AC682" i="2"/>
  <c r="AC669" i="2"/>
  <c r="AE660" i="2"/>
  <c r="AC650" i="2"/>
  <c r="AE652" i="2"/>
  <c r="AE644" i="2"/>
  <c r="AC636" i="2"/>
  <c r="AC641" i="2"/>
  <c r="AC626" i="2"/>
  <c r="AC628" i="2"/>
  <c r="AC624" i="2"/>
  <c r="AB612" i="2"/>
  <c r="AA612" i="2"/>
  <c r="Z612" i="2"/>
  <c r="Y612" i="2"/>
  <c r="X612" i="2"/>
  <c r="U612" i="2"/>
  <c r="T612" i="2"/>
  <c r="S612" i="2"/>
  <c r="C612" i="2"/>
  <c r="AB611" i="2"/>
  <c r="AA611" i="2"/>
  <c r="Z611" i="2"/>
  <c r="Y611" i="2"/>
  <c r="X611" i="2"/>
  <c r="U611" i="2"/>
  <c r="T611" i="2"/>
  <c r="S611" i="2"/>
  <c r="C611" i="2"/>
  <c r="AB610" i="2"/>
  <c r="AA610" i="2"/>
  <c r="Z610" i="2"/>
  <c r="Y610" i="2"/>
  <c r="AC610" i="2" s="1"/>
  <c r="X610" i="2"/>
  <c r="U610" i="2"/>
  <c r="T610" i="2"/>
  <c r="S610" i="2"/>
  <c r="C610" i="2"/>
  <c r="AB609" i="2"/>
  <c r="AA609" i="2"/>
  <c r="Z609" i="2"/>
  <c r="AE609" i="2" s="1"/>
  <c r="Y609" i="2"/>
  <c r="AC609" i="2" s="1"/>
  <c r="X609" i="2"/>
  <c r="U609" i="2"/>
  <c r="T609" i="2"/>
  <c r="S609" i="2"/>
  <c r="C609" i="2"/>
  <c r="AB608" i="2"/>
  <c r="AA608" i="2"/>
  <c r="AC608" i="2" s="1"/>
  <c r="Z608" i="2"/>
  <c r="Y608" i="2"/>
  <c r="X608" i="2"/>
  <c r="U608" i="2"/>
  <c r="T608" i="2"/>
  <c r="S608" i="2"/>
  <c r="C608" i="2"/>
  <c r="AB607" i="2"/>
  <c r="AA607" i="2"/>
  <c r="Z607" i="2"/>
  <c r="Y607" i="2"/>
  <c r="X607" i="2"/>
  <c r="U607" i="2"/>
  <c r="T607" i="2"/>
  <c r="S607" i="2"/>
  <c r="C607" i="2"/>
  <c r="AB606" i="2"/>
  <c r="AA606" i="2"/>
  <c r="Z606" i="2"/>
  <c r="Y606" i="2"/>
  <c r="X606" i="2"/>
  <c r="U606" i="2"/>
  <c r="T606" i="2"/>
  <c r="S606" i="2"/>
  <c r="C606" i="2"/>
  <c r="AB605" i="2"/>
  <c r="AA605" i="2"/>
  <c r="Z605" i="2"/>
  <c r="Y605" i="2"/>
  <c r="X605" i="2"/>
  <c r="U605" i="2"/>
  <c r="T605" i="2"/>
  <c r="S605" i="2"/>
  <c r="C605" i="2"/>
  <c r="AB604" i="2"/>
  <c r="AA604" i="2"/>
  <c r="Z604" i="2"/>
  <c r="Y604" i="2"/>
  <c r="X604" i="2"/>
  <c r="U604" i="2"/>
  <c r="T604" i="2"/>
  <c r="S604" i="2"/>
  <c r="C604" i="2"/>
  <c r="AB603" i="2"/>
  <c r="AA603" i="2"/>
  <c r="Z603" i="2"/>
  <c r="Y603" i="2"/>
  <c r="AC603" i="2" s="1"/>
  <c r="X603" i="2"/>
  <c r="U603" i="2"/>
  <c r="T603" i="2"/>
  <c r="S603" i="2"/>
  <c r="C603" i="2"/>
  <c r="AB602" i="2"/>
  <c r="AA602" i="2"/>
  <c r="Z602" i="2"/>
  <c r="Y602" i="2"/>
  <c r="AC602" i="2" s="1"/>
  <c r="X602" i="2"/>
  <c r="AE602" i="2" s="1"/>
  <c r="U602" i="2"/>
  <c r="T602" i="2"/>
  <c r="S602" i="2"/>
  <c r="C602" i="2"/>
  <c r="AB601" i="2"/>
  <c r="AA601" i="2"/>
  <c r="Z601" i="2"/>
  <c r="Y601" i="2"/>
  <c r="X601" i="2"/>
  <c r="U601" i="2"/>
  <c r="T601" i="2"/>
  <c r="S601" i="2"/>
  <c r="C601" i="2"/>
  <c r="AB600" i="2"/>
  <c r="AA600" i="2"/>
  <c r="Z600" i="2"/>
  <c r="Y600" i="2"/>
  <c r="X600" i="2"/>
  <c r="U600" i="2"/>
  <c r="T600" i="2"/>
  <c r="S600" i="2"/>
  <c r="C600" i="2"/>
  <c r="AB599" i="2"/>
  <c r="AA599" i="2"/>
  <c r="Z599" i="2"/>
  <c r="Y599" i="2"/>
  <c r="X599" i="2"/>
  <c r="U599" i="2"/>
  <c r="T599" i="2"/>
  <c r="S599" i="2"/>
  <c r="C599" i="2"/>
  <c r="AB598" i="2"/>
  <c r="AE598" i="2" s="1"/>
  <c r="AA598" i="2"/>
  <c r="Z598" i="2"/>
  <c r="Y598" i="2"/>
  <c r="X598" i="2"/>
  <c r="U598" i="2"/>
  <c r="T598" i="2"/>
  <c r="S598" i="2"/>
  <c r="C598" i="2"/>
  <c r="AB597" i="2"/>
  <c r="AA597" i="2"/>
  <c r="Z597" i="2"/>
  <c r="Y597" i="2"/>
  <c r="X597" i="2"/>
  <c r="U597" i="2"/>
  <c r="T597" i="2"/>
  <c r="S597" i="2"/>
  <c r="C597" i="2"/>
  <c r="AB596" i="2"/>
  <c r="AA596" i="2"/>
  <c r="Z596" i="2"/>
  <c r="Y596" i="2"/>
  <c r="X596" i="2"/>
  <c r="U596" i="2"/>
  <c r="T596" i="2"/>
  <c r="S596" i="2"/>
  <c r="C596" i="2"/>
  <c r="AB595" i="2"/>
  <c r="AA595" i="2"/>
  <c r="Z595" i="2"/>
  <c r="Y595" i="2"/>
  <c r="AC595" i="2" s="1"/>
  <c r="X595" i="2"/>
  <c r="U595" i="2"/>
  <c r="T595" i="2"/>
  <c r="S595" i="2"/>
  <c r="C595" i="2"/>
  <c r="AB594" i="2"/>
  <c r="AA594" i="2"/>
  <c r="Z594" i="2"/>
  <c r="Y594" i="2"/>
  <c r="AC594" i="2" s="1"/>
  <c r="X594" i="2"/>
  <c r="U594" i="2"/>
  <c r="T594" i="2"/>
  <c r="S594" i="2"/>
  <c r="C594" i="2"/>
  <c r="AB593" i="2"/>
  <c r="AA593" i="2"/>
  <c r="Z593" i="2"/>
  <c r="Y593" i="2"/>
  <c r="X593" i="2"/>
  <c r="U593" i="2"/>
  <c r="T593" i="2"/>
  <c r="S593" i="2"/>
  <c r="C593" i="2"/>
  <c r="AB592" i="2"/>
  <c r="AA592" i="2"/>
  <c r="Z592" i="2"/>
  <c r="Y592" i="2"/>
  <c r="X592" i="2"/>
  <c r="U592" i="2"/>
  <c r="T592" i="2"/>
  <c r="S592" i="2"/>
  <c r="C592" i="2"/>
  <c r="AB591" i="2"/>
  <c r="AA591" i="2"/>
  <c r="Z591" i="2"/>
  <c r="Y591" i="2"/>
  <c r="X591" i="2"/>
  <c r="U591" i="2"/>
  <c r="T591" i="2"/>
  <c r="S591" i="2"/>
  <c r="C591" i="2"/>
  <c r="AB590" i="2"/>
  <c r="AA590" i="2"/>
  <c r="Z590" i="2"/>
  <c r="Y590" i="2"/>
  <c r="X590" i="2"/>
  <c r="U590" i="2"/>
  <c r="T590" i="2"/>
  <c r="S590" i="2"/>
  <c r="C590" i="2"/>
  <c r="AB589" i="2"/>
  <c r="AA589" i="2"/>
  <c r="Z589" i="2"/>
  <c r="Y589" i="2"/>
  <c r="X589" i="2"/>
  <c r="U589" i="2"/>
  <c r="T589" i="2"/>
  <c r="S589" i="2"/>
  <c r="C589" i="2"/>
  <c r="AB588" i="2"/>
  <c r="AA588" i="2"/>
  <c r="Z588" i="2"/>
  <c r="Y588" i="2"/>
  <c r="X588" i="2"/>
  <c r="U588" i="2"/>
  <c r="T588" i="2"/>
  <c r="S588" i="2"/>
  <c r="C588" i="2"/>
  <c r="AB587" i="2"/>
  <c r="AA587" i="2"/>
  <c r="Z587" i="2"/>
  <c r="Y587" i="2"/>
  <c r="AC587" i="2" s="1"/>
  <c r="X587" i="2"/>
  <c r="U587" i="2"/>
  <c r="T587" i="2"/>
  <c r="S587" i="2"/>
  <c r="C587" i="2"/>
  <c r="AB586" i="2"/>
  <c r="AA586" i="2"/>
  <c r="Z586" i="2"/>
  <c r="Y586" i="2"/>
  <c r="AC586" i="2" s="1"/>
  <c r="X586" i="2"/>
  <c r="U586" i="2"/>
  <c r="T586" i="2"/>
  <c r="S586" i="2"/>
  <c r="C586" i="2"/>
  <c r="AB585" i="2"/>
  <c r="AA585" i="2"/>
  <c r="Z585" i="2"/>
  <c r="Y585" i="2"/>
  <c r="X585" i="2"/>
  <c r="U585" i="2"/>
  <c r="T585" i="2"/>
  <c r="S585" i="2"/>
  <c r="C585" i="2"/>
  <c r="AB584" i="2"/>
  <c r="AA584" i="2"/>
  <c r="Z584" i="2"/>
  <c r="Y584" i="2"/>
  <c r="X584" i="2"/>
  <c r="U584" i="2"/>
  <c r="T584" i="2"/>
  <c r="S584" i="2"/>
  <c r="C584" i="2"/>
  <c r="AB583" i="2"/>
  <c r="AA583" i="2"/>
  <c r="Z583" i="2"/>
  <c r="Y583" i="2"/>
  <c r="X583" i="2"/>
  <c r="U583" i="2"/>
  <c r="T583" i="2"/>
  <c r="S583" i="2"/>
  <c r="C583" i="2"/>
  <c r="AB582" i="2"/>
  <c r="AA582" i="2"/>
  <c r="Z582" i="2"/>
  <c r="Y582" i="2"/>
  <c r="X582" i="2"/>
  <c r="U582" i="2"/>
  <c r="T582" i="2"/>
  <c r="S582" i="2"/>
  <c r="C582" i="2"/>
  <c r="AB581" i="2"/>
  <c r="AA581" i="2"/>
  <c r="Z581" i="2"/>
  <c r="Y581" i="2"/>
  <c r="X581" i="2"/>
  <c r="U581" i="2"/>
  <c r="T581" i="2"/>
  <c r="S581" i="2"/>
  <c r="C581" i="2"/>
  <c r="AB580" i="2"/>
  <c r="AA580" i="2"/>
  <c r="Z580" i="2"/>
  <c r="Y580" i="2"/>
  <c r="X580" i="2"/>
  <c r="U580" i="2"/>
  <c r="T580" i="2"/>
  <c r="S580" i="2"/>
  <c r="C580" i="2"/>
  <c r="AB579" i="2"/>
  <c r="AA579" i="2"/>
  <c r="Z579" i="2"/>
  <c r="Y579" i="2"/>
  <c r="AC579" i="2" s="1"/>
  <c r="X579" i="2"/>
  <c r="U579" i="2"/>
  <c r="T579" i="2"/>
  <c r="S579" i="2"/>
  <c r="C579" i="2"/>
  <c r="AB578" i="2"/>
  <c r="AA578" i="2"/>
  <c r="Z578" i="2"/>
  <c r="Y578" i="2"/>
  <c r="AC578" i="2" s="1"/>
  <c r="X578" i="2"/>
  <c r="U578" i="2"/>
  <c r="T578" i="2"/>
  <c r="S578" i="2"/>
  <c r="C578" i="2"/>
  <c r="AB577" i="2"/>
  <c r="AA577" i="2"/>
  <c r="Z577" i="2"/>
  <c r="AE577" i="2" s="1"/>
  <c r="Y577" i="2"/>
  <c r="X577" i="2"/>
  <c r="U577" i="2"/>
  <c r="T577" i="2"/>
  <c r="S577" i="2"/>
  <c r="C577" i="2"/>
  <c r="AB576" i="2"/>
  <c r="AA576" i="2"/>
  <c r="Z576" i="2"/>
  <c r="Y576" i="2"/>
  <c r="X576" i="2"/>
  <c r="U576" i="2"/>
  <c r="T576" i="2"/>
  <c r="S576" i="2"/>
  <c r="C576" i="2"/>
  <c r="AB575" i="2"/>
  <c r="AA575" i="2"/>
  <c r="Z575" i="2"/>
  <c r="Y575" i="2"/>
  <c r="X575" i="2"/>
  <c r="U575" i="2"/>
  <c r="T575" i="2"/>
  <c r="S575" i="2"/>
  <c r="C575" i="2"/>
  <c r="AB574" i="2"/>
  <c r="AA574" i="2"/>
  <c r="Z574" i="2"/>
  <c r="Y574" i="2"/>
  <c r="X574" i="2"/>
  <c r="U574" i="2"/>
  <c r="T574" i="2"/>
  <c r="S574" i="2"/>
  <c r="C574" i="2"/>
  <c r="AB573" i="2"/>
  <c r="AA573" i="2"/>
  <c r="AC573" i="2" s="1"/>
  <c r="Z573" i="2"/>
  <c r="Y573" i="2"/>
  <c r="X573" i="2"/>
  <c r="U573" i="2"/>
  <c r="T573" i="2"/>
  <c r="S573" i="2"/>
  <c r="C573" i="2"/>
  <c r="AB572" i="2"/>
  <c r="AA572" i="2"/>
  <c r="Z572" i="2"/>
  <c r="Y572" i="2"/>
  <c r="X572" i="2"/>
  <c r="U572" i="2"/>
  <c r="T572" i="2"/>
  <c r="S572" i="2"/>
  <c r="C572" i="2"/>
  <c r="AB571" i="2"/>
  <c r="AA571" i="2"/>
  <c r="Z571" i="2"/>
  <c r="Y571" i="2"/>
  <c r="AC571" i="2" s="1"/>
  <c r="X571" i="2"/>
  <c r="U571" i="2"/>
  <c r="T571" i="2"/>
  <c r="S571" i="2"/>
  <c r="C571" i="2"/>
  <c r="AB570" i="2"/>
  <c r="AA570" i="2"/>
  <c r="Z570" i="2"/>
  <c r="Y570" i="2"/>
  <c r="AC570" i="2" s="1"/>
  <c r="X570" i="2"/>
  <c r="U570" i="2"/>
  <c r="T570" i="2"/>
  <c r="S570" i="2"/>
  <c r="C570" i="2"/>
  <c r="AB569" i="2"/>
  <c r="AA569" i="2"/>
  <c r="Z569" i="2"/>
  <c r="AE569" i="2" s="1"/>
  <c r="Y569" i="2"/>
  <c r="X569" i="2"/>
  <c r="U569" i="2"/>
  <c r="T569" i="2"/>
  <c r="S569" i="2"/>
  <c r="C569" i="2"/>
  <c r="AB568" i="2"/>
  <c r="AA568" i="2"/>
  <c r="AC568" i="2" s="1"/>
  <c r="Z568" i="2"/>
  <c r="Y568" i="2"/>
  <c r="X568" i="2"/>
  <c r="U568" i="2"/>
  <c r="T568" i="2"/>
  <c r="S568" i="2"/>
  <c r="C568" i="2"/>
  <c r="AB567" i="2"/>
  <c r="AA567" i="2"/>
  <c r="Z567" i="2"/>
  <c r="Y567" i="2"/>
  <c r="X567" i="2"/>
  <c r="U567" i="2"/>
  <c r="T567" i="2"/>
  <c r="S567" i="2"/>
  <c r="C567" i="2"/>
  <c r="AB566" i="2"/>
  <c r="AA566" i="2"/>
  <c r="Z566" i="2"/>
  <c r="Y566" i="2"/>
  <c r="X566" i="2"/>
  <c r="U566" i="2"/>
  <c r="T566" i="2"/>
  <c r="S566" i="2"/>
  <c r="C566" i="2"/>
  <c r="AB565" i="2"/>
  <c r="AA565" i="2"/>
  <c r="Z565" i="2"/>
  <c r="Y565" i="2"/>
  <c r="X565" i="2"/>
  <c r="U565" i="2"/>
  <c r="T565" i="2"/>
  <c r="S565" i="2"/>
  <c r="C565" i="2"/>
  <c r="AB564" i="2"/>
  <c r="AA564" i="2"/>
  <c r="Z564" i="2"/>
  <c r="Y564" i="2"/>
  <c r="X564" i="2"/>
  <c r="U564" i="2"/>
  <c r="T564" i="2"/>
  <c r="S564" i="2"/>
  <c r="C564" i="2"/>
  <c r="AB563" i="2"/>
  <c r="AA563" i="2"/>
  <c r="Z563" i="2"/>
  <c r="Y563" i="2"/>
  <c r="AC563" i="2" s="1"/>
  <c r="X563" i="2"/>
  <c r="U563" i="2"/>
  <c r="T563" i="2"/>
  <c r="S563" i="2"/>
  <c r="C563" i="2"/>
  <c r="AB562" i="2"/>
  <c r="AA562" i="2"/>
  <c r="Z562" i="2"/>
  <c r="Y562" i="2"/>
  <c r="AC562" i="2" s="1"/>
  <c r="X562" i="2"/>
  <c r="U562" i="2"/>
  <c r="T562" i="2"/>
  <c r="S562" i="2"/>
  <c r="C562" i="2"/>
  <c r="AB561" i="2"/>
  <c r="AA561" i="2"/>
  <c r="Z561" i="2"/>
  <c r="Y561" i="2"/>
  <c r="X561" i="2"/>
  <c r="U561" i="2"/>
  <c r="T561" i="2"/>
  <c r="S561" i="2"/>
  <c r="C561" i="2"/>
  <c r="AB560" i="2"/>
  <c r="AA560" i="2"/>
  <c r="AC560" i="2" s="1"/>
  <c r="Z560" i="2"/>
  <c r="Y560" i="2"/>
  <c r="X560" i="2"/>
  <c r="U560" i="2"/>
  <c r="T560" i="2"/>
  <c r="S560" i="2"/>
  <c r="C560" i="2"/>
  <c r="AB559" i="2"/>
  <c r="AA559" i="2"/>
  <c r="Z559" i="2"/>
  <c r="Y559" i="2"/>
  <c r="X559" i="2"/>
  <c r="U559" i="2"/>
  <c r="T559" i="2"/>
  <c r="S559" i="2"/>
  <c r="C559" i="2"/>
  <c r="AB558" i="2"/>
  <c r="AA558" i="2"/>
  <c r="Z558" i="2"/>
  <c r="Y558" i="2"/>
  <c r="X558" i="2"/>
  <c r="U558" i="2"/>
  <c r="T558" i="2"/>
  <c r="S558" i="2"/>
  <c r="C558" i="2"/>
  <c r="T554" i="2"/>
  <c r="AC565" i="2"/>
  <c r="AC611" i="2"/>
  <c r="AB557" i="2"/>
  <c r="AA557" i="2"/>
  <c r="Z557" i="2"/>
  <c r="Y557" i="2"/>
  <c r="AC557" i="2" s="1"/>
  <c r="X557" i="2"/>
  <c r="U557" i="2"/>
  <c r="T557" i="2"/>
  <c r="S557" i="2"/>
  <c r="C557" i="2"/>
  <c r="AB556" i="2"/>
  <c r="AA556" i="2"/>
  <c r="Z556" i="2"/>
  <c r="Y556" i="2"/>
  <c r="X556" i="2"/>
  <c r="U556" i="2"/>
  <c r="T556" i="2"/>
  <c r="S556" i="2"/>
  <c r="C556" i="2"/>
  <c r="AB555" i="2"/>
  <c r="AA555" i="2"/>
  <c r="Z555" i="2"/>
  <c r="Y555" i="2"/>
  <c r="X555" i="2"/>
  <c r="U555" i="2"/>
  <c r="T555" i="2"/>
  <c r="S555" i="2"/>
  <c r="C555" i="2"/>
  <c r="AB554" i="2"/>
  <c r="AA554" i="2"/>
  <c r="Z554" i="2"/>
  <c r="Y554" i="2"/>
  <c r="X554" i="2"/>
  <c r="U554" i="2"/>
  <c r="S554" i="2"/>
  <c r="C554" i="2"/>
  <c r="AB553" i="2"/>
  <c r="AA553" i="2"/>
  <c r="Z553" i="2"/>
  <c r="Y553" i="2"/>
  <c r="X553" i="2"/>
  <c r="U553" i="2"/>
  <c r="T553" i="2"/>
  <c r="S553" i="2"/>
  <c r="C553" i="2"/>
  <c r="AB552" i="2"/>
  <c r="AA552" i="2"/>
  <c r="Z552" i="2"/>
  <c r="Y552" i="2"/>
  <c r="X552" i="2"/>
  <c r="U552" i="2"/>
  <c r="T552" i="2"/>
  <c r="S552" i="2"/>
  <c r="C552" i="2"/>
  <c r="AB551" i="2"/>
  <c r="AA551" i="2"/>
  <c r="Z551" i="2"/>
  <c r="Y551" i="2"/>
  <c r="X551" i="2"/>
  <c r="U551" i="2"/>
  <c r="T551" i="2"/>
  <c r="S551" i="2"/>
  <c r="C551" i="2"/>
  <c r="AB550" i="2"/>
  <c r="AA550" i="2"/>
  <c r="Z550" i="2"/>
  <c r="Y550" i="2"/>
  <c r="X550" i="2"/>
  <c r="U550" i="2"/>
  <c r="T550" i="2"/>
  <c r="S550" i="2"/>
  <c r="C550" i="2"/>
  <c r="AB549" i="2"/>
  <c r="AA549" i="2"/>
  <c r="Z549" i="2"/>
  <c r="Y549" i="2"/>
  <c r="X549" i="2"/>
  <c r="U549" i="2"/>
  <c r="T549" i="2"/>
  <c r="S549" i="2"/>
  <c r="C549" i="2"/>
  <c r="AB548" i="2"/>
  <c r="AA548" i="2"/>
  <c r="Z548" i="2"/>
  <c r="Y548" i="2"/>
  <c r="AC548" i="2" s="1"/>
  <c r="X548" i="2"/>
  <c r="U548" i="2"/>
  <c r="T548" i="2"/>
  <c r="S548" i="2"/>
  <c r="C548" i="2"/>
  <c r="AB547" i="2"/>
  <c r="AA547" i="2"/>
  <c r="Z547" i="2"/>
  <c r="Y547" i="2"/>
  <c r="X547" i="2"/>
  <c r="U547" i="2"/>
  <c r="T547" i="2"/>
  <c r="S547" i="2"/>
  <c r="C547" i="2"/>
  <c r="AB546" i="2"/>
  <c r="AA546" i="2"/>
  <c r="Z546" i="2"/>
  <c r="Y546" i="2"/>
  <c r="X546" i="2"/>
  <c r="U546" i="2"/>
  <c r="T546" i="2"/>
  <c r="S546" i="2"/>
  <c r="C546" i="2"/>
  <c r="AB545" i="2"/>
  <c r="AA545" i="2"/>
  <c r="Z545" i="2"/>
  <c r="Y545" i="2"/>
  <c r="X545" i="2"/>
  <c r="U545" i="2"/>
  <c r="T545" i="2"/>
  <c r="S545" i="2"/>
  <c r="C545" i="2"/>
  <c r="AB544" i="2"/>
  <c r="AA544" i="2"/>
  <c r="Z544" i="2"/>
  <c r="Y544" i="2"/>
  <c r="X544" i="2"/>
  <c r="U544" i="2"/>
  <c r="T544" i="2"/>
  <c r="S544" i="2"/>
  <c r="C544" i="2"/>
  <c r="AB543" i="2"/>
  <c r="AA543" i="2"/>
  <c r="Z543" i="2"/>
  <c r="Y543" i="2"/>
  <c r="X543" i="2"/>
  <c r="U543" i="2"/>
  <c r="T543" i="2"/>
  <c r="S543" i="2"/>
  <c r="C543" i="2"/>
  <c r="AB542" i="2"/>
  <c r="AA542" i="2"/>
  <c r="Z542" i="2"/>
  <c r="Y542" i="2"/>
  <c r="X542" i="2"/>
  <c r="U542" i="2"/>
  <c r="T542" i="2"/>
  <c r="S542" i="2"/>
  <c r="C542" i="2"/>
  <c r="AB541" i="2"/>
  <c r="AA541" i="2"/>
  <c r="Z541" i="2"/>
  <c r="Y541" i="2"/>
  <c r="X541" i="2"/>
  <c r="AE541" i="2" s="1"/>
  <c r="U541" i="2"/>
  <c r="T541" i="2"/>
  <c r="S541" i="2"/>
  <c r="C541" i="2"/>
  <c r="AB540" i="2"/>
  <c r="AA540" i="2"/>
  <c r="Z540" i="2"/>
  <c r="Y540" i="2"/>
  <c r="AC540" i="2" s="1"/>
  <c r="X540" i="2"/>
  <c r="U540" i="2"/>
  <c r="T540" i="2"/>
  <c r="S540" i="2"/>
  <c r="C540" i="2"/>
  <c r="S531" i="2"/>
  <c r="T531" i="2"/>
  <c r="U531" i="2"/>
  <c r="S532" i="2"/>
  <c r="T532" i="2"/>
  <c r="U532" i="2"/>
  <c r="S533" i="2"/>
  <c r="T533" i="2"/>
  <c r="U533" i="2"/>
  <c r="S534" i="2"/>
  <c r="T534" i="2"/>
  <c r="U534" i="2"/>
  <c r="S535" i="2"/>
  <c r="T535" i="2"/>
  <c r="U535" i="2"/>
  <c r="S536" i="2"/>
  <c r="T536" i="2"/>
  <c r="U536" i="2"/>
  <c r="S537" i="2"/>
  <c r="T537" i="2"/>
  <c r="U537" i="2"/>
  <c r="S538" i="2"/>
  <c r="T538" i="2"/>
  <c r="U538" i="2"/>
  <c r="S539" i="2"/>
  <c r="T539" i="2"/>
  <c r="U539" i="2"/>
  <c r="AB539" i="2"/>
  <c r="AA539" i="2"/>
  <c r="Z539" i="2"/>
  <c r="Y539" i="2"/>
  <c r="X539" i="2"/>
  <c r="C539" i="2"/>
  <c r="AB538" i="2"/>
  <c r="AA538" i="2"/>
  <c r="Z538" i="2"/>
  <c r="Y538" i="2"/>
  <c r="X538" i="2"/>
  <c r="C538" i="2"/>
  <c r="AB537" i="2"/>
  <c r="AA537" i="2"/>
  <c r="Z537" i="2"/>
  <c r="Y537" i="2"/>
  <c r="AC537" i="2" s="1"/>
  <c r="X537" i="2"/>
  <c r="C537" i="2"/>
  <c r="AB536" i="2"/>
  <c r="AA536" i="2"/>
  <c r="Z536" i="2"/>
  <c r="Y536" i="2"/>
  <c r="AC536" i="2" s="1"/>
  <c r="X536" i="2"/>
  <c r="C536" i="2"/>
  <c r="AB535" i="2"/>
  <c r="AA535" i="2"/>
  <c r="Z535" i="2"/>
  <c r="Y535" i="2"/>
  <c r="X535" i="2"/>
  <c r="C535" i="2"/>
  <c r="AB534" i="2"/>
  <c r="AA534" i="2"/>
  <c r="Z534" i="2"/>
  <c r="Y534" i="2"/>
  <c r="X534" i="2"/>
  <c r="C534" i="2"/>
  <c r="AB533" i="2"/>
  <c r="AA533" i="2"/>
  <c r="Z533" i="2"/>
  <c r="Y533" i="2"/>
  <c r="X533" i="2"/>
  <c r="C533" i="2"/>
  <c r="AB532" i="2"/>
  <c r="AA532" i="2"/>
  <c r="Z532" i="2"/>
  <c r="Y532" i="2"/>
  <c r="X532" i="2"/>
  <c r="C532" i="2"/>
  <c r="AB531" i="2"/>
  <c r="AA531" i="2"/>
  <c r="Z531" i="2"/>
  <c r="Y531" i="2"/>
  <c r="X531" i="2"/>
  <c r="C531" i="2"/>
  <c r="AB530" i="2"/>
  <c r="AA530" i="2"/>
  <c r="Z530" i="2"/>
  <c r="Y530" i="2"/>
  <c r="X530" i="2"/>
  <c r="U530" i="2"/>
  <c r="T530" i="2"/>
  <c r="S530" i="2"/>
  <c r="C530" i="2"/>
  <c r="AB529" i="2"/>
  <c r="AA529" i="2"/>
  <c r="Z529" i="2"/>
  <c r="Y529" i="2"/>
  <c r="X529" i="2"/>
  <c r="U529" i="2"/>
  <c r="T529" i="2"/>
  <c r="S529" i="2"/>
  <c r="C529" i="2"/>
  <c r="AB528" i="2"/>
  <c r="AA528" i="2"/>
  <c r="Z528" i="2"/>
  <c r="Y528" i="2"/>
  <c r="X528" i="2"/>
  <c r="U528" i="2"/>
  <c r="T528" i="2"/>
  <c r="S528" i="2"/>
  <c r="C528" i="2"/>
  <c r="AB527" i="2"/>
  <c r="AA527" i="2"/>
  <c r="AC527" i="2" s="1"/>
  <c r="Z527" i="2"/>
  <c r="Y527" i="2"/>
  <c r="X527" i="2"/>
  <c r="U527" i="2"/>
  <c r="T527" i="2"/>
  <c r="S527" i="2"/>
  <c r="C527" i="2"/>
  <c r="AB526" i="2"/>
  <c r="AE526" i="2" s="1"/>
  <c r="AA526" i="2"/>
  <c r="Z526" i="2"/>
  <c r="Y526" i="2"/>
  <c r="AC526" i="2" s="1"/>
  <c r="X526" i="2"/>
  <c r="U526" i="2"/>
  <c r="T526" i="2"/>
  <c r="S526" i="2"/>
  <c r="C526" i="2"/>
  <c r="AB525" i="2"/>
  <c r="AA525" i="2"/>
  <c r="Z525" i="2"/>
  <c r="Y525" i="2"/>
  <c r="AC525" i="2" s="1"/>
  <c r="X525" i="2"/>
  <c r="U525" i="2"/>
  <c r="T525" i="2"/>
  <c r="S525" i="2"/>
  <c r="C525" i="2"/>
  <c r="AB524" i="2"/>
  <c r="AA524" i="2"/>
  <c r="Z524" i="2"/>
  <c r="Y524" i="2"/>
  <c r="X524" i="2"/>
  <c r="U524" i="2"/>
  <c r="T524" i="2"/>
  <c r="S524" i="2"/>
  <c r="C524" i="2"/>
  <c r="AB523" i="2"/>
  <c r="AA523" i="2"/>
  <c r="Z523" i="2"/>
  <c r="Y523" i="2"/>
  <c r="X523" i="2"/>
  <c r="U523" i="2"/>
  <c r="T523" i="2"/>
  <c r="S523" i="2"/>
  <c r="C523" i="2"/>
  <c r="AB522" i="2"/>
  <c r="AA522" i="2"/>
  <c r="Z522" i="2"/>
  <c r="Y522" i="2"/>
  <c r="X522" i="2"/>
  <c r="U522" i="2"/>
  <c r="T522" i="2"/>
  <c r="S522" i="2"/>
  <c r="C522" i="2"/>
  <c r="AB521" i="2"/>
  <c r="AA521" i="2"/>
  <c r="Z521" i="2"/>
  <c r="Y521" i="2"/>
  <c r="X521" i="2"/>
  <c r="U521" i="2"/>
  <c r="T521" i="2"/>
  <c r="S521" i="2"/>
  <c r="C521" i="2"/>
  <c r="AB520" i="2"/>
  <c r="AA520" i="2"/>
  <c r="Z520" i="2"/>
  <c r="Y520" i="2"/>
  <c r="X520" i="2"/>
  <c r="U520" i="2"/>
  <c r="T520" i="2"/>
  <c r="S520" i="2"/>
  <c r="C520" i="2"/>
  <c r="AB519" i="2"/>
  <c r="AA519" i="2"/>
  <c r="AC519" i="2" s="1"/>
  <c r="Z519" i="2"/>
  <c r="Y519" i="2"/>
  <c r="X519" i="2"/>
  <c r="U519" i="2"/>
  <c r="T519" i="2"/>
  <c r="S519" i="2"/>
  <c r="C519" i="2"/>
  <c r="AB518" i="2"/>
  <c r="AA518" i="2"/>
  <c r="Z518" i="2"/>
  <c r="Y518" i="2"/>
  <c r="X518" i="2"/>
  <c r="U518" i="2"/>
  <c r="T518" i="2"/>
  <c r="S518" i="2"/>
  <c r="C518" i="2"/>
  <c r="AB517" i="2"/>
  <c r="AA517" i="2"/>
  <c r="Z517" i="2"/>
  <c r="Y517" i="2"/>
  <c r="AC517" i="2" s="1"/>
  <c r="X517" i="2"/>
  <c r="AE517" i="2" s="1"/>
  <c r="U517" i="2"/>
  <c r="T517" i="2"/>
  <c r="S517" i="2"/>
  <c r="C517" i="2"/>
  <c r="AB516" i="2"/>
  <c r="AA516" i="2"/>
  <c r="Z516" i="2"/>
  <c r="Y516" i="2"/>
  <c r="X516" i="2"/>
  <c r="U516" i="2"/>
  <c r="T516" i="2"/>
  <c r="S516" i="2"/>
  <c r="C516" i="2"/>
  <c r="AB515" i="2"/>
  <c r="AA515" i="2"/>
  <c r="AC515" i="2" s="1"/>
  <c r="Z515" i="2"/>
  <c r="Y515" i="2"/>
  <c r="X515" i="2"/>
  <c r="U515" i="2"/>
  <c r="T515" i="2"/>
  <c r="S515" i="2"/>
  <c r="C515" i="2"/>
  <c r="AB514" i="2"/>
  <c r="AA514" i="2"/>
  <c r="Z514" i="2"/>
  <c r="Y514" i="2"/>
  <c r="X514" i="2"/>
  <c r="U514" i="2"/>
  <c r="T514" i="2"/>
  <c r="S514" i="2"/>
  <c r="C514" i="2"/>
  <c r="AB513" i="2"/>
  <c r="AA513" i="2"/>
  <c r="Z513" i="2"/>
  <c r="Y513" i="2"/>
  <c r="X513" i="2"/>
  <c r="U513" i="2"/>
  <c r="T513" i="2"/>
  <c r="S513" i="2"/>
  <c r="C513" i="2"/>
  <c r="AB512" i="2"/>
  <c r="AA512" i="2"/>
  <c r="Z512" i="2"/>
  <c r="Y512" i="2"/>
  <c r="X512" i="2"/>
  <c r="U512" i="2"/>
  <c r="T512" i="2"/>
  <c r="S512" i="2"/>
  <c r="C512" i="2"/>
  <c r="AB511" i="2"/>
  <c r="AA511" i="2"/>
  <c r="Z511" i="2"/>
  <c r="Y511" i="2"/>
  <c r="X511" i="2"/>
  <c r="U511" i="2"/>
  <c r="T511" i="2"/>
  <c r="S511" i="2"/>
  <c r="C511" i="2"/>
  <c r="AB510" i="2"/>
  <c r="AA510" i="2"/>
  <c r="Z510" i="2"/>
  <c r="Y510" i="2"/>
  <c r="X510" i="2"/>
  <c r="U510" i="2"/>
  <c r="T510" i="2"/>
  <c r="S510" i="2"/>
  <c r="C510" i="2"/>
  <c r="AB509" i="2"/>
  <c r="AA509" i="2"/>
  <c r="Z509" i="2"/>
  <c r="Y509" i="2"/>
  <c r="X509" i="2"/>
  <c r="U509" i="2"/>
  <c r="T509" i="2"/>
  <c r="S509" i="2"/>
  <c r="C509" i="2"/>
  <c r="AB508" i="2"/>
  <c r="AA508" i="2"/>
  <c r="Z508" i="2"/>
  <c r="Y508" i="2"/>
  <c r="X508" i="2"/>
  <c r="U508" i="2"/>
  <c r="T508" i="2"/>
  <c r="S508" i="2"/>
  <c r="C508" i="2"/>
  <c r="AB507" i="2"/>
  <c r="AE507" i="2" s="1"/>
  <c r="AA507" i="2"/>
  <c r="Z507" i="2"/>
  <c r="Y507" i="2"/>
  <c r="AC507" i="2" s="1"/>
  <c r="X507" i="2"/>
  <c r="U507" i="2"/>
  <c r="T507" i="2"/>
  <c r="S507" i="2"/>
  <c r="C507" i="2"/>
  <c r="AB506" i="2"/>
  <c r="AA506" i="2"/>
  <c r="AC506" i="2" s="1"/>
  <c r="Z506" i="2"/>
  <c r="Y506" i="2"/>
  <c r="X506" i="2"/>
  <c r="U506" i="2"/>
  <c r="T506" i="2"/>
  <c r="S506" i="2"/>
  <c r="C506" i="2"/>
  <c r="AB505" i="2"/>
  <c r="AA505" i="2"/>
  <c r="Z505" i="2"/>
  <c r="Y505" i="2"/>
  <c r="X505" i="2"/>
  <c r="U505" i="2"/>
  <c r="T505" i="2"/>
  <c r="S505" i="2"/>
  <c r="C505" i="2"/>
  <c r="AB504" i="2"/>
  <c r="AE504" i="2" s="1"/>
  <c r="AA504" i="2"/>
  <c r="Z504" i="2"/>
  <c r="Y504" i="2"/>
  <c r="X504" i="2"/>
  <c r="U504" i="2"/>
  <c r="T504" i="2"/>
  <c r="S504" i="2"/>
  <c r="C504" i="2"/>
  <c r="AB503" i="2"/>
  <c r="AA503" i="2"/>
  <c r="Z503" i="2"/>
  <c r="Y503" i="2"/>
  <c r="X503" i="2"/>
  <c r="U503" i="2"/>
  <c r="T503" i="2"/>
  <c r="S503" i="2"/>
  <c r="C503" i="2"/>
  <c r="AB502" i="2"/>
  <c r="AA502" i="2"/>
  <c r="Z502" i="2"/>
  <c r="Y502" i="2"/>
  <c r="X502" i="2"/>
  <c r="U502" i="2"/>
  <c r="T502" i="2"/>
  <c r="S502" i="2"/>
  <c r="C502" i="2"/>
  <c r="AB501" i="2"/>
  <c r="AA501" i="2"/>
  <c r="Z501" i="2"/>
  <c r="Y501" i="2"/>
  <c r="X501" i="2"/>
  <c r="U501" i="2"/>
  <c r="T501" i="2"/>
  <c r="S501" i="2"/>
  <c r="C501" i="2"/>
  <c r="AB500" i="2"/>
  <c r="AA500" i="2"/>
  <c r="Z500" i="2"/>
  <c r="Y500" i="2"/>
  <c r="X500" i="2"/>
  <c r="U500" i="2"/>
  <c r="T500" i="2"/>
  <c r="S500" i="2"/>
  <c r="C500" i="2"/>
  <c r="AB499" i="2"/>
  <c r="AE499" i="2" s="1"/>
  <c r="AA499" i="2"/>
  <c r="Z499" i="2"/>
  <c r="Y499" i="2"/>
  <c r="X499" i="2"/>
  <c r="U499" i="2"/>
  <c r="T499" i="2"/>
  <c r="S499" i="2"/>
  <c r="C499" i="2"/>
  <c r="AB498" i="2"/>
  <c r="AA498" i="2"/>
  <c r="Z498" i="2"/>
  <c r="Y498" i="2"/>
  <c r="X498" i="2"/>
  <c r="U498" i="2"/>
  <c r="T498" i="2"/>
  <c r="S498" i="2"/>
  <c r="C498" i="2"/>
  <c r="AB497" i="2"/>
  <c r="AA497" i="2"/>
  <c r="Z497" i="2"/>
  <c r="Y497" i="2"/>
  <c r="X497" i="2"/>
  <c r="U497" i="2"/>
  <c r="T497" i="2"/>
  <c r="S497" i="2"/>
  <c r="C497" i="2"/>
  <c r="AB496" i="2"/>
  <c r="AE496" i="2" s="1"/>
  <c r="AA496" i="2"/>
  <c r="Z496" i="2"/>
  <c r="Y496" i="2"/>
  <c r="X496" i="2"/>
  <c r="U496" i="2"/>
  <c r="T496" i="2"/>
  <c r="S496" i="2"/>
  <c r="C496" i="2"/>
  <c r="AB495" i="2"/>
  <c r="AA495" i="2"/>
  <c r="Z495" i="2"/>
  <c r="Y495" i="2"/>
  <c r="X495" i="2"/>
  <c r="AE495" i="2" s="1"/>
  <c r="U495" i="2"/>
  <c r="T495" i="2"/>
  <c r="S495" i="2"/>
  <c r="C495" i="2"/>
  <c r="AB494" i="2"/>
  <c r="AA494" i="2"/>
  <c r="Z494" i="2"/>
  <c r="Y494" i="2"/>
  <c r="X494" i="2"/>
  <c r="U494" i="2"/>
  <c r="T494" i="2"/>
  <c r="S494" i="2"/>
  <c r="C494" i="2"/>
  <c r="AB493" i="2"/>
  <c r="AA493" i="2"/>
  <c r="Z493" i="2"/>
  <c r="AE493" i="2" s="1"/>
  <c r="Y493" i="2"/>
  <c r="X493" i="2"/>
  <c r="U493" i="2"/>
  <c r="T493" i="2"/>
  <c r="S493" i="2"/>
  <c r="C493" i="2"/>
  <c r="AB492" i="2"/>
  <c r="AA492" i="2"/>
  <c r="Z492" i="2"/>
  <c r="Y492" i="2"/>
  <c r="X492" i="2"/>
  <c r="U492" i="2"/>
  <c r="T492" i="2"/>
  <c r="S492" i="2"/>
  <c r="C492" i="2"/>
  <c r="AB491" i="2"/>
  <c r="AA491" i="2"/>
  <c r="Z491" i="2"/>
  <c r="Y491" i="2"/>
  <c r="X491" i="2"/>
  <c r="U491" i="2"/>
  <c r="T491" i="2"/>
  <c r="S491" i="2"/>
  <c r="C491" i="2"/>
  <c r="AB490" i="2"/>
  <c r="AA490" i="2"/>
  <c r="Z490" i="2"/>
  <c r="Y490" i="2"/>
  <c r="AC490" i="2" s="1"/>
  <c r="X490" i="2"/>
  <c r="U490" i="2"/>
  <c r="T490" i="2"/>
  <c r="S490" i="2"/>
  <c r="C490" i="2"/>
  <c r="AB489" i="2"/>
  <c r="AA489" i="2"/>
  <c r="Z489" i="2"/>
  <c r="Y489" i="2"/>
  <c r="X489" i="2"/>
  <c r="U489" i="2"/>
  <c r="T489" i="2"/>
  <c r="S489" i="2"/>
  <c r="C489" i="2"/>
  <c r="AB488" i="2"/>
  <c r="AA488" i="2"/>
  <c r="Z488" i="2"/>
  <c r="Y488" i="2"/>
  <c r="X488" i="2"/>
  <c r="U488" i="2"/>
  <c r="T488" i="2"/>
  <c r="S488" i="2"/>
  <c r="C488" i="2"/>
  <c r="AB487" i="2"/>
  <c r="AA487" i="2"/>
  <c r="AC487" i="2" s="1"/>
  <c r="Z487" i="2"/>
  <c r="Y487" i="2"/>
  <c r="X487" i="2"/>
  <c r="U487" i="2"/>
  <c r="T487" i="2"/>
  <c r="S487" i="2"/>
  <c r="C487" i="2"/>
  <c r="AB486" i="2"/>
  <c r="AA486" i="2"/>
  <c r="Z486" i="2"/>
  <c r="Y486" i="2"/>
  <c r="X486" i="2"/>
  <c r="U486" i="2"/>
  <c r="T486" i="2"/>
  <c r="S486" i="2"/>
  <c r="C486" i="2"/>
  <c r="AB485" i="2"/>
  <c r="AA485" i="2"/>
  <c r="AC485" i="2" s="1"/>
  <c r="Z485" i="2"/>
  <c r="Y485" i="2"/>
  <c r="X485" i="2"/>
  <c r="U485" i="2"/>
  <c r="T485" i="2"/>
  <c r="S485" i="2"/>
  <c r="C485" i="2"/>
  <c r="AB484" i="2"/>
  <c r="AA484" i="2"/>
  <c r="Z484" i="2"/>
  <c r="Y484" i="2"/>
  <c r="X484" i="2"/>
  <c r="U484" i="2"/>
  <c r="T484" i="2"/>
  <c r="S484" i="2"/>
  <c r="C484" i="2"/>
  <c r="AB483" i="2"/>
  <c r="AA483" i="2"/>
  <c r="Z483" i="2"/>
  <c r="Y483" i="2"/>
  <c r="X483" i="2"/>
  <c r="U483" i="2"/>
  <c r="T483" i="2"/>
  <c r="S483" i="2"/>
  <c r="C483" i="2"/>
  <c r="AB482" i="2"/>
  <c r="AA482" i="2"/>
  <c r="Z482" i="2"/>
  <c r="Y482" i="2"/>
  <c r="X482" i="2"/>
  <c r="U482" i="2"/>
  <c r="T482" i="2"/>
  <c r="S482" i="2"/>
  <c r="C482" i="2"/>
  <c r="AB481" i="2"/>
  <c r="AA481" i="2"/>
  <c r="Z481" i="2"/>
  <c r="Y481" i="2"/>
  <c r="X481" i="2"/>
  <c r="U481" i="2"/>
  <c r="T481" i="2"/>
  <c r="S481" i="2"/>
  <c r="C481" i="2"/>
  <c r="AB480" i="2"/>
  <c r="AA480" i="2"/>
  <c r="Z480" i="2"/>
  <c r="Y480" i="2"/>
  <c r="X480" i="2"/>
  <c r="U480" i="2"/>
  <c r="T480" i="2"/>
  <c r="S480" i="2"/>
  <c r="C480" i="2"/>
  <c r="AB479" i="2"/>
  <c r="AA479" i="2"/>
  <c r="Z479" i="2"/>
  <c r="Y479" i="2"/>
  <c r="AC479" i="2" s="1"/>
  <c r="X479" i="2"/>
  <c r="U479" i="2"/>
  <c r="T479" i="2"/>
  <c r="S479" i="2"/>
  <c r="C479" i="2"/>
  <c r="AB478" i="2"/>
  <c r="AA478" i="2"/>
  <c r="Z478" i="2"/>
  <c r="Y478" i="2"/>
  <c r="X478" i="2"/>
  <c r="U478" i="2"/>
  <c r="T478" i="2"/>
  <c r="S478" i="2"/>
  <c r="C478" i="2"/>
  <c r="AB477" i="2"/>
  <c r="AA477" i="2"/>
  <c r="Z477" i="2"/>
  <c r="Y477" i="2"/>
  <c r="X477" i="2"/>
  <c r="AE477" i="2" s="1"/>
  <c r="U477" i="2"/>
  <c r="T477" i="2"/>
  <c r="S477" i="2"/>
  <c r="C477" i="2"/>
  <c r="AB476" i="2"/>
  <c r="AA476" i="2"/>
  <c r="Z476" i="2"/>
  <c r="Y476" i="2"/>
  <c r="AC476" i="2" s="1"/>
  <c r="X476" i="2"/>
  <c r="U476" i="2"/>
  <c r="T476" i="2"/>
  <c r="S476" i="2"/>
  <c r="C476" i="2"/>
  <c r="AB475" i="2"/>
  <c r="AA475" i="2"/>
  <c r="Z475" i="2"/>
  <c r="Y475" i="2"/>
  <c r="X475" i="2"/>
  <c r="U475" i="2"/>
  <c r="T475" i="2"/>
  <c r="S475" i="2"/>
  <c r="C475" i="2"/>
  <c r="AB474" i="2"/>
  <c r="AA474" i="2"/>
  <c r="Z474" i="2"/>
  <c r="Y474" i="2"/>
  <c r="X474" i="2"/>
  <c r="U474" i="2"/>
  <c r="T474" i="2"/>
  <c r="S474" i="2"/>
  <c r="C474" i="2"/>
  <c r="AB473" i="2"/>
  <c r="AA473" i="2"/>
  <c r="Z473" i="2"/>
  <c r="Y473" i="2"/>
  <c r="X473" i="2"/>
  <c r="U473" i="2"/>
  <c r="T473" i="2"/>
  <c r="S473" i="2"/>
  <c r="C473" i="2"/>
  <c r="AB472" i="2"/>
  <c r="AA472" i="2"/>
  <c r="AC472" i="2" s="1"/>
  <c r="Z472" i="2"/>
  <c r="Y472" i="2"/>
  <c r="X472" i="2"/>
  <c r="U472" i="2"/>
  <c r="T472" i="2"/>
  <c r="S472" i="2"/>
  <c r="C472" i="2"/>
  <c r="AB471" i="2"/>
  <c r="AE471" i="2" s="1"/>
  <c r="AA471" i="2"/>
  <c r="Z471" i="2"/>
  <c r="Y471" i="2"/>
  <c r="X471" i="2"/>
  <c r="U471" i="2"/>
  <c r="T471" i="2"/>
  <c r="S471" i="2"/>
  <c r="C471" i="2"/>
  <c r="AB470" i="2"/>
  <c r="AA470" i="2"/>
  <c r="Z470" i="2"/>
  <c r="Y470" i="2"/>
  <c r="X470" i="2"/>
  <c r="U470" i="2"/>
  <c r="T470" i="2"/>
  <c r="S470" i="2"/>
  <c r="C470" i="2"/>
  <c r="AB469" i="2"/>
  <c r="AA469" i="2"/>
  <c r="Z469" i="2"/>
  <c r="Y469" i="2"/>
  <c r="X469" i="2"/>
  <c r="AE469" i="2" s="1"/>
  <c r="U469" i="2"/>
  <c r="T469" i="2"/>
  <c r="S469" i="2"/>
  <c r="C469" i="2"/>
  <c r="AB468" i="2"/>
  <c r="AA468" i="2"/>
  <c r="Z468" i="2"/>
  <c r="Y468" i="2"/>
  <c r="AC468" i="2" s="1"/>
  <c r="X468" i="2"/>
  <c r="U468" i="2"/>
  <c r="T468" i="2"/>
  <c r="S468" i="2"/>
  <c r="C468" i="2"/>
  <c r="AB467" i="2"/>
  <c r="AA467" i="2"/>
  <c r="Z467" i="2"/>
  <c r="Y467" i="2"/>
  <c r="X467" i="2"/>
  <c r="U467" i="2"/>
  <c r="T467" i="2"/>
  <c r="S467" i="2"/>
  <c r="C467" i="2"/>
  <c r="AB466" i="2"/>
  <c r="AA466" i="2"/>
  <c r="Z466" i="2"/>
  <c r="Y466" i="2"/>
  <c r="X466" i="2"/>
  <c r="U466" i="2"/>
  <c r="T466" i="2"/>
  <c r="S466" i="2"/>
  <c r="C466" i="2"/>
  <c r="AB465" i="2"/>
  <c r="AA465" i="2"/>
  <c r="Z465" i="2"/>
  <c r="Y465" i="2"/>
  <c r="X465" i="2"/>
  <c r="U465" i="2"/>
  <c r="T465" i="2"/>
  <c r="S465" i="2"/>
  <c r="C465" i="2"/>
  <c r="AB464" i="2"/>
  <c r="AA464" i="2"/>
  <c r="AC464" i="2" s="1"/>
  <c r="Z464" i="2"/>
  <c r="Y464" i="2"/>
  <c r="X464" i="2"/>
  <c r="U464" i="2"/>
  <c r="T464" i="2"/>
  <c r="S464" i="2"/>
  <c r="C464" i="2"/>
  <c r="AB463" i="2"/>
  <c r="AA463" i="2"/>
  <c r="Z463" i="2"/>
  <c r="Y463" i="2"/>
  <c r="X463" i="2"/>
  <c r="U463" i="2"/>
  <c r="T463" i="2"/>
  <c r="S463" i="2"/>
  <c r="C463" i="2"/>
  <c r="AB462" i="2"/>
  <c r="AA462" i="2"/>
  <c r="Z462" i="2"/>
  <c r="Y462" i="2"/>
  <c r="X462" i="2"/>
  <c r="U462" i="2"/>
  <c r="T462" i="2"/>
  <c r="S462" i="2"/>
  <c r="C462" i="2"/>
  <c r="AB461" i="2"/>
  <c r="AA461" i="2"/>
  <c r="Z461" i="2"/>
  <c r="Y461" i="2"/>
  <c r="X461" i="2"/>
  <c r="U461" i="2"/>
  <c r="T461" i="2"/>
  <c r="S461" i="2"/>
  <c r="C461" i="2"/>
  <c r="AB460" i="2"/>
  <c r="AA460" i="2"/>
  <c r="Z460" i="2"/>
  <c r="Y460" i="2"/>
  <c r="AC460" i="2" s="1"/>
  <c r="X460" i="2"/>
  <c r="U460" i="2"/>
  <c r="T460" i="2"/>
  <c r="S460" i="2"/>
  <c r="C460" i="2"/>
  <c r="AB459" i="2"/>
  <c r="AA459" i="2"/>
  <c r="Z459" i="2"/>
  <c r="Y459" i="2"/>
  <c r="X459" i="2"/>
  <c r="U459" i="2"/>
  <c r="T459" i="2"/>
  <c r="S459" i="2"/>
  <c r="C459" i="2"/>
  <c r="Y19" i="3"/>
  <c r="W19" i="3"/>
  <c r="Y18" i="3"/>
  <c r="W18" i="3"/>
  <c r="Y17" i="3"/>
  <c r="W17" i="3"/>
  <c r="Y16" i="3"/>
  <c r="W16" i="3"/>
  <c r="Y15" i="3"/>
  <c r="W15" i="3"/>
  <c r="Y14" i="3"/>
  <c r="W14" i="3"/>
  <c r="Y13" i="3"/>
  <c r="W13" i="3"/>
  <c r="Y12" i="3"/>
  <c r="W12" i="3"/>
  <c r="Y11" i="3"/>
  <c r="W11" i="3"/>
  <c r="Y10" i="3"/>
  <c r="W10" i="3"/>
  <c r="Y9" i="3"/>
  <c r="W9" i="3"/>
  <c r="W8" i="3"/>
  <c r="Y7" i="3"/>
  <c r="Y6" i="3"/>
  <c r="Y5" i="3"/>
  <c r="Y4" i="3"/>
  <c r="Y3" i="3"/>
  <c r="Y2" i="3"/>
  <c r="W7" i="3"/>
  <c r="W6" i="3"/>
  <c r="W5" i="3"/>
  <c r="W4" i="3"/>
  <c r="W3" i="3"/>
  <c r="W2" i="3"/>
  <c r="T454" i="2"/>
  <c r="AB458" i="2"/>
  <c r="AA458" i="2"/>
  <c r="Z458" i="2"/>
  <c r="Y458" i="2"/>
  <c r="X458" i="2"/>
  <c r="U458" i="2"/>
  <c r="T458" i="2"/>
  <c r="S458" i="2"/>
  <c r="C458" i="2"/>
  <c r="AB457" i="2"/>
  <c r="AA457" i="2"/>
  <c r="Z457" i="2"/>
  <c r="Y457" i="2"/>
  <c r="X457" i="2"/>
  <c r="U457" i="2"/>
  <c r="T457" i="2"/>
  <c r="S457" i="2"/>
  <c r="C457" i="2"/>
  <c r="AB456" i="2"/>
  <c r="AA456" i="2"/>
  <c r="AC456" i="2" s="1"/>
  <c r="Z456" i="2"/>
  <c r="Y456" i="2"/>
  <c r="X456" i="2"/>
  <c r="U456" i="2"/>
  <c r="T456" i="2"/>
  <c r="S456" i="2"/>
  <c r="C456" i="2"/>
  <c r="AB455" i="2"/>
  <c r="AA455" i="2"/>
  <c r="Z455" i="2"/>
  <c r="Y455" i="2"/>
  <c r="X455" i="2"/>
  <c r="U455" i="2"/>
  <c r="T455" i="2"/>
  <c r="S455" i="2"/>
  <c r="C455" i="2"/>
  <c r="AB454" i="2"/>
  <c r="AA454" i="2"/>
  <c r="Z454" i="2"/>
  <c r="Y454" i="2"/>
  <c r="X454" i="2"/>
  <c r="U454" i="2"/>
  <c r="S454" i="2"/>
  <c r="C454" i="2"/>
  <c r="AB453" i="2"/>
  <c r="AA453" i="2"/>
  <c r="Z453" i="2"/>
  <c r="Y453" i="2"/>
  <c r="X453" i="2"/>
  <c r="U453" i="2"/>
  <c r="T453" i="2"/>
  <c r="S453" i="2"/>
  <c r="C453" i="2"/>
  <c r="AB452" i="2"/>
  <c r="AA452" i="2"/>
  <c r="Z452" i="2"/>
  <c r="Y452" i="2"/>
  <c r="X452" i="2"/>
  <c r="U452" i="2"/>
  <c r="T452" i="2"/>
  <c r="S452" i="2"/>
  <c r="C452" i="2"/>
  <c r="AB451" i="2"/>
  <c r="AA451" i="2"/>
  <c r="Z451" i="2"/>
  <c r="Y451" i="2"/>
  <c r="AC451" i="2" s="1"/>
  <c r="X451" i="2"/>
  <c r="U451" i="2"/>
  <c r="T451" i="2"/>
  <c r="S451" i="2"/>
  <c r="C451" i="2"/>
  <c r="AB450" i="2"/>
  <c r="AA450" i="2"/>
  <c r="Z450" i="2"/>
  <c r="Y450" i="2"/>
  <c r="X450" i="2"/>
  <c r="U450" i="2"/>
  <c r="T450" i="2"/>
  <c r="S450" i="2"/>
  <c r="C450" i="2"/>
  <c r="AB449" i="2"/>
  <c r="AA449" i="2"/>
  <c r="Z449" i="2"/>
  <c r="Y449" i="2"/>
  <c r="X449" i="2"/>
  <c r="U449" i="2"/>
  <c r="T449" i="2"/>
  <c r="S449" i="2"/>
  <c r="C449" i="2"/>
  <c r="AB448" i="2"/>
  <c r="AA448" i="2"/>
  <c r="Z448" i="2"/>
  <c r="Y448" i="2"/>
  <c r="X448" i="2"/>
  <c r="U448" i="2"/>
  <c r="T448" i="2"/>
  <c r="S448" i="2"/>
  <c r="C448" i="2"/>
  <c r="AB447" i="2"/>
  <c r="AA447" i="2"/>
  <c r="Z447" i="2"/>
  <c r="Y447" i="2"/>
  <c r="X447" i="2"/>
  <c r="U447" i="2"/>
  <c r="T447" i="2"/>
  <c r="S447" i="2"/>
  <c r="C447" i="2"/>
  <c r="AB446" i="2"/>
  <c r="AA446" i="2"/>
  <c r="Z446" i="2"/>
  <c r="Y446" i="2"/>
  <c r="X446" i="2"/>
  <c r="U446" i="2"/>
  <c r="T446" i="2"/>
  <c r="S446" i="2"/>
  <c r="C446" i="2"/>
  <c r="AB445" i="2"/>
  <c r="AA445" i="2"/>
  <c r="Z445" i="2"/>
  <c r="Y445" i="2"/>
  <c r="X445" i="2"/>
  <c r="U445" i="2"/>
  <c r="T445" i="2"/>
  <c r="S445" i="2"/>
  <c r="C445" i="2"/>
  <c r="AB444" i="2"/>
  <c r="AA444" i="2"/>
  <c r="AC444" i="2" s="1"/>
  <c r="Z444" i="2"/>
  <c r="Y444" i="2"/>
  <c r="X444" i="2"/>
  <c r="AE444" i="2" s="1"/>
  <c r="U444" i="2"/>
  <c r="T444" i="2"/>
  <c r="S444" i="2"/>
  <c r="C444" i="2"/>
  <c r="AB443" i="2"/>
  <c r="AA443" i="2"/>
  <c r="Z443" i="2"/>
  <c r="Y443" i="2"/>
  <c r="AC443" i="2" s="1"/>
  <c r="X443" i="2"/>
  <c r="U443" i="2"/>
  <c r="T443" i="2"/>
  <c r="S443" i="2"/>
  <c r="C443" i="2"/>
  <c r="AB442" i="2"/>
  <c r="AA442" i="2"/>
  <c r="Z442" i="2"/>
  <c r="Y442" i="2"/>
  <c r="X442" i="2"/>
  <c r="U442" i="2"/>
  <c r="T442" i="2"/>
  <c r="S442" i="2"/>
  <c r="C442" i="2"/>
  <c r="AB441" i="2"/>
  <c r="AA441" i="2"/>
  <c r="Z441" i="2"/>
  <c r="Y441" i="2"/>
  <c r="X441" i="2"/>
  <c r="U441" i="2"/>
  <c r="T441" i="2"/>
  <c r="S441" i="2"/>
  <c r="C441" i="2"/>
  <c r="AB440" i="2"/>
  <c r="AA440" i="2"/>
  <c r="AC440" i="2" s="1"/>
  <c r="Z440" i="2"/>
  <c r="Y440" i="2"/>
  <c r="X440" i="2"/>
  <c r="U440" i="2"/>
  <c r="T440" i="2"/>
  <c r="S440" i="2"/>
  <c r="C440" i="2"/>
  <c r="AB439" i="2"/>
  <c r="AA439" i="2"/>
  <c r="Z439" i="2"/>
  <c r="Y439" i="2"/>
  <c r="X439" i="2"/>
  <c r="U439" i="2"/>
  <c r="T439" i="2"/>
  <c r="S439" i="2"/>
  <c r="C439" i="2"/>
  <c r="AB438" i="2"/>
  <c r="AA438" i="2"/>
  <c r="Z438" i="2"/>
  <c r="Y438" i="2"/>
  <c r="X438" i="2"/>
  <c r="U438" i="2"/>
  <c r="T438" i="2"/>
  <c r="S438" i="2"/>
  <c r="C438" i="2"/>
  <c r="AB437" i="2"/>
  <c r="AA437" i="2"/>
  <c r="Z437" i="2"/>
  <c r="Y437" i="2"/>
  <c r="X437" i="2"/>
  <c r="U437" i="2"/>
  <c r="T437" i="2"/>
  <c r="S437" i="2"/>
  <c r="C437" i="2"/>
  <c r="AB436" i="2"/>
  <c r="AA436" i="2"/>
  <c r="AC436" i="2" s="1"/>
  <c r="Z436" i="2"/>
  <c r="Y436" i="2"/>
  <c r="X436" i="2"/>
  <c r="AE436" i="2" s="1"/>
  <c r="U436" i="2"/>
  <c r="T436" i="2"/>
  <c r="S436" i="2"/>
  <c r="C436" i="2"/>
  <c r="AB435" i="2"/>
  <c r="AA435" i="2"/>
  <c r="Z435" i="2"/>
  <c r="Y435" i="2"/>
  <c r="AC435" i="2" s="1"/>
  <c r="X435" i="2"/>
  <c r="U435" i="2"/>
  <c r="T435" i="2"/>
  <c r="S435" i="2"/>
  <c r="C435" i="2"/>
  <c r="AB434" i="2"/>
  <c r="AA434" i="2"/>
  <c r="Z434" i="2"/>
  <c r="Y434" i="2"/>
  <c r="X434" i="2"/>
  <c r="U434" i="2"/>
  <c r="T434" i="2"/>
  <c r="S434" i="2"/>
  <c r="C434" i="2"/>
  <c r="AB433" i="2"/>
  <c r="AA433" i="2"/>
  <c r="Z433" i="2"/>
  <c r="Y433" i="2"/>
  <c r="X433" i="2"/>
  <c r="U433" i="2"/>
  <c r="T433" i="2"/>
  <c r="S433" i="2"/>
  <c r="C433" i="2"/>
  <c r="AB432" i="2"/>
  <c r="AA432" i="2"/>
  <c r="AC432" i="2" s="1"/>
  <c r="Z432" i="2"/>
  <c r="Y432" i="2"/>
  <c r="X432" i="2"/>
  <c r="U432" i="2"/>
  <c r="T432" i="2"/>
  <c r="S432" i="2"/>
  <c r="C432" i="2"/>
  <c r="AB431" i="2"/>
  <c r="AA431" i="2"/>
  <c r="Z431" i="2"/>
  <c r="Y431" i="2"/>
  <c r="X431" i="2"/>
  <c r="U431" i="2"/>
  <c r="T431" i="2"/>
  <c r="S431" i="2"/>
  <c r="C431" i="2"/>
  <c r="AB430" i="2"/>
  <c r="AA430" i="2"/>
  <c r="Z430" i="2"/>
  <c r="Y430" i="2"/>
  <c r="X430" i="2"/>
  <c r="U430" i="2"/>
  <c r="T430" i="2"/>
  <c r="S430" i="2"/>
  <c r="C430" i="2"/>
  <c r="AB429" i="2"/>
  <c r="AA429" i="2"/>
  <c r="Z429" i="2"/>
  <c r="Y429" i="2"/>
  <c r="X429" i="2"/>
  <c r="U429" i="2"/>
  <c r="T429" i="2"/>
  <c r="S429" i="2"/>
  <c r="C429" i="2"/>
  <c r="AB428" i="2"/>
  <c r="AA428" i="2"/>
  <c r="Z428" i="2"/>
  <c r="Y428" i="2"/>
  <c r="X428" i="2"/>
  <c r="AE428" i="2" s="1"/>
  <c r="U428" i="2"/>
  <c r="T428" i="2"/>
  <c r="S428" i="2"/>
  <c r="C428" i="2"/>
  <c r="AB427" i="2"/>
  <c r="AA427" i="2"/>
  <c r="Z427" i="2"/>
  <c r="Y427" i="2"/>
  <c r="AC427" i="2" s="1"/>
  <c r="X427" i="2"/>
  <c r="U427" i="2"/>
  <c r="T427" i="2"/>
  <c r="S427" i="2"/>
  <c r="C427" i="2"/>
  <c r="AB426" i="2"/>
  <c r="AA426" i="2"/>
  <c r="Z426" i="2"/>
  <c r="Y426" i="2"/>
  <c r="X426" i="2"/>
  <c r="U426" i="2"/>
  <c r="T426" i="2"/>
  <c r="S426" i="2"/>
  <c r="C426" i="2"/>
  <c r="AB425" i="2"/>
  <c r="AA425" i="2"/>
  <c r="Z425" i="2"/>
  <c r="Y425" i="2"/>
  <c r="X425" i="2"/>
  <c r="U425" i="2"/>
  <c r="T425" i="2"/>
  <c r="S425" i="2"/>
  <c r="C425" i="2"/>
  <c r="AB424" i="2"/>
  <c r="AA424" i="2"/>
  <c r="AC424" i="2" s="1"/>
  <c r="Z424" i="2"/>
  <c r="Y424" i="2"/>
  <c r="X424" i="2"/>
  <c r="U424" i="2"/>
  <c r="T424" i="2"/>
  <c r="S424" i="2"/>
  <c r="C424" i="2"/>
  <c r="AB423" i="2"/>
  <c r="AA423" i="2"/>
  <c r="Z423" i="2"/>
  <c r="Y423" i="2"/>
  <c r="X423" i="2"/>
  <c r="U423" i="2"/>
  <c r="T423" i="2"/>
  <c r="S423" i="2"/>
  <c r="C423" i="2"/>
  <c r="AB422" i="2"/>
  <c r="AA422" i="2"/>
  <c r="Z422" i="2"/>
  <c r="Y422" i="2"/>
  <c r="X422" i="2"/>
  <c r="U422" i="2"/>
  <c r="T422" i="2"/>
  <c r="S422" i="2"/>
  <c r="C422" i="2"/>
  <c r="AB421" i="2"/>
  <c r="AA421" i="2"/>
  <c r="Z421" i="2"/>
  <c r="Y421" i="2"/>
  <c r="X421" i="2"/>
  <c r="U421" i="2"/>
  <c r="T421" i="2"/>
  <c r="S421" i="2"/>
  <c r="C421" i="2"/>
  <c r="AB420" i="2"/>
  <c r="AA420" i="2"/>
  <c r="Z420" i="2"/>
  <c r="Y420" i="2"/>
  <c r="X420" i="2"/>
  <c r="AE420" i="2" s="1"/>
  <c r="U420" i="2"/>
  <c r="T420" i="2"/>
  <c r="S420" i="2"/>
  <c r="C420" i="2"/>
  <c r="AB419" i="2"/>
  <c r="AA419" i="2"/>
  <c r="Z419" i="2"/>
  <c r="Y419" i="2"/>
  <c r="AC419" i="2" s="1"/>
  <c r="X419" i="2"/>
  <c r="U419" i="2"/>
  <c r="T419" i="2"/>
  <c r="S419" i="2"/>
  <c r="C419" i="2"/>
  <c r="AB418" i="2"/>
  <c r="AA418" i="2"/>
  <c r="Z418" i="2"/>
  <c r="Y418" i="2"/>
  <c r="X418" i="2"/>
  <c r="U418" i="2"/>
  <c r="T418" i="2"/>
  <c r="S418" i="2"/>
  <c r="C418" i="2"/>
  <c r="AB417" i="2"/>
  <c r="AA417" i="2"/>
  <c r="Z417" i="2"/>
  <c r="Y417" i="2"/>
  <c r="X417" i="2"/>
  <c r="U417" i="2"/>
  <c r="T417" i="2"/>
  <c r="S417" i="2"/>
  <c r="C417" i="2"/>
  <c r="AB416" i="2"/>
  <c r="AA416" i="2"/>
  <c r="AC416" i="2" s="1"/>
  <c r="Z416" i="2"/>
  <c r="Y416" i="2"/>
  <c r="X416" i="2"/>
  <c r="U416" i="2"/>
  <c r="T416" i="2"/>
  <c r="S416" i="2"/>
  <c r="C416" i="2"/>
  <c r="AB415" i="2"/>
  <c r="AA415" i="2"/>
  <c r="AC415" i="2" s="1"/>
  <c r="Z415" i="2"/>
  <c r="Y415" i="2"/>
  <c r="X415" i="2"/>
  <c r="U415" i="2"/>
  <c r="T415" i="2"/>
  <c r="S415" i="2"/>
  <c r="C415" i="2"/>
  <c r="AB414" i="2"/>
  <c r="AA414" i="2"/>
  <c r="Z414" i="2"/>
  <c r="Y414" i="2"/>
  <c r="X414" i="2"/>
  <c r="U414" i="2"/>
  <c r="T414" i="2"/>
  <c r="S414" i="2"/>
  <c r="C414" i="2"/>
  <c r="AB413" i="2"/>
  <c r="AA413" i="2"/>
  <c r="Z413" i="2"/>
  <c r="Y413" i="2"/>
  <c r="X413" i="2"/>
  <c r="U413" i="2"/>
  <c r="T413" i="2"/>
  <c r="S413" i="2"/>
  <c r="C413" i="2"/>
  <c r="AB412" i="2"/>
  <c r="AA412" i="2"/>
  <c r="Z412" i="2"/>
  <c r="Y412" i="2"/>
  <c r="X412" i="2"/>
  <c r="U412" i="2"/>
  <c r="T412" i="2"/>
  <c r="S412" i="2"/>
  <c r="C412" i="2"/>
  <c r="AB411" i="2"/>
  <c r="AA411" i="2"/>
  <c r="Z411" i="2"/>
  <c r="Y411" i="2"/>
  <c r="AC411" i="2" s="1"/>
  <c r="X411" i="2"/>
  <c r="U411" i="2"/>
  <c r="T411" i="2"/>
  <c r="S411" i="2"/>
  <c r="C411" i="2"/>
  <c r="AB410" i="2"/>
  <c r="AA410" i="2"/>
  <c r="Z410" i="2"/>
  <c r="Y410" i="2"/>
  <c r="X410" i="2"/>
  <c r="U410" i="2"/>
  <c r="T410" i="2"/>
  <c r="S410" i="2"/>
  <c r="C410" i="2"/>
  <c r="AB409" i="2"/>
  <c r="AA409" i="2"/>
  <c r="Z409" i="2"/>
  <c r="Y409" i="2"/>
  <c r="X409" i="2"/>
  <c r="U409" i="2"/>
  <c r="T409" i="2"/>
  <c r="S409" i="2"/>
  <c r="C409" i="2"/>
  <c r="AB408" i="2"/>
  <c r="AA408" i="2"/>
  <c r="Z408" i="2"/>
  <c r="Y408" i="2"/>
  <c r="X408" i="2"/>
  <c r="U408" i="2"/>
  <c r="T408" i="2"/>
  <c r="S408" i="2"/>
  <c r="C408" i="2"/>
  <c r="AB407" i="2"/>
  <c r="AA407" i="2"/>
  <c r="Z407" i="2"/>
  <c r="Y407" i="2"/>
  <c r="X407" i="2"/>
  <c r="U407" i="2"/>
  <c r="T407" i="2"/>
  <c r="S407" i="2"/>
  <c r="C407" i="2"/>
  <c r="AB406" i="2"/>
  <c r="AA406" i="2"/>
  <c r="Z406" i="2"/>
  <c r="Y406" i="2"/>
  <c r="X406" i="2"/>
  <c r="U406" i="2"/>
  <c r="T406" i="2"/>
  <c r="S406" i="2"/>
  <c r="C406" i="2"/>
  <c r="AB405" i="2"/>
  <c r="AA405" i="2"/>
  <c r="Z405" i="2"/>
  <c r="Y405" i="2"/>
  <c r="X405" i="2"/>
  <c r="U405" i="2"/>
  <c r="T405" i="2"/>
  <c r="S405" i="2"/>
  <c r="C405" i="2"/>
  <c r="X399" i="2"/>
  <c r="AC452" i="2"/>
  <c r="AC461" i="2"/>
  <c r="AE474" i="2"/>
  <c r="AE445" i="2"/>
  <c r="P12" i="1"/>
  <c r="O12" i="1"/>
  <c r="N12" i="1"/>
  <c r="K12" i="1"/>
  <c r="J12" i="1"/>
  <c r="I12" i="1"/>
  <c r="H12" i="1"/>
  <c r="G12" i="1"/>
  <c r="F12" i="1"/>
  <c r="E12" i="1"/>
  <c r="D12" i="1"/>
  <c r="B12" i="1"/>
  <c r="P7" i="1"/>
  <c r="O7" i="1"/>
  <c r="N7" i="1"/>
  <c r="M7" i="1"/>
  <c r="K7" i="1"/>
  <c r="J7" i="1"/>
  <c r="I7" i="1"/>
  <c r="H7" i="1"/>
  <c r="G7" i="1"/>
  <c r="F7" i="1"/>
  <c r="E7" i="1"/>
  <c r="D7" i="1"/>
  <c r="B7" i="1"/>
  <c r="P9" i="1"/>
  <c r="O9" i="1"/>
  <c r="N9" i="1"/>
  <c r="M9" i="1"/>
  <c r="K9" i="1"/>
  <c r="J9" i="1"/>
  <c r="I9" i="1"/>
  <c r="H9" i="1"/>
  <c r="G9" i="1"/>
  <c r="F9" i="1"/>
  <c r="E9" i="1"/>
  <c r="D9" i="1"/>
  <c r="B9" i="1"/>
  <c r="P8" i="1"/>
  <c r="O8" i="1"/>
  <c r="N8" i="1"/>
  <c r="M8" i="1"/>
  <c r="K8" i="1"/>
  <c r="J8" i="1"/>
  <c r="I8" i="1"/>
  <c r="H8" i="1"/>
  <c r="G8" i="1"/>
  <c r="F8" i="1"/>
  <c r="E8" i="1"/>
  <c r="D8" i="1"/>
  <c r="B8" i="1"/>
  <c r="B5" i="1"/>
  <c r="T402" i="2"/>
  <c r="T403" i="2"/>
  <c r="AB403" i="2"/>
  <c r="AA403" i="2"/>
  <c r="Z403" i="2"/>
  <c r="Y403" i="2"/>
  <c r="X403" i="2"/>
  <c r="U403" i="2"/>
  <c r="S403" i="2"/>
  <c r="C403" i="2"/>
  <c r="AB404" i="2"/>
  <c r="AA404" i="2"/>
  <c r="Z404" i="2"/>
  <c r="Y404" i="2"/>
  <c r="X404" i="2"/>
  <c r="U404" i="2"/>
  <c r="T404" i="2"/>
  <c r="S404" i="2"/>
  <c r="C404" i="2"/>
  <c r="AB402" i="2"/>
  <c r="AA402" i="2"/>
  <c r="AC402" i="2" s="1"/>
  <c r="Z402" i="2"/>
  <c r="Y402" i="2"/>
  <c r="X402" i="2"/>
  <c r="U402" i="2"/>
  <c r="S402" i="2"/>
  <c r="C402" i="2"/>
  <c r="AB401" i="2"/>
  <c r="AA401" i="2"/>
  <c r="Z401" i="2"/>
  <c r="Y401" i="2"/>
  <c r="X401" i="2"/>
  <c r="U401" i="2"/>
  <c r="T401" i="2"/>
  <c r="S401" i="2"/>
  <c r="C401" i="2"/>
  <c r="AB400" i="2"/>
  <c r="AA400" i="2"/>
  <c r="Z400" i="2"/>
  <c r="Y400" i="2"/>
  <c r="X400" i="2"/>
  <c r="U400" i="2"/>
  <c r="T400" i="2"/>
  <c r="S400" i="2"/>
  <c r="C400" i="2"/>
  <c r="AB399" i="2"/>
  <c r="AA399" i="2"/>
  <c r="Z399" i="2"/>
  <c r="Y399" i="2"/>
  <c r="AC399" i="2" s="1"/>
  <c r="U399" i="2"/>
  <c r="T399" i="2"/>
  <c r="S399" i="2"/>
  <c r="C399" i="2"/>
  <c r="AB398" i="2"/>
  <c r="AA398" i="2"/>
  <c r="Z398" i="2"/>
  <c r="Y398" i="2"/>
  <c r="AC398" i="2" s="1"/>
  <c r="X398" i="2"/>
  <c r="U398" i="2"/>
  <c r="T398" i="2"/>
  <c r="S398" i="2"/>
  <c r="C398" i="2"/>
  <c r="AB397" i="2"/>
  <c r="AA397" i="2"/>
  <c r="Z397" i="2"/>
  <c r="Y397" i="2"/>
  <c r="X397" i="2"/>
  <c r="U397" i="2"/>
  <c r="T397" i="2"/>
  <c r="S397" i="2"/>
  <c r="C397" i="2"/>
  <c r="AB396" i="2"/>
  <c r="AA396" i="2"/>
  <c r="AC396" i="2" s="1"/>
  <c r="Z396" i="2"/>
  <c r="Y396" i="2"/>
  <c r="X396" i="2"/>
  <c r="U396" i="2"/>
  <c r="T396" i="2"/>
  <c r="S396" i="2"/>
  <c r="C396" i="2"/>
  <c r="AC401" i="2"/>
  <c r="AB395" i="2"/>
  <c r="AA395" i="2"/>
  <c r="AC395" i="2" s="1"/>
  <c r="Z395" i="2"/>
  <c r="Y395" i="2"/>
  <c r="X395" i="2"/>
  <c r="U395" i="2"/>
  <c r="T395" i="2"/>
  <c r="S395" i="2"/>
  <c r="C395" i="2"/>
  <c r="AB394" i="2"/>
  <c r="AA394" i="2"/>
  <c r="Z394" i="2"/>
  <c r="Y394" i="2"/>
  <c r="X394" i="2"/>
  <c r="U394" i="2"/>
  <c r="T394" i="2"/>
  <c r="S394" i="2"/>
  <c r="C394" i="2"/>
  <c r="AB393" i="2"/>
  <c r="AA393" i="2"/>
  <c r="Z393" i="2"/>
  <c r="Y393" i="2"/>
  <c r="AC393" i="2" s="1"/>
  <c r="X393" i="2"/>
  <c r="U393" i="2"/>
  <c r="T393" i="2"/>
  <c r="S393" i="2"/>
  <c r="C393" i="2"/>
  <c r="AB392" i="2"/>
  <c r="AA392" i="2"/>
  <c r="Z392" i="2"/>
  <c r="Y392" i="2"/>
  <c r="X392" i="2"/>
  <c r="U392" i="2"/>
  <c r="T392" i="2"/>
  <c r="S392" i="2"/>
  <c r="C392" i="2"/>
  <c r="AB391" i="2"/>
  <c r="AA391" i="2"/>
  <c r="Z391" i="2"/>
  <c r="Y391" i="2"/>
  <c r="X391" i="2"/>
  <c r="U391" i="2"/>
  <c r="T391" i="2"/>
  <c r="S391" i="2"/>
  <c r="C391" i="2"/>
  <c r="AB390" i="2"/>
  <c r="AA390" i="2"/>
  <c r="Z390" i="2"/>
  <c r="Y390" i="2"/>
  <c r="X390" i="2"/>
  <c r="U390" i="2"/>
  <c r="T390" i="2"/>
  <c r="S390" i="2"/>
  <c r="C390" i="2"/>
  <c r="AB389" i="2"/>
  <c r="AA389" i="2"/>
  <c r="Z389" i="2"/>
  <c r="Y389" i="2"/>
  <c r="X389" i="2"/>
  <c r="U389" i="2"/>
  <c r="T389" i="2"/>
  <c r="S389" i="2"/>
  <c r="C389" i="2"/>
  <c r="AB388" i="2"/>
  <c r="AE388" i="2" s="1"/>
  <c r="AA388" i="2"/>
  <c r="Z388" i="2"/>
  <c r="Y388" i="2"/>
  <c r="X388" i="2"/>
  <c r="U388" i="2"/>
  <c r="T388" i="2"/>
  <c r="S388" i="2"/>
  <c r="C388" i="2"/>
  <c r="AB387" i="2"/>
  <c r="AA387" i="2"/>
  <c r="AC387" i="2" s="1"/>
  <c r="Z387" i="2"/>
  <c r="Y387" i="2"/>
  <c r="X387" i="2"/>
  <c r="U387" i="2"/>
  <c r="T387" i="2"/>
  <c r="S387" i="2"/>
  <c r="C387" i="2"/>
  <c r="AB386" i="2"/>
  <c r="AA386" i="2"/>
  <c r="Z386" i="2"/>
  <c r="Y386" i="2"/>
  <c r="X386" i="2"/>
  <c r="U386" i="2"/>
  <c r="T386" i="2"/>
  <c r="S386" i="2"/>
  <c r="C386" i="2"/>
  <c r="AB385" i="2"/>
  <c r="AA385" i="2"/>
  <c r="Z385" i="2"/>
  <c r="Y385" i="2"/>
  <c r="AC385" i="2" s="1"/>
  <c r="X385" i="2"/>
  <c r="U385" i="2"/>
  <c r="T385" i="2"/>
  <c r="S385" i="2"/>
  <c r="C385" i="2"/>
  <c r="AB384" i="2"/>
  <c r="AA384" i="2"/>
  <c r="Z384" i="2"/>
  <c r="Y384" i="2"/>
  <c r="X384" i="2"/>
  <c r="U384" i="2"/>
  <c r="T384" i="2"/>
  <c r="S384" i="2"/>
  <c r="C384" i="2"/>
  <c r="AB383" i="2"/>
  <c r="AA383" i="2"/>
  <c r="Z383" i="2"/>
  <c r="Y383" i="2"/>
  <c r="X383" i="2"/>
  <c r="U383" i="2"/>
  <c r="T383" i="2"/>
  <c r="S383" i="2"/>
  <c r="C383" i="2"/>
  <c r="AB382" i="2"/>
  <c r="AA382" i="2"/>
  <c r="Z382" i="2"/>
  <c r="Y382" i="2"/>
  <c r="X382" i="2"/>
  <c r="U382" i="2"/>
  <c r="T382" i="2"/>
  <c r="S382" i="2"/>
  <c r="C382" i="2"/>
  <c r="AB381" i="2"/>
  <c r="AA381" i="2"/>
  <c r="Z381" i="2"/>
  <c r="Y381" i="2"/>
  <c r="X381" i="2"/>
  <c r="U381" i="2"/>
  <c r="T381" i="2"/>
  <c r="S381" i="2"/>
  <c r="C381" i="2"/>
  <c r="AB380" i="2"/>
  <c r="AA380" i="2"/>
  <c r="Z380" i="2"/>
  <c r="Y380" i="2"/>
  <c r="X380" i="2"/>
  <c r="U380" i="2"/>
  <c r="T380" i="2"/>
  <c r="S380" i="2"/>
  <c r="C380" i="2"/>
  <c r="AB379" i="2"/>
  <c r="AA379" i="2"/>
  <c r="AC379" i="2" s="1"/>
  <c r="Z379" i="2"/>
  <c r="Y379" i="2"/>
  <c r="X379" i="2"/>
  <c r="U379" i="2"/>
  <c r="T379" i="2"/>
  <c r="S379" i="2"/>
  <c r="C379" i="2"/>
  <c r="AB378" i="2"/>
  <c r="AA378" i="2"/>
  <c r="Z378" i="2"/>
  <c r="Y378" i="2"/>
  <c r="X378" i="2"/>
  <c r="U378" i="2"/>
  <c r="T378" i="2"/>
  <c r="S378" i="2"/>
  <c r="C378" i="2"/>
  <c r="AB377" i="2"/>
  <c r="AA377" i="2"/>
  <c r="Z377" i="2"/>
  <c r="Y377" i="2"/>
  <c r="AC377" i="2" s="1"/>
  <c r="X377" i="2"/>
  <c r="U377" i="2"/>
  <c r="T377" i="2"/>
  <c r="S377" i="2"/>
  <c r="C377" i="2"/>
  <c r="AB376" i="2"/>
  <c r="AA376" i="2"/>
  <c r="Z376" i="2"/>
  <c r="Y376" i="2"/>
  <c r="AC376" i="2" s="1"/>
  <c r="X376" i="2"/>
  <c r="U376" i="2"/>
  <c r="T376" i="2"/>
  <c r="S376" i="2"/>
  <c r="C376" i="2"/>
  <c r="AB375" i="2"/>
  <c r="AA375" i="2"/>
  <c r="Z375" i="2"/>
  <c r="Y375" i="2"/>
  <c r="X375" i="2"/>
  <c r="U375" i="2"/>
  <c r="T375" i="2"/>
  <c r="S375" i="2"/>
  <c r="C375" i="2"/>
  <c r="AB374" i="2"/>
  <c r="AA374" i="2"/>
  <c r="Z374" i="2"/>
  <c r="Y374" i="2"/>
  <c r="X374" i="2"/>
  <c r="U374" i="2"/>
  <c r="T374" i="2"/>
  <c r="S374" i="2"/>
  <c r="C374" i="2"/>
  <c r="AB373" i="2"/>
  <c r="AA373" i="2"/>
  <c r="Z373" i="2"/>
  <c r="Y373" i="2"/>
  <c r="X373" i="2"/>
  <c r="U373" i="2"/>
  <c r="T373" i="2"/>
  <c r="S373" i="2"/>
  <c r="C373" i="2"/>
  <c r="AB372" i="2"/>
  <c r="AA372" i="2"/>
  <c r="Z372" i="2"/>
  <c r="Y372" i="2"/>
  <c r="X372" i="2"/>
  <c r="U372" i="2"/>
  <c r="T372" i="2"/>
  <c r="S372" i="2"/>
  <c r="C372" i="2"/>
  <c r="AB371" i="2"/>
  <c r="AA371" i="2"/>
  <c r="AC371" i="2" s="1"/>
  <c r="Z371" i="2"/>
  <c r="Y371" i="2"/>
  <c r="X371" i="2"/>
  <c r="U371" i="2"/>
  <c r="T371" i="2"/>
  <c r="S371" i="2"/>
  <c r="C371" i="2"/>
  <c r="AB370" i="2"/>
  <c r="AA370" i="2"/>
  <c r="Z370" i="2"/>
  <c r="Y370" i="2"/>
  <c r="X370" i="2"/>
  <c r="U370" i="2"/>
  <c r="T370" i="2"/>
  <c r="S370" i="2"/>
  <c r="C370" i="2"/>
  <c r="AB369" i="2"/>
  <c r="AA369" i="2"/>
  <c r="Z369" i="2"/>
  <c r="Y369" i="2"/>
  <c r="AC369" i="2" s="1"/>
  <c r="X369" i="2"/>
  <c r="U369" i="2"/>
  <c r="T369" i="2"/>
  <c r="S369" i="2"/>
  <c r="C369" i="2"/>
  <c r="AB368" i="2"/>
  <c r="AA368" i="2"/>
  <c r="Z368" i="2"/>
  <c r="Y368" i="2"/>
  <c r="AC368" i="2" s="1"/>
  <c r="X368" i="2"/>
  <c r="U368" i="2"/>
  <c r="T368" i="2"/>
  <c r="S368" i="2"/>
  <c r="C368" i="2"/>
  <c r="AB367" i="2"/>
  <c r="AA367" i="2"/>
  <c r="Z367" i="2"/>
  <c r="Y367" i="2"/>
  <c r="X367" i="2"/>
  <c r="U367" i="2"/>
  <c r="T367" i="2"/>
  <c r="S367" i="2"/>
  <c r="C367" i="2"/>
  <c r="AB366" i="2"/>
  <c r="AA366" i="2"/>
  <c r="Z366" i="2"/>
  <c r="Y366" i="2"/>
  <c r="X366" i="2"/>
  <c r="U366" i="2"/>
  <c r="T366" i="2"/>
  <c r="S366" i="2"/>
  <c r="C366" i="2"/>
  <c r="AB365" i="2"/>
  <c r="AA365" i="2"/>
  <c r="Z365" i="2"/>
  <c r="Y365" i="2"/>
  <c r="X365" i="2"/>
  <c r="U365" i="2"/>
  <c r="T365" i="2"/>
  <c r="S365" i="2"/>
  <c r="C365" i="2"/>
  <c r="AB364" i="2"/>
  <c r="AA364" i="2"/>
  <c r="Z364" i="2"/>
  <c r="Y364" i="2"/>
  <c r="X364" i="2"/>
  <c r="U364" i="2"/>
  <c r="T364" i="2"/>
  <c r="S364" i="2"/>
  <c r="C364" i="2"/>
  <c r="AB363" i="2"/>
  <c r="AA363" i="2"/>
  <c r="AC363" i="2" s="1"/>
  <c r="Z363" i="2"/>
  <c r="Y363" i="2"/>
  <c r="X363" i="2"/>
  <c r="U363" i="2"/>
  <c r="T363" i="2"/>
  <c r="S363" i="2"/>
  <c r="C363" i="2"/>
  <c r="AB362" i="2"/>
  <c r="AA362" i="2"/>
  <c r="AC362" i="2" s="1"/>
  <c r="Z362" i="2"/>
  <c r="Y362" i="2"/>
  <c r="X362" i="2"/>
  <c r="U362" i="2"/>
  <c r="T362" i="2"/>
  <c r="S362" i="2"/>
  <c r="C362" i="2"/>
  <c r="AB361" i="2"/>
  <c r="AA361" i="2"/>
  <c r="Z361" i="2"/>
  <c r="Y361" i="2"/>
  <c r="AC361" i="2" s="1"/>
  <c r="X361" i="2"/>
  <c r="U361" i="2"/>
  <c r="T361" i="2"/>
  <c r="S361" i="2"/>
  <c r="C361" i="2"/>
  <c r="AB360" i="2"/>
  <c r="AA360" i="2"/>
  <c r="Z360" i="2"/>
  <c r="Y360" i="2"/>
  <c r="X360" i="2"/>
  <c r="U360" i="2"/>
  <c r="T360" i="2"/>
  <c r="S360" i="2"/>
  <c r="C360" i="2"/>
  <c r="AB359" i="2"/>
  <c r="AA359" i="2"/>
  <c r="Z359" i="2"/>
  <c r="Y359" i="2"/>
  <c r="X359" i="2"/>
  <c r="U359" i="2"/>
  <c r="T359" i="2"/>
  <c r="S359" i="2"/>
  <c r="C359" i="2"/>
  <c r="AB358" i="2"/>
  <c r="AA358" i="2"/>
  <c r="Z358" i="2"/>
  <c r="Y358" i="2"/>
  <c r="X358" i="2"/>
  <c r="U358" i="2"/>
  <c r="T358" i="2"/>
  <c r="S358" i="2"/>
  <c r="C358" i="2"/>
  <c r="AB357" i="2"/>
  <c r="AA357" i="2"/>
  <c r="Z357" i="2"/>
  <c r="Y357" i="2"/>
  <c r="X357" i="2"/>
  <c r="U357" i="2"/>
  <c r="T357" i="2"/>
  <c r="S357" i="2"/>
  <c r="C357" i="2"/>
  <c r="AB356" i="2"/>
  <c r="AA356" i="2"/>
  <c r="Z356" i="2"/>
  <c r="Y356" i="2"/>
  <c r="X356" i="2"/>
  <c r="U356" i="2"/>
  <c r="T356" i="2"/>
  <c r="S356" i="2"/>
  <c r="C356" i="2"/>
  <c r="AB355" i="2"/>
  <c r="AA355" i="2"/>
  <c r="Z355" i="2"/>
  <c r="Y355" i="2"/>
  <c r="X355" i="2"/>
  <c r="U355" i="2"/>
  <c r="T355" i="2"/>
  <c r="S355" i="2"/>
  <c r="C355" i="2"/>
  <c r="AB354" i="2"/>
  <c r="AA354" i="2"/>
  <c r="Z354" i="2"/>
  <c r="Y354" i="2"/>
  <c r="X354" i="2"/>
  <c r="U354" i="2"/>
  <c r="T354" i="2"/>
  <c r="S354" i="2"/>
  <c r="C354" i="2"/>
  <c r="AB353" i="2"/>
  <c r="AA353" i="2"/>
  <c r="Z353" i="2"/>
  <c r="Y353" i="2"/>
  <c r="AC353" i="2" s="1"/>
  <c r="X353" i="2"/>
  <c r="U353" i="2"/>
  <c r="T353" i="2"/>
  <c r="S353" i="2"/>
  <c r="C353" i="2"/>
  <c r="AB352" i="2"/>
  <c r="AA352" i="2"/>
  <c r="Z352" i="2"/>
  <c r="Y352" i="2"/>
  <c r="AC352" i="2" s="1"/>
  <c r="X352" i="2"/>
  <c r="U352" i="2"/>
  <c r="T352" i="2"/>
  <c r="S352" i="2"/>
  <c r="C352" i="2"/>
  <c r="AB351" i="2"/>
  <c r="AA351" i="2"/>
  <c r="Z351" i="2"/>
  <c r="Y351" i="2"/>
  <c r="X351" i="2"/>
  <c r="U351" i="2"/>
  <c r="T351" i="2"/>
  <c r="S351" i="2"/>
  <c r="C351" i="2"/>
  <c r="AB350" i="2"/>
  <c r="AA350" i="2"/>
  <c r="Z350" i="2"/>
  <c r="Y350" i="2"/>
  <c r="X350" i="2"/>
  <c r="U350" i="2"/>
  <c r="T350" i="2"/>
  <c r="S350" i="2"/>
  <c r="C350" i="2"/>
  <c r="AB349" i="2"/>
  <c r="AA349" i="2"/>
  <c r="Z349" i="2"/>
  <c r="Y349" i="2"/>
  <c r="X349" i="2"/>
  <c r="U349" i="2"/>
  <c r="T349" i="2"/>
  <c r="S349" i="2"/>
  <c r="C349" i="2"/>
  <c r="AB348" i="2"/>
  <c r="AA348" i="2"/>
  <c r="Z348" i="2"/>
  <c r="Y348" i="2"/>
  <c r="X348" i="2"/>
  <c r="U348" i="2"/>
  <c r="T348" i="2"/>
  <c r="S348" i="2"/>
  <c r="C348" i="2"/>
  <c r="AB347" i="2"/>
  <c r="AA347" i="2"/>
  <c r="AC347" i="2" s="1"/>
  <c r="Z347" i="2"/>
  <c r="Y347" i="2"/>
  <c r="X347" i="2"/>
  <c r="U347" i="2"/>
  <c r="T347" i="2"/>
  <c r="S347" i="2"/>
  <c r="C347" i="2"/>
  <c r="AB346" i="2"/>
  <c r="AA346" i="2"/>
  <c r="Z346" i="2"/>
  <c r="Y346" i="2"/>
  <c r="X346" i="2"/>
  <c r="U346" i="2"/>
  <c r="T346" i="2"/>
  <c r="S346" i="2"/>
  <c r="C346" i="2"/>
  <c r="AB345" i="2"/>
  <c r="AA345" i="2"/>
  <c r="Z345" i="2"/>
  <c r="Y345" i="2"/>
  <c r="AC345" i="2" s="1"/>
  <c r="X345" i="2"/>
  <c r="U345" i="2"/>
  <c r="T345" i="2"/>
  <c r="S345" i="2"/>
  <c r="C345" i="2"/>
  <c r="AB344" i="2"/>
  <c r="AA344" i="2"/>
  <c r="Z344" i="2"/>
  <c r="Y344" i="2"/>
  <c r="AC344" i="2" s="1"/>
  <c r="X344" i="2"/>
  <c r="U344" i="2"/>
  <c r="T344" i="2"/>
  <c r="S344" i="2"/>
  <c r="C344" i="2"/>
  <c r="AB343" i="2"/>
  <c r="AA343" i="2"/>
  <c r="Z343" i="2"/>
  <c r="Y343" i="2"/>
  <c r="X343" i="2"/>
  <c r="U343" i="2"/>
  <c r="T343" i="2"/>
  <c r="S343" i="2"/>
  <c r="C343" i="2"/>
  <c r="AB342" i="2"/>
  <c r="AA342" i="2"/>
  <c r="Z342" i="2"/>
  <c r="Y342" i="2"/>
  <c r="X342" i="2"/>
  <c r="U342" i="2"/>
  <c r="T342" i="2"/>
  <c r="S342" i="2"/>
  <c r="C342" i="2"/>
  <c r="AB341" i="2"/>
  <c r="AA341" i="2"/>
  <c r="Z341" i="2"/>
  <c r="Y341" i="2"/>
  <c r="X341" i="2"/>
  <c r="U341" i="2"/>
  <c r="T341" i="2"/>
  <c r="S341" i="2"/>
  <c r="C341" i="2"/>
  <c r="AB340" i="2"/>
  <c r="AA340" i="2"/>
  <c r="Z340" i="2"/>
  <c r="Y340" i="2"/>
  <c r="X340" i="2"/>
  <c r="U340" i="2"/>
  <c r="T340" i="2"/>
  <c r="S340" i="2"/>
  <c r="C340" i="2"/>
  <c r="AB339" i="2"/>
  <c r="AA339" i="2"/>
  <c r="AC339" i="2" s="1"/>
  <c r="Z339" i="2"/>
  <c r="Y339" i="2"/>
  <c r="X339" i="2"/>
  <c r="U339" i="2"/>
  <c r="T339" i="2"/>
  <c r="S339" i="2"/>
  <c r="C339" i="2"/>
  <c r="AB338" i="2"/>
  <c r="AA338" i="2"/>
  <c r="Z338" i="2"/>
  <c r="Y338" i="2"/>
  <c r="X338" i="2"/>
  <c r="U338" i="2"/>
  <c r="T338" i="2"/>
  <c r="S338" i="2"/>
  <c r="C338" i="2"/>
  <c r="AB337" i="2"/>
  <c r="AA337" i="2"/>
  <c r="Z337" i="2"/>
  <c r="Y337" i="2"/>
  <c r="X337" i="2"/>
  <c r="U337" i="2"/>
  <c r="T337" i="2"/>
  <c r="S337" i="2"/>
  <c r="C337" i="2"/>
  <c r="AB336" i="2"/>
  <c r="AA336" i="2"/>
  <c r="Z336" i="2"/>
  <c r="Y336" i="2"/>
  <c r="X336" i="2"/>
  <c r="U336" i="2"/>
  <c r="T336" i="2"/>
  <c r="S336" i="2"/>
  <c r="C336" i="2"/>
  <c r="AB335" i="2"/>
  <c r="AA335" i="2"/>
  <c r="Z335" i="2"/>
  <c r="Y335" i="2"/>
  <c r="X335" i="2"/>
  <c r="U335" i="2"/>
  <c r="T335" i="2"/>
  <c r="S335" i="2"/>
  <c r="C335" i="2"/>
  <c r="AB334" i="2"/>
  <c r="AA334" i="2"/>
  <c r="Z334" i="2"/>
  <c r="Y334" i="2"/>
  <c r="X334" i="2"/>
  <c r="U334" i="2"/>
  <c r="T334" i="2"/>
  <c r="S334" i="2"/>
  <c r="C334" i="2"/>
  <c r="AB333" i="2"/>
  <c r="AA333" i="2"/>
  <c r="Z333" i="2"/>
  <c r="Y333" i="2"/>
  <c r="X333" i="2"/>
  <c r="U333" i="2"/>
  <c r="T333" i="2"/>
  <c r="S333" i="2"/>
  <c r="C333" i="2"/>
  <c r="AB332" i="2"/>
  <c r="AA332" i="2"/>
  <c r="Z332" i="2"/>
  <c r="Y332" i="2"/>
  <c r="X332" i="2"/>
  <c r="U332" i="2"/>
  <c r="T332" i="2"/>
  <c r="S332" i="2"/>
  <c r="C332" i="2"/>
  <c r="AB331" i="2"/>
  <c r="AA331" i="2"/>
  <c r="AC331" i="2" s="1"/>
  <c r="Z331" i="2"/>
  <c r="Y331" i="2"/>
  <c r="X331" i="2"/>
  <c r="U331" i="2"/>
  <c r="T331" i="2"/>
  <c r="S331" i="2"/>
  <c r="C331" i="2"/>
  <c r="AB330" i="2"/>
  <c r="AA330" i="2"/>
  <c r="Z330" i="2"/>
  <c r="Y330" i="2"/>
  <c r="X330" i="2"/>
  <c r="U330" i="2"/>
  <c r="T330" i="2"/>
  <c r="S330" i="2"/>
  <c r="C330" i="2"/>
  <c r="AB329" i="2"/>
  <c r="AA329" i="2"/>
  <c r="Z329" i="2"/>
  <c r="Y329" i="2"/>
  <c r="AC329" i="2" s="1"/>
  <c r="X329" i="2"/>
  <c r="U329" i="2"/>
  <c r="T329" i="2"/>
  <c r="S329" i="2"/>
  <c r="C329" i="2"/>
  <c r="AB328" i="2"/>
  <c r="AA328" i="2"/>
  <c r="Z328" i="2"/>
  <c r="Y328" i="2"/>
  <c r="X328" i="2"/>
  <c r="U328" i="2"/>
  <c r="T328" i="2"/>
  <c r="S328" i="2"/>
  <c r="C328" i="2"/>
  <c r="AB327" i="2"/>
  <c r="AA327" i="2"/>
  <c r="Z327" i="2"/>
  <c r="Y327" i="2"/>
  <c r="X327" i="2"/>
  <c r="U327" i="2"/>
  <c r="T327" i="2"/>
  <c r="S327" i="2"/>
  <c r="C327" i="2"/>
  <c r="AB326" i="2"/>
  <c r="AA326" i="2"/>
  <c r="Z326" i="2"/>
  <c r="Y326" i="2"/>
  <c r="X326" i="2"/>
  <c r="U326" i="2"/>
  <c r="T326" i="2"/>
  <c r="S326" i="2"/>
  <c r="C326" i="2"/>
  <c r="AB325" i="2"/>
  <c r="AA325" i="2"/>
  <c r="Z325" i="2"/>
  <c r="Y325" i="2"/>
  <c r="X325" i="2"/>
  <c r="U325" i="2"/>
  <c r="T325" i="2"/>
  <c r="S325" i="2"/>
  <c r="C325" i="2"/>
  <c r="AC337" i="2"/>
  <c r="AB324" i="2"/>
  <c r="AA324" i="2"/>
  <c r="Z324" i="2"/>
  <c r="Y324" i="2"/>
  <c r="X324" i="2"/>
  <c r="U324" i="2"/>
  <c r="T324" i="2"/>
  <c r="S324" i="2"/>
  <c r="C324" i="2"/>
  <c r="AB323" i="2"/>
  <c r="AA323" i="2"/>
  <c r="Z323" i="2"/>
  <c r="Y323" i="2"/>
  <c r="X323" i="2"/>
  <c r="U323" i="2"/>
  <c r="T323" i="2"/>
  <c r="S323" i="2"/>
  <c r="C323" i="2"/>
  <c r="AB322" i="2"/>
  <c r="AA322" i="2"/>
  <c r="Z322" i="2"/>
  <c r="Y322" i="2"/>
  <c r="X322" i="2"/>
  <c r="U322" i="2"/>
  <c r="T322" i="2"/>
  <c r="S322" i="2"/>
  <c r="C322" i="2"/>
  <c r="AB321" i="2"/>
  <c r="AA321" i="2"/>
  <c r="Z321" i="2"/>
  <c r="Y321" i="2"/>
  <c r="X321" i="2"/>
  <c r="U321" i="2"/>
  <c r="T321" i="2"/>
  <c r="S321" i="2"/>
  <c r="C321" i="2"/>
  <c r="AB320" i="2"/>
  <c r="AA320" i="2"/>
  <c r="Z320" i="2"/>
  <c r="Y320" i="2"/>
  <c r="X320" i="2"/>
  <c r="U320" i="2"/>
  <c r="T320" i="2"/>
  <c r="S320" i="2"/>
  <c r="C320" i="2"/>
  <c r="AB319" i="2"/>
  <c r="AA319" i="2"/>
  <c r="Z319" i="2"/>
  <c r="Y319" i="2"/>
  <c r="X319" i="2"/>
  <c r="U319" i="2"/>
  <c r="T319" i="2"/>
  <c r="S319" i="2"/>
  <c r="C319" i="2"/>
  <c r="AB318" i="2"/>
  <c r="AA318" i="2"/>
  <c r="Z318" i="2"/>
  <c r="Y318" i="2"/>
  <c r="X318" i="2"/>
  <c r="U318" i="2"/>
  <c r="T318" i="2"/>
  <c r="S318" i="2"/>
  <c r="C318" i="2"/>
  <c r="AB317" i="2"/>
  <c r="AA317" i="2"/>
  <c r="Z317" i="2"/>
  <c r="Y317" i="2"/>
  <c r="X317" i="2"/>
  <c r="U317" i="2"/>
  <c r="T317" i="2"/>
  <c r="S317" i="2"/>
  <c r="C317" i="2"/>
  <c r="AB316" i="2"/>
  <c r="AA316" i="2"/>
  <c r="Z316" i="2"/>
  <c r="Y316" i="2"/>
  <c r="AC316" i="2" s="1"/>
  <c r="X316" i="2"/>
  <c r="U316" i="2"/>
  <c r="T316" i="2"/>
  <c r="S316" i="2"/>
  <c r="C316" i="2"/>
  <c r="AB315" i="2"/>
  <c r="AA315" i="2"/>
  <c r="Z315" i="2"/>
  <c r="Y315" i="2"/>
  <c r="X315" i="2"/>
  <c r="U315" i="2"/>
  <c r="T315" i="2"/>
  <c r="S315" i="2"/>
  <c r="C315" i="2"/>
  <c r="AB314" i="2"/>
  <c r="AA314" i="2"/>
  <c r="Z314" i="2"/>
  <c r="Y314" i="2"/>
  <c r="X314" i="2"/>
  <c r="U314" i="2"/>
  <c r="T314" i="2"/>
  <c r="S314" i="2"/>
  <c r="C314" i="2"/>
  <c r="AB313" i="2"/>
  <c r="AA313" i="2"/>
  <c r="Z313" i="2"/>
  <c r="Y313" i="2"/>
  <c r="X313" i="2"/>
  <c r="U313" i="2"/>
  <c r="T313" i="2"/>
  <c r="S313" i="2"/>
  <c r="C313" i="2"/>
  <c r="AB312" i="2"/>
  <c r="AA312" i="2"/>
  <c r="Z312" i="2"/>
  <c r="Y312" i="2"/>
  <c r="X312" i="2"/>
  <c r="U312" i="2"/>
  <c r="T312" i="2"/>
  <c r="S312" i="2"/>
  <c r="C312" i="2"/>
  <c r="AB311" i="2"/>
  <c r="AA311" i="2"/>
  <c r="Z311" i="2"/>
  <c r="Y311" i="2"/>
  <c r="X311" i="2"/>
  <c r="U311" i="2"/>
  <c r="T311" i="2"/>
  <c r="S311" i="2"/>
  <c r="C311" i="2"/>
  <c r="AB310" i="2"/>
  <c r="AA310" i="2"/>
  <c r="Z310" i="2"/>
  <c r="Y310" i="2"/>
  <c r="X310" i="2"/>
  <c r="U310" i="2"/>
  <c r="T310" i="2"/>
  <c r="S310" i="2"/>
  <c r="C310" i="2"/>
  <c r="AB309" i="2"/>
  <c r="AA309" i="2"/>
  <c r="Z309" i="2"/>
  <c r="Y309" i="2"/>
  <c r="X309" i="2"/>
  <c r="U309" i="2"/>
  <c r="T309" i="2"/>
  <c r="S309" i="2"/>
  <c r="C309" i="2"/>
  <c r="AB308" i="2"/>
  <c r="AA308" i="2"/>
  <c r="Z308" i="2"/>
  <c r="Y308" i="2"/>
  <c r="AC308" i="2" s="1"/>
  <c r="X308" i="2"/>
  <c r="U308" i="2"/>
  <c r="T308" i="2"/>
  <c r="S308" i="2"/>
  <c r="C308" i="2"/>
  <c r="AB307" i="2"/>
  <c r="AA307" i="2"/>
  <c r="Z307" i="2"/>
  <c r="Y307" i="2"/>
  <c r="X307" i="2"/>
  <c r="U307" i="2"/>
  <c r="T307" i="2"/>
  <c r="S307" i="2"/>
  <c r="C307" i="2"/>
  <c r="AB306" i="2"/>
  <c r="AA306" i="2"/>
  <c r="Z306" i="2"/>
  <c r="Y306" i="2"/>
  <c r="X306" i="2"/>
  <c r="U306" i="2"/>
  <c r="T306" i="2"/>
  <c r="S306" i="2"/>
  <c r="C306" i="2"/>
  <c r="AB305" i="2"/>
  <c r="AA305" i="2"/>
  <c r="Z305" i="2"/>
  <c r="Y305" i="2"/>
  <c r="X305" i="2"/>
  <c r="U305" i="2"/>
  <c r="T305" i="2"/>
  <c r="S305" i="2"/>
  <c r="C305" i="2"/>
  <c r="AB304" i="2"/>
  <c r="AA304" i="2"/>
  <c r="Z304" i="2"/>
  <c r="Y304" i="2"/>
  <c r="X304" i="2"/>
  <c r="U304" i="2"/>
  <c r="T304" i="2"/>
  <c r="S304" i="2"/>
  <c r="C304" i="2"/>
  <c r="AB303" i="2"/>
  <c r="AA303" i="2"/>
  <c r="Z303" i="2"/>
  <c r="Y303" i="2"/>
  <c r="X303" i="2"/>
  <c r="U303" i="2"/>
  <c r="T303" i="2"/>
  <c r="S303" i="2"/>
  <c r="C303" i="2"/>
  <c r="AB302" i="2"/>
  <c r="AA302" i="2"/>
  <c r="Z302" i="2"/>
  <c r="Y302" i="2"/>
  <c r="X302" i="2"/>
  <c r="U302" i="2"/>
  <c r="T302" i="2"/>
  <c r="S302" i="2"/>
  <c r="C302" i="2"/>
  <c r="AB301" i="2"/>
  <c r="AA301" i="2"/>
  <c r="Z301" i="2"/>
  <c r="Y301" i="2"/>
  <c r="X301" i="2"/>
  <c r="U301" i="2"/>
  <c r="T301" i="2"/>
  <c r="S301" i="2"/>
  <c r="C301" i="2"/>
  <c r="AB300" i="2"/>
  <c r="AA300" i="2"/>
  <c r="Z300" i="2"/>
  <c r="Y300" i="2"/>
  <c r="AC300" i="2" s="1"/>
  <c r="X300" i="2"/>
  <c r="U300" i="2"/>
  <c r="T300" i="2"/>
  <c r="S300" i="2"/>
  <c r="C300" i="2"/>
  <c r="AB299" i="2"/>
  <c r="AA299" i="2"/>
  <c r="Z299" i="2"/>
  <c r="Y299" i="2"/>
  <c r="X299" i="2"/>
  <c r="U299" i="2"/>
  <c r="T299" i="2"/>
  <c r="S299" i="2"/>
  <c r="C299" i="2"/>
  <c r="AB298" i="2"/>
  <c r="AA298" i="2"/>
  <c r="Z298" i="2"/>
  <c r="Y298" i="2"/>
  <c r="X298" i="2"/>
  <c r="U298" i="2"/>
  <c r="T298" i="2"/>
  <c r="S298" i="2"/>
  <c r="C298" i="2"/>
  <c r="AB297" i="2"/>
  <c r="AA297" i="2"/>
  <c r="Z297" i="2"/>
  <c r="Y297" i="2"/>
  <c r="X297" i="2"/>
  <c r="U297" i="2"/>
  <c r="T297" i="2"/>
  <c r="S297" i="2"/>
  <c r="C297" i="2"/>
  <c r="AB296" i="2"/>
  <c r="AA296" i="2"/>
  <c r="AC296" i="2" s="1"/>
  <c r="Z296" i="2"/>
  <c r="Y296" i="2"/>
  <c r="X296" i="2"/>
  <c r="U296" i="2"/>
  <c r="T296" i="2"/>
  <c r="S296" i="2"/>
  <c r="C296" i="2"/>
  <c r="Z293" i="2"/>
  <c r="X293" i="2"/>
  <c r="AB293" i="2"/>
  <c r="C295" i="2"/>
  <c r="C294" i="2"/>
  <c r="AB295" i="2"/>
  <c r="AA295" i="2"/>
  <c r="Z295" i="2"/>
  <c r="Y295" i="2"/>
  <c r="X295" i="2"/>
  <c r="U295" i="2"/>
  <c r="T295" i="2"/>
  <c r="S295" i="2"/>
  <c r="AB294" i="2"/>
  <c r="AA294" i="2"/>
  <c r="Z294" i="2"/>
  <c r="Y294" i="2"/>
  <c r="X294" i="2"/>
  <c r="U294" i="2"/>
  <c r="T294" i="2"/>
  <c r="S294" i="2"/>
  <c r="AA293" i="2"/>
  <c r="Y293" i="2"/>
  <c r="U293" i="2"/>
  <c r="T293" i="2"/>
  <c r="S293" i="2"/>
  <c r="C293" i="2"/>
  <c r="AB292" i="2"/>
  <c r="AA292" i="2"/>
  <c r="Z292" i="2"/>
  <c r="Y292" i="2"/>
  <c r="AC292" i="2" s="1"/>
  <c r="X292" i="2"/>
  <c r="U292" i="2"/>
  <c r="T292" i="2"/>
  <c r="S292" i="2"/>
  <c r="C292" i="2"/>
  <c r="AB291" i="2"/>
  <c r="AA291" i="2"/>
  <c r="Z291" i="2"/>
  <c r="Y291" i="2"/>
  <c r="AC291" i="2" s="1"/>
  <c r="X291" i="2"/>
  <c r="U291" i="2"/>
  <c r="T291" i="2"/>
  <c r="S291" i="2"/>
  <c r="C291" i="2"/>
  <c r="AB290" i="2"/>
  <c r="AA290" i="2"/>
  <c r="Z290" i="2"/>
  <c r="Y290" i="2"/>
  <c r="X290" i="2"/>
  <c r="U290" i="2"/>
  <c r="T290" i="2"/>
  <c r="S290" i="2"/>
  <c r="C290" i="2"/>
  <c r="AB289" i="2"/>
  <c r="AA289" i="2"/>
  <c r="Z289" i="2"/>
  <c r="Y289" i="2"/>
  <c r="X289" i="2"/>
  <c r="U289" i="2"/>
  <c r="T289" i="2"/>
  <c r="S289" i="2"/>
  <c r="C289" i="2"/>
  <c r="AB288" i="2"/>
  <c r="AA288" i="2"/>
  <c r="Z288" i="2"/>
  <c r="Y288" i="2"/>
  <c r="X288" i="2"/>
  <c r="U288" i="2"/>
  <c r="T288" i="2"/>
  <c r="S288" i="2"/>
  <c r="C288" i="2"/>
  <c r="AB287" i="2"/>
  <c r="AA287" i="2"/>
  <c r="Z287" i="2"/>
  <c r="Y287" i="2"/>
  <c r="X287" i="2"/>
  <c r="U287" i="2"/>
  <c r="T287" i="2"/>
  <c r="S287" i="2"/>
  <c r="C287" i="2"/>
  <c r="AB286" i="2"/>
  <c r="AA286" i="2"/>
  <c r="Z286" i="2"/>
  <c r="Y286" i="2"/>
  <c r="X286" i="2"/>
  <c r="U286" i="2"/>
  <c r="T286" i="2"/>
  <c r="S286" i="2"/>
  <c r="C286" i="2"/>
  <c r="AB285" i="2"/>
  <c r="AA285" i="2"/>
  <c r="Z285" i="2"/>
  <c r="Y285" i="2"/>
  <c r="X285" i="2"/>
  <c r="U285" i="2"/>
  <c r="T285" i="2"/>
  <c r="S285" i="2"/>
  <c r="AB284" i="2"/>
  <c r="AA284" i="2"/>
  <c r="Z284" i="2"/>
  <c r="Y284" i="2"/>
  <c r="X284" i="2"/>
  <c r="U284" i="2"/>
  <c r="T284" i="2"/>
  <c r="S284" i="2"/>
  <c r="AB283" i="2"/>
  <c r="AA283" i="2"/>
  <c r="Z283" i="2"/>
  <c r="Y283" i="2"/>
  <c r="X283" i="2"/>
  <c r="U283" i="2"/>
  <c r="T283" i="2"/>
  <c r="S283" i="2"/>
  <c r="C283" i="2"/>
  <c r="AB282" i="2"/>
  <c r="AA282" i="2"/>
  <c r="Z282" i="2"/>
  <c r="Y282" i="2"/>
  <c r="AC282" i="2" s="1"/>
  <c r="X282" i="2"/>
  <c r="U282" i="2"/>
  <c r="T282" i="2"/>
  <c r="S282" i="2"/>
  <c r="C282" i="2"/>
  <c r="AB281" i="2"/>
  <c r="AA281" i="2"/>
  <c r="Z281" i="2"/>
  <c r="Y281" i="2"/>
  <c r="AC281" i="2" s="1"/>
  <c r="X281" i="2"/>
  <c r="U281" i="2"/>
  <c r="T281" i="2"/>
  <c r="S281" i="2"/>
  <c r="C281" i="2"/>
  <c r="AB280" i="2"/>
  <c r="AA280" i="2"/>
  <c r="Z280" i="2"/>
  <c r="Y280" i="2"/>
  <c r="X280" i="2"/>
  <c r="U280" i="2"/>
  <c r="T280" i="2"/>
  <c r="S280" i="2"/>
  <c r="C280" i="2"/>
  <c r="AB279" i="2"/>
  <c r="AA279" i="2"/>
  <c r="Z279" i="2"/>
  <c r="Y279" i="2"/>
  <c r="X279" i="2"/>
  <c r="U279" i="2"/>
  <c r="T279" i="2"/>
  <c r="S279" i="2"/>
  <c r="C279" i="2"/>
  <c r="AB278" i="2"/>
  <c r="AA278" i="2"/>
  <c r="Z278" i="2"/>
  <c r="Y278" i="2"/>
  <c r="X278" i="2"/>
  <c r="U278" i="2"/>
  <c r="T278" i="2"/>
  <c r="S278" i="2"/>
  <c r="C278" i="2"/>
  <c r="AB277" i="2"/>
  <c r="AA277" i="2"/>
  <c r="Z277" i="2"/>
  <c r="Y277" i="2"/>
  <c r="X277" i="2"/>
  <c r="U277" i="2"/>
  <c r="T277" i="2"/>
  <c r="S277" i="2"/>
  <c r="C277" i="2"/>
  <c r="AB276" i="2"/>
  <c r="AA276" i="2"/>
  <c r="Z276" i="2"/>
  <c r="Y276" i="2"/>
  <c r="X276" i="2"/>
  <c r="U276" i="2"/>
  <c r="T276" i="2"/>
  <c r="S276" i="2"/>
  <c r="C276" i="2"/>
  <c r="AC321" i="2"/>
  <c r="AC324" i="2"/>
  <c r="AE288" i="2"/>
  <c r="S272" i="2"/>
  <c r="T272" i="2"/>
  <c r="AB275" i="2"/>
  <c r="AA275" i="2"/>
  <c r="Z275" i="2"/>
  <c r="Y275" i="2"/>
  <c r="X275" i="2"/>
  <c r="U275" i="2"/>
  <c r="T275" i="2"/>
  <c r="S275" i="2"/>
  <c r="AB274" i="2"/>
  <c r="AA274" i="2"/>
  <c r="Z274" i="2"/>
  <c r="Y274" i="2"/>
  <c r="X274" i="2"/>
  <c r="U274" i="2"/>
  <c r="T274" i="2"/>
  <c r="S274" i="2"/>
  <c r="AB273" i="2"/>
  <c r="AA273" i="2"/>
  <c r="Z273" i="2"/>
  <c r="Y273" i="2"/>
  <c r="X273" i="2"/>
  <c r="U273" i="2"/>
  <c r="T273" i="2"/>
  <c r="S273" i="2"/>
  <c r="C273" i="2"/>
  <c r="AB272" i="2"/>
  <c r="AA272" i="2"/>
  <c r="Z272" i="2"/>
  <c r="Y272" i="2"/>
  <c r="AC272" i="2" s="1"/>
  <c r="X272" i="2"/>
  <c r="U272" i="2"/>
  <c r="C272" i="2"/>
  <c r="AB271" i="2"/>
  <c r="AA271" i="2"/>
  <c r="Z271" i="2"/>
  <c r="Y271" i="2"/>
  <c r="X271" i="2"/>
  <c r="U271" i="2"/>
  <c r="T271" i="2"/>
  <c r="S271" i="2"/>
  <c r="C271" i="2"/>
  <c r="AB270" i="2"/>
  <c r="AA270" i="2"/>
  <c r="Z270" i="2"/>
  <c r="Y270" i="2"/>
  <c r="X270" i="2"/>
  <c r="U270" i="2"/>
  <c r="T270" i="2"/>
  <c r="S270" i="2"/>
  <c r="C270" i="2"/>
  <c r="AB269" i="2"/>
  <c r="AA269" i="2"/>
  <c r="Z269" i="2"/>
  <c r="Y269" i="2"/>
  <c r="X269" i="2"/>
  <c r="U269" i="2"/>
  <c r="T269" i="2"/>
  <c r="S269" i="2"/>
  <c r="C269" i="2"/>
  <c r="AB268" i="2"/>
  <c r="AA268" i="2"/>
  <c r="AC268" i="2" s="1"/>
  <c r="Z268" i="2"/>
  <c r="Y268" i="2"/>
  <c r="X268" i="2"/>
  <c r="U268" i="2"/>
  <c r="T268" i="2"/>
  <c r="S268" i="2"/>
  <c r="C268" i="2"/>
  <c r="AB267" i="2"/>
  <c r="AA267" i="2"/>
  <c r="Z267" i="2"/>
  <c r="Y267" i="2"/>
  <c r="X267" i="2"/>
  <c r="U267" i="2"/>
  <c r="T267" i="2"/>
  <c r="S267" i="2"/>
  <c r="C267" i="2"/>
  <c r="AB266" i="2"/>
  <c r="AA266" i="2"/>
  <c r="Z266" i="2"/>
  <c r="Y266" i="2"/>
  <c r="AC266" i="2" s="1"/>
  <c r="X266" i="2"/>
  <c r="U266" i="2"/>
  <c r="T266" i="2"/>
  <c r="S266" i="2"/>
  <c r="C266" i="2"/>
  <c r="M5" i="1"/>
  <c r="N5" i="1"/>
  <c r="O5" i="1"/>
  <c r="P5" i="1"/>
  <c r="AB265" i="2"/>
  <c r="AA265" i="2"/>
  <c r="Z265" i="2"/>
  <c r="Y265" i="2"/>
  <c r="X265" i="2"/>
  <c r="U265" i="2"/>
  <c r="T265" i="2"/>
  <c r="S265" i="2"/>
  <c r="AB264" i="2"/>
  <c r="AA264" i="2"/>
  <c r="Z264" i="2"/>
  <c r="Y264" i="2"/>
  <c r="X264" i="2"/>
  <c r="U264" i="2"/>
  <c r="T264" i="2"/>
  <c r="S264" i="2"/>
  <c r="AB263" i="2"/>
  <c r="AA263" i="2"/>
  <c r="Z263" i="2"/>
  <c r="Y263" i="2"/>
  <c r="X263" i="2"/>
  <c r="U263" i="2"/>
  <c r="T263" i="2"/>
  <c r="S263" i="2"/>
  <c r="C263" i="2"/>
  <c r="AB262" i="2"/>
  <c r="AA262" i="2"/>
  <c r="Z262" i="2"/>
  <c r="Y262" i="2"/>
  <c r="X262" i="2"/>
  <c r="U262" i="2"/>
  <c r="T262" i="2"/>
  <c r="S262" i="2"/>
  <c r="C262" i="2"/>
  <c r="AB261" i="2"/>
  <c r="AA261" i="2"/>
  <c r="Z261" i="2"/>
  <c r="Y261" i="2"/>
  <c r="X261" i="2"/>
  <c r="U261" i="2"/>
  <c r="T261" i="2"/>
  <c r="S261" i="2"/>
  <c r="C261" i="2"/>
  <c r="AB260" i="2"/>
  <c r="AA260" i="2"/>
  <c r="Z260" i="2"/>
  <c r="Y260" i="2"/>
  <c r="X260" i="2"/>
  <c r="U260" i="2"/>
  <c r="T260" i="2"/>
  <c r="S260" i="2"/>
  <c r="C260" i="2"/>
  <c r="AB259" i="2"/>
  <c r="AA259" i="2"/>
  <c r="AC259" i="2" s="1"/>
  <c r="Z259" i="2"/>
  <c r="Y259" i="2"/>
  <c r="X259" i="2"/>
  <c r="U259" i="2"/>
  <c r="T259" i="2"/>
  <c r="S259" i="2"/>
  <c r="C259" i="2"/>
  <c r="AB258" i="2"/>
  <c r="AA258" i="2"/>
  <c r="Z258" i="2"/>
  <c r="Y258" i="2"/>
  <c r="X258" i="2"/>
  <c r="U258" i="2"/>
  <c r="T258" i="2"/>
  <c r="S258" i="2"/>
  <c r="C258" i="2"/>
  <c r="AB257" i="2"/>
  <c r="AA257" i="2"/>
  <c r="Z257" i="2"/>
  <c r="Y257" i="2"/>
  <c r="X257" i="2"/>
  <c r="U257" i="2"/>
  <c r="T257" i="2"/>
  <c r="S257" i="2"/>
  <c r="C257" i="2"/>
  <c r="AB256" i="2"/>
  <c r="AA256" i="2"/>
  <c r="Z256" i="2"/>
  <c r="Y256" i="2"/>
  <c r="X256" i="2"/>
  <c r="U256" i="2"/>
  <c r="T256" i="2"/>
  <c r="S256" i="2"/>
  <c r="C256" i="2"/>
  <c r="AC262" i="2"/>
  <c r="E5" i="1"/>
  <c r="F5" i="1"/>
  <c r="G5" i="1"/>
  <c r="H5" i="1"/>
  <c r="I5" i="1"/>
  <c r="J5" i="1"/>
  <c r="K5" i="1"/>
  <c r="D5" i="1"/>
  <c r="AB254" i="2"/>
  <c r="AA254" i="2"/>
  <c r="Z254" i="2"/>
  <c r="Y254" i="2"/>
  <c r="X254" i="2"/>
  <c r="U254" i="2"/>
  <c r="T254" i="2"/>
  <c r="S254" i="2"/>
  <c r="AB253" i="2"/>
  <c r="AA253" i="2"/>
  <c r="Z253" i="2"/>
  <c r="Y253" i="2"/>
  <c r="X253" i="2"/>
  <c r="U253" i="2"/>
  <c r="T253" i="2"/>
  <c r="S253" i="2"/>
  <c r="C253" i="2"/>
  <c r="AB255" i="2"/>
  <c r="AA255" i="2"/>
  <c r="Z255" i="2"/>
  <c r="Y255" i="2"/>
  <c r="X255" i="2"/>
  <c r="U255" i="2"/>
  <c r="T255" i="2"/>
  <c r="S255" i="2"/>
  <c r="AB252" i="2"/>
  <c r="AA252" i="2"/>
  <c r="Z252" i="2"/>
  <c r="Y252" i="2"/>
  <c r="X252" i="2"/>
  <c r="U252" i="2"/>
  <c r="T252" i="2"/>
  <c r="S252" i="2"/>
  <c r="C252" i="2"/>
  <c r="AB251" i="2"/>
  <c r="AA251" i="2"/>
  <c r="Z251" i="2"/>
  <c r="Y251" i="2"/>
  <c r="X251" i="2"/>
  <c r="U251" i="2"/>
  <c r="T251" i="2"/>
  <c r="S251" i="2"/>
  <c r="C251" i="2"/>
  <c r="AB250" i="2"/>
  <c r="AA250" i="2"/>
  <c r="Z250" i="2"/>
  <c r="X250" i="2"/>
  <c r="T250" i="2"/>
  <c r="S250" i="2"/>
  <c r="Y250" i="2"/>
  <c r="C250" i="2"/>
  <c r="AB249" i="2"/>
  <c r="AA249" i="2"/>
  <c r="Z249" i="2"/>
  <c r="Y249" i="2"/>
  <c r="X249" i="2"/>
  <c r="T249" i="2"/>
  <c r="S249" i="2"/>
  <c r="U249" i="2"/>
  <c r="C249" i="2"/>
  <c r="AB248" i="2"/>
  <c r="AA248" i="2"/>
  <c r="Z248" i="2"/>
  <c r="X248" i="2"/>
  <c r="U248" i="2"/>
  <c r="T248" i="2"/>
  <c r="S248" i="2"/>
  <c r="Y248" i="2"/>
  <c r="AC248" i="2" s="1"/>
  <c r="C248" i="2"/>
  <c r="AB247" i="2"/>
  <c r="AA247" i="2"/>
  <c r="Z247" i="2"/>
  <c r="Y247" i="2"/>
  <c r="AC247" i="2" s="1"/>
  <c r="X247" i="2"/>
  <c r="U247" i="2"/>
  <c r="T247" i="2"/>
  <c r="S247" i="2"/>
  <c r="C247" i="2"/>
  <c r="AB246" i="2"/>
  <c r="AA246" i="2"/>
  <c r="Z246" i="2"/>
  <c r="Y246" i="2"/>
  <c r="X246" i="2"/>
  <c r="U246" i="2"/>
  <c r="T246" i="2"/>
  <c r="S246" i="2"/>
  <c r="C246" i="2"/>
  <c r="AC254" i="2"/>
  <c r="U250" i="2"/>
  <c r="C245" i="2"/>
  <c r="C244" i="2"/>
  <c r="C242" i="2"/>
  <c r="C241" i="2"/>
  <c r="C240" i="2"/>
  <c r="C239" i="2"/>
  <c r="C238" i="2"/>
  <c r="C237" i="2"/>
  <c r="I239" i="2"/>
  <c r="Y239" i="2" s="1"/>
  <c r="I240" i="2"/>
  <c r="Y240" i="2" s="1"/>
  <c r="I241" i="2"/>
  <c r="Y244" i="2"/>
  <c r="AB245" i="2"/>
  <c r="AA245" i="2"/>
  <c r="Z245" i="2"/>
  <c r="Y245" i="2"/>
  <c r="AC245" i="2" s="1"/>
  <c r="X245" i="2"/>
  <c r="U245" i="2"/>
  <c r="T245" i="2"/>
  <c r="S245" i="2"/>
  <c r="AB244" i="2"/>
  <c r="AA244" i="2"/>
  <c r="Z244" i="2"/>
  <c r="X244" i="2"/>
  <c r="U244" i="2"/>
  <c r="T244" i="2"/>
  <c r="S244" i="2"/>
  <c r="AB243" i="2"/>
  <c r="AA243" i="2"/>
  <c r="Z243" i="2"/>
  <c r="Y243" i="2"/>
  <c r="AC243" i="2" s="1"/>
  <c r="X243" i="2"/>
  <c r="U243" i="2"/>
  <c r="T243" i="2"/>
  <c r="S243" i="2"/>
  <c r="AB242" i="2"/>
  <c r="AA242" i="2"/>
  <c r="Z242" i="2"/>
  <c r="Y242" i="2"/>
  <c r="AC242" i="2" s="1"/>
  <c r="X242" i="2"/>
  <c r="U242" i="2"/>
  <c r="T242" i="2"/>
  <c r="S242" i="2"/>
  <c r="AB241" i="2"/>
  <c r="AA241" i="2"/>
  <c r="Z241" i="2"/>
  <c r="X241" i="2"/>
  <c r="T241" i="2"/>
  <c r="S241" i="2"/>
  <c r="AB240" i="2"/>
  <c r="AA240" i="2"/>
  <c r="Z240" i="2"/>
  <c r="X240" i="2"/>
  <c r="U240" i="2"/>
  <c r="T240" i="2"/>
  <c r="S240" i="2"/>
  <c r="AB239" i="2"/>
  <c r="AA239" i="2"/>
  <c r="Z239" i="2"/>
  <c r="X239" i="2"/>
  <c r="T239" i="2"/>
  <c r="S239" i="2"/>
  <c r="AB238" i="2"/>
  <c r="AA238" i="2"/>
  <c r="Z238" i="2"/>
  <c r="Y238" i="2"/>
  <c r="X238" i="2"/>
  <c r="U238" i="2"/>
  <c r="T238" i="2"/>
  <c r="S238" i="2"/>
  <c r="AB237" i="2"/>
  <c r="AA237" i="2"/>
  <c r="Z237" i="2"/>
  <c r="Y237" i="2"/>
  <c r="X237" i="2"/>
  <c r="U237" i="2"/>
  <c r="T237" i="2"/>
  <c r="S237" i="2"/>
  <c r="AC237" i="2"/>
  <c r="AB236" i="2"/>
  <c r="AA236" i="2"/>
  <c r="Z236" i="2"/>
  <c r="Y236" i="2"/>
  <c r="AC236" i="2" s="1"/>
  <c r="X236" i="2"/>
  <c r="U236" i="2"/>
  <c r="T236" i="2"/>
  <c r="S236" i="2"/>
  <c r="AB235" i="2"/>
  <c r="AA235" i="2"/>
  <c r="Z235" i="2"/>
  <c r="Y235" i="2"/>
  <c r="AC235" i="2" s="1"/>
  <c r="X235" i="2"/>
  <c r="U235" i="2"/>
  <c r="T235" i="2"/>
  <c r="S235" i="2"/>
  <c r="AB234" i="2"/>
  <c r="AA234" i="2"/>
  <c r="Z234" i="2"/>
  <c r="Y234" i="2"/>
  <c r="AC234" i="2" s="1"/>
  <c r="X234" i="2"/>
  <c r="U234" i="2"/>
  <c r="T234" i="2"/>
  <c r="S234" i="2"/>
  <c r="AB233" i="2"/>
  <c r="AA233" i="2"/>
  <c r="Z233" i="2"/>
  <c r="Y233" i="2"/>
  <c r="AC233" i="2" s="1"/>
  <c r="X233" i="2"/>
  <c r="U233" i="2"/>
  <c r="T233" i="2"/>
  <c r="S233" i="2"/>
  <c r="AB232" i="2"/>
  <c r="AA232" i="2"/>
  <c r="Z232" i="2"/>
  <c r="AE232" i="2" s="1"/>
  <c r="Y232" i="2"/>
  <c r="AC232" i="2" s="1"/>
  <c r="X232" i="2"/>
  <c r="U232" i="2"/>
  <c r="T232" i="2"/>
  <c r="S232" i="2"/>
  <c r="AB231" i="2"/>
  <c r="AA231" i="2"/>
  <c r="Z231" i="2"/>
  <c r="Y231" i="2"/>
  <c r="AC231" i="2" s="1"/>
  <c r="X231" i="2"/>
  <c r="U231" i="2"/>
  <c r="T231" i="2"/>
  <c r="S231" i="2"/>
  <c r="AB230" i="2"/>
  <c r="AA230" i="2"/>
  <c r="Z230" i="2"/>
  <c r="Y230" i="2"/>
  <c r="AC230" i="2" s="1"/>
  <c r="X230" i="2"/>
  <c r="U230" i="2"/>
  <c r="T230" i="2"/>
  <c r="S230" i="2"/>
  <c r="AB229" i="2"/>
  <c r="AA229" i="2"/>
  <c r="Z229" i="2"/>
  <c r="Y229" i="2"/>
  <c r="AC229" i="2" s="1"/>
  <c r="X229" i="2"/>
  <c r="U229" i="2"/>
  <c r="T229" i="2"/>
  <c r="S229" i="2"/>
  <c r="AB228" i="2"/>
  <c r="AA228" i="2"/>
  <c r="Z228" i="2"/>
  <c r="Y228" i="2"/>
  <c r="AC228" i="2" s="1"/>
  <c r="X228" i="2"/>
  <c r="U228" i="2"/>
  <c r="T228" i="2"/>
  <c r="S228" i="2"/>
  <c r="AB227" i="2"/>
  <c r="AA227" i="2"/>
  <c r="Z227" i="2"/>
  <c r="Y227" i="2"/>
  <c r="X227" i="2"/>
  <c r="U227" i="2"/>
  <c r="T227" i="2"/>
  <c r="S227" i="2"/>
  <c r="AB226" i="2"/>
  <c r="AA226" i="2"/>
  <c r="Z226" i="2"/>
  <c r="Y226" i="2"/>
  <c r="X226" i="2"/>
  <c r="U226" i="2"/>
  <c r="T226" i="2"/>
  <c r="S226" i="2"/>
  <c r="AB225" i="2"/>
  <c r="AA225" i="2"/>
  <c r="Z225" i="2"/>
  <c r="Y225" i="2"/>
  <c r="AC225" i="2" s="1"/>
  <c r="X225" i="2"/>
  <c r="U225" i="2"/>
  <c r="T225" i="2"/>
  <c r="S225" i="2"/>
  <c r="AB224" i="2"/>
  <c r="AA224" i="2"/>
  <c r="Z224" i="2"/>
  <c r="Y224" i="2"/>
  <c r="X224" i="2"/>
  <c r="U224" i="2"/>
  <c r="T224" i="2"/>
  <c r="S224" i="2"/>
  <c r="AB223" i="2"/>
  <c r="AA223" i="2"/>
  <c r="Z223" i="2"/>
  <c r="Y223" i="2"/>
  <c r="X223" i="2"/>
  <c r="U223" i="2"/>
  <c r="T223" i="2"/>
  <c r="S223" i="2"/>
  <c r="AB222" i="2"/>
  <c r="AA222" i="2"/>
  <c r="Z222" i="2"/>
  <c r="Y222" i="2"/>
  <c r="X222" i="2"/>
  <c r="U222" i="2"/>
  <c r="T222" i="2"/>
  <c r="S222" i="2"/>
  <c r="AB221" i="2"/>
  <c r="AA221" i="2"/>
  <c r="Z221" i="2"/>
  <c r="Y221" i="2"/>
  <c r="AC221" i="2" s="1"/>
  <c r="X221" i="2"/>
  <c r="U221" i="2"/>
  <c r="T221" i="2"/>
  <c r="S221" i="2"/>
  <c r="AB220" i="2"/>
  <c r="AA220" i="2"/>
  <c r="Z220" i="2"/>
  <c r="Y220" i="2"/>
  <c r="AC220" i="2" s="1"/>
  <c r="X220" i="2"/>
  <c r="U220" i="2"/>
  <c r="T220" i="2"/>
  <c r="S220" i="2"/>
  <c r="AB219" i="2"/>
  <c r="AA219" i="2"/>
  <c r="Z219" i="2"/>
  <c r="Y219" i="2"/>
  <c r="X219" i="2"/>
  <c r="U219" i="2"/>
  <c r="T219" i="2"/>
  <c r="S219" i="2"/>
  <c r="AB218" i="2"/>
  <c r="AA218" i="2"/>
  <c r="Z218" i="2"/>
  <c r="X218" i="2"/>
  <c r="U218" i="2"/>
  <c r="T218" i="2"/>
  <c r="S218" i="2"/>
  <c r="Y218" i="2"/>
  <c r="AB217" i="2"/>
  <c r="AA217" i="2"/>
  <c r="Z217" i="2"/>
  <c r="X217" i="2"/>
  <c r="U217" i="2"/>
  <c r="T217" i="2"/>
  <c r="S217" i="2"/>
  <c r="Y217" i="2"/>
  <c r="AB216" i="2"/>
  <c r="AA216" i="2"/>
  <c r="Z216" i="2"/>
  <c r="Y216" i="2"/>
  <c r="X216" i="2"/>
  <c r="U216" i="2"/>
  <c r="T216" i="2"/>
  <c r="S216" i="2"/>
  <c r="AB215" i="2"/>
  <c r="AA215" i="2"/>
  <c r="Z215" i="2"/>
  <c r="Y215" i="2"/>
  <c r="X215" i="2"/>
  <c r="U215" i="2"/>
  <c r="T215" i="2"/>
  <c r="S215" i="2"/>
  <c r="AB214" i="2"/>
  <c r="AA214" i="2"/>
  <c r="Z214" i="2"/>
  <c r="X214" i="2"/>
  <c r="T214" i="2"/>
  <c r="S214" i="2"/>
  <c r="U214" i="2"/>
  <c r="AB213" i="2"/>
  <c r="AA213" i="2"/>
  <c r="Z213" i="2"/>
  <c r="X213" i="2"/>
  <c r="T213" i="2"/>
  <c r="S213" i="2"/>
  <c r="U213" i="2"/>
  <c r="AB212" i="2"/>
  <c r="AE212" i="2" s="1"/>
  <c r="AA212" i="2"/>
  <c r="Z212" i="2"/>
  <c r="X212" i="2"/>
  <c r="T212" i="2"/>
  <c r="S212" i="2"/>
  <c r="U212" i="2"/>
  <c r="AB211" i="2"/>
  <c r="AA211" i="2"/>
  <c r="AC211" i="2" s="1"/>
  <c r="Z211" i="2"/>
  <c r="Y211" i="2"/>
  <c r="X211" i="2"/>
  <c r="AE211" i="2" s="1"/>
  <c r="U211" i="2"/>
  <c r="T211" i="2"/>
  <c r="S211" i="2"/>
  <c r="AB210" i="2"/>
  <c r="AA210" i="2"/>
  <c r="AC210" i="2" s="1"/>
  <c r="Z210" i="2"/>
  <c r="Y210" i="2"/>
  <c r="X210" i="2"/>
  <c r="U210" i="2"/>
  <c r="T210" i="2"/>
  <c r="S210" i="2"/>
  <c r="Y212" i="2"/>
  <c r="Y213" i="2"/>
  <c r="Y214" i="2"/>
  <c r="I203" i="2"/>
  <c r="U203" i="2" s="1"/>
  <c r="I204" i="2"/>
  <c r="U204" i="2" s="1"/>
  <c r="I205" i="2"/>
  <c r="U205" i="2" s="1"/>
  <c r="I208" i="2"/>
  <c r="I209" i="2"/>
  <c r="U209" i="2" s="1"/>
  <c r="AB209" i="2"/>
  <c r="AA209" i="2"/>
  <c r="Z209" i="2"/>
  <c r="Y209" i="2"/>
  <c r="AC209" i="2" s="1"/>
  <c r="X209" i="2"/>
  <c r="T209" i="2"/>
  <c r="S209" i="2"/>
  <c r="AB208" i="2"/>
  <c r="AA208" i="2"/>
  <c r="Z208" i="2"/>
  <c r="X208" i="2"/>
  <c r="T208" i="2"/>
  <c r="S208" i="2"/>
  <c r="AB207" i="2"/>
  <c r="AA207" i="2"/>
  <c r="Z207" i="2"/>
  <c r="Y207" i="2"/>
  <c r="X207" i="2"/>
  <c r="U207" i="2"/>
  <c r="T207" i="2"/>
  <c r="S207" i="2"/>
  <c r="AB206" i="2"/>
  <c r="AA206" i="2"/>
  <c r="Z206" i="2"/>
  <c r="Y206" i="2"/>
  <c r="X206" i="2"/>
  <c r="U206" i="2"/>
  <c r="T206" i="2"/>
  <c r="S206" i="2"/>
  <c r="AB205" i="2"/>
  <c r="AA205" i="2"/>
  <c r="Z205" i="2"/>
  <c r="X205" i="2"/>
  <c r="T205" i="2"/>
  <c r="S205" i="2"/>
  <c r="AB204" i="2"/>
  <c r="AA204" i="2"/>
  <c r="Z204" i="2"/>
  <c r="X204" i="2"/>
  <c r="T204" i="2"/>
  <c r="S204" i="2"/>
  <c r="AB203" i="2"/>
  <c r="AA203" i="2"/>
  <c r="Z203" i="2"/>
  <c r="X203" i="2"/>
  <c r="T203" i="2"/>
  <c r="S203" i="2"/>
  <c r="AB202" i="2"/>
  <c r="AA202" i="2"/>
  <c r="Z202" i="2"/>
  <c r="Y202" i="2"/>
  <c r="X202" i="2"/>
  <c r="U202" i="2"/>
  <c r="T202" i="2"/>
  <c r="S202" i="2"/>
  <c r="AB201" i="2"/>
  <c r="AA201" i="2"/>
  <c r="Z201" i="2"/>
  <c r="Y201" i="2"/>
  <c r="X201" i="2"/>
  <c r="U201" i="2"/>
  <c r="T201" i="2"/>
  <c r="S201" i="2"/>
  <c r="Y196" i="2"/>
  <c r="AB200" i="2"/>
  <c r="AA200" i="2"/>
  <c r="Z200" i="2"/>
  <c r="Y200" i="2"/>
  <c r="AC200" i="2" s="1"/>
  <c r="X200" i="2"/>
  <c r="U200" i="2"/>
  <c r="T200" i="2"/>
  <c r="S200" i="2"/>
  <c r="AB199" i="2"/>
  <c r="AA199" i="2"/>
  <c r="Z199" i="2"/>
  <c r="Y199" i="2"/>
  <c r="AC199" i="2" s="1"/>
  <c r="X199" i="2"/>
  <c r="U199" i="2"/>
  <c r="T199" i="2"/>
  <c r="S199" i="2"/>
  <c r="AB198" i="2"/>
  <c r="AA198" i="2"/>
  <c r="Z198" i="2"/>
  <c r="Y198" i="2"/>
  <c r="X198" i="2"/>
  <c r="U198" i="2"/>
  <c r="T198" i="2"/>
  <c r="S198" i="2"/>
  <c r="AB197" i="2"/>
  <c r="AA197" i="2"/>
  <c r="Z197" i="2"/>
  <c r="Y197" i="2"/>
  <c r="X197" i="2"/>
  <c r="U197" i="2"/>
  <c r="T197" i="2"/>
  <c r="S197" i="2"/>
  <c r="AB196" i="2"/>
  <c r="AA196" i="2"/>
  <c r="Z196" i="2"/>
  <c r="X196" i="2"/>
  <c r="U196" i="2"/>
  <c r="T196" i="2"/>
  <c r="S196" i="2"/>
  <c r="AB195" i="2"/>
  <c r="AA195" i="2"/>
  <c r="Z195" i="2"/>
  <c r="Y195" i="2"/>
  <c r="X195" i="2"/>
  <c r="U195" i="2"/>
  <c r="T195" i="2"/>
  <c r="S195" i="2"/>
  <c r="AB194" i="2"/>
  <c r="AA194" i="2"/>
  <c r="Z194" i="2"/>
  <c r="Y194" i="2"/>
  <c r="X194" i="2"/>
  <c r="U194" i="2"/>
  <c r="T194" i="2"/>
  <c r="S194" i="2"/>
  <c r="AB193" i="2"/>
  <c r="AA193" i="2"/>
  <c r="Z193" i="2"/>
  <c r="Y193" i="2"/>
  <c r="X193" i="2"/>
  <c r="U193" i="2"/>
  <c r="T193" i="2"/>
  <c r="S193" i="2"/>
  <c r="AB192" i="2"/>
  <c r="AA192" i="2"/>
  <c r="Z192" i="2"/>
  <c r="Y192" i="2"/>
  <c r="X192" i="2"/>
  <c r="AE192" i="2" s="1"/>
  <c r="U192" i="2"/>
  <c r="T192" i="2"/>
  <c r="S192" i="2"/>
  <c r="S183" i="2"/>
  <c r="Z183" i="2"/>
  <c r="AB191" i="2"/>
  <c r="AA191" i="2"/>
  <c r="Z191" i="2"/>
  <c r="Y191" i="2"/>
  <c r="X191" i="2"/>
  <c r="U191" i="2"/>
  <c r="T191" i="2"/>
  <c r="S191" i="2"/>
  <c r="AB190" i="2"/>
  <c r="AA190" i="2"/>
  <c r="Z190" i="2"/>
  <c r="Y190" i="2"/>
  <c r="X190" i="2"/>
  <c r="U190" i="2"/>
  <c r="T190" i="2"/>
  <c r="S190" i="2"/>
  <c r="AB189" i="2"/>
  <c r="AA189" i="2"/>
  <c r="Z189" i="2"/>
  <c r="Y189" i="2"/>
  <c r="X189" i="2"/>
  <c r="U189" i="2"/>
  <c r="T189" i="2"/>
  <c r="S189" i="2"/>
  <c r="AB188" i="2"/>
  <c r="AA188" i="2"/>
  <c r="Z188" i="2"/>
  <c r="Y188" i="2"/>
  <c r="X188" i="2"/>
  <c r="U188" i="2"/>
  <c r="T188" i="2"/>
  <c r="S188" i="2"/>
  <c r="AB187" i="2"/>
  <c r="AA187" i="2"/>
  <c r="AC187" i="2" s="1"/>
  <c r="Z187" i="2"/>
  <c r="X187" i="2"/>
  <c r="U187" i="2"/>
  <c r="T187" i="2"/>
  <c r="S187" i="2"/>
  <c r="AB186" i="2"/>
  <c r="AA186" i="2"/>
  <c r="Z186" i="2"/>
  <c r="Y186" i="2"/>
  <c r="X186" i="2"/>
  <c r="U186" i="2"/>
  <c r="T186" i="2"/>
  <c r="S186" i="2"/>
  <c r="AB185" i="2"/>
  <c r="AA185" i="2"/>
  <c r="Z185" i="2"/>
  <c r="Y185" i="2"/>
  <c r="X185" i="2"/>
  <c r="U185" i="2"/>
  <c r="T185" i="2"/>
  <c r="S185" i="2"/>
  <c r="AB184" i="2"/>
  <c r="AA184" i="2"/>
  <c r="Z184" i="2"/>
  <c r="Y184" i="2"/>
  <c r="X184" i="2"/>
  <c r="U184" i="2"/>
  <c r="T184" i="2"/>
  <c r="S184" i="2"/>
  <c r="AB183" i="2"/>
  <c r="AE183" i="2" s="1"/>
  <c r="AA183" i="2"/>
  <c r="Y183" i="2"/>
  <c r="X183" i="2"/>
  <c r="U183" i="2"/>
  <c r="T183" i="2"/>
  <c r="AB176" i="2"/>
  <c r="X176" i="2"/>
  <c r="AB182" i="2"/>
  <c r="AE182" i="2" s="1"/>
  <c r="AA182" i="2"/>
  <c r="Z182" i="2"/>
  <c r="Y182" i="2"/>
  <c r="AC182" i="2" s="1"/>
  <c r="X182" i="2"/>
  <c r="U182" i="2"/>
  <c r="T182" i="2"/>
  <c r="S182" i="2"/>
  <c r="AB181" i="2"/>
  <c r="AE181" i="2" s="1"/>
  <c r="AA181" i="2"/>
  <c r="Z181" i="2"/>
  <c r="Y181" i="2"/>
  <c r="AC181" i="2" s="1"/>
  <c r="X181" i="2"/>
  <c r="U181" i="2"/>
  <c r="T181" i="2"/>
  <c r="S181" i="2"/>
  <c r="AB180" i="2"/>
  <c r="AA180" i="2"/>
  <c r="Z180" i="2"/>
  <c r="Y180" i="2"/>
  <c r="AC180" i="2" s="1"/>
  <c r="X180" i="2"/>
  <c r="U180" i="2"/>
  <c r="T180" i="2"/>
  <c r="S180" i="2"/>
  <c r="AB179" i="2"/>
  <c r="AA179" i="2"/>
  <c r="Z179" i="2"/>
  <c r="Y179" i="2"/>
  <c r="AC179" i="2" s="1"/>
  <c r="X179" i="2"/>
  <c r="U179" i="2"/>
  <c r="T179" i="2"/>
  <c r="S179" i="2"/>
  <c r="AB178" i="2"/>
  <c r="AE178" i="2" s="1"/>
  <c r="AA178" i="2"/>
  <c r="AC178" i="2" s="1"/>
  <c r="Z178" i="2"/>
  <c r="X178" i="2"/>
  <c r="U178" i="2"/>
  <c r="T178" i="2"/>
  <c r="S178" i="2"/>
  <c r="AB177" i="2"/>
  <c r="AA177" i="2"/>
  <c r="Z177" i="2"/>
  <c r="Y177" i="2"/>
  <c r="X177" i="2"/>
  <c r="U177" i="2"/>
  <c r="T177" i="2"/>
  <c r="S177" i="2"/>
  <c r="AA176" i="2"/>
  <c r="Z176" i="2"/>
  <c r="Y176" i="2"/>
  <c r="U176" i="2"/>
  <c r="T176" i="2"/>
  <c r="S176" i="2"/>
  <c r="AB175" i="2"/>
  <c r="AA175" i="2"/>
  <c r="Z175" i="2"/>
  <c r="Y175" i="2"/>
  <c r="X175" i="2"/>
  <c r="U175" i="2"/>
  <c r="T175" i="2"/>
  <c r="S175" i="2"/>
  <c r="AB174" i="2"/>
  <c r="AA174" i="2"/>
  <c r="Z174" i="2"/>
  <c r="Y174" i="2"/>
  <c r="X174" i="2"/>
  <c r="U174" i="2"/>
  <c r="T174" i="2"/>
  <c r="S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0" i="2"/>
  <c r="U139" i="2"/>
  <c r="U138" i="2"/>
  <c r="U141" i="2"/>
  <c r="AB173" i="2"/>
  <c r="AA173" i="2"/>
  <c r="Z173" i="2"/>
  <c r="Y173" i="2"/>
  <c r="AC173" i="2" s="1"/>
  <c r="X173" i="2"/>
  <c r="T173" i="2"/>
  <c r="S173" i="2"/>
  <c r="AB172" i="2"/>
  <c r="AA172" i="2"/>
  <c r="Z172" i="2"/>
  <c r="Y172" i="2"/>
  <c r="X172" i="2"/>
  <c r="T172" i="2"/>
  <c r="S172" i="2"/>
  <c r="AB171" i="2"/>
  <c r="AA171" i="2"/>
  <c r="Z171" i="2"/>
  <c r="Y171" i="2"/>
  <c r="X171" i="2"/>
  <c r="T171" i="2"/>
  <c r="S171" i="2"/>
  <c r="AB170" i="2"/>
  <c r="AA170" i="2"/>
  <c r="Z170" i="2"/>
  <c r="Y170" i="2"/>
  <c r="X170" i="2"/>
  <c r="T170" i="2"/>
  <c r="S170" i="2"/>
  <c r="AB169" i="2"/>
  <c r="AA169" i="2"/>
  <c r="AC169" i="2" s="1"/>
  <c r="Z169" i="2"/>
  <c r="X169" i="2"/>
  <c r="T169" i="2"/>
  <c r="S169" i="2"/>
  <c r="AB168" i="2"/>
  <c r="AA168" i="2"/>
  <c r="Z168" i="2"/>
  <c r="Y168" i="2"/>
  <c r="X168" i="2"/>
  <c r="T168" i="2"/>
  <c r="S168" i="2"/>
  <c r="AB167" i="2"/>
  <c r="AA167" i="2"/>
  <c r="Z167" i="2"/>
  <c r="Y167" i="2"/>
  <c r="X167" i="2"/>
  <c r="T167" i="2"/>
  <c r="S167" i="2"/>
  <c r="AB166" i="2"/>
  <c r="AA166" i="2"/>
  <c r="Z166" i="2"/>
  <c r="Y166" i="2"/>
  <c r="AC166" i="2" s="1"/>
  <c r="X166" i="2"/>
  <c r="T166" i="2"/>
  <c r="S166" i="2"/>
  <c r="AB165" i="2"/>
  <c r="AA165" i="2"/>
  <c r="Z165" i="2"/>
  <c r="Y165" i="2"/>
  <c r="X165" i="2"/>
  <c r="T165" i="2"/>
  <c r="S165" i="2"/>
  <c r="AA164" i="2"/>
  <c r="Z164" i="2"/>
  <c r="AA163" i="2"/>
  <c r="Z163" i="2"/>
  <c r="AA162" i="2"/>
  <c r="Z162" i="2"/>
  <c r="AA161" i="2"/>
  <c r="Z161" i="2"/>
  <c r="AA160" i="2"/>
  <c r="AC160" i="2" s="1"/>
  <c r="Z160" i="2"/>
  <c r="AA159" i="2"/>
  <c r="Z159" i="2"/>
  <c r="AA158" i="2"/>
  <c r="Z158" i="2"/>
  <c r="AA157" i="2"/>
  <c r="Z157" i="2"/>
  <c r="AA156" i="2"/>
  <c r="Z156" i="2"/>
  <c r="AA155" i="2"/>
  <c r="Z155" i="2"/>
  <c r="AA154" i="2"/>
  <c r="Z154" i="2"/>
  <c r="AA153" i="2"/>
  <c r="Z153" i="2"/>
  <c r="AA152" i="2"/>
  <c r="Z152" i="2"/>
  <c r="AA151" i="2"/>
  <c r="AC151" i="2" s="1"/>
  <c r="Z151" i="2"/>
  <c r="AA150" i="2"/>
  <c r="AC150" i="2" s="1"/>
  <c r="Z150" i="2"/>
  <c r="AA149" i="2"/>
  <c r="Z149" i="2"/>
  <c r="AA148" i="2"/>
  <c r="Z148" i="2"/>
  <c r="AA147" i="2"/>
  <c r="Z147" i="2"/>
  <c r="AA146" i="2"/>
  <c r="Z146" i="2"/>
  <c r="AA145" i="2"/>
  <c r="Z145" i="2"/>
  <c r="AA144" i="2"/>
  <c r="Z144" i="2"/>
  <c r="AA143" i="2"/>
  <c r="Z143" i="2"/>
  <c r="AA142" i="2"/>
  <c r="Z142" i="2"/>
  <c r="AA141" i="2"/>
  <c r="Z141" i="2"/>
  <c r="AA140" i="2"/>
  <c r="AC140" i="2" s="1"/>
  <c r="Z140" i="2"/>
  <c r="AA139" i="2"/>
  <c r="Z139" i="2"/>
  <c r="AA138" i="2"/>
  <c r="Z138" i="2"/>
  <c r="AA137" i="2"/>
  <c r="Z137" i="2"/>
  <c r="AA136" i="2"/>
  <c r="Z136" i="2"/>
  <c r="AA135" i="2"/>
  <c r="Z135" i="2"/>
  <c r="AA134" i="2"/>
  <c r="Z134" i="2"/>
  <c r="AA133" i="2"/>
  <c r="Z133" i="2"/>
  <c r="AA132" i="2"/>
  <c r="Z132" i="2"/>
  <c r="AA131" i="2"/>
  <c r="Z131" i="2"/>
  <c r="AA130" i="2"/>
  <c r="Z130" i="2"/>
  <c r="AA129" i="2"/>
  <c r="Z129" i="2"/>
  <c r="AA128" i="2"/>
  <c r="Z128" i="2"/>
  <c r="AA127" i="2"/>
  <c r="Z127" i="2"/>
  <c r="AA126" i="2"/>
  <c r="Z126" i="2"/>
  <c r="AA125" i="2"/>
  <c r="Z125" i="2"/>
  <c r="AA124" i="2"/>
  <c r="Z124" i="2"/>
  <c r="AA123" i="2"/>
  <c r="Z123" i="2"/>
  <c r="AA122" i="2"/>
  <c r="Z122" i="2"/>
  <c r="AA121" i="2"/>
  <c r="Z121" i="2"/>
  <c r="AA120" i="2"/>
  <c r="Z120" i="2"/>
  <c r="AA119" i="2"/>
  <c r="Z119" i="2"/>
  <c r="AA118" i="2"/>
  <c r="Z118" i="2"/>
  <c r="AA117" i="2"/>
  <c r="Z117" i="2"/>
  <c r="AA116" i="2"/>
  <c r="Z116" i="2"/>
  <c r="AA115" i="2"/>
  <c r="Z115" i="2"/>
  <c r="AA114" i="2"/>
  <c r="Z114" i="2"/>
  <c r="AA113" i="2"/>
  <c r="Z113" i="2"/>
  <c r="AA112" i="2"/>
  <c r="Z112" i="2"/>
  <c r="AA111" i="2"/>
  <c r="Z111" i="2"/>
  <c r="AA110" i="2"/>
  <c r="Z110" i="2"/>
  <c r="AA109" i="2"/>
  <c r="Z109" i="2"/>
  <c r="AA108" i="2"/>
  <c r="Z108" i="2"/>
  <c r="AA107" i="2"/>
  <c r="Z107" i="2"/>
  <c r="AA106" i="2"/>
  <c r="Z106" i="2"/>
  <c r="AA105" i="2"/>
  <c r="Z105" i="2"/>
  <c r="AA104" i="2"/>
  <c r="Z104" i="2"/>
  <c r="AE104" i="2" s="1"/>
  <c r="AA103" i="2"/>
  <c r="Z103" i="2"/>
  <c r="AA102" i="2"/>
  <c r="Z102" i="2"/>
  <c r="AA101" i="2"/>
  <c r="Z101" i="2"/>
  <c r="AA100" i="2"/>
  <c r="Z100" i="2"/>
  <c r="AA99" i="2"/>
  <c r="Z99" i="2"/>
  <c r="AA98" i="2"/>
  <c r="Z98" i="2"/>
  <c r="AA97" i="2"/>
  <c r="Z97" i="2"/>
  <c r="AA96" i="2"/>
  <c r="Z96" i="2"/>
  <c r="AA95" i="2"/>
  <c r="Z95" i="2"/>
  <c r="AA94" i="2"/>
  <c r="Z94" i="2"/>
  <c r="AA93" i="2"/>
  <c r="Z93" i="2"/>
  <c r="AA92" i="2"/>
  <c r="Z92" i="2"/>
  <c r="AA91" i="2"/>
  <c r="Z91" i="2"/>
  <c r="AA90" i="2"/>
  <c r="Z90" i="2"/>
  <c r="AA89" i="2"/>
  <c r="Z89" i="2"/>
  <c r="AA88" i="2"/>
  <c r="Z88" i="2"/>
  <c r="AA87" i="2"/>
  <c r="Z87" i="2"/>
  <c r="AA86" i="2"/>
  <c r="Z86" i="2"/>
  <c r="AA85" i="2"/>
  <c r="Z85" i="2"/>
  <c r="AA84" i="2"/>
  <c r="Z84" i="2"/>
  <c r="AA83" i="2"/>
  <c r="Z83" i="2"/>
  <c r="AA82" i="2"/>
  <c r="Z82" i="2"/>
  <c r="AA81" i="2"/>
  <c r="Z81" i="2"/>
  <c r="AA80" i="2"/>
  <c r="Z80" i="2"/>
  <c r="AA79" i="2"/>
  <c r="Z79" i="2"/>
  <c r="AA78" i="2"/>
  <c r="Z78" i="2"/>
  <c r="AA77" i="2"/>
  <c r="Z77" i="2"/>
  <c r="AA76" i="2"/>
  <c r="Z76" i="2"/>
  <c r="AA75" i="2"/>
  <c r="Z75" i="2"/>
  <c r="AA74" i="2"/>
  <c r="Z74" i="2"/>
  <c r="AA73" i="2"/>
  <c r="Z73" i="2"/>
  <c r="AA72" i="2"/>
  <c r="Z72" i="2"/>
  <c r="AA71" i="2"/>
  <c r="Z71" i="2"/>
  <c r="AA70" i="2"/>
  <c r="Z70" i="2"/>
  <c r="AA69" i="2"/>
  <c r="Z69" i="2"/>
  <c r="AA68" i="2"/>
  <c r="Z68" i="2"/>
  <c r="AA67" i="2"/>
  <c r="Z67" i="2"/>
  <c r="AA66" i="2"/>
  <c r="Z66" i="2"/>
  <c r="AA65" i="2"/>
  <c r="Z65" i="2"/>
  <c r="AA64" i="2"/>
  <c r="Z64" i="2"/>
  <c r="AA63" i="2"/>
  <c r="Z63" i="2"/>
  <c r="AA62" i="2"/>
  <c r="Z62" i="2"/>
  <c r="AA61" i="2"/>
  <c r="Z61" i="2"/>
  <c r="AA60" i="2"/>
  <c r="Z60" i="2"/>
  <c r="AA59" i="2"/>
  <c r="Z59" i="2"/>
  <c r="AA58" i="2"/>
  <c r="Z58" i="2"/>
  <c r="AA57" i="2"/>
  <c r="Z57" i="2"/>
  <c r="AA56" i="2"/>
  <c r="Z56" i="2"/>
  <c r="AA55" i="2"/>
  <c r="Z55" i="2"/>
  <c r="AA54" i="2"/>
  <c r="Z54" i="2"/>
  <c r="AA53" i="2"/>
  <c r="Z53" i="2"/>
  <c r="AA52" i="2"/>
  <c r="Z52" i="2"/>
  <c r="AA51" i="2"/>
  <c r="Z51" i="2"/>
  <c r="AA50" i="2"/>
  <c r="Z50" i="2"/>
  <c r="AA49" i="2"/>
  <c r="Z49" i="2"/>
  <c r="AA48" i="2"/>
  <c r="Z48" i="2"/>
  <c r="AA47" i="2"/>
  <c r="Z47" i="2"/>
  <c r="AA46" i="2"/>
  <c r="Z46" i="2"/>
  <c r="AA45" i="2"/>
  <c r="Z45" i="2"/>
  <c r="AA44" i="2"/>
  <c r="Z44" i="2"/>
  <c r="AA43" i="2"/>
  <c r="Z43" i="2"/>
  <c r="AA42" i="2"/>
  <c r="Z42" i="2"/>
  <c r="AA41" i="2"/>
  <c r="Z41" i="2"/>
  <c r="AA40" i="2"/>
  <c r="Z40" i="2"/>
  <c r="AA39" i="2"/>
  <c r="Z39" i="2"/>
  <c r="AA38" i="2"/>
  <c r="Z38" i="2"/>
  <c r="AA37" i="2"/>
  <c r="Z37" i="2"/>
  <c r="AA36" i="2"/>
  <c r="Z36" i="2"/>
  <c r="AA35" i="2"/>
  <c r="Z35" i="2"/>
  <c r="AA34" i="2"/>
  <c r="Z34" i="2"/>
  <c r="AA33" i="2"/>
  <c r="Z33" i="2"/>
  <c r="AA32" i="2"/>
  <c r="Z32" i="2"/>
  <c r="AA31" i="2"/>
  <c r="Z31" i="2"/>
  <c r="AA30" i="2"/>
  <c r="Z30" i="2"/>
  <c r="AA29" i="2"/>
  <c r="Z29" i="2"/>
  <c r="AA28" i="2"/>
  <c r="Z28" i="2"/>
  <c r="AA27" i="2"/>
  <c r="Z27" i="2"/>
  <c r="AA26" i="2"/>
  <c r="Z26" i="2"/>
  <c r="AA25" i="2"/>
  <c r="Z25" i="2"/>
  <c r="AA24" i="2"/>
  <c r="Z24" i="2"/>
  <c r="AA23" i="2"/>
  <c r="Z23" i="2"/>
  <c r="AA22" i="2"/>
  <c r="Z22" i="2"/>
  <c r="AA21" i="2"/>
  <c r="Z21" i="2"/>
  <c r="AA20" i="2"/>
  <c r="Z20" i="2"/>
  <c r="AA19" i="2"/>
  <c r="Z19" i="2"/>
  <c r="AA18" i="2"/>
  <c r="Z18" i="2"/>
  <c r="AA17" i="2"/>
  <c r="Z17" i="2"/>
  <c r="AA16" i="2"/>
  <c r="Z16" i="2"/>
  <c r="AA15" i="2"/>
  <c r="Z15" i="2"/>
  <c r="AA14" i="2"/>
  <c r="Z14" i="2"/>
  <c r="AA13" i="2"/>
  <c r="Z13" i="2"/>
  <c r="AA12" i="2"/>
  <c r="Z12" i="2"/>
  <c r="AA11" i="2"/>
  <c r="Z11" i="2"/>
  <c r="AA10" i="2"/>
  <c r="Z10" i="2"/>
  <c r="AA9" i="2"/>
  <c r="Z9" i="2"/>
  <c r="AA8" i="2"/>
  <c r="Z8" i="2"/>
  <c r="AA7" i="2"/>
  <c r="Z7" i="2"/>
  <c r="AA6" i="2"/>
  <c r="Z6" i="2"/>
  <c r="AA5" i="2"/>
  <c r="Z5" i="2"/>
  <c r="AA4" i="2"/>
  <c r="Z4" i="2"/>
  <c r="AA3" i="2"/>
  <c r="Z3" i="2"/>
  <c r="AB164" i="2"/>
  <c r="Y164" i="2"/>
  <c r="X164" i="2"/>
  <c r="T164" i="2"/>
  <c r="S164" i="2"/>
  <c r="AB163" i="2"/>
  <c r="Y163" i="2"/>
  <c r="AC163" i="2" s="1"/>
  <c r="X163" i="2"/>
  <c r="T163" i="2"/>
  <c r="S163" i="2"/>
  <c r="AB162" i="2"/>
  <c r="Y162" i="2"/>
  <c r="X162" i="2"/>
  <c r="T162" i="2"/>
  <c r="S162" i="2"/>
  <c r="AB161" i="2"/>
  <c r="Y161" i="2"/>
  <c r="X161" i="2"/>
  <c r="T161" i="2"/>
  <c r="S161" i="2"/>
  <c r="AB160" i="2"/>
  <c r="X160" i="2"/>
  <c r="T160" i="2"/>
  <c r="S160" i="2"/>
  <c r="AB159" i="2"/>
  <c r="AE159" i="2" s="1"/>
  <c r="Y159" i="2"/>
  <c r="X159" i="2"/>
  <c r="T159" i="2"/>
  <c r="S159" i="2"/>
  <c r="AB158" i="2"/>
  <c r="Y158" i="2"/>
  <c r="X158" i="2"/>
  <c r="T158" i="2"/>
  <c r="S158" i="2"/>
  <c r="AB157" i="2"/>
  <c r="Y157" i="2"/>
  <c r="AC157" i="2"/>
  <c r="X157" i="2"/>
  <c r="T157" i="2"/>
  <c r="S157" i="2"/>
  <c r="AB156" i="2"/>
  <c r="Y156" i="2"/>
  <c r="X156" i="2"/>
  <c r="T156" i="2"/>
  <c r="S156" i="2"/>
  <c r="AB155" i="2"/>
  <c r="Y155" i="2"/>
  <c r="X155" i="2"/>
  <c r="T155" i="2"/>
  <c r="S155" i="2"/>
  <c r="AB154" i="2"/>
  <c r="Y154" i="2"/>
  <c r="X154" i="2"/>
  <c r="T154" i="2"/>
  <c r="S154" i="2"/>
  <c r="AB153" i="2"/>
  <c r="Y153" i="2"/>
  <c r="AC153" i="2" s="1"/>
  <c r="X153" i="2"/>
  <c r="T153" i="2"/>
  <c r="S153" i="2"/>
  <c r="AB152" i="2"/>
  <c r="Y152" i="2"/>
  <c r="X152" i="2"/>
  <c r="T152" i="2"/>
  <c r="S152" i="2"/>
  <c r="AB151" i="2"/>
  <c r="X151" i="2"/>
  <c r="T151" i="2"/>
  <c r="S151" i="2"/>
  <c r="AB150" i="2"/>
  <c r="Y150" i="2"/>
  <c r="X150" i="2"/>
  <c r="T150" i="2"/>
  <c r="S150" i="2"/>
  <c r="AB149" i="2"/>
  <c r="Y149" i="2"/>
  <c r="AC149" i="2" s="1"/>
  <c r="X149" i="2"/>
  <c r="T149" i="2"/>
  <c r="S149" i="2"/>
  <c r="AB148" i="2"/>
  <c r="Y148" i="2"/>
  <c r="X148" i="2"/>
  <c r="T148" i="2"/>
  <c r="S148" i="2"/>
  <c r="AB147" i="2"/>
  <c r="Y147" i="2"/>
  <c r="AC147" i="2"/>
  <c r="X147" i="2"/>
  <c r="T147" i="2"/>
  <c r="S147" i="2"/>
  <c r="Y146" i="2"/>
  <c r="Y145" i="2"/>
  <c r="AC145" i="2" s="1"/>
  <c r="Y144" i="2"/>
  <c r="AC144" i="2" s="1"/>
  <c r="Y143" i="2"/>
  <c r="AC143" i="2" s="1"/>
  <c r="Y142" i="2"/>
  <c r="Y141" i="2"/>
  <c r="AC141" i="2" s="1"/>
  <c r="Y140" i="2"/>
  <c r="Y139" i="2"/>
  <c r="Y138" i="2"/>
  <c r="Y137" i="2"/>
  <c r="AC137" i="2" s="1"/>
  <c r="Y136" i="2"/>
  <c r="Y135" i="2"/>
  <c r="AC135" i="2"/>
  <c r="Y134" i="2"/>
  <c r="Y133" i="2"/>
  <c r="AC133" i="2" s="1"/>
  <c r="Y132" i="2"/>
  <c r="Y131" i="2"/>
  <c r="AC131" i="2" s="1"/>
  <c r="Y130" i="2"/>
  <c r="Y129" i="2"/>
  <c r="AC129" i="2" s="1"/>
  <c r="Y128" i="2"/>
  <c r="Y127" i="2"/>
  <c r="AC127" i="2" s="1"/>
  <c r="Y126" i="2"/>
  <c r="Y125" i="2"/>
  <c r="AC125" i="2" s="1"/>
  <c r="Y124" i="2"/>
  <c r="AC124" i="2"/>
  <c r="Y123" i="2"/>
  <c r="Y122" i="2"/>
  <c r="Y121" i="2"/>
  <c r="AC121" i="2" s="1"/>
  <c r="Y120" i="2"/>
  <c r="Y119" i="2"/>
  <c r="AC119" i="2" s="1"/>
  <c r="Y118" i="2"/>
  <c r="Y117" i="2"/>
  <c r="AC117" i="2" s="1"/>
  <c r="Y116" i="2"/>
  <c r="Y115" i="2"/>
  <c r="AC115" i="2" s="1"/>
  <c r="Y114" i="2"/>
  <c r="Y113" i="2"/>
  <c r="AC113" i="2" s="1"/>
  <c r="Y112" i="2"/>
  <c r="Y111" i="2"/>
  <c r="AC111" i="2" s="1"/>
  <c r="Y110" i="2"/>
  <c r="Y109" i="2"/>
  <c r="AC109" i="2" s="1"/>
  <c r="Y108" i="2"/>
  <c r="AC108" i="2" s="1"/>
  <c r="Y107" i="2"/>
  <c r="Y106" i="2"/>
  <c r="Y105" i="2"/>
  <c r="AC105" i="2" s="1"/>
  <c r="Y104" i="2"/>
  <c r="Y103" i="2"/>
  <c r="AC103" i="2" s="1"/>
  <c r="Y102" i="2"/>
  <c r="AB102" i="2"/>
  <c r="AE102" i="2" s="1"/>
  <c r="AB103" i="2"/>
  <c r="AB104" i="2"/>
  <c r="AB105" i="2"/>
  <c r="AB106" i="2"/>
  <c r="AB107" i="2"/>
  <c r="AB108" i="2"/>
  <c r="AB109" i="2"/>
  <c r="AB110" i="2"/>
  <c r="Y101" i="2"/>
  <c r="AC101" i="2" s="1"/>
  <c r="Y100" i="2"/>
  <c r="Y99" i="2"/>
  <c r="AC99" i="2" s="1"/>
  <c r="Y98" i="2"/>
  <c r="AC98" i="2" s="1"/>
  <c r="Y97" i="2"/>
  <c r="AC97" i="2" s="1"/>
  <c r="Y96" i="2"/>
  <c r="Y95" i="2"/>
  <c r="AC95" i="2" s="1"/>
  <c r="Y94" i="2"/>
  <c r="Y93" i="2"/>
  <c r="AC93" i="2" s="1"/>
  <c r="Y92" i="2"/>
  <c r="Y91" i="2"/>
  <c r="Y90" i="2"/>
  <c r="Y89" i="2"/>
  <c r="AC89" i="2" s="1"/>
  <c r="Y88" i="2"/>
  <c r="Y87" i="2"/>
  <c r="AC87" i="2" s="1"/>
  <c r="Y86" i="2"/>
  <c r="Y85" i="2"/>
  <c r="AC85" i="2" s="1"/>
  <c r="Y84" i="2"/>
  <c r="AC84" i="2" s="1"/>
  <c r="Y83" i="2"/>
  <c r="AC83" i="2" s="1"/>
  <c r="Y82" i="2"/>
  <c r="AC82" i="2"/>
  <c r="Y81" i="2"/>
  <c r="AC81" i="2" s="1"/>
  <c r="Y80" i="2"/>
  <c r="Y79" i="2"/>
  <c r="AC79" i="2" s="1"/>
  <c r="Y78" i="2"/>
  <c r="Y77" i="2"/>
  <c r="AC77" i="2" s="1"/>
  <c r="Y76" i="2"/>
  <c r="Y75" i="2"/>
  <c r="Y74" i="2"/>
  <c r="AC74" i="2" s="1"/>
  <c r="Y73" i="2"/>
  <c r="AC73" i="2" s="1"/>
  <c r="Y72" i="2"/>
  <c r="Y71" i="2"/>
  <c r="AC71" i="2" s="1"/>
  <c r="Y70" i="2"/>
  <c r="AC70" i="2" s="1"/>
  <c r="Y69" i="2"/>
  <c r="AC69" i="2" s="1"/>
  <c r="Y68" i="2"/>
  <c r="Y67" i="2"/>
  <c r="AC67" i="2" s="1"/>
  <c r="Y66" i="2"/>
  <c r="AC66" i="2" s="1"/>
  <c r="Y65" i="2"/>
  <c r="AC65" i="2" s="1"/>
  <c r="Y64" i="2"/>
  <c r="Y63" i="2"/>
  <c r="AC63" i="2" s="1"/>
  <c r="Y62" i="2"/>
  <c r="Y61" i="2"/>
  <c r="AC61" i="2" s="1"/>
  <c r="Y60" i="2"/>
  <c r="Y59" i="2"/>
  <c r="Y58" i="2"/>
  <c r="Y57" i="2"/>
  <c r="AC57" i="2" s="1"/>
  <c r="Y56" i="2"/>
  <c r="Y55" i="2"/>
  <c r="AC55" i="2" s="1"/>
  <c r="Y54" i="2"/>
  <c r="Y53" i="2"/>
  <c r="AC53" i="2" s="1"/>
  <c r="Y52" i="2"/>
  <c r="Y51" i="2"/>
  <c r="AC51" i="2" s="1"/>
  <c r="Y50" i="2"/>
  <c r="Y49" i="2"/>
  <c r="AC49" i="2" s="1"/>
  <c r="Y48" i="2"/>
  <c r="Y47" i="2"/>
  <c r="AC47" i="2" s="1"/>
  <c r="Y46" i="2"/>
  <c r="Y45" i="2"/>
  <c r="AC45" i="2" s="1"/>
  <c r="Y44" i="2"/>
  <c r="Y43" i="2"/>
  <c r="Y42" i="2"/>
  <c r="Y41" i="2"/>
  <c r="AC41" i="2" s="1"/>
  <c r="Y40" i="2"/>
  <c r="Y39" i="2"/>
  <c r="AC39" i="2"/>
  <c r="Y38" i="2"/>
  <c r="AC38" i="2" s="1"/>
  <c r="Y37" i="2"/>
  <c r="AC37" i="2" s="1"/>
  <c r="Y36" i="2"/>
  <c r="Y35" i="2"/>
  <c r="AC35" i="2" s="1"/>
  <c r="Y34" i="2"/>
  <c r="Y33" i="2"/>
  <c r="AC33" i="2" s="1"/>
  <c r="Y32" i="2"/>
  <c r="AC32" i="2" s="1"/>
  <c r="Y31" i="2"/>
  <c r="AC31" i="2" s="1"/>
  <c r="Y30" i="2"/>
  <c r="Y29" i="2"/>
  <c r="AC29" i="2" s="1"/>
  <c r="Y28" i="2"/>
  <c r="Y27" i="2"/>
  <c r="Y26" i="2"/>
  <c r="Y25" i="2"/>
  <c r="AC25" i="2" s="1"/>
  <c r="Y24" i="2"/>
  <c r="AC24" i="2" s="1"/>
  <c r="Y23" i="2"/>
  <c r="AC23" i="2" s="1"/>
  <c r="Y22" i="2"/>
  <c r="Y21" i="2"/>
  <c r="AC21" i="2" s="1"/>
  <c r="Y20" i="2"/>
  <c r="AC20" i="2" s="1"/>
  <c r="Y19" i="2"/>
  <c r="AC19" i="2" s="1"/>
  <c r="Y18" i="2"/>
  <c r="AC18" i="2" s="1"/>
  <c r="Y17" i="2"/>
  <c r="AC17" i="2" s="1"/>
  <c r="Y16" i="2"/>
  <c r="Y15" i="2"/>
  <c r="AC15" i="2" s="1"/>
  <c r="Y14" i="2"/>
  <c r="Y13" i="2"/>
  <c r="AC13" i="2" s="1"/>
  <c r="Y12" i="2"/>
  <c r="Y11" i="2"/>
  <c r="Y10" i="2"/>
  <c r="Y9" i="2"/>
  <c r="AC9" i="2" s="1"/>
  <c r="Y8" i="2"/>
  <c r="Y7" i="2"/>
  <c r="AC7" i="2" s="1"/>
  <c r="Y6" i="2"/>
  <c r="Y5" i="2"/>
  <c r="AC5" i="2" s="1"/>
  <c r="Y4" i="2"/>
  <c r="AC4" i="2" s="1"/>
  <c r="Y3" i="2"/>
  <c r="AC3" i="2" s="1"/>
  <c r="AB146" i="2"/>
  <c r="X146" i="2"/>
  <c r="T146" i="2"/>
  <c r="S146" i="2"/>
  <c r="AB145" i="2"/>
  <c r="X145" i="2"/>
  <c r="AE145" i="2" s="1"/>
  <c r="T145" i="2"/>
  <c r="S145" i="2"/>
  <c r="AB144" i="2"/>
  <c r="X144" i="2"/>
  <c r="T144" i="2"/>
  <c r="S144" i="2"/>
  <c r="AB143" i="2"/>
  <c r="X143" i="2"/>
  <c r="T143" i="2"/>
  <c r="S143" i="2"/>
  <c r="AB142" i="2"/>
  <c r="X142" i="2"/>
  <c r="T142" i="2"/>
  <c r="S142" i="2"/>
  <c r="AB141" i="2"/>
  <c r="X141" i="2"/>
  <c r="T141" i="2"/>
  <c r="S141" i="2"/>
  <c r="AB140" i="2"/>
  <c r="X140" i="2"/>
  <c r="T140" i="2"/>
  <c r="S140" i="2"/>
  <c r="AB139" i="2"/>
  <c r="X139" i="2"/>
  <c r="T139" i="2"/>
  <c r="S139" i="2"/>
  <c r="AB138" i="2"/>
  <c r="X138" i="2"/>
  <c r="T138" i="2"/>
  <c r="S138" i="2"/>
  <c r="AB137" i="2"/>
  <c r="X137" i="2"/>
  <c r="U137" i="2"/>
  <c r="T137" i="2"/>
  <c r="S137" i="2"/>
  <c r="AB136" i="2"/>
  <c r="X136" i="2"/>
  <c r="U136" i="2"/>
  <c r="T136" i="2"/>
  <c r="S136" i="2"/>
  <c r="AB135" i="2"/>
  <c r="X135" i="2"/>
  <c r="U135" i="2"/>
  <c r="T135" i="2"/>
  <c r="S135" i="2"/>
  <c r="AB134" i="2"/>
  <c r="X134" i="2"/>
  <c r="U134" i="2"/>
  <c r="T134" i="2"/>
  <c r="S134" i="2"/>
  <c r="AB133" i="2"/>
  <c r="X133" i="2"/>
  <c r="U133" i="2"/>
  <c r="T133" i="2"/>
  <c r="S133" i="2"/>
  <c r="AB132" i="2"/>
  <c r="X132" i="2"/>
  <c r="U132" i="2"/>
  <c r="T132" i="2"/>
  <c r="S132" i="2"/>
  <c r="AB131" i="2"/>
  <c r="X131" i="2"/>
  <c r="U131" i="2"/>
  <c r="T131" i="2"/>
  <c r="S131" i="2"/>
  <c r="AB130" i="2"/>
  <c r="X130" i="2"/>
  <c r="U130" i="2"/>
  <c r="T130" i="2"/>
  <c r="S130" i="2"/>
  <c r="AB129" i="2"/>
  <c r="X129" i="2"/>
  <c r="U129" i="2"/>
  <c r="T129" i="2"/>
  <c r="S129" i="2"/>
  <c r="AB128" i="2"/>
  <c r="X128" i="2"/>
  <c r="U128" i="2"/>
  <c r="T128" i="2"/>
  <c r="S128" i="2"/>
  <c r="AB127" i="2"/>
  <c r="AE127" i="2" s="1"/>
  <c r="X127" i="2"/>
  <c r="U127" i="2"/>
  <c r="T127" i="2"/>
  <c r="S127" i="2"/>
  <c r="AB126" i="2"/>
  <c r="X126" i="2"/>
  <c r="U126" i="2"/>
  <c r="T126" i="2"/>
  <c r="S126" i="2"/>
  <c r="AB125" i="2"/>
  <c r="X125" i="2"/>
  <c r="U125" i="2"/>
  <c r="T125" i="2"/>
  <c r="S125" i="2"/>
  <c r="AB124" i="2"/>
  <c r="X124" i="2"/>
  <c r="U124" i="2"/>
  <c r="T124" i="2"/>
  <c r="S124" i="2"/>
  <c r="AB123" i="2"/>
  <c r="X123" i="2"/>
  <c r="U123" i="2"/>
  <c r="T123" i="2"/>
  <c r="S123" i="2"/>
  <c r="AB122" i="2"/>
  <c r="X122" i="2"/>
  <c r="U122" i="2"/>
  <c r="T122" i="2"/>
  <c r="S122" i="2"/>
  <c r="AB121" i="2"/>
  <c r="X121" i="2"/>
  <c r="U121" i="2"/>
  <c r="T121" i="2"/>
  <c r="S121" i="2"/>
  <c r="AB120" i="2"/>
  <c r="X120" i="2"/>
  <c r="U120" i="2"/>
  <c r="T120" i="2"/>
  <c r="S120" i="2"/>
  <c r="AB119" i="2"/>
  <c r="X119" i="2"/>
  <c r="U119" i="2"/>
  <c r="T119" i="2"/>
  <c r="S119" i="2"/>
  <c r="AB118" i="2"/>
  <c r="X118" i="2"/>
  <c r="U118" i="2"/>
  <c r="T118" i="2"/>
  <c r="S118" i="2"/>
  <c r="AB117" i="2"/>
  <c r="X117" i="2"/>
  <c r="AE117" i="2" s="1"/>
  <c r="U117" i="2"/>
  <c r="T117" i="2"/>
  <c r="S117" i="2"/>
  <c r="AB116" i="2"/>
  <c r="X116" i="2"/>
  <c r="U116" i="2"/>
  <c r="T116" i="2"/>
  <c r="S116" i="2"/>
  <c r="AB115" i="2"/>
  <c r="X115" i="2"/>
  <c r="U115" i="2"/>
  <c r="T115" i="2"/>
  <c r="S115" i="2"/>
  <c r="AB114" i="2"/>
  <c r="X114" i="2"/>
  <c r="U114" i="2"/>
  <c r="T114" i="2"/>
  <c r="S114" i="2"/>
  <c r="AB113" i="2"/>
  <c r="X113" i="2"/>
  <c r="U113" i="2"/>
  <c r="T113" i="2"/>
  <c r="S113" i="2"/>
  <c r="AB112" i="2"/>
  <c r="X112" i="2"/>
  <c r="U112" i="2"/>
  <c r="T112" i="2"/>
  <c r="S112" i="2"/>
  <c r="AB111" i="2"/>
  <c r="AE111" i="2" s="1"/>
  <c r="X111" i="2"/>
  <c r="U111" i="2"/>
  <c r="T111" i="2"/>
  <c r="S111" i="2"/>
  <c r="X110" i="2"/>
  <c r="U110" i="2"/>
  <c r="T110" i="2"/>
  <c r="S110" i="2"/>
  <c r="X109" i="2"/>
  <c r="U109" i="2"/>
  <c r="T109" i="2"/>
  <c r="S109" i="2"/>
  <c r="X108" i="2"/>
  <c r="U108" i="2"/>
  <c r="T108" i="2"/>
  <c r="S108" i="2"/>
  <c r="X107" i="2"/>
  <c r="U107" i="2"/>
  <c r="T107" i="2"/>
  <c r="S107" i="2"/>
  <c r="X106" i="2"/>
  <c r="U106" i="2"/>
  <c r="T106" i="2"/>
  <c r="S106" i="2"/>
  <c r="X105" i="2"/>
  <c r="U105" i="2"/>
  <c r="T105" i="2"/>
  <c r="S105" i="2"/>
  <c r="X104" i="2"/>
  <c r="U104" i="2"/>
  <c r="T104" i="2"/>
  <c r="S104" i="2"/>
  <c r="X103" i="2"/>
  <c r="U103" i="2"/>
  <c r="T103" i="2"/>
  <c r="S103" i="2"/>
  <c r="X102" i="2"/>
  <c r="U102" i="2"/>
  <c r="T102" i="2"/>
  <c r="S102" i="2"/>
  <c r="AB101" i="2"/>
  <c r="X101" i="2"/>
  <c r="U101" i="2"/>
  <c r="T101" i="2"/>
  <c r="S101" i="2"/>
  <c r="AB100" i="2"/>
  <c r="X100" i="2"/>
  <c r="U100" i="2"/>
  <c r="T100" i="2"/>
  <c r="S100" i="2"/>
  <c r="AB99" i="2"/>
  <c r="X99" i="2"/>
  <c r="U99" i="2"/>
  <c r="T99" i="2"/>
  <c r="S99" i="2"/>
  <c r="AB98" i="2"/>
  <c r="X98" i="2"/>
  <c r="U98" i="2"/>
  <c r="T98" i="2"/>
  <c r="S98" i="2"/>
  <c r="AB97" i="2"/>
  <c r="X97" i="2"/>
  <c r="U97" i="2"/>
  <c r="T97" i="2"/>
  <c r="S97" i="2"/>
  <c r="AB96" i="2"/>
  <c r="X96" i="2"/>
  <c r="U96" i="2"/>
  <c r="T96" i="2"/>
  <c r="S96" i="2"/>
  <c r="AB95" i="2"/>
  <c r="X95" i="2"/>
  <c r="U95" i="2"/>
  <c r="T95" i="2"/>
  <c r="S95" i="2"/>
  <c r="AB94" i="2"/>
  <c r="X94" i="2"/>
  <c r="U94" i="2"/>
  <c r="T94" i="2"/>
  <c r="S94" i="2"/>
  <c r="AB93" i="2"/>
  <c r="X93" i="2"/>
  <c r="U93" i="2"/>
  <c r="T93" i="2"/>
  <c r="S93" i="2"/>
  <c r="AB92" i="2"/>
  <c r="X92" i="2"/>
  <c r="U92" i="2"/>
  <c r="T92" i="2"/>
  <c r="S92" i="2"/>
  <c r="AB91" i="2"/>
  <c r="X91" i="2"/>
  <c r="U91" i="2"/>
  <c r="T91" i="2"/>
  <c r="S91" i="2"/>
  <c r="AB90" i="2"/>
  <c r="X90" i="2"/>
  <c r="U90" i="2"/>
  <c r="T90" i="2"/>
  <c r="S90" i="2"/>
  <c r="AB89" i="2"/>
  <c r="X89" i="2"/>
  <c r="U89" i="2"/>
  <c r="T89" i="2"/>
  <c r="S89" i="2"/>
  <c r="AB88" i="2"/>
  <c r="X88" i="2"/>
  <c r="U88" i="2"/>
  <c r="T88" i="2"/>
  <c r="S88" i="2"/>
  <c r="AB87" i="2"/>
  <c r="AE87" i="2" s="1"/>
  <c r="X87" i="2"/>
  <c r="U87" i="2"/>
  <c r="T87" i="2"/>
  <c r="S87" i="2"/>
  <c r="AB86" i="2"/>
  <c r="X86" i="2"/>
  <c r="U86" i="2"/>
  <c r="T86" i="2"/>
  <c r="S86" i="2"/>
  <c r="AB85" i="2"/>
  <c r="X85" i="2"/>
  <c r="U85" i="2"/>
  <c r="T85" i="2"/>
  <c r="S85" i="2"/>
  <c r="AB84" i="2"/>
  <c r="X84" i="2"/>
  <c r="U84" i="2"/>
  <c r="T84" i="2"/>
  <c r="S84" i="2"/>
  <c r="X79" i="2"/>
  <c r="AB47" i="2"/>
  <c r="X47" i="2"/>
  <c r="U47" i="2"/>
  <c r="T47" i="2"/>
  <c r="S47" i="2"/>
  <c r="AB46" i="2"/>
  <c r="X46" i="2"/>
  <c r="U46" i="2"/>
  <c r="T46" i="2"/>
  <c r="S46" i="2"/>
  <c r="AB45" i="2"/>
  <c r="X45" i="2"/>
  <c r="AE45" i="2" s="1"/>
  <c r="U45" i="2"/>
  <c r="T45" i="2"/>
  <c r="S45" i="2"/>
  <c r="AB44" i="2"/>
  <c r="X44" i="2"/>
  <c r="U44" i="2"/>
  <c r="T44" i="2"/>
  <c r="S44" i="2"/>
  <c r="AB43" i="2"/>
  <c r="X43" i="2"/>
  <c r="U43" i="2"/>
  <c r="T43" i="2"/>
  <c r="S43" i="2"/>
  <c r="AB42" i="2"/>
  <c r="X42" i="2"/>
  <c r="U42" i="2"/>
  <c r="T42" i="2"/>
  <c r="S42" i="2"/>
  <c r="AB41" i="2"/>
  <c r="X41" i="2"/>
  <c r="U41" i="2"/>
  <c r="T41" i="2"/>
  <c r="S41" i="2"/>
  <c r="AB40" i="2"/>
  <c r="AE40" i="2" s="1"/>
  <c r="X40" i="2"/>
  <c r="U40" i="2"/>
  <c r="T40" i="2"/>
  <c r="S40" i="2"/>
  <c r="AB39" i="2"/>
  <c r="X39" i="2"/>
  <c r="U39" i="2"/>
  <c r="T39" i="2"/>
  <c r="S39" i="2"/>
  <c r="AB83" i="2"/>
  <c r="X83" i="2"/>
  <c r="U83" i="2"/>
  <c r="T83" i="2"/>
  <c r="S83" i="2"/>
  <c r="AB82" i="2"/>
  <c r="X82" i="2"/>
  <c r="U82" i="2"/>
  <c r="T82" i="2"/>
  <c r="S82" i="2"/>
  <c r="AB81" i="2"/>
  <c r="X81" i="2"/>
  <c r="U81" i="2"/>
  <c r="T81" i="2"/>
  <c r="S81" i="2"/>
  <c r="AB80" i="2"/>
  <c r="X80" i="2"/>
  <c r="U80" i="2"/>
  <c r="T80" i="2"/>
  <c r="S80" i="2"/>
  <c r="AB79" i="2"/>
  <c r="U79" i="2"/>
  <c r="T79" i="2"/>
  <c r="S79" i="2"/>
  <c r="AB78" i="2"/>
  <c r="X78" i="2"/>
  <c r="U78" i="2"/>
  <c r="T78" i="2"/>
  <c r="S78" i="2"/>
  <c r="AB77" i="2"/>
  <c r="X77" i="2"/>
  <c r="U77" i="2"/>
  <c r="T77" i="2"/>
  <c r="S77" i="2"/>
  <c r="AB76" i="2"/>
  <c r="X76" i="2"/>
  <c r="U76" i="2"/>
  <c r="T76" i="2"/>
  <c r="S76" i="2"/>
  <c r="AB75" i="2"/>
  <c r="X75" i="2"/>
  <c r="U75" i="2"/>
  <c r="T75" i="2"/>
  <c r="S75" i="2"/>
  <c r="AB74" i="2"/>
  <c r="X74" i="2"/>
  <c r="U74" i="2"/>
  <c r="T74" i="2"/>
  <c r="S74" i="2"/>
  <c r="AB73" i="2"/>
  <c r="X73" i="2"/>
  <c r="U73" i="2"/>
  <c r="T73" i="2"/>
  <c r="S73" i="2"/>
  <c r="AB72" i="2"/>
  <c r="AE72" i="2" s="1"/>
  <c r="X72" i="2"/>
  <c r="U72" i="2"/>
  <c r="T72" i="2"/>
  <c r="S72" i="2"/>
  <c r="AB71" i="2"/>
  <c r="X71" i="2"/>
  <c r="U71" i="2"/>
  <c r="T71" i="2"/>
  <c r="S71" i="2"/>
  <c r="AB70" i="2"/>
  <c r="X70" i="2"/>
  <c r="U70" i="2"/>
  <c r="T70" i="2"/>
  <c r="S70" i="2"/>
  <c r="AB69" i="2"/>
  <c r="X69" i="2"/>
  <c r="AE69" i="2" s="1"/>
  <c r="U69" i="2"/>
  <c r="T69" i="2"/>
  <c r="S69" i="2"/>
  <c r="AB68" i="2"/>
  <c r="X68" i="2"/>
  <c r="U68" i="2"/>
  <c r="T68" i="2"/>
  <c r="S68" i="2"/>
  <c r="AB67" i="2"/>
  <c r="X67" i="2"/>
  <c r="U67" i="2"/>
  <c r="T67" i="2"/>
  <c r="S67" i="2"/>
  <c r="AB66" i="2"/>
  <c r="X66" i="2"/>
  <c r="U66" i="2"/>
  <c r="T66" i="2"/>
  <c r="S66" i="2"/>
  <c r="AB65" i="2"/>
  <c r="X65" i="2"/>
  <c r="U65" i="2"/>
  <c r="T65" i="2"/>
  <c r="S65" i="2"/>
  <c r="AB64" i="2"/>
  <c r="AE64" i="2" s="1"/>
  <c r="X64" i="2"/>
  <c r="U64" i="2"/>
  <c r="T64" i="2"/>
  <c r="S64" i="2"/>
  <c r="AB63" i="2"/>
  <c r="X63" i="2"/>
  <c r="U63" i="2"/>
  <c r="T63" i="2"/>
  <c r="S63" i="2"/>
  <c r="AB62" i="2"/>
  <c r="X62" i="2"/>
  <c r="U62" i="2"/>
  <c r="T62" i="2"/>
  <c r="S62" i="2"/>
  <c r="AB61" i="2"/>
  <c r="X61" i="2"/>
  <c r="U61" i="2"/>
  <c r="T61" i="2"/>
  <c r="S61" i="2"/>
  <c r="AB60" i="2"/>
  <c r="X60" i="2"/>
  <c r="U60" i="2"/>
  <c r="T60" i="2"/>
  <c r="S60" i="2"/>
  <c r="AB59" i="2"/>
  <c r="X59" i="2"/>
  <c r="U59" i="2"/>
  <c r="T59" i="2"/>
  <c r="S59" i="2"/>
  <c r="AB58" i="2"/>
  <c r="X58" i="2"/>
  <c r="U58" i="2"/>
  <c r="T58" i="2"/>
  <c r="S58" i="2"/>
  <c r="AB57" i="2"/>
  <c r="X57" i="2"/>
  <c r="U57" i="2"/>
  <c r="T57" i="2"/>
  <c r="S57" i="2"/>
  <c r="AB56" i="2"/>
  <c r="AE56" i="2" s="1"/>
  <c r="X56" i="2"/>
  <c r="U56" i="2"/>
  <c r="T56" i="2"/>
  <c r="S56" i="2"/>
  <c r="AB55" i="2"/>
  <c r="X55" i="2"/>
  <c r="U55" i="2"/>
  <c r="T55" i="2"/>
  <c r="S55" i="2"/>
  <c r="AB54" i="2"/>
  <c r="X54" i="2"/>
  <c r="U54" i="2"/>
  <c r="T54" i="2"/>
  <c r="S54" i="2"/>
  <c r="AB53" i="2"/>
  <c r="X53" i="2"/>
  <c r="U53" i="2"/>
  <c r="T53" i="2"/>
  <c r="S53" i="2"/>
  <c r="AB52" i="2"/>
  <c r="X52" i="2"/>
  <c r="U52" i="2"/>
  <c r="T52" i="2"/>
  <c r="S52" i="2"/>
  <c r="AB51" i="2"/>
  <c r="X51" i="2"/>
  <c r="U51" i="2"/>
  <c r="T51" i="2"/>
  <c r="S51" i="2"/>
  <c r="AB50" i="2"/>
  <c r="X50" i="2"/>
  <c r="U50" i="2"/>
  <c r="T50" i="2"/>
  <c r="S50" i="2"/>
  <c r="AB49" i="2"/>
  <c r="X49" i="2"/>
  <c r="U49" i="2"/>
  <c r="T49" i="2"/>
  <c r="S49" i="2"/>
  <c r="AB48" i="2"/>
  <c r="AE48" i="2" s="1"/>
  <c r="X48" i="2"/>
  <c r="U48" i="2"/>
  <c r="T48" i="2"/>
  <c r="S48" i="2"/>
  <c r="AB38" i="2"/>
  <c r="X38" i="2"/>
  <c r="U38" i="2"/>
  <c r="T38" i="2"/>
  <c r="S38" i="2"/>
  <c r="AB37" i="2"/>
  <c r="X37" i="2"/>
  <c r="U37" i="2"/>
  <c r="T37" i="2"/>
  <c r="S37" i="2"/>
  <c r="AB36" i="2"/>
  <c r="X36" i="2"/>
  <c r="AE36" i="2" s="1"/>
  <c r="U36" i="2"/>
  <c r="T36" i="2"/>
  <c r="S36" i="2"/>
  <c r="AB35" i="2"/>
  <c r="X35" i="2"/>
  <c r="U35" i="2"/>
  <c r="T35" i="2"/>
  <c r="S35" i="2"/>
  <c r="AB34" i="2"/>
  <c r="X34" i="2"/>
  <c r="U34" i="2"/>
  <c r="T34" i="2"/>
  <c r="S34" i="2"/>
  <c r="AB33" i="2"/>
  <c r="X33" i="2"/>
  <c r="U33" i="2"/>
  <c r="T33" i="2"/>
  <c r="S33" i="2"/>
  <c r="AB32" i="2"/>
  <c r="X32" i="2"/>
  <c r="U32" i="2"/>
  <c r="T32" i="2"/>
  <c r="S32" i="2"/>
  <c r="AB31" i="2"/>
  <c r="AE31" i="2" s="1"/>
  <c r="X31" i="2"/>
  <c r="U31" i="2"/>
  <c r="T31" i="2"/>
  <c r="S31" i="2"/>
  <c r="AB30" i="2"/>
  <c r="X30" i="2"/>
  <c r="U30" i="2"/>
  <c r="T30" i="2"/>
  <c r="S30" i="2"/>
  <c r="AB29" i="2"/>
  <c r="X29" i="2"/>
  <c r="U29" i="2"/>
  <c r="T29" i="2"/>
  <c r="S29" i="2"/>
  <c r="AB28" i="2"/>
  <c r="X28" i="2"/>
  <c r="AE28" i="2" s="1"/>
  <c r="U28" i="2"/>
  <c r="T28" i="2"/>
  <c r="S28" i="2"/>
  <c r="AB27" i="2"/>
  <c r="X27" i="2"/>
  <c r="U27" i="2"/>
  <c r="T27" i="2"/>
  <c r="S27" i="2"/>
  <c r="AB26" i="2"/>
  <c r="X26" i="2"/>
  <c r="U26" i="2"/>
  <c r="T26" i="2"/>
  <c r="S26" i="2"/>
  <c r="AB25" i="2"/>
  <c r="X25" i="2"/>
  <c r="U25" i="2"/>
  <c r="T25" i="2"/>
  <c r="S25" i="2"/>
  <c r="AB24" i="2"/>
  <c r="X24" i="2"/>
  <c r="U24" i="2"/>
  <c r="T24" i="2"/>
  <c r="S24" i="2"/>
  <c r="AB23" i="2"/>
  <c r="AE23" i="2" s="1"/>
  <c r="X23" i="2"/>
  <c r="U23" i="2"/>
  <c r="T23" i="2"/>
  <c r="S23" i="2"/>
  <c r="AB22" i="2"/>
  <c r="X22" i="2"/>
  <c r="U22" i="2"/>
  <c r="T22" i="2"/>
  <c r="S22" i="2"/>
  <c r="AB21" i="2"/>
  <c r="X21" i="2"/>
  <c r="U21" i="2"/>
  <c r="T21" i="2"/>
  <c r="S21" i="2"/>
  <c r="AE43" i="2"/>
  <c r="AE81" i="2"/>
  <c r="AQ4" i="2"/>
  <c r="AU4" i="2" s="1"/>
  <c r="AQ5" i="2"/>
  <c r="AU5" i="2" s="1"/>
  <c r="AQ6" i="2"/>
  <c r="AR6" i="2" s="1"/>
  <c r="AQ7" i="2"/>
  <c r="AU7" i="2" s="1"/>
  <c r="AQ8" i="2"/>
  <c r="AR8" i="2" s="1"/>
  <c r="AQ9" i="2"/>
  <c r="AR9" i="2" s="1"/>
  <c r="AQ10" i="2"/>
  <c r="AR10" i="2" s="1"/>
  <c r="AQ11" i="2"/>
  <c r="AR11" i="2" s="1"/>
  <c r="AQ3" i="2"/>
  <c r="AR3" i="2" s="1"/>
  <c r="AT11" i="2"/>
  <c r="AT10" i="2"/>
  <c r="AT9" i="2"/>
  <c r="AT8" i="2"/>
  <c r="AT7" i="2"/>
  <c r="AT6" i="2"/>
  <c r="AT5" i="2"/>
  <c r="AT4" i="2"/>
  <c r="AT3" i="2"/>
  <c r="AK4" i="2"/>
  <c r="AK5" i="2"/>
  <c r="AL5" i="2" s="1"/>
  <c r="AK6" i="2"/>
  <c r="AL6" i="2" s="1"/>
  <c r="AK7" i="2"/>
  <c r="AL7" i="2" s="1"/>
  <c r="AK8" i="2"/>
  <c r="AK9" i="2"/>
  <c r="AL9" i="2" s="1"/>
  <c r="AK10" i="2"/>
  <c r="AL10" i="2" s="1"/>
  <c r="AK11" i="2"/>
  <c r="AL11" i="2" s="1"/>
  <c r="AK3" i="2"/>
  <c r="AL3" i="2" s="1"/>
  <c r="AI4" i="2"/>
  <c r="AJ4" i="2" s="1"/>
  <c r="AI5" i="2"/>
  <c r="AJ5" i="2" s="1"/>
  <c r="AI6" i="2"/>
  <c r="AJ6" i="2" s="1"/>
  <c r="AI7" i="2"/>
  <c r="AJ7" i="2" s="1"/>
  <c r="AI8" i="2"/>
  <c r="AJ8" i="2" s="1"/>
  <c r="AI9" i="2"/>
  <c r="AJ9" i="2" s="1"/>
  <c r="AI10" i="2"/>
  <c r="AJ10" i="2" s="1"/>
  <c r="AI11" i="2"/>
  <c r="AJ11" i="2" s="1"/>
  <c r="AI3" i="2"/>
  <c r="AJ3" i="2" s="1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B20" i="2"/>
  <c r="X20" i="2"/>
  <c r="U20" i="2"/>
  <c r="T20" i="2"/>
  <c r="S20" i="2"/>
  <c r="AB19" i="2"/>
  <c r="X19" i="2"/>
  <c r="U19" i="2"/>
  <c r="T19" i="2"/>
  <c r="S19" i="2"/>
  <c r="AB18" i="2"/>
  <c r="X18" i="2"/>
  <c r="U18" i="2"/>
  <c r="T18" i="2"/>
  <c r="S18" i="2"/>
  <c r="AB17" i="2"/>
  <c r="X17" i="2"/>
  <c r="U17" i="2"/>
  <c r="T17" i="2"/>
  <c r="S17" i="2"/>
  <c r="AB16" i="2"/>
  <c r="X16" i="2"/>
  <c r="U16" i="2"/>
  <c r="T16" i="2"/>
  <c r="S16" i="2"/>
  <c r="AB15" i="2"/>
  <c r="X15" i="2"/>
  <c r="U15" i="2"/>
  <c r="T15" i="2"/>
  <c r="S15" i="2"/>
  <c r="AB14" i="2"/>
  <c r="X14" i="2"/>
  <c r="AE14" i="2" s="1"/>
  <c r="U14" i="2"/>
  <c r="T14" i="2"/>
  <c r="S14" i="2"/>
  <c r="AB13" i="2"/>
  <c r="X13" i="2"/>
  <c r="U13" i="2"/>
  <c r="T13" i="2"/>
  <c r="S13" i="2"/>
  <c r="AB12" i="2"/>
  <c r="X12" i="2"/>
  <c r="AE12" i="2" s="1"/>
  <c r="U12" i="2"/>
  <c r="T12" i="2"/>
  <c r="S12" i="2"/>
  <c r="AB11" i="2"/>
  <c r="AB10" i="2"/>
  <c r="AB9" i="2"/>
  <c r="AB8" i="2"/>
  <c r="AB7" i="2"/>
  <c r="AB6" i="2"/>
  <c r="AB5" i="2"/>
  <c r="AB4" i="2"/>
  <c r="AB3" i="2"/>
  <c r="X11" i="2"/>
  <c r="X10" i="2"/>
  <c r="X9" i="2"/>
  <c r="X8" i="2"/>
  <c r="X7" i="2"/>
  <c r="AE7" i="2" s="1"/>
  <c r="X6" i="2"/>
  <c r="X5" i="2"/>
  <c r="X4" i="2"/>
  <c r="X3" i="2"/>
  <c r="U11" i="2"/>
  <c r="U10" i="2"/>
  <c r="U9" i="2"/>
  <c r="U8" i="2"/>
  <c r="U7" i="2"/>
  <c r="U6" i="2"/>
  <c r="U5" i="2"/>
  <c r="U4" i="2"/>
  <c r="U3" i="2"/>
  <c r="T11" i="2"/>
  <c r="T10" i="2"/>
  <c r="T9" i="2"/>
  <c r="T8" i="2"/>
  <c r="T7" i="2"/>
  <c r="T6" i="2"/>
  <c r="T5" i="2"/>
  <c r="T4" i="2"/>
  <c r="S11" i="2"/>
  <c r="S10" i="2"/>
  <c r="S9" i="2"/>
  <c r="S8" i="2"/>
  <c r="S7" i="2"/>
  <c r="S6" i="2"/>
  <c r="S5" i="2"/>
  <c r="S4" i="2"/>
  <c r="T3" i="2"/>
  <c r="S3" i="2"/>
  <c r="AL8" i="2"/>
  <c r="AE17" i="2"/>
  <c r="AC429" i="2" l="1"/>
  <c r="AC453" i="2"/>
  <c r="AC493" i="2"/>
  <c r="AE100" i="2"/>
  <c r="AE116" i="2"/>
  <c r="AC128" i="2"/>
  <c r="AE177" i="2"/>
  <c r="AN7" i="2"/>
  <c r="AO7" i="2" s="1"/>
  <c r="AE25" i="2"/>
  <c r="AE33" i="2"/>
  <c r="AE66" i="2"/>
  <c r="AE42" i="2"/>
  <c r="AE97" i="2"/>
  <c r="AC6" i="2"/>
  <c r="AC271" i="2"/>
  <c r="AC273" i="2"/>
  <c r="AC275" i="2"/>
  <c r="AC349" i="2"/>
  <c r="AE401" i="2"/>
  <c r="AC407" i="2"/>
  <c r="AC431" i="2"/>
  <c r="AC439" i="2"/>
  <c r="AC500" i="2"/>
  <c r="AC508" i="2"/>
  <c r="AE509" i="2"/>
  <c r="AC514" i="2"/>
  <c r="AC522" i="2"/>
  <c r="AC530" i="2"/>
  <c r="AC534" i="2"/>
  <c r="AC538" i="2"/>
  <c r="AE619" i="2"/>
  <c r="AE99" i="2"/>
  <c r="AE106" i="2"/>
  <c r="AE123" i="2"/>
  <c r="AC44" i="2"/>
  <c r="AC52" i="2"/>
  <c r="AC60" i="2"/>
  <c r="AC90" i="2"/>
  <c r="AC104" i="2"/>
  <c r="AC126" i="2"/>
  <c r="AC167" i="2"/>
  <c r="AC215" i="2"/>
  <c r="AC216" i="2"/>
  <c r="U239" i="2"/>
  <c r="AC277" i="2"/>
  <c r="AC279" i="2"/>
  <c r="AC289" i="2"/>
  <c r="AC297" i="2"/>
  <c r="AE304" i="2"/>
  <c r="AC305" i="2"/>
  <c r="AC313" i="2"/>
  <c r="AC388" i="2"/>
  <c r="AC406" i="2"/>
  <c r="AC414" i="2"/>
  <c r="AC422" i="2"/>
  <c r="AC430" i="2"/>
  <c r="AC446" i="2"/>
  <c r="AE44" i="2"/>
  <c r="AE96" i="2"/>
  <c r="AE136" i="2"/>
  <c r="AM9" i="2"/>
  <c r="AE164" i="2"/>
  <c r="AC54" i="2"/>
  <c r="AE271" i="2"/>
  <c r="AE273" i="2"/>
  <c r="AE274" i="2"/>
  <c r="AE275" i="2"/>
  <c r="AE325" i="2"/>
  <c r="AE333" i="2"/>
  <c r="AE341" i="2"/>
  <c r="AE345" i="2"/>
  <c r="AE349" i="2"/>
  <c r="AE357" i="2"/>
  <c r="AE361" i="2"/>
  <c r="AE365" i="2"/>
  <c r="AE377" i="2"/>
  <c r="AE381" i="2"/>
  <c r="AE385" i="2"/>
  <c r="AE400" i="2"/>
  <c r="AE407" i="2"/>
  <c r="AE415" i="2"/>
  <c r="AE423" i="2"/>
  <c r="AE431" i="2"/>
  <c r="AE439" i="2"/>
  <c r="AE447" i="2"/>
  <c r="AE15" i="2"/>
  <c r="AE11" i="2"/>
  <c r="AE19" i="2"/>
  <c r="AV11" i="2"/>
  <c r="AW11" i="2" s="1"/>
  <c r="AE62" i="2"/>
  <c r="AE144" i="2"/>
  <c r="AC10" i="2"/>
  <c r="AC86" i="2"/>
  <c r="AE153" i="2"/>
  <c r="AE184" i="2"/>
  <c r="AC190" i="2"/>
  <c r="AC201" i="2"/>
  <c r="AC202" i="2"/>
  <c r="AC214" i="2"/>
  <c r="AC222" i="2"/>
  <c r="AC223" i="2"/>
  <c r="AC224" i="2"/>
  <c r="AC226" i="2"/>
  <c r="AC227" i="2"/>
  <c r="AC280" i="2"/>
  <c r="AE281" i="2"/>
  <c r="AE283" i="2"/>
  <c r="AE289" i="2"/>
  <c r="AC290" i="2"/>
  <c r="AC294" i="2"/>
  <c r="AC295" i="2"/>
  <c r="AE297" i="2"/>
  <c r="AC298" i="2"/>
  <c r="AE305" i="2"/>
  <c r="AC306" i="2"/>
  <c r="AE313" i="2"/>
  <c r="AC314" i="2"/>
  <c r="AE321" i="2"/>
  <c r="AC322" i="2"/>
  <c r="AE408" i="2"/>
  <c r="AC409" i="2"/>
  <c r="AE416" i="2"/>
  <c r="AC417" i="2"/>
  <c r="AE418" i="2"/>
  <c r="AE424" i="2"/>
  <c r="AC425" i="2"/>
  <c r="AE432" i="2"/>
  <c r="AC433" i="2"/>
  <c r="AE434" i="2"/>
  <c r="AE440" i="2"/>
  <c r="AC441" i="2"/>
  <c r="AE448" i="2"/>
  <c r="AE450" i="2"/>
  <c r="AE457" i="2"/>
  <c r="AC458" i="2"/>
  <c r="AE465" i="2"/>
  <c r="AC466" i="2"/>
  <c r="AE467" i="2"/>
  <c r="AE473" i="2"/>
  <c r="AE481" i="2"/>
  <c r="AC482" i="2"/>
  <c r="AC516" i="2"/>
  <c r="AU11" i="2"/>
  <c r="AE76" i="2"/>
  <c r="AE3" i="2"/>
  <c r="AM3" i="2"/>
  <c r="AU10" i="2"/>
  <c r="AE6" i="2"/>
  <c r="AE18" i="2"/>
  <c r="AN10" i="2"/>
  <c r="AO10" i="2" s="1"/>
  <c r="AE109" i="2"/>
  <c r="AC34" i="2"/>
  <c r="AC40" i="2"/>
  <c r="AC48" i="2"/>
  <c r="AC94" i="2"/>
  <c r="AE103" i="2"/>
  <c r="AC165" i="2"/>
  <c r="AC170" i="2"/>
  <c r="AC184" i="2"/>
  <c r="AC185" i="2"/>
  <c r="AE187" i="2"/>
  <c r="AE188" i="2"/>
  <c r="AE191" i="2"/>
  <c r="AC213" i="2"/>
  <c r="AC239" i="2"/>
  <c r="AC299" i="2"/>
  <c r="AE306" i="2"/>
  <c r="AC307" i="2"/>
  <c r="AC315" i="2"/>
  <c r="AC323" i="2"/>
  <c r="AC412" i="2"/>
  <c r="AC420" i="2"/>
  <c r="AC428" i="2"/>
  <c r="AE453" i="2"/>
  <c r="AC477" i="2"/>
  <c r="AC492" i="2"/>
  <c r="AC551" i="2"/>
  <c r="AE689" i="2"/>
  <c r="AC690" i="2"/>
  <c r="AC856" i="2"/>
  <c r="AC882" i="2"/>
  <c r="AC914" i="2"/>
  <c r="AC944" i="2"/>
  <c r="AC952" i="2"/>
  <c r="AC960" i="2"/>
  <c r="AC968" i="2"/>
  <c r="AE980" i="2"/>
  <c r="AC1032" i="2"/>
  <c r="AE1033" i="2"/>
  <c r="AC1048" i="2"/>
  <c r="AC1054" i="2"/>
  <c r="AE1075" i="2"/>
  <c r="AC1098" i="2"/>
  <c r="AC1161" i="2"/>
  <c r="AC1181" i="2"/>
  <c r="AC1247" i="2"/>
  <c r="AC1417" i="2"/>
  <c r="AE1421" i="2"/>
  <c r="AC1423" i="2"/>
  <c r="AC1430" i="2"/>
  <c r="AE624" i="2"/>
  <c r="AE654" i="2"/>
  <c r="AC655" i="2"/>
  <c r="AE656" i="2"/>
  <c r="AE662" i="2"/>
  <c r="AC663" i="2"/>
  <c r="AE670" i="2"/>
  <c r="AC671" i="2"/>
  <c r="AE672" i="2"/>
  <c r="AE678" i="2"/>
  <c r="AC679" i="2"/>
  <c r="AE683" i="2"/>
  <c r="AE690" i="2"/>
  <c r="AC691" i="2"/>
  <c r="AE698" i="2"/>
  <c r="AC700" i="2"/>
  <c r="AE702" i="2"/>
  <c r="AE707" i="2"/>
  <c r="AC974" i="2"/>
  <c r="AE1068" i="2"/>
  <c r="AC1083" i="2"/>
  <c r="AC1169" i="2"/>
  <c r="AE1215" i="2"/>
  <c r="AE1217" i="2"/>
  <c r="AC1224" i="2"/>
  <c r="AE1230" i="2"/>
  <c r="AE1280" i="2"/>
  <c r="AC1281" i="2"/>
  <c r="AE1286" i="2"/>
  <c r="AC1294" i="2"/>
  <c r="AE1307" i="2"/>
  <c r="AE1314" i="2"/>
  <c r="AE1353" i="2"/>
  <c r="AE1355" i="2"/>
  <c r="AE1360" i="2"/>
  <c r="AE1367" i="2"/>
  <c r="AC1368" i="2"/>
  <c r="AC1418" i="2"/>
  <c r="AW1262" i="2"/>
  <c r="AE668" i="2"/>
  <c r="AE676" i="2"/>
  <c r="AE685" i="2"/>
  <c r="AE688" i="2"/>
  <c r="AE819" i="2"/>
  <c r="AC821" i="2"/>
  <c r="AE1012" i="2"/>
  <c r="AC1025" i="2"/>
  <c r="AC1049" i="2"/>
  <c r="AE1061" i="2"/>
  <c r="AE1063" i="2"/>
  <c r="AE1066" i="2"/>
  <c r="AE1070" i="2"/>
  <c r="AE1074" i="2"/>
  <c r="AC1091" i="2"/>
  <c r="AC1099" i="2"/>
  <c r="AC1107" i="2"/>
  <c r="AC1120" i="2"/>
  <c r="AC1127" i="2"/>
  <c r="AE1128" i="2"/>
  <c r="AC1142" i="2"/>
  <c r="AC1149" i="2"/>
  <c r="AE1155" i="2"/>
  <c r="AC1156" i="2"/>
  <c r="AE1166" i="2"/>
  <c r="AE1170" i="2"/>
  <c r="AC1171" i="2"/>
  <c r="AE1177" i="2"/>
  <c r="AC1178" i="2"/>
  <c r="AE1195" i="2"/>
  <c r="AC1196" i="2"/>
  <c r="AE1202" i="2"/>
  <c r="AE1204" i="2"/>
  <c r="AE1213" i="2"/>
  <c r="AE1216" i="2"/>
  <c r="AC1219" i="2"/>
  <c r="AC1220" i="2"/>
  <c r="AW1250" i="2"/>
  <c r="AC1328" i="2"/>
  <c r="AE1329" i="2"/>
  <c r="AC1335" i="2"/>
  <c r="AC1349" i="2"/>
  <c r="AE1358" i="2"/>
  <c r="AE1365" i="2"/>
  <c r="AC1399" i="2"/>
  <c r="AC1419" i="2"/>
  <c r="AE716" i="2"/>
  <c r="AE734" i="2"/>
  <c r="AE736" i="2"/>
  <c r="AE758" i="2"/>
  <c r="AE761" i="2"/>
  <c r="AE766" i="2"/>
  <c r="AE821" i="2"/>
  <c r="AE836" i="2"/>
  <c r="AC837" i="2"/>
  <c r="AE1013" i="2"/>
  <c r="AC1014" i="2"/>
  <c r="AE1015" i="2"/>
  <c r="AE1091" i="2"/>
  <c r="AE1099" i="2"/>
  <c r="AE1107" i="2"/>
  <c r="AC1143" i="2"/>
  <c r="AE1149" i="2"/>
  <c r="AC1150" i="2"/>
  <c r="AE1151" i="2"/>
  <c r="AC1157" i="2"/>
  <c r="AE1158" i="2"/>
  <c r="AE1165" i="2"/>
  <c r="AE1172" i="2"/>
  <c r="AC1179" i="2"/>
  <c r="AE1188" i="2"/>
  <c r="AE1203" i="2"/>
  <c r="AE1214" i="2"/>
  <c r="AE1323" i="2"/>
  <c r="AC1351" i="2"/>
  <c r="AC1406" i="2"/>
  <c r="AC1413" i="2"/>
  <c r="AC621" i="2"/>
  <c r="AE710" i="2"/>
  <c r="AC712" i="2"/>
  <c r="AE719" i="2"/>
  <c r="AC720" i="2"/>
  <c r="AE725" i="2"/>
  <c r="AE727" i="2"/>
  <c r="AC736" i="2"/>
  <c r="AE738" i="2"/>
  <c r="AE740" i="2"/>
  <c r="AC741" i="2"/>
  <c r="AE742" i="2"/>
  <c r="AC743" i="2"/>
  <c r="AE744" i="2"/>
  <c r="AE750" i="2"/>
  <c r="AE752" i="2"/>
  <c r="AC753" i="2"/>
  <c r="AE754" i="2"/>
  <c r="AE764" i="2"/>
  <c r="AC767" i="2"/>
  <c r="AE768" i="2"/>
  <c r="AE772" i="2"/>
  <c r="AC773" i="2"/>
  <c r="AE774" i="2"/>
  <c r="AC775" i="2"/>
  <c r="AE776" i="2"/>
  <c r="AE780" i="2"/>
  <c r="AC781" i="2"/>
  <c r="AC783" i="2"/>
  <c r="AE784" i="2"/>
  <c r="AE788" i="2"/>
  <c r="AC789" i="2"/>
  <c r="AE790" i="2"/>
  <c r="AE792" i="2"/>
  <c r="AC793" i="2"/>
  <c r="AE794" i="2"/>
  <c r="AE797" i="2"/>
  <c r="AC798" i="2"/>
  <c r="AE799" i="2"/>
  <c r="AE800" i="2"/>
  <c r="AC801" i="2"/>
  <c r="AC802" i="2"/>
  <c r="AE803" i="2"/>
  <c r="AC807" i="2"/>
  <c r="AC809" i="2"/>
  <c r="AE810" i="2"/>
  <c r="AE814" i="2"/>
  <c r="AC815" i="2"/>
  <c r="AE818" i="2"/>
  <c r="AE817" i="2"/>
  <c r="AE938" i="2"/>
  <c r="AC941" i="2"/>
  <c r="AC947" i="2"/>
  <c r="AC949" i="2"/>
  <c r="AC980" i="2"/>
  <c r="AE1014" i="2"/>
  <c r="AC1015" i="2"/>
  <c r="AC1017" i="2"/>
  <c r="AE1018" i="2"/>
  <c r="AE1026" i="2"/>
  <c r="AC1035" i="2"/>
  <c r="AE1086" i="2"/>
  <c r="AE1092" i="2"/>
  <c r="AC1103" i="2"/>
  <c r="AE1108" i="2"/>
  <c r="AC1160" i="2"/>
  <c r="AC1174" i="2"/>
  <c r="AC1190" i="2"/>
  <c r="AC1192" i="2"/>
  <c r="AC1214" i="2"/>
  <c r="AC1228" i="2"/>
  <c r="AC1234" i="2"/>
  <c r="AC1241" i="2"/>
  <c r="AT1262" i="2"/>
  <c r="AC1279" i="2"/>
  <c r="AC1291" i="2"/>
  <c r="AE627" i="2"/>
  <c r="AE722" i="2"/>
  <c r="AC744" i="2"/>
  <c r="AC768" i="2"/>
  <c r="AC817" i="2"/>
  <c r="AE939" i="2"/>
  <c r="AE947" i="2"/>
  <c r="AE955" i="2"/>
  <c r="AC972" i="2"/>
  <c r="AE992" i="2"/>
  <c r="AE1000" i="2"/>
  <c r="AC1001" i="2"/>
  <c r="AE1008" i="2"/>
  <c r="AC1009" i="2"/>
  <c r="AE1027" i="2"/>
  <c r="AC1028" i="2"/>
  <c r="AE1043" i="2"/>
  <c r="AC1088" i="2"/>
  <c r="AC1089" i="2"/>
  <c r="AE1105" i="2"/>
  <c r="AC1201" i="2"/>
  <c r="AC1263" i="2"/>
  <c r="AE1265" i="2"/>
  <c r="AE1414" i="2"/>
  <c r="AN6" i="2"/>
  <c r="AO6" i="2" s="1"/>
  <c r="AV6" i="2"/>
  <c r="AW6" i="2" s="1"/>
  <c r="AE138" i="2"/>
  <c r="AE142" i="2"/>
  <c r="AE146" i="2"/>
  <c r="AC22" i="2"/>
  <c r="AC50" i="2"/>
  <c r="AC92" i="2"/>
  <c r="AE105" i="2"/>
  <c r="AC390" i="2"/>
  <c r="AU3" i="2"/>
  <c r="AE10" i="2"/>
  <c r="AE27" i="2"/>
  <c r="AE35" i="2"/>
  <c r="AE52" i="2"/>
  <c r="AE60" i="2"/>
  <c r="AE68" i="2"/>
  <c r="AC8" i="2"/>
  <c r="AC16" i="2"/>
  <c r="AC30" i="2"/>
  <c r="AC58" i="2"/>
  <c r="AC72" i="2"/>
  <c r="AC80" i="2"/>
  <c r="AC100" i="2"/>
  <c r="AC156" i="2"/>
  <c r="AC449" i="2"/>
  <c r="AV8" i="2"/>
  <c r="AW8" i="2" s="1"/>
  <c r="AE32" i="2"/>
  <c r="AE73" i="2"/>
  <c r="AE110" i="2"/>
  <c r="AM8" i="2"/>
  <c r="AV9" i="2"/>
  <c r="AW9" i="2" s="1"/>
  <c r="AE49" i="2"/>
  <c r="AE65" i="2"/>
  <c r="AE88" i="2"/>
  <c r="AE5" i="2"/>
  <c r="AM4" i="2"/>
  <c r="AE126" i="2"/>
  <c r="AE137" i="2"/>
  <c r="AC46" i="2"/>
  <c r="AC68" i="2"/>
  <c r="AC183" i="2"/>
  <c r="AE4" i="2"/>
  <c r="AN5" i="2"/>
  <c r="AO5" i="2" s="1"/>
  <c r="AE24" i="2"/>
  <c r="AE57" i="2"/>
  <c r="AE41" i="2"/>
  <c r="AE121" i="2"/>
  <c r="AR5" i="2"/>
  <c r="AV5" i="2" s="1"/>
  <c r="AW5" i="2" s="1"/>
  <c r="AE13" i="2"/>
  <c r="AV10" i="2"/>
  <c r="AW10" i="2" s="1"/>
  <c r="AU6" i="2"/>
  <c r="AN11" i="2"/>
  <c r="AO11" i="2" s="1"/>
  <c r="AV3" i="2"/>
  <c r="AW3" i="2" s="1"/>
  <c r="AE93" i="2"/>
  <c r="AE98" i="2"/>
  <c r="AE101" i="2"/>
  <c r="AE139" i="2"/>
  <c r="AE141" i="2"/>
  <c r="AE143" i="2"/>
  <c r="AC12" i="2"/>
  <c r="AC26" i="2"/>
  <c r="AC110" i="2"/>
  <c r="AE152" i="2"/>
  <c r="AE337" i="2"/>
  <c r="AE9" i="2"/>
  <c r="AE8" i="2"/>
  <c r="AE20" i="2"/>
  <c r="AE53" i="2"/>
  <c r="AE61" i="2"/>
  <c r="AE77" i="2"/>
  <c r="AE82" i="2"/>
  <c r="AE95" i="2"/>
  <c r="AE114" i="2"/>
  <c r="AE125" i="2"/>
  <c r="AC14" i="2"/>
  <c r="AC56" i="2"/>
  <c r="AC64" i="2"/>
  <c r="AC78" i="2"/>
  <c r="AC112" i="2"/>
  <c r="AE154" i="2"/>
  <c r="AE344" i="2"/>
  <c r="AC351" i="2"/>
  <c r="AE352" i="2"/>
  <c r="AC359" i="2"/>
  <c r="AE360" i="2"/>
  <c r="AC367" i="2"/>
  <c r="AE384" i="2"/>
  <c r="AE409" i="2"/>
  <c r="AC410" i="2"/>
  <c r="AE411" i="2"/>
  <c r="AC418" i="2"/>
  <c r="AE419" i="2"/>
  <c r="AE425" i="2"/>
  <c r="AC426" i="2"/>
  <c r="AE427" i="2"/>
  <c r="AC434" i="2"/>
  <c r="AE435" i="2"/>
  <c r="AE441" i="2"/>
  <c r="AC442" i="2"/>
  <c r="AE443" i="2"/>
  <c r="AC450" i="2"/>
  <c r="AE451" i="2"/>
  <c r="AE456" i="2"/>
  <c r="AC459" i="2"/>
  <c r="AE460" i="2"/>
  <c r="AC465" i="2"/>
  <c r="AC467" i="2"/>
  <c r="AC475" i="2"/>
  <c r="AE476" i="2"/>
  <c r="AE480" i="2"/>
  <c r="AE482" i="2"/>
  <c r="AC483" i="2"/>
  <c r="AE484" i="2"/>
  <c r="AC486" i="2"/>
  <c r="AC498" i="2"/>
  <c r="AC512" i="2"/>
  <c r="AC524" i="2"/>
  <c r="AC533" i="2"/>
  <c r="AC544" i="2"/>
  <c r="AC546" i="2"/>
  <c r="AE547" i="2"/>
  <c r="AE553" i="2"/>
  <c r="AC555" i="2"/>
  <c r="AC709" i="2"/>
  <c r="AC725" i="2"/>
  <c r="AC132" i="2"/>
  <c r="AC152" i="2"/>
  <c r="AE158" i="2"/>
  <c r="AE163" i="2"/>
  <c r="AC174" i="2"/>
  <c r="AC175" i="2"/>
  <c r="AE176" i="2"/>
  <c r="AE186" i="2"/>
  <c r="AC256" i="2"/>
  <c r="AE263" i="2"/>
  <c r="AE264" i="2"/>
  <c r="AE265" i="2"/>
  <c r="AE315" i="2"/>
  <c r="AC158" i="2"/>
  <c r="AC11" i="2"/>
  <c r="AC27" i="2"/>
  <c r="AC43" i="2"/>
  <c r="AC59" i="2"/>
  <c r="AC75" i="2"/>
  <c r="AC91" i="2"/>
  <c r="AC107" i="2"/>
  <c r="AC123" i="2"/>
  <c r="AC139" i="2"/>
  <c r="AE174" i="2"/>
  <c r="AE175" i="2"/>
  <c r="AC193" i="2"/>
  <c r="AC219" i="2"/>
  <c r="AD219" i="2" s="1"/>
  <c r="AC251" i="2"/>
  <c r="AE255" i="2"/>
  <c r="AC257" i="2"/>
  <c r="AC269" i="2"/>
  <c r="AE272" i="2"/>
  <c r="AC287" i="2"/>
  <c r="AE308" i="2"/>
  <c r="AC311" i="2"/>
  <c r="AC317" i="2"/>
  <c r="AC319" i="2"/>
  <c r="AE324" i="2"/>
  <c r="AE327" i="2"/>
  <c r="AC330" i="2"/>
  <c r="AE335" i="2"/>
  <c r="AC338" i="2"/>
  <c r="AE339" i="2"/>
  <c r="AC346" i="2"/>
  <c r="AE347" i="2"/>
  <c r="AE353" i="2"/>
  <c r="AC354" i="2"/>
  <c r="AE355" i="2"/>
  <c r="AE367" i="2"/>
  <c r="AC370" i="2"/>
  <c r="AE371" i="2"/>
  <c r="AE375" i="2"/>
  <c r="AC378" i="2"/>
  <c r="AE379" i="2"/>
  <c r="AE383" i="2"/>
  <c r="AC386" i="2"/>
  <c r="AE391" i="2"/>
  <c r="AC394" i="2"/>
  <c r="AC397" i="2"/>
  <c r="AC400" i="2"/>
  <c r="AC405" i="2"/>
  <c r="AE406" i="2"/>
  <c r="AC413" i="2"/>
  <c r="AE414" i="2"/>
  <c r="AC421" i="2"/>
  <c r="AE422" i="2"/>
  <c r="AC437" i="2"/>
  <c r="AE438" i="2"/>
  <c r="AC445" i="2"/>
  <c r="AE446" i="2"/>
  <c r="AC454" i="2"/>
  <c r="AC462" i="2"/>
  <c r="AE463" i="2"/>
  <c r="AC470" i="2"/>
  <c r="AC478" i="2"/>
  <c r="AC489" i="2"/>
  <c r="AE498" i="2"/>
  <c r="AC613" i="2"/>
  <c r="AE620" i="2"/>
  <c r="AC120" i="2"/>
  <c r="AC154" i="2"/>
  <c r="AE194" i="2"/>
  <c r="AC196" i="2"/>
  <c r="AE202" i="2"/>
  <c r="AE210" i="2"/>
  <c r="AE213" i="2"/>
  <c r="AC217" i="2"/>
  <c r="AC218" i="2"/>
  <c r="AE242" i="2"/>
  <c r="AE243" i="2"/>
  <c r="AC244" i="2"/>
  <c r="AC250" i="2"/>
  <c r="AC278" i="2"/>
  <c r="AC288" i="2"/>
  <c r="AC302" i="2"/>
  <c r="AC304" i="2"/>
  <c r="AE311" i="2"/>
  <c r="AC312" i="2"/>
  <c r="AC320" i="2"/>
  <c r="AC518" i="2"/>
  <c r="AE525" i="2"/>
  <c r="AE606" i="2"/>
  <c r="AE613" i="2"/>
  <c r="AC614" i="2"/>
  <c r="AE621" i="2"/>
  <c r="AE623" i="2"/>
  <c r="AE726" i="2"/>
  <c r="AC727" i="2"/>
  <c r="AE748" i="2"/>
  <c r="AE268" i="2"/>
  <c r="AE302" i="2"/>
  <c r="AE310" i="2"/>
  <c r="AE486" i="2"/>
  <c r="AE490" i="2"/>
  <c r="AE494" i="2"/>
  <c r="AE518" i="2"/>
  <c r="AE614" i="2"/>
  <c r="AE618" i="2"/>
  <c r="AE622" i="2"/>
  <c r="AE626" i="2"/>
  <c r="AE631" i="2"/>
  <c r="AE638" i="2"/>
  <c r="AC639" i="2"/>
  <c r="AE646" i="2"/>
  <c r="AC647" i="2"/>
  <c r="AC28" i="2"/>
  <c r="AC62" i="2"/>
  <c r="AC88" i="2"/>
  <c r="AC96" i="2"/>
  <c r="AC142" i="2"/>
  <c r="AC148" i="2"/>
  <c r="AE151" i="2"/>
  <c r="AC162" i="2"/>
  <c r="AC171" i="2"/>
  <c r="AC177" i="2"/>
  <c r="AC188" i="2"/>
  <c r="Y204" i="2"/>
  <c r="AC204" i="2" s="1"/>
  <c r="AE219" i="2"/>
  <c r="AE220" i="2"/>
  <c r="AE221" i="2"/>
  <c r="AE222" i="2"/>
  <c r="AE223" i="2"/>
  <c r="AE224" i="2"/>
  <c r="AE225" i="2"/>
  <c r="AE226" i="2"/>
  <c r="AE227" i="2"/>
  <c r="AC240" i="2"/>
  <c r="AE299" i="2"/>
  <c r="AE303" i="2"/>
  <c r="AC325" i="2"/>
  <c r="AE332" i="2"/>
  <c r="AC333" i="2"/>
  <c r="AE338" i="2"/>
  <c r="AE340" i="2"/>
  <c r="AC341" i="2"/>
  <c r="AC355" i="2"/>
  <c r="AC357" i="2"/>
  <c r="AE362" i="2"/>
  <c r="AE364" i="2"/>
  <c r="AC365" i="2"/>
  <c r="AC373" i="2"/>
  <c r="AC381" i="2"/>
  <c r="AC389" i="2"/>
  <c r="AC408" i="2"/>
  <c r="AE413" i="2"/>
  <c r="AE421" i="2"/>
  <c r="AE429" i="2"/>
  <c r="AC438" i="2"/>
  <c r="AE454" i="2"/>
  <c r="AC455" i="2"/>
  <c r="AE462" i="2"/>
  <c r="AE478" i="2"/>
  <c r="AE501" i="2"/>
  <c r="AC502" i="2"/>
  <c r="AC510" i="2"/>
  <c r="AE513" i="2"/>
  <c r="AE519" i="2"/>
  <c r="AC520" i="2"/>
  <c r="AE523" i="2"/>
  <c r="AE527" i="2"/>
  <c r="AC528" i="2"/>
  <c r="AC531" i="2"/>
  <c r="AC535" i="2"/>
  <c r="AE560" i="2"/>
  <c r="AC561" i="2"/>
  <c r="AC569" i="2"/>
  <c r="AC577" i="2"/>
  <c r="AC585" i="2"/>
  <c r="AE586" i="2"/>
  <c r="AE592" i="2"/>
  <c r="AE594" i="2"/>
  <c r="AC601" i="2"/>
  <c r="AE604" i="2"/>
  <c r="AE610" i="2"/>
  <c r="AC36" i="2"/>
  <c r="AC42" i="2"/>
  <c r="AC76" i="2"/>
  <c r="AE108" i="2"/>
  <c r="AC116" i="2"/>
  <c r="AC136" i="2"/>
  <c r="AE148" i="2"/>
  <c r="AE150" i="2"/>
  <c r="AE156" i="2"/>
  <c r="AE168" i="2"/>
  <c r="AE205" i="2"/>
  <c r="AE206" i="2"/>
  <c r="AE207" i="2"/>
  <c r="AE215" i="2"/>
  <c r="AE216" i="2"/>
  <c r="AE228" i="2"/>
  <c r="AE230" i="2"/>
  <c r="AE231" i="2"/>
  <c r="AE234" i="2"/>
  <c r="AE235" i="2"/>
  <c r="AC263" i="2"/>
  <c r="AC264" i="2"/>
  <c r="AC265" i="2"/>
  <c r="AE270" i="2"/>
  <c r="AC274" i="2"/>
  <c r="AC332" i="2"/>
  <c r="AC340" i="2"/>
  <c r="AC348" i="2"/>
  <c r="AC356" i="2"/>
  <c r="AC364" i="2"/>
  <c r="AC372" i="2"/>
  <c r="AC380" i="2"/>
  <c r="AE430" i="2"/>
  <c r="AE455" i="2"/>
  <c r="AC480" i="2"/>
  <c r="AE510" i="2"/>
  <c r="AE516" i="2"/>
  <c r="AE520" i="2"/>
  <c r="AC523" i="2"/>
  <c r="AE524" i="2"/>
  <c r="AE528" i="2"/>
  <c r="AC529" i="2"/>
  <c r="AE531" i="2"/>
  <c r="AE533" i="2"/>
  <c r="AE535" i="2"/>
  <c r="AE537" i="2"/>
  <c r="AE539" i="2"/>
  <c r="AC545" i="2"/>
  <c r="AE552" i="2"/>
  <c r="AC553" i="2"/>
  <c r="AC554" i="2"/>
  <c r="AC619" i="2"/>
  <c r="AE640" i="2"/>
  <c r="AE648" i="2"/>
  <c r="AE664" i="2"/>
  <c r="AE680" i="2"/>
  <c r="AE692" i="2"/>
  <c r="AE633" i="2"/>
  <c r="AC640" i="2"/>
  <c r="AE641" i="2"/>
  <c r="AC648" i="2"/>
  <c r="AE649" i="2"/>
  <c r="AE655" i="2"/>
  <c r="AC656" i="2"/>
  <c r="AE657" i="2"/>
  <c r="AC664" i="2"/>
  <c r="AE665" i="2"/>
  <c r="AC672" i="2"/>
  <c r="AE673" i="2"/>
  <c r="AE679" i="2"/>
  <c r="AC680" i="2"/>
  <c r="AE681" i="2"/>
  <c r="AE691" i="2"/>
  <c r="AC692" i="2"/>
  <c r="AE693" i="2"/>
  <c r="AE699" i="2"/>
  <c r="AC702" i="2"/>
  <c r="AC728" i="2"/>
  <c r="AE735" i="2"/>
  <c r="AC836" i="2"/>
  <c r="AC841" i="2"/>
  <c r="AE842" i="2"/>
  <c r="AC849" i="2"/>
  <c r="AE850" i="2"/>
  <c r="AC857" i="2"/>
  <c r="AE858" i="2"/>
  <c r="AC865" i="2"/>
  <c r="AE866" i="2"/>
  <c r="AC873" i="2"/>
  <c r="AE874" i="2"/>
  <c r="AC881" i="2"/>
  <c r="AE882" i="2"/>
  <c r="AC889" i="2"/>
  <c r="AE890" i="2"/>
  <c r="AC897" i="2"/>
  <c r="AE898" i="2"/>
  <c r="AC906" i="2"/>
  <c r="AC913" i="2"/>
  <c r="AE920" i="2"/>
  <c r="AC921" i="2"/>
  <c r="AC929" i="2"/>
  <c r="AE936" i="2"/>
  <c r="AC937" i="2"/>
  <c r="AC975" i="2"/>
  <c r="AE976" i="2"/>
  <c r="AC989" i="2"/>
  <c r="AC1044" i="2"/>
  <c r="AC1068" i="2"/>
  <c r="AE1095" i="2"/>
  <c r="AC1101" i="2"/>
  <c r="AE1148" i="2"/>
  <c r="AC1180" i="2"/>
  <c r="AC1198" i="2"/>
  <c r="AE1199" i="2"/>
  <c r="AC1246" i="2"/>
  <c r="AE1245" i="2"/>
  <c r="AC1252" i="2"/>
  <c r="AE1262" i="2"/>
  <c r="AC1270" i="2"/>
  <c r="AC1309" i="2"/>
  <c r="AE1310" i="2"/>
  <c r="AC1316" i="2"/>
  <c r="AE1347" i="2"/>
  <c r="AC1355" i="2"/>
  <c r="AC1360" i="2"/>
  <c r="AC1362" i="2"/>
  <c r="AC1367" i="2"/>
  <c r="AC1369" i="2"/>
  <c r="AE1375" i="2"/>
  <c r="AC1376" i="2"/>
  <c r="AE765" i="2"/>
  <c r="AC774" i="2"/>
  <c r="AC822" i="2"/>
  <c r="AC842" i="2"/>
  <c r="AE843" i="2"/>
  <c r="AC850" i="2"/>
  <c r="AC858" i="2"/>
  <c r="AC866" i="2"/>
  <c r="AC874" i="2"/>
  <c r="AC890" i="2"/>
  <c r="AC898" i="2"/>
  <c r="AC976" i="2"/>
  <c r="AE977" i="2"/>
  <c r="AC994" i="2"/>
  <c r="AC1021" i="2"/>
  <c r="AC1029" i="2"/>
  <c r="AC1037" i="2"/>
  <c r="AC1121" i="2"/>
  <c r="AC1128" i="2"/>
  <c r="AC1191" i="2"/>
  <c r="AE1192" i="2"/>
  <c r="AC1199" i="2"/>
  <c r="AE1200" i="2"/>
  <c r="AC1225" i="2"/>
  <c r="AE1226" i="2"/>
  <c r="AC1232" i="2"/>
  <c r="AC1238" i="2"/>
  <c r="AE1264" i="2"/>
  <c r="AE1322" i="2"/>
  <c r="AC1323" i="2"/>
  <c r="AE1328" i="2"/>
  <c r="AE1332" i="2"/>
  <c r="AE1342" i="2"/>
  <c r="AC1412" i="2"/>
  <c r="AE1422" i="2"/>
  <c r="AC704" i="2"/>
  <c r="AE729" i="2"/>
  <c r="AC730" i="2"/>
  <c r="AC830" i="2"/>
  <c r="AE837" i="2"/>
  <c r="AC907" i="2"/>
  <c r="AC915" i="2"/>
  <c r="AE916" i="2"/>
  <c r="AE941" i="2"/>
  <c r="AE943" i="2"/>
  <c r="AE945" i="2"/>
  <c r="AE949" i="2"/>
  <c r="AC950" i="2"/>
  <c r="AE951" i="2"/>
  <c r="AE953" i="2"/>
  <c r="AE961" i="2"/>
  <c r="AE967" i="2"/>
  <c r="AC973" i="2"/>
  <c r="AC983" i="2"/>
  <c r="AC991" i="2"/>
  <c r="AC1010" i="2"/>
  <c r="AE1021" i="2"/>
  <c r="AE1029" i="2"/>
  <c r="AE1037" i="2"/>
  <c r="AC1038" i="2"/>
  <c r="AE1039" i="2"/>
  <c r="AC1040" i="2"/>
  <c r="AE1041" i="2"/>
  <c r="AE1045" i="2"/>
  <c r="AE1143" i="2"/>
  <c r="AC1144" i="2"/>
  <c r="AC1153" i="2"/>
  <c r="AC1200" i="2"/>
  <c r="AE1253" i="2"/>
  <c r="AC1272" i="2"/>
  <c r="AE1273" i="2"/>
  <c r="AC1330" i="2"/>
  <c r="AC1384" i="2"/>
  <c r="AC1398" i="2"/>
  <c r="AE1411" i="2"/>
  <c r="AC723" i="2"/>
  <c r="AC733" i="2"/>
  <c r="AC827" i="2"/>
  <c r="AC846" i="2"/>
  <c r="AC852" i="2"/>
  <c r="AE853" i="2"/>
  <c r="AC854" i="2"/>
  <c r="AC860" i="2"/>
  <c r="AE861" i="2"/>
  <c r="AC862" i="2"/>
  <c r="AC868" i="2"/>
  <c r="AE869" i="2"/>
  <c r="AC870" i="2"/>
  <c r="AC876" i="2"/>
  <c r="AC878" i="2"/>
  <c r="AC884" i="2"/>
  <c r="AE885" i="2"/>
  <c r="AC886" i="2"/>
  <c r="AC892" i="2"/>
  <c r="AC894" i="2"/>
  <c r="AC900" i="2"/>
  <c r="AC902" i="2"/>
  <c r="AC903" i="2"/>
  <c r="AE907" i="2"/>
  <c r="AC908" i="2"/>
  <c r="AC926" i="2"/>
  <c r="AC934" i="2"/>
  <c r="AE935" i="2"/>
  <c r="AE983" i="2"/>
  <c r="AC984" i="2"/>
  <c r="AE985" i="2"/>
  <c r="AE987" i="2"/>
  <c r="AE991" i="2"/>
  <c r="AE995" i="2"/>
  <c r="AE999" i="2"/>
  <c r="AE1007" i="2"/>
  <c r="AE1022" i="2"/>
  <c r="AE1032" i="2"/>
  <c r="AC1033" i="2"/>
  <c r="AE1034" i="2"/>
  <c r="AE1038" i="2"/>
  <c r="AE1042" i="2"/>
  <c r="AC1046" i="2"/>
  <c r="AE1047" i="2"/>
  <c r="AE1051" i="2"/>
  <c r="AE1055" i="2"/>
  <c r="AC1058" i="2"/>
  <c r="AE1084" i="2"/>
  <c r="AC1087" i="2"/>
  <c r="AE1088" i="2"/>
  <c r="AC1125" i="2"/>
  <c r="AE1129" i="2"/>
  <c r="AE1133" i="2"/>
  <c r="AC1137" i="2"/>
  <c r="AC1139" i="2"/>
  <c r="AC1146" i="2"/>
  <c r="AE1182" i="2"/>
  <c r="AE1248" i="2"/>
  <c r="AC1255" i="2"/>
  <c r="AE1300" i="2"/>
  <c r="AE1341" i="2"/>
  <c r="AE1348" i="2"/>
  <c r="AE1370" i="2"/>
  <c r="AC1378" i="2"/>
  <c r="AC1415" i="2"/>
  <c r="AE1418" i="2"/>
  <c r="AE628" i="2"/>
  <c r="AC629" i="2"/>
  <c r="AE642" i="2"/>
  <c r="AE651" i="2"/>
  <c r="AE659" i="2"/>
  <c r="AC660" i="2"/>
  <c r="AE667" i="2"/>
  <c r="AC668" i="2"/>
  <c r="AC714" i="2"/>
  <c r="AE721" i="2"/>
  <c r="AC722" i="2"/>
  <c r="AE723" i="2"/>
  <c r="AC724" i="2"/>
  <c r="T791" i="2"/>
  <c r="AE737" i="2"/>
  <c r="AC747" i="2"/>
  <c r="AC769" i="2"/>
  <c r="AE770" i="2"/>
  <c r="AC771" i="2"/>
  <c r="AC785" i="2"/>
  <c r="AE786" i="2"/>
  <c r="AC787" i="2"/>
  <c r="AC811" i="2"/>
  <c r="AE844" i="2"/>
  <c r="AE852" i="2"/>
  <c r="AC853" i="2"/>
  <c r="AE860" i="2"/>
  <c r="AC861" i="2"/>
  <c r="AE868" i="2"/>
  <c r="AC869" i="2"/>
  <c r="AE876" i="2"/>
  <c r="AC877" i="2"/>
  <c r="AE884" i="2"/>
  <c r="AC885" i="2"/>
  <c r="AE892" i="2"/>
  <c r="AC893" i="2"/>
  <c r="AE900" i="2"/>
  <c r="AC901" i="2"/>
  <c r="AC970" i="2"/>
  <c r="AE984" i="2"/>
  <c r="AC985" i="2"/>
  <c r="AC999" i="2"/>
  <c r="AE1052" i="2"/>
  <c r="AE1054" i="2"/>
  <c r="AE1123" i="2"/>
  <c r="AC1131" i="2"/>
  <c r="AC1140" i="2"/>
  <c r="AE1141" i="2"/>
  <c r="AC1154" i="2"/>
  <c r="AE1183" i="2"/>
  <c r="AC1187" i="2"/>
  <c r="AE1249" i="2"/>
  <c r="AE1251" i="2"/>
  <c r="AE1255" i="2"/>
  <c r="AC1256" i="2"/>
  <c r="AC1280" i="2"/>
  <c r="AE1321" i="2"/>
  <c r="AE1333" i="2"/>
  <c r="AE1357" i="2"/>
  <c r="AE1378" i="2"/>
  <c r="AE1382" i="2"/>
  <c r="AE1385" i="2"/>
  <c r="AE1387" i="2"/>
  <c r="AE1392" i="2"/>
  <c r="AE1396" i="2"/>
  <c r="AE1399" i="2"/>
  <c r="AE1405" i="2"/>
  <c r="AC717" i="2"/>
  <c r="AB791" i="2"/>
  <c r="AE791" i="2" s="1"/>
  <c r="AC740" i="2"/>
  <c r="AE741" i="2"/>
  <c r="AC750" i="2"/>
  <c r="AE751" i="2"/>
  <c r="AC772" i="2"/>
  <c r="AE773" i="2"/>
  <c r="AC780" i="2"/>
  <c r="AC788" i="2"/>
  <c r="AC797" i="2"/>
  <c r="AE811" i="2"/>
  <c r="AC814" i="2"/>
  <c r="AE815" i="2"/>
  <c r="AC835" i="2"/>
  <c r="AE841" i="2"/>
  <c r="AC905" i="2"/>
  <c r="AE906" i="2"/>
  <c r="AC912" i="2"/>
  <c r="AE913" i="2"/>
  <c r="AE919" i="2"/>
  <c r="AC920" i="2"/>
  <c r="AC928" i="2"/>
  <c r="AE933" i="2"/>
  <c r="AC936" i="2"/>
  <c r="AC963" i="2"/>
  <c r="AC988" i="2"/>
  <c r="AE1049" i="2"/>
  <c r="AC1082" i="2"/>
  <c r="AC1115" i="2"/>
  <c r="AC1155" i="2"/>
  <c r="AE1162" i="2"/>
  <c r="AE1169" i="2"/>
  <c r="AC1170" i="2"/>
  <c r="AC1177" i="2"/>
  <c r="AE1180" i="2"/>
  <c r="AE1184" i="2"/>
  <c r="AE1194" i="2"/>
  <c r="AE1228" i="2"/>
  <c r="AE1234" i="2"/>
  <c r="AE1241" i="2"/>
  <c r="AC1242" i="2"/>
  <c r="AC1249" i="2"/>
  <c r="AC1251" i="2"/>
  <c r="AC1278" i="2"/>
  <c r="AE1376" i="2"/>
  <c r="AE1381" i="2"/>
  <c r="AE1388" i="2"/>
  <c r="AC1389" i="2"/>
  <c r="AE1390" i="2"/>
  <c r="AE1397" i="2"/>
  <c r="AE1402" i="2"/>
  <c r="AC1403" i="2"/>
  <c r="AE1404" i="2"/>
  <c r="AC1416" i="2"/>
  <c r="AN9" i="2"/>
  <c r="AO9" i="2" s="1"/>
  <c r="AE38" i="2"/>
  <c r="AE55" i="2"/>
  <c r="AE63" i="2"/>
  <c r="AE39" i="2"/>
  <c r="AE47" i="2"/>
  <c r="AE84" i="2"/>
  <c r="AE92" i="2"/>
  <c r="AE129" i="2"/>
  <c r="AD93" i="2"/>
  <c r="AC114" i="2"/>
  <c r="AC130" i="2"/>
  <c r="AC146" i="2"/>
  <c r="AC168" i="2"/>
  <c r="AE170" i="2"/>
  <c r="AC192" i="2"/>
  <c r="AC194" i="2"/>
  <c r="AC195" i="2"/>
  <c r="AE196" i="2"/>
  <c r="AC197" i="2"/>
  <c r="AC198" i="2"/>
  <c r="AE204" i="2"/>
  <c r="AE237" i="2"/>
  <c r="AE246" i="2"/>
  <c r="AE251" i="2"/>
  <c r="AC252" i="2"/>
  <c r="AC255" i="2"/>
  <c r="AE254" i="2"/>
  <c r="AC261" i="2"/>
  <c r="AE262" i="2"/>
  <c r="AE266" i="2"/>
  <c r="AC267" i="2"/>
  <c r="AE585" i="2"/>
  <c r="AE22" i="2"/>
  <c r="AE30" i="2"/>
  <c r="AE71" i="2"/>
  <c r="AU9" i="2"/>
  <c r="AN3" i="2"/>
  <c r="AO3" i="2" s="1"/>
  <c r="AR4" i="2"/>
  <c r="AV4" i="2" s="1"/>
  <c r="AE79" i="2"/>
  <c r="AE86" i="2"/>
  <c r="AE89" i="2"/>
  <c r="AE119" i="2"/>
  <c r="AE120" i="2"/>
  <c r="AE128" i="2"/>
  <c r="AE134" i="2"/>
  <c r="AE147" i="2"/>
  <c r="AE149" i="2"/>
  <c r="AE160" i="2"/>
  <c r="AE193" i="2"/>
  <c r="AE195" i="2"/>
  <c r="AE197" i="2"/>
  <c r="AE198" i="2"/>
  <c r="AE199" i="2"/>
  <c r="AE200" i="2"/>
  <c r="AE229" i="2"/>
  <c r="AE233" i="2"/>
  <c r="AE236" i="2"/>
  <c r="AC238" i="2"/>
  <c r="AE244" i="2"/>
  <c r="AC246" i="2"/>
  <c r="AE247" i="2"/>
  <c r="AE252" i="2"/>
  <c r="AC253" i="2"/>
  <c r="AC260" i="2"/>
  <c r="AE261" i="2"/>
  <c r="AC488" i="2"/>
  <c r="AE489" i="2"/>
  <c r="AC496" i="2"/>
  <c r="AE570" i="2"/>
  <c r="AE578" i="2"/>
  <c r="AM5" i="2"/>
  <c r="AC155" i="2"/>
  <c r="AE157" i="2"/>
  <c r="AE208" i="2"/>
  <c r="AE426" i="2"/>
  <c r="AE442" i="2"/>
  <c r="AE459" i="2"/>
  <c r="AE475" i="2"/>
  <c r="AE483" i="2"/>
  <c r="AC484" i="2"/>
  <c r="AE485" i="2"/>
  <c r="AE502" i="2"/>
  <c r="AM10" i="2"/>
  <c r="AE21" i="2"/>
  <c r="AE26" i="2"/>
  <c r="AE29" i="2"/>
  <c r="AE34" i="2"/>
  <c r="AE37" i="2"/>
  <c r="AE51" i="2"/>
  <c r="AE54" i="2"/>
  <c r="AE59" i="2"/>
  <c r="AE67" i="2"/>
  <c r="AE70" i="2"/>
  <c r="AE75" i="2"/>
  <c r="AE78" i="2"/>
  <c r="AE80" i="2"/>
  <c r="AE83" i="2"/>
  <c r="AE46" i="2"/>
  <c r="AE155" i="2"/>
  <c r="AE162" i="2"/>
  <c r="AE171" i="2"/>
  <c r="AC172" i="2"/>
  <c r="AC176" i="2"/>
  <c r="AE179" i="2"/>
  <c r="AE180" i="2"/>
  <c r="AC186" i="2"/>
  <c r="AE248" i="2"/>
  <c r="AE249" i="2"/>
  <c r="AC270" i="2"/>
  <c r="AE280" i="2"/>
  <c r="AC283" i="2"/>
  <c r="AC284" i="2"/>
  <c r="AC285" i="2"/>
  <c r="AE286" i="2"/>
  <c r="AE290" i="2"/>
  <c r="AE294" i="2"/>
  <c r="AE295" i="2"/>
  <c r="AE298" i="2"/>
  <c r="AC301" i="2"/>
  <c r="AC309" i="2"/>
  <c r="AE314" i="2"/>
  <c r="AE316" i="2"/>
  <c r="AC334" i="2"/>
  <c r="AC552" i="2"/>
  <c r="AE632" i="2"/>
  <c r="AC646" i="2"/>
  <c r="AC654" i="2"/>
  <c r="AE663" i="2"/>
  <c r="AM11" i="2"/>
  <c r="AR7" i="2"/>
  <c r="AV7" i="2" s="1"/>
  <c r="AW7" i="2" s="1"/>
  <c r="AE85" i="2"/>
  <c r="AE113" i="2"/>
  <c r="AE118" i="2"/>
  <c r="AE124" i="2"/>
  <c r="AE130" i="2"/>
  <c r="AE133" i="2"/>
  <c r="AC106" i="2"/>
  <c r="AC122" i="2"/>
  <c r="AC138" i="2"/>
  <c r="AC159" i="2"/>
  <c r="AE161" i="2"/>
  <c r="AC164" i="2"/>
  <c r="AE50" i="2"/>
  <c r="AE58" i="2"/>
  <c r="AE74" i="2"/>
  <c r="AE94" i="2"/>
  <c r="AF93" i="2" s="1"/>
  <c r="AE122" i="2"/>
  <c r="AC161" i="2"/>
  <c r="AE167" i="2"/>
  <c r="AC189" i="2"/>
  <c r="AC191" i="2"/>
  <c r="Y205" i="2"/>
  <c r="AC205" i="2" s="1"/>
  <c r="AC206" i="2"/>
  <c r="AC207" i="2"/>
  <c r="AC249" i="2"/>
  <c r="AE250" i="2"/>
  <c r="AE348" i="2"/>
  <c r="AE356" i="2"/>
  <c r="AE372" i="2"/>
  <c r="AE380" i="2"/>
  <c r="AC404" i="2"/>
  <c r="AC403" i="2"/>
  <c r="AC491" i="2"/>
  <c r="AC499" i="2"/>
  <c r="AC584" i="2"/>
  <c r="AE593" i="2"/>
  <c r="AC632" i="2"/>
  <c r="AN8" i="2"/>
  <c r="AO8" i="2" s="1"/>
  <c r="AE245" i="2"/>
  <c r="AE257" i="2"/>
  <c r="AC258" i="2"/>
  <c r="AE278" i="2"/>
  <c r="AE296" i="2"/>
  <c r="AC303" i="2"/>
  <c r="AE312" i="2"/>
  <c r="AE320" i="2"/>
  <c r="AC328" i="2"/>
  <c r="AE329" i="2"/>
  <c r="AC336" i="2"/>
  <c r="AC360" i="2"/>
  <c r="AE369" i="2"/>
  <c r="AC384" i="2"/>
  <c r="AC392" i="2"/>
  <c r="AE393" i="2"/>
  <c r="AE433" i="2"/>
  <c r="AC448" i="2"/>
  <c r="AE458" i="2"/>
  <c r="AC473" i="2"/>
  <c r="AC481" i="2"/>
  <c r="AC593" i="2"/>
  <c r="AE16" i="2"/>
  <c r="AF12" i="2" s="1"/>
  <c r="AE90" i="2"/>
  <c r="AE115" i="2"/>
  <c r="AE132" i="2"/>
  <c r="AE135" i="2"/>
  <c r="AC102" i="2"/>
  <c r="AC118" i="2"/>
  <c r="AC134" i="2"/>
  <c r="AE91" i="2"/>
  <c r="AE131" i="2"/>
  <c r="AE169" i="2"/>
  <c r="AE172" i="2"/>
  <c r="AD174" i="2"/>
  <c r="AE185" i="2"/>
  <c r="Y203" i="2"/>
  <c r="AC203" i="2" s="1"/>
  <c r="AC212" i="2"/>
  <c r="AE214" i="2"/>
  <c r="AE217" i="2"/>
  <c r="AE218" i="2"/>
  <c r="AE256" i="2"/>
  <c r="AE260" i="2"/>
  <c r="AE284" i="2"/>
  <c r="AE293" i="2"/>
  <c r="AE301" i="2"/>
  <c r="AE966" i="2"/>
  <c r="AE319" i="2"/>
  <c r="AE326" i="2"/>
  <c r="AC327" i="2"/>
  <c r="AE328" i="2"/>
  <c r="AE334" i="2"/>
  <c r="AC335" i="2"/>
  <c r="AE336" i="2"/>
  <c r="AE342" i="2"/>
  <c r="AC343" i="2"/>
  <c r="AE346" i="2"/>
  <c r="AE350" i="2"/>
  <c r="AE358" i="2"/>
  <c r="AE366" i="2"/>
  <c r="AE368" i="2"/>
  <c r="AE374" i="2"/>
  <c r="AC375" i="2"/>
  <c r="AE376" i="2"/>
  <c r="AE382" i="2"/>
  <c r="AC383" i="2"/>
  <c r="AE390" i="2"/>
  <c r="AC391" i="2"/>
  <c r="AE392" i="2"/>
  <c r="AE394" i="2"/>
  <c r="AE405" i="2"/>
  <c r="AE417" i="2"/>
  <c r="AF414" i="2" s="1"/>
  <c r="AE437" i="2"/>
  <c r="AE449" i="2"/>
  <c r="AE466" i="2"/>
  <c r="AE497" i="2"/>
  <c r="AE505" i="2"/>
  <c r="AE739" i="2"/>
  <c r="AE749" i="2"/>
  <c r="AE779" i="2"/>
  <c r="D4" i="4"/>
  <c r="D2" i="4"/>
  <c r="D3" i="4"/>
  <c r="AE816" i="2"/>
  <c r="AE522" i="2"/>
  <c r="AE545" i="2"/>
  <c r="AE554" i="2"/>
  <c r="AE562" i="2"/>
  <c r="AE616" i="2"/>
  <c r="AF613" i="2" s="1"/>
  <c r="AE728" i="2"/>
  <c r="AE397" i="2"/>
  <c r="AE404" i="2"/>
  <c r="AE403" i="2"/>
  <c r="AC463" i="2"/>
  <c r="AE464" i="2"/>
  <c r="AE468" i="2"/>
  <c r="AC469" i="2"/>
  <c r="AE470" i="2"/>
  <c r="AC471" i="2"/>
  <c r="AE503" i="2"/>
  <c r="AE511" i="2"/>
  <c r="AE515" i="2"/>
  <c r="AC532" i="2"/>
  <c r="AE540" i="2"/>
  <c r="AC541" i="2"/>
  <c r="AE546" i="2"/>
  <c r="AC547" i="2"/>
  <c r="AE548" i="2"/>
  <c r="AC549" i="2"/>
  <c r="AE555" i="2"/>
  <c r="AC556" i="2"/>
  <c r="AE557" i="2"/>
  <c r="AC558" i="2"/>
  <c r="AE563" i="2"/>
  <c r="AC564" i="2"/>
  <c r="AE565" i="2"/>
  <c r="AC566" i="2"/>
  <c r="AE571" i="2"/>
  <c r="AC572" i="2"/>
  <c r="AC574" i="2"/>
  <c r="AE575" i="2"/>
  <c r="AE579" i="2"/>
  <c r="AC580" i="2"/>
  <c r="AC582" i="2"/>
  <c r="AE587" i="2"/>
  <c r="AC588" i="2"/>
  <c r="AC590" i="2"/>
  <c r="AE595" i="2"/>
  <c r="AC596" i="2"/>
  <c r="AC598" i="2"/>
  <c r="AE603" i="2"/>
  <c r="AC604" i="2"/>
  <c r="AE605" i="2"/>
  <c r="AC606" i="2"/>
  <c r="AE611" i="2"/>
  <c r="AC612" i="2"/>
  <c r="AE703" i="2"/>
  <c r="AE713" i="2"/>
  <c r="AE717" i="2"/>
  <c r="S728" i="2"/>
  <c r="AE398" i="2"/>
  <c r="AE412" i="2"/>
  <c r="AC423" i="2"/>
  <c r="AC447" i="2"/>
  <c r="AE452" i="2"/>
  <c r="AF450" i="2" s="1"/>
  <c r="AE461" i="2"/>
  <c r="AE488" i="2"/>
  <c r="AE492" i="2"/>
  <c r="AC495" i="2"/>
  <c r="AE500" i="2"/>
  <c r="AC501" i="2"/>
  <c r="AC503" i="2"/>
  <c r="AE508" i="2"/>
  <c r="AF504" i="2" s="1"/>
  <c r="AC509" i="2"/>
  <c r="AC511" i="2"/>
  <c r="AE512" i="2"/>
  <c r="AC542" i="2"/>
  <c r="AE543" i="2"/>
  <c r="AC550" i="2"/>
  <c r="AE551" i="2"/>
  <c r="AE556" i="2"/>
  <c r="AE558" i="2"/>
  <c r="AC559" i="2"/>
  <c r="AE564" i="2"/>
  <c r="AE566" i="2"/>
  <c r="AC567" i="2"/>
  <c r="AE568" i="2"/>
  <c r="AE572" i="2"/>
  <c r="AE574" i="2"/>
  <c r="AC575" i="2"/>
  <c r="AE576" i="2"/>
  <c r="AE580" i="2"/>
  <c r="AC581" i="2"/>
  <c r="AC583" i="2"/>
  <c r="AE584" i="2"/>
  <c r="AE588" i="2"/>
  <c r="AC589" i="2"/>
  <c r="AC591" i="2"/>
  <c r="AE596" i="2"/>
  <c r="AC597" i="2"/>
  <c r="AC599" i="2"/>
  <c r="AE600" i="2"/>
  <c r="AC605" i="2"/>
  <c r="AC607" i="2"/>
  <c r="AE608" i="2"/>
  <c r="AE612" i="2"/>
  <c r="AE974" i="2"/>
  <c r="AE982" i="2"/>
  <c r="AC504" i="2"/>
  <c r="AE561" i="2"/>
  <c r="AC576" i="2"/>
  <c r="AC592" i="2"/>
  <c r="AC600" i="2"/>
  <c r="AE601" i="2"/>
  <c r="AC622" i="2"/>
  <c r="AC631" i="2"/>
  <c r="AE639" i="2"/>
  <c r="AF633" i="2" s="1"/>
  <c r="AE647" i="2"/>
  <c r="AF644" i="2" s="1"/>
  <c r="AC662" i="2"/>
  <c r="AC670" i="2"/>
  <c r="AE671" i="2"/>
  <c r="AF666" i="2" s="1"/>
  <c r="AC718" i="2"/>
  <c r="AE318" i="2"/>
  <c r="AE322" i="2"/>
  <c r="AC326" i="2"/>
  <c r="AD325" i="2" s="1"/>
  <c r="AE331" i="2"/>
  <c r="AC342" i="2"/>
  <c r="AE343" i="2"/>
  <c r="AC350" i="2"/>
  <c r="AE351" i="2"/>
  <c r="AC358" i="2"/>
  <c r="AD352" i="2" s="1"/>
  <c r="AE359" i="2"/>
  <c r="AE363" i="2"/>
  <c r="AF361" i="2" s="1"/>
  <c r="AC366" i="2"/>
  <c r="AD361" i="2" s="1"/>
  <c r="AE373" i="2"/>
  <c r="AC374" i="2"/>
  <c r="AC382" i="2"/>
  <c r="AE387" i="2"/>
  <c r="AE389" i="2"/>
  <c r="AE395" i="2"/>
  <c r="AE396" i="2"/>
  <c r="AE402" i="2"/>
  <c r="AC474" i="2"/>
  <c r="AE479" i="2"/>
  <c r="AF477" i="2" s="1"/>
  <c r="AC497" i="2"/>
  <c r="AC505" i="2"/>
  <c r="AE506" i="2"/>
  <c r="AC710" i="2"/>
  <c r="AC705" i="2"/>
  <c r="AE706" i="2"/>
  <c r="AC707" i="2"/>
  <c r="AE714" i="2"/>
  <c r="AE730" i="2"/>
  <c r="AC731" i="2"/>
  <c r="AE745" i="2"/>
  <c r="AE755" i="2"/>
  <c r="AE757" i="2"/>
  <c r="AE767" i="2"/>
  <c r="AE769" i="2"/>
  <c r="AE775" i="2"/>
  <c r="AE777" i="2"/>
  <c r="AE781" i="2"/>
  <c r="AC782" i="2"/>
  <c r="AE783" i="2"/>
  <c r="AE789" i="2"/>
  <c r="AC790" i="2"/>
  <c r="AC791" i="2"/>
  <c r="AC792" i="2"/>
  <c r="AE793" i="2"/>
  <c r="AE795" i="2"/>
  <c r="AE798" i="2"/>
  <c r="AC799" i="2"/>
  <c r="AC800" i="2"/>
  <c r="AE801" i="2"/>
  <c r="AE804" i="2"/>
  <c r="AE807" i="2"/>
  <c r="AC808" i="2"/>
  <c r="AC818" i="2"/>
  <c r="AE820" i="2"/>
  <c r="AE824" i="2"/>
  <c r="AC825" i="2"/>
  <c r="AE1056" i="2"/>
  <c r="AE1058" i="2"/>
  <c r="AE1137" i="2"/>
  <c r="AC1138" i="2"/>
  <c r="AE1139" i="2"/>
  <c r="AE1144" i="2"/>
  <c r="AE1145" i="2"/>
  <c r="AC1202" i="2"/>
  <c r="AC1209" i="2"/>
  <c r="AE1210" i="2"/>
  <c r="AE1224" i="2"/>
  <c r="AC676" i="2"/>
  <c r="AE684" i="2"/>
  <c r="AF677" i="2" s="1"/>
  <c r="AE687" i="2"/>
  <c r="AF687" i="2" s="1"/>
  <c r="AC696" i="2"/>
  <c r="AC698" i="2"/>
  <c r="AE701" i="2"/>
  <c r="AC734" i="2"/>
  <c r="AC745" i="2"/>
  <c r="AE746" i="2"/>
  <c r="AE756" i="2"/>
  <c r="AE796" i="2"/>
  <c r="AC820" i="2"/>
  <c r="AE825" i="2"/>
  <c r="AC828" i="2"/>
  <c r="AE831" i="2"/>
  <c r="AC832" i="2"/>
  <c r="AE839" i="2"/>
  <c r="AE840" i="2"/>
  <c r="AC939" i="2"/>
  <c r="AE940" i="2"/>
  <c r="AC955" i="2"/>
  <c r="AE959" i="2"/>
  <c r="AC992" i="2"/>
  <c r="AC1000" i="2"/>
  <c r="AC1008" i="2"/>
  <c r="AC1011" i="2"/>
  <c r="AC1022" i="2"/>
  <c r="AE1072" i="2"/>
  <c r="AC1092" i="2"/>
  <c r="AE1110" i="2"/>
  <c r="AC1113" i="2"/>
  <c r="AE1114" i="2"/>
  <c r="AC1264" i="2"/>
  <c r="AC637" i="2"/>
  <c r="AC701" i="2"/>
  <c r="AE708" i="2"/>
  <c r="AC711" i="2"/>
  <c r="AE712" i="2"/>
  <c r="AC719" i="2"/>
  <c r="AE720" i="2"/>
  <c r="AE724" i="2"/>
  <c r="AE732" i="2"/>
  <c r="AC735" i="2"/>
  <c r="AC737" i="2"/>
  <c r="AE747" i="2"/>
  <c r="AE753" i="2"/>
  <c r="AE771" i="2"/>
  <c r="AC778" i="2"/>
  <c r="AC786" i="2"/>
  <c r="AE787" i="2"/>
  <c r="AF787" i="2" s="1"/>
  <c r="AE802" i="2"/>
  <c r="AC805" i="2"/>
  <c r="AE806" i="2"/>
  <c r="AE809" i="2"/>
  <c r="AE813" i="2"/>
  <c r="AE822" i="2"/>
  <c r="AE826" i="2"/>
  <c r="AE832" i="2"/>
  <c r="AC833" i="2"/>
  <c r="AE835" i="2"/>
  <c r="AE921" i="2"/>
  <c r="AC922" i="2"/>
  <c r="AC940" i="2"/>
  <c r="AE960" i="2"/>
  <c r="AE964" i="2"/>
  <c r="AE968" i="2"/>
  <c r="AC969" i="2"/>
  <c r="AE990" i="2"/>
  <c r="AC1031" i="2"/>
  <c r="AE1036" i="2"/>
  <c r="AC1039" i="2"/>
  <c r="AE1040" i="2"/>
  <c r="AE1044" i="2"/>
  <c r="AF1037" i="2" s="1"/>
  <c r="AC1045" i="2"/>
  <c r="AC1076" i="2"/>
  <c r="AE1083" i="2"/>
  <c r="AE1085" i="2"/>
  <c r="AE1106" i="2"/>
  <c r="AE1198" i="2"/>
  <c r="AC1204" i="2"/>
  <c r="AE1205" i="2"/>
  <c r="AC1211" i="2"/>
  <c r="AE1212" i="2"/>
  <c r="AE827" i="2"/>
  <c r="AC834" i="2"/>
  <c r="AC845" i="2"/>
  <c r="AE847" i="2"/>
  <c r="AE851" i="2"/>
  <c r="AE859" i="2"/>
  <c r="AE863" i="2"/>
  <c r="AE867" i="2"/>
  <c r="AE871" i="2"/>
  <c r="AE875" i="2"/>
  <c r="AE879" i="2"/>
  <c r="AE883" i="2"/>
  <c r="AE887" i="2"/>
  <c r="AE891" i="2"/>
  <c r="AE895" i="2"/>
  <c r="AE899" i="2"/>
  <c r="AE910" i="2"/>
  <c r="AE914" i="2"/>
  <c r="AE918" i="2"/>
  <c r="AE1010" i="2"/>
  <c r="AE1118" i="2"/>
  <c r="AE1126" i="2"/>
  <c r="AE1136" i="2"/>
  <c r="AE1140" i="2"/>
  <c r="AE1146" i="2"/>
  <c r="AE1153" i="2"/>
  <c r="AE1156" i="2"/>
  <c r="AE1160" i="2"/>
  <c r="AE1163" i="2"/>
  <c r="AE1167" i="2"/>
  <c r="AE1174" i="2"/>
  <c r="AE830" i="2"/>
  <c r="AE838" i="2"/>
  <c r="AC847" i="2"/>
  <c r="AE848" i="2"/>
  <c r="AC855" i="2"/>
  <c r="AE856" i="2"/>
  <c r="AE862" i="2"/>
  <c r="AC863" i="2"/>
  <c r="AE864" i="2"/>
  <c r="AE870" i="2"/>
  <c r="AC871" i="2"/>
  <c r="AE872" i="2"/>
  <c r="AC879" i="2"/>
  <c r="AE880" i="2"/>
  <c r="AE886" i="2"/>
  <c r="AC887" i="2"/>
  <c r="AE888" i="2"/>
  <c r="AC895" i="2"/>
  <c r="AE896" i="2"/>
  <c r="AE902" i="2"/>
  <c r="AE904" i="2"/>
  <c r="AC910" i="2"/>
  <c r="AC918" i="2"/>
  <c r="AE927" i="2"/>
  <c r="AC965" i="2"/>
  <c r="AC987" i="2"/>
  <c r="AE988" i="2"/>
  <c r="AC1078" i="2"/>
  <c r="AE1096" i="2"/>
  <c r="AE1237" i="2"/>
  <c r="AC1301" i="2"/>
  <c r="AC824" i="2"/>
  <c r="AE829" i="2"/>
  <c r="AC838" i="2"/>
  <c r="AE845" i="2"/>
  <c r="AC848" i="2"/>
  <c r="AE849" i="2"/>
  <c r="AC864" i="2"/>
  <c r="AE865" i="2"/>
  <c r="AE873" i="2"/>
  <c r="AC880" i="2"/>
  <c r="AE881" i="2"/>
  <c r="AC888" i="2"/>
  <c r="AE889" i="2"/>
  <c r="AC896" i="2"/>
  <c r="AE897" i="2"/>
  <c r="AE903" i="2"/>
  <c r="AE905" i="2"/>
  <c r="AE912" i="2"/>
  <c r="AC919" i="2"/>
  <c r="AC927" i="2"/>
  <c r="AE928" i="2"/>
  <c r="AC935" i="2"/>
  <c r="AE948" i="2"/>
  <c r="AC958" i="2"/>
  <c r="AE963" i="2"/>
  <c r="AC966" i="2"/>
  <c r="AE975" i="2"/>
  <c r="AE979" i="2"/>
  <c r="AC982" i="2"/>
  <c r="AE1019" i="2"/>
  <c r="AE1023" i="2"/>
  <c r="AC1024" i="2"/>
  <c r="AE1025" i="2"/>
  <c r="AE1035" i="2"/>
  <c r="AC1071" i="2"/>
  <c r="AE1076" i="2"/>
  <c r="AC1077" i="2"/>
  <c r="AE1078" i="2"/>
  <c r="AC1079" i="2"/>
  <c r="AE1080" i="2"/>
  <c r="AE1120" i="2"/>
  <c r="AE1122" i="2"/>
  <c r="AC1123" i="2"/>
  <c r="AE1124" i="2"/>
  <c r="AE1127" i="2"/>
  <c r="AC1130" i="2"/>
  <c r="AE1361" i="2"/>
  <c r="AE1416" i="2"/>
  <c r="AC1424" i="2"/>
  <c r="AE1150" i="2"/>
  <c r="AF1145" i="2" s="1"/>
  <c r="AC1151" i="2"/>
  <c r="AE1152" i="2"/>
  <c r="AE1157" i="2"/>
  <c r="AC1158" i="2"/>
  <c r="AE1159" i="2"/>
  <c r="AE1164" i="2"/>
  <c r="AC1165" i="2"/>
  <c r="AC1172" i="2"/>
  <c r="AE1173" i="2"/>
  <c r="AE1179" i="2"/>
  <c r="AE1187" i="2"/>
  <c r="AC1258" i="2"/>
  <c r="AE1277" i="2"/>
  <c r="AE1324" i="2"/>
  <c r="AE1325" i="2"/>
  <c r="AE1330" i="2"/>
  <c r="AF1328" i="2" s="1"/>
  <c r="AE1369" i="2"/>
  <c r="AE923" i="2"/>
  <c r="AC924" i="2"/>
  <c r="AE925" i="2"/>
  <c r="AE929" i="2"/>
  <c r="AC930" i="2"/>
  <c r="AC932" i="2"/>
  <c r="AE937" i="2"/>
  <c r="AE942" i="2"/>
  <c r="AC943" i="2"/>
  <c r="AC945" i="2"/>
  <c r="AE946" i="2"/>
  <c r="AE950" i="2"/>
  <c r="AC951" i="2"/>
  <c r="AE954" i="2"/>
  <c r="AC956" i="2"/>
  <c r="AE957" i="2"/>
  <c r="AC962" i="2"/>
  <c r="AC964" i="2"/>
  <c r="AE965" i="2"/>
  <c r="AE969" i="2"/>
  <c r="AE972" i="2"/>
  <c r="AC978" i="2"/>
  <c r="AE993" i="2"/>
  <c r="AC996" i="2"/>
  <c r="AE1001" i="2"/>
  <c r="AC1002" i="2"/>
  <c r="AC1004" i="2"/>
  <c r="AE1009" i="2"/>
  <c r="AE1020" i="2"/>
  <c r="AC1027" i="2"/>
  <c r="AE1028" i="2"/>
  <c r="AC1041" i="2"/>
  <c r="AC1043" i="2"/>
  <c r="AC1052" i="2"/>
  <c r="AE1053" i="2"/>
  <c r="AC1059" i="2"/>
  <c r="AE1060" i="2"/>
  <c r="AE1064" i="2"/>
  <c r="AF1064" i="2" s="1"/>
  <c r="AE1065" i="2"/>
  <c r="AE1067" i="2"/>
  <c r="AE1069" i="2"/>
  <c r="AE1073" i="2"/>
  <c r="AE1090" i="2"/>
  <c r="AE1131" i="2"/>
  <c r="AC1132" i="2"/>
  <c r="AC1134" i="2"/>
  <c r="AC1208" i="2"/>
  <c r="AC1262" i="2"/>
  <c r="AE1263" i="2"/>
  <c r="AC1285" i="2"/>
  <c r="AE1295" i="2"/>
  <c r="AC1298" i="2"/>
  <c r="AC1341" i="2"/>
  <c r="AC1379" i="2"/>
  <c r="AE1394" i="2"/>
  <c r="AF1391" i="2" s="1"/>
  <c r="AE1423" i="2"/>
  <c r="AE911" i="2"/>
  <c r="AE915" i="2"/>
  <c r="AC916" i="2"/>
  <c r="AE922" i="2"/>
  <c r="AC923" i="2"/>
  <c r="AC925" i="2"/>
  <c r="AE926" i="2"/>
  <c r="AE930" i="2"/>
  <c r="AC931" i="2"/>
  <c r="AE932" i="2"/>
  <c r="AE934" i="2"/>
  <c r="AC946" i="2"/>
  <c r="AC954" i="2"/>
  <c r="AE971" i="2"/>
  <c r="AE973" i="2"/>
  <c r="AE994" i="2"/>
  <c r="AE996" i="2"/>
  <c r="AC997" i="2"/>
  <c r="AE998" i="2"/>
  <c r="AE1002" i="2"/>
  <c r="AC1003" i="2"/>
  <c r="AE1004" i="2"/>
  <c r="AC1005" i="2"/>
  <c r="AE1006" i="2"/>
  <c r="AC1013" i="2"/>
  <c r="AC1020" i="2"/>
  <c r="AC1036" i="2"/>
  <c r="AE1050" i="2"/>
  <c r="AE1057" i="2"/>
  <c r="AF1055" i="2" s="1"/>
  <c r="AE1059" i="2"/>
  <c r="AE1104" i="2"/>
  <c r="AC1135" i="2"/>
  <c r="AC1148" i="2"/>
  <c r="AC1162" i="2"/>
  <c r="AC1176" i="2"/>
  <c r="AE1181" i="2"/>
  <c r="AE1186" i="2"/>
  <c r="AC1188" i="2"/>
  <c r="AE1189" i="2"/>
  <c r="AE1193" i="2"/>
  <c r="AE1196" i="2"/>
  <c r="AC1221" i="2"/>
  <c r="AC1222" i="2"/>
  <c r="AE1239" i="2"/>
  <c r="AC1245" i="2"/>
  <c r="AE1259" i="2"/>
  <c r="AE1266" i="2"/>
  <c r="AC1273" i="2"/>
  <c r="AE1279" i="2"/>
  <c r="AC1306" i="2"/>
  <c r="AC1373" i="2"/>
  <c r="AE1374" i="2"/>
  <c r="AC1420" i="2"/>
  <c r="AE1218" i="2"/>
  <c r="AE1220" i="2"/>
  <c r="AE1222" i="2"/>
  <c r="AE1233" i="2"/>
  <c r="AE1252" i="2"/>
  <c r="AE1290" i="2"/>
  <c r="AE1343" i="2"/>
  <c r="AE1351" i="2"/>
  <c r="AC1354" i="2"/>
  <c r="AE1366" i="2"/>
  <c r="AE1412" i="2"/>
  <c r="AC1093" i="2"/>
  <c r="AE1094" i="2"/>
  <c r="AE1098" i="2"/>
  <c r="AC1100" i="2"/>
  <c r="AE1102" i="2"/>
  <c r="AE1109" i="2"/>
  <c r="AE1119" i="2"/>
  <c r="AE1130" i="2"/>
  <c r="AE1134" i="2"/>
  <c r="AC1136" i="2"/>
  <c r="AE1161" i="2"/>
  <c r="AC1163" i="2"/>
  <c r="AE1191" i="2"/>
  <c r="AC1197" i="2"/>
  <c r="AC1230" i="2"/>
  <c r="AC1248" i="2"/>
  <c r="AE1247" i="2"/>
  <c r="AE1256" i="2"/>
  <c r="AE1268" i="2"/>
  <c r="AE1274" i="2"/>
  <c r="AC1275" i="2"/>
  <c r="AC1300" i="2"/>
  <c r="AC1307" i="2"/>
  <c r="AE1308" i="2"/>
  <c r="AC1314" i="2"/>
  <c r="AE1419" i="2"/>
  <c r="AE1406" i="2"/>
  <c r="AC1409" i="2"/>
  <c r="AC1414" i="2"/>
  <c r="AE1302" i="2"/>
  <c r="AE1315" i="2"/>
  <c r="AC1321" i="2"/>
  <c r="AC1340" i="2"/>
  <c r="AE1349" i="2"/>
  <c r="AE1350" i="2"/>
  <c r="AE1368" i="2"/>
  <c r="AC1375" i="2"/>
  <c r="AC1383" i="2"/>
  <c r="AC1388" i="2"/>
  <c r="AC1395" i="2"/>
  <c r="AE1401" i="2"/>
  <c r="AE1407" i="2"/>
  <c r="AC1410" i="2"/>
  <c r="AC1411" i="2"/>
  <c r="AC1421" i="2"/>
  <c r="AC1425" i="2"/>
  <c r="AC1106" i="2"/>
  <c r="AC1108" i="2"/>
  <c r="AC1110" i="2"/>
  <c r="AC1116" i="2"/>
  <c r="AE1117" i="2"/>
  <c r="AE1197" i="2"/>
  <c r="AC1203" i="2"/>
  <c r="AE1208" i="2"/>
  <c r="AC1210" i="2"/>
  <c r="AE1223" i="2"/>
  <c r="AE1229" i="2"/>
  <c r="AE1235" i="2"/>
  <c r="AC1236" i="2"/>
  <c r="AE1250" i="2"/>
  <c r="AC1268" i="2"/>
  <c r="AC1269" i="2"/>
  <c r="AE1270" i="2"/>
  <c r="AC1271" i="2"/>
  <c r="AE1278" i="2"/>
  <c r="AE1338" i="2"/>
  <c r="AC1339" i="2"/>
  <c r="AE1340" i="2"/>
  <c r="AC1345" i="2"/>
  <c r="AC1396" i="2"/>
  <c r="AE1408" i="2"/>
  <c r="AE1413" i="2"/>
  <c r="AE1417" i="2"/>
  <c r="AC1287" i="2"/>
  <c r="AE1288" i="2"/>
  <c r="AE1293" i="2"/>
  <c r="AE1299" i="2"/>
  <c r="AF1293" i="2" s="1"/>
  <c r="AC1313" i="2"/>
  <c r="AC1319" i="2"/>
  <c r="AC1329" i="2"/>
  <c r="AE1335" i="2"/>
  <c r="AC1336" i="2"/>
  <c r="AE1337" i="2"/>
  <c r="AE1345" i="2"/>
  <c r="AC1348" i="2"/>
  <c r="AE1364" i="2"/>
  <c r="AF1363" i="2" s="1"/>
  <c r="AE1372" i="2"/>
  <c r="AE1403" i="2"/>
  <c r="AE1409" i="2"/>
  <c r="AE1420" i="2"/>
  <c r="AE1424" i="2"/>
  <c r="AC1288" i="2"/>
  <c r="AE1289" i="2"/>
  <c r="AC1295" i="2"/>
  <c r="AC1312" i="2"/>
  <c r="AC1366" i="2"/>
  <c r="AC1372" i="2"/>
  <c r="AE1373" i="2"/>
  <c r="AE1410" i="2"/>
  <c r="AC1073" i="2"/>
  <c r="AE1079" i="2"/>
  <c r="AE1082" i="2"/>
  <c r="AE1089" i="2"/>
  <c r="AC1090" i="2"/>
  <c r="AE1093" i="2"/>
  <c r="AF1091" i="2" s="1"/>
  <c r="AC1094" i="2"/>
  <c r="AC1096" i="2"/>
  <c r="AE1097" i="2"/>
  <c r="AE1100" i="2"/>
  <c r="AC1102" i="2"/>
  <c r="AE1103" i="2"/>
  <c r="AF1100" i="2" s="1"/>
  <c r="AC1104" i="2"/>
  <c r="AE1111" i="2"/>
  <c r="AC1112" i="2"/>
  <c r="AC1114" i="2"/>
  <c r="AE1115" i="2"/>
  <c r="AC1118" i="2"/>
  <c r="AE1121" i="2"/>
  <c r="AE1125" i="2"/>
  <c r="AC1126" i="2"/>
  <c r="AE1132" i="2"/>
  <c r="AE1138" i="2"/>
  <c r="AC1141" i="2"/>
  <c r="AE1142" i="2"/>
  <c r="AC1145" i="2"/>
  <c r="AE1154" i="2"/>
  <c r="AE1211" i="2"/>
  <c r="AC1216" i="2"/>
  <c r="AE1219" i="2"/>
  <c r="AE1257" i="2"/>
  <c r="AE1258" i="2"/>
  <c r="AC1261" i="2"/>
  <c r="AC1277" i="2"/>
  <c r="AE1306" i="2"/>
  <c r="AC1308" i="2"/>
  <c r="AE1309" i="2"/>
  <c r="AE1319" i="2"/>
  <c r="AE1326" i="2"/>
  <c r="AE1331" i="2"/>
  <c r="AC1332" i="2"/>
  <c r="AC1343" i="2"/>
  <c r="AE1344" i="2"/>
  <c r="AE1352" i="2"/>
  <c r="AC1361" i="2"/>
  <c r="AE1362" i="2"/>
  <c r="AC1401" i="2"/>
  <c r="AC1407" i="2"/>
  <c r="AE1415" i="2"/>
  <c r="A404" i="2"/>
  <c r="A405" i="2" s="1"/>
  <c r="A406" i="2" s="1"/>
  <c r="A407" i="2" s="1"/>
  <c r="A408" i="2" s="1"/>
  <c r="A409" i="2" s="1"/>
  <c r="A410" i="2" s="1"/>
  <c r="A411" i="2" s="1"/>
  <c r="A403" i="2"/>
  <c r="AM12" i="2"/>
  <c r="AV12" i="2"/>
  <c r="AW12" i="2" s="1"/>
  <c r="AF30" i="2"/>
  <c r="AF3" i="2"/>
  <c r="AF21" i="2"/>
  <c r="AL4" i="2"/>
  <c r="AN4" i="2" s="1"/>
  <c r="AO4" i="2" s="1"/>
  <c r="AD57" i="2"/>
  <c r="AD111" i="2"/>
  <c r="AD120" i="2"/>
  <c r="U208" i="2"/>
  <c r="Y208" i="2"/>
  <c r="AC208" i="2" s="1"/>
  <c r="AD201" i="2" s="1"/>
  <c r="AM6" i="2"/>
  <c r="AW4" i="2"/>
  <c r="AU8" i="2"/>
  <c r="AU12" i="2" s="1"/>
  <c r="AE140" i="2"/>
  <c r="AF138" i="2" s="1"/>
  <c r="AD21" i="2"/>
  <c r="AD138" i="2"/>
  <c r="AF156" i="2"/>
  <c r="AD156" i="2"/>
  <c r="AF39" i="2"/>
  <c r="AF120" i="2"/>
  <c r="AD48" i="2"/>
  <c r="AD75" i="2"/>
  <c r="AF66" i="2"/>
  <c r="AD39" i="2"/>
  <c r="AD66" i="2"/>
  <c r="AD147" i="2"/>
  <c r="AE107" i="2"/>
  <c r="AF102" i="2" s="1"/>
  <c r="AE173" i="2"/>
  <c r="AD183" i="2"/>
  <c r="AM7" i="2"/>
  <c r="AE112" i="2"/>
  <c r="AF111" i="2" s="1"/>
  <c r="AD3" i="2"/>
  <c r="AD30" i="2"/>
  <c r="AE165" i="2"/>
  <c r="AD256" i="2"/>
  <c r="AD210" i="2"/>
  <c r="AE238" i="2"/>
  <c r="AE239" i="2"/>
  <c r="AE240" i="2"/>
  <c r="Y241" i="2"/>
  <c r="AC241" i="2" s="1"/>
  <c r="AD237" i="2" s="1"/>
  <c r="U241" i="2"/>
  <c r="AE279" i="2"/>
  <c r="AC293" i="2"/>
  <c r="AE166" i="2"/>
  <c r="AE203" i="2"/>
  <c r="AD246" i="2"/>
  <c r="AC276" i="2"/>
  <c r="AD276" i="2" s="1"/>
  <c r="AE277" i="2"/>
  <c r="AC286" i="2"/>
  <c r="AE287" i="2"/>
  <c r="AE291" i="2"/>
  <c r="AE307" i="2"/>
  <c r="AC310" i="2"/>
  <c r="AD306" i="2" s="1"/>
  <c r="AC318" i="2"/>
  <c r="AD316" i="2" s="1"/>
  <c r="AE323" i="2"/>
  <c r="AF441" i="2"/>
  <c r="AE472" i="2"/>
  <c r="AF468" i="2" s="1"/>
  <c r="AE201" i="2"/>
  <c r="AE253" i="2"/>
  <c r="AF246" i="2" s="1"/>
  <c r="AD296" i="2"/>
  <c r="AE282" i="2"/>
  <c r="AE292" i="2"/>
  <c r="AE300" i="2"/>
  <c r="AF296" i="2" s="1"/>
  <c r="AD228" i="2"/>
  <c r="AE285" i="2"/>
  <c r="AE309" i="2"/>
  <c r="AE317" i="2"/>
  <c r="AD334" i="2"/>
  <c r="AE267" i="2"/>
  <c r="AE276" i="2"/>
  <c r="AF459" i="2"/>
  <c r="AE542" i="2"/>
  <c r="AE241" i="2"/>
  <c r="AE258" i="2"/>
  <c r="AE189" i="2"/>
  <c r="AE190" i="2"/>
  <c r="AE209" i="2"/>
  <c r="AF210" i="2"/>
  <c r="AF228" i="2"/>
  <c r="AE259" i="2"/>
  <c r="AE269" i="2"/>
  <c r="AE330" i="2"/>
  <c r="AF325" i="2" s="1"/>
  <c r="AE354" i="2"/>
  <c r="AF352" i="2" s="1"/>
  <c r="AE370" i="2"/>
  <c r="AE378" i="2"/>
  <c r="AD379" i="2"/>
  <c r="AE386" i="2"/>
  <c r="AF379" i="2" s="1"/>
  <c r="AE399" i="2"/>
  <c r="AE410" i="2"/>
  <c r="AF405" i="2" s="1"/>
  <c r="AE514" i="2"/>
  <c r="AE530" i="2"/>
  <c r="AE534" i="2"/>
  <c r="AE538" i="2"/>
  <c r="AE549" i="2"/>
  <c r="AE582" i="2"/>
  <c r="AE590" i="2"/>
  <c r="AC457" i="2"/>
  <c r="AE487" i="2"/>
  <c r="AF495" i="2"/>
  <c r="AE521" i="2"/>
  <c r="AE529" i="2"/>
  <c r="AC539" i="2"/>
  <c r="AC543" i="2"/>
  <c r="AE544" i="2"/>
  <c r="AE573" i="2"/>
  <c r="AE581" i="2"/>
  <c r="AE589" i="2"/>
  <c r="AE597" i="2"/>
  <c r="AF623" i="2"/>
  <c r="AC513" i="2"/>
  <c r="AC521" i="2"/>
  <c r="AE532" i="2"/>
  <c r="AE536" i="2"/>
  <c r="AF757" i="2"/>
  <c r="AE550" i="2"/>
  <c r="AE559" i="2"/>
  <c r="AF558" i="2" s="1"/>
  <c r="AE567" i="2"/>
  <c r="AE583" i="2"/>
  <c r="AE591" i="2"/>
  <c r="AE599" i="2"/>
  <c r="AE607" i="2"/>
  <c r="AE491" i="2"/>
  <c r="AC494" i="2"/>
  <c r="AE743" i="2"/>
  <c r="AC942" i="2"/>
  <c r="T700" i="2"/>
  <c r="AB700" i="2"/>
  <c r="AE700" i="2" s="1"/>
  <c r="AE877" i="2"/>
  <c r="AE893" i="2"/>
  <c r="AE901" i="2"/>
  <c r="AE908" i="2"/>
  <c r="AE931" i="2"/>
  <c r="AC699" i="2"/>
  <c r="AE711" i="2"/>
  <c r="AE715" i="2"/>
  <c r="AC726" i="2"/>
  <c r="AE731" i="2"/>
  <c r="AE833" i="2"/>
  <c r="AE846" i="2"/>
  <c r="AF841" i="2" s="1"/>
  <c r="AE854" i="2"/>
  <c r="AE894" i="2"/>
  <c r="AE909" i="2"/>
  <c r="AE917" i="2"/>
  <c r="AE924" i="2"/>
  <c r="AE855" i="2"/>
  <c r="AE944" i="2"/>
  <c r="AF938" i="2" s="1"/>
  <c r="AE952" i="2"/>
  <c r="AF947" i="2" s="1"/>
  <c r="AE709" i="2"/>
  <c r="AE834" i="2"/>
  <c r="AE962" i="2"/>
  <c r="AE970" i="2"/>
  <c r="AE1016" i="2"/>
  <c r="AE718" i="2"/>
  <c r="AE782" i="2"/>
  <c r="AE808" i="2"/>
  <c r="AF807" i="2" s="1"/>
  <c r="AE1003" i="2"/>
  <c r="AC1260" i="2"/>
  <c r="AE986" i="2"/>
  <c r="AE1031" i="2"/>
  <c r="AE981" i="2"/>
  <c r="AE997" i="2"/>
  <c r="AE1005" i="2"/>
  <c r="AE1024" i="2"/>
  <c r="AE1048" i="2"/>
  <c r="AE1087" i="2"/>
  <c r="AE1113" i="2"/>
  <c r="AF1109" i="2" s="1"/>
  <c r="AC1062" i="2"/>
  <c r="AE1171" i="2"/>
  <c r="AE1178" i="2"/>
  <c r="AE1261" i="2"/>
  <c r="AC995" i="2"/>
  <c r="AC1055" i="2"/>
  <c r="AC1084" i="2"/>
  <c r="AE1135" i="2"/>
  <c r="AE1232" i="2"/>
  <c r="AE1231" i="2"/>
  <c r="AC1244" i="2"/>
  <c r="AE1269" i="2"/>
  <c r="AE1339" i="2"/>
  <c r="AE1359" i="2"/>
  <c r="AF1356" i="2" s="1"/>
  <c r="AC1164" i="2"/>
  <c r="AE1185" i="2"/>
  <c r="AC1189" i="2"/>
  <c r="AE1201" i="2"/>
  <c r="AE1206" i="2"/>
  <c r="AE1225" i="2"/>
  <c r="AE1238" i="2"/>
  <c r="AE1246" i="2"/>
  <c r="AF1244" i="2" s="1"/>
  <c r="AE1275" i="2"/>
  <c r="AE1276" i="2"/>
  <c r="AE1303" i="2"/>
  <c r="AE1316" i="2"/>
  <c r="AE1371" i="2"/>
  <c r="AC1215" i="2"/>
  <c r="AC1282" i="2"/>
  <c r="AC1292" i="2"/>
  <c r="AC1297" i="2"/>
  <c r="AE1271" i="2"/>
  <c r="AE1317" i="2"/>
  <c r="AE1327" i="2"/>
  <c r="AF1377" i="2"/>
  <c r="AC1259" i="2"/>
  <c r="AE1291" i="2"/>
  <c r="AF1286" i="2" s="1"/>
  <c r="AC1299" i="2"/>
  <c r="AC1315" i="2"/>
  <c r="AE1318" i="2"/>
  <c r="AC1346" i="2"/>
  <c r="AC1358" i="2"/>
  <c r="AC1400" i="2"/>
  <c r="AC1184" i="2"/>
  <c r="AE1190" i="2"/>
  <c r="AF1188" i="2" s="1"/>
  <c r="AE1209" i="2"/>
  <c r="AC1231" i="2"/>
  <c r="AC1237" i="2"/>
  <c r="AC1253" i="2"/>
  <c r="B7" i="4"/>
  <c r="T1250" i="2"/>
  <c r="AE1272" i="2"/>
  <c r="AE1282" i="2"/>
  <c r="AF1279" i="2" s="1"/>
  <c r="AC1342" i="2"/>
  <c r="AC1370" i="2"/>
  <c r="AE1389" i="2"/>
  <c r="AF1384" i="2" s="1"/>
  <c r="AE1221" i="2"/>
  <c r="AE1236" i="2"/>
  <c r="AE1243" i="2"/>
  <c r="AW1265" i="2"/>
  <c r="AW1267" i="2" s="1"/>
  <c r="AW1268" i="2" s="1"/>
  <c r="AX1268" i="2" s="1"/>
  <c r="AF1419" i="2"/>
  <c r="AE1428" i="2"/>
  <c r="AC1429" i="2"/>
  <c r="AE1429" i="2"/>
  <c r="AC1428" i="2"/>
  <c r="AC1431" i="2"/>
  <c r="AC1427" i="2"/>
  <c r="AE1427" i="2"/>
  <c r="AE1431" i="2"/>
  <c r="AE1432" i="2"/>
  <c r="AE1430" i="2"/>
  <c r="AC1426" i="2"/>
  <c r="B5" i="4"/>
  <c r="AE1426" i="2"/>
  <c r="AD165" i="2" l="1"/>
  <c r="AF147" i="2"/>
  <c r="AF1216" i="2"/>
  <c r="AF992" i="2"/>
  <c r="AF974" i="2"/>
  <c r="AD286" i="2"/>
  <c r="AF1307" i="2"/>
  <c r="AF863" i="2"/>
  <c r="AF797" i="2"/>
  <c r="AD12" i="2"/>
  <c r="AF540" i="2"/>
  <c r="AF852" i="2"/>
  <c r="AF57" i="2"/>
  <c r="AD84" i="2"/>
  <c r="AF907" i="2"/>
  <c r="AF737" i="2"/>
  <c r="AF219" i="2"/>
  <c r="D5" i="4"/>
  <c r="AF727" i="2"/>
  <c r="AF747" i="2"/>
  <c r="AF423" i="2"/>
  <c r="AD129" i="2"/>
  <c r="AF1028" i="2"/>
  <c r="AF576" i="2"/>
  <c r="AF486" i="2"/>
  <c r="AF1342" i="2"/>
  <c r="AF1180" i="2"/>
  <c r="AF1046" i="2"/>
  <c r="AF1001" i="2"/>
  <c r="AF1163" i="2"/>
  <c r="AF1136" i="2"/>
  <c r="AF343" i="2"/>
  <c r="AF432" i="2"/>
  <c r="AF174" i="2"/>
  <c r="AF192" i="2"/>
  <c r="AF1082" i="2"/>
  <c r="AF1300" i="2"/>
  <c r="AF983" i="2"/>
  <c r="AF603" i="2"/>
  <c r="AF183" i="2"/>
  <c r="AF316" i="2"/>
  <c r="AF1405" i="2"/>
  <c r="AF655" i="2"/>
  <c r="AD192" i="2"/>
  <c r="AF819" i="2"/>
  <c r="AF1258" i="2"/>
  <c r="AF1209" i="2"/>
  <c r="AF1172" i="2"/>
  <c r="AF830" i="2"/>
  <c r="AF885" i="2"/>
  <c r="AF531" i="2"/>
  <c r="AF1349" i="2"/>
  <c r="AF1251" i="2"/>
  <c r="AF1073" i="2"/>
  <c r="AF767" i="2"/>
  <c r="AF48" i="2"/>
  <c r="AF1230" i="2"/>
  <c r="AF1398" i="2"/>
  <c r="AD266" i="2"/>
  <c r="AF1412" i="2"/>
  <c r="AD102" i="2"/>
  <c r="AF306" i="2"/>
  <c r="AF1202" i="2"/>
  <c r="AF717" i="2"/>
  <c r="AF266" i="2"/>
  <c r="AF286" i="2"/>
  <c r="AF237" i="2"/>
  <c r="AF1154" i="2"/>
  <c r="AF1118" i="2"/>
  <c r="AD370" i="2"/>
  <c r="AF129" i="2"/>
  <c r="AF1237" i="2"/>
  <c r="AF1195" i="2"/>
  <c r="AF1010" i="2"/>
  <c r="AF918" i="2"/>
  <c r="AF874" i="2"/>
  <c r="AF567" i="2"/>
  <c r="AF585" i="2"/>
  <c r="AD343" i="2"/>
  <c r="AF75" i="2"/>
  <c r="AF1335" i="2"/>
  <c r="AF1127" i="2"/>
  <c r="AF1019" i="2"/>
  <c r="AF965" i="2"/>
  <c r="AF522" i="2"/>
  <c r="AF256" i="2"/>
  <c r="AF1314" i="2"/>
  <c r="AF956" i="2"/>
  <c r="AF707" i="2"/>
  <c r="AF697" i="2"/>
  <c r="AF594" i="2"/>
  <c r="AF396" i="2"/>
  <c r="AF165" i="2"/>
  <c r="AF84" i="2"/>
  <c r="AF1272" i="2"/>
  <c r="AF929" i="2"/>
  <c r="AF334" i="2"/>
  <c r="AF1321" i="2"/>
  <c r="AF1370" i="2"/>
  <c r="AF1223" i="2"/>
  <c r="AF1265" i="2"/>
  <c r="AF777" i="2"/>
  <c r="AF896" i="2"/>
  <c r="AF513" i="2"/>
  <c r="AF370" i="2"/>
  <c r="AF276" i="2"/>
  <c r="AF549" i="2"/>
  <c r="AN12" i="2"/>
  <c r="AO12" i="2" s="1"/>
  <c r="AF201" i="2"/>
  <c r="A412" i="2"/>
  <c r="A413" i="2"/>
  <c r="A414" i="2" s="1"/>
  <c r="A415" i="2" s="1"/>
  <c r="A416" i="2" s="1"/>
  <c r="A417" i="2" s="1"/>
  <c r="A418" i="2" s="1"/>
  <c r="A419" i="2" s="1"/>
  <c r="A420" i="2" s="1"/>
  <c r="AF1426" i="2"/>
  <c r="A421" i="2" l="1"/>
  <c r="A422" i="2"/>
  <c r="A423" i="2" s="1"/>
  <c r="A424" i="2" s="1"/>
  <c r="A425" i="2" s="1"/>
  <c r="A426" i="2" s="1"/>
  <c r="A427" i="2" s="1"/>
  <c r="A428" i="2" s="1"/>
  <c r="A429" i="2" s="1"/>
  <c r="A431" i="2" l="1"/>
  <c r="A432" i="2" s="1"/>
  <c r="A433" i="2" s="1"/>
  <c r="A434" i="2" s="1"/>
  <c r="A435" i="2" s="1"/>
  <c r="A436" i="2" s="1"/>
  <c r="A437" i="2" s="1"/>
  <c r="A438" i="2" s="1"/>
  <c r="A430" i="2"/>
  <c r="A439" i="2" l="1"/>
  <c r="A440" i="2"/>
  <c r="A441" i="2" s="1"/>
  <c r="A442" i="2" s="1"/>
  <c r="A443" i="2" s="1"/>
  <c r="A444" i="2" s="1"/>
  <c r="A445" i="2" s="1"/>
  <c r="A446" i="2" s="1"/>
  <c r="A447" i="2" s="1"/>
  <c r="A449" i="2" l="1"/>
  <c r="A450" i="2" s="1"/>
  <c r="A451" i="2" s="1"/>
  <c r="A452" i="2" s="1"/>
  <c r="A453" i="2" s="1"/>
  <c r="A454" i="2" s="1"/>
  <c r="A455" i="2" s="1"/>
  <c r="A456" i="2" s="1"/>
  <c r="A448" i="2"/>
  <c r="A457" i="2" l="1"/>
  <c r="A458" i="2"/>
  <c r="A459" i="2" s="1"/>
  <c r="A460" i="2" s="1"/>
  <c r="A461" i="2" s="1"/>
  <c r="A462" i="2" s="1"/>
  <c r="A463" i="2" s="1"/>
  <c r="A464" i="2" s="1"/>
  <c r="A465" i="2" s="1"/>
  <c r="A467" i="2" l="1"/>
  <c r="A468" i="2" s="1"/>
  <c r="A469" i="2" s="1"/>
  <c r="A470" i="2" s="1"/>
  <c r="A471" i="2" s="1"/>
  <c r="A472" i="2" s="1"/>
  <c r="A473" i="2" s="1"/>
  <c r="A474" i="2" s="1"/>
  <c r="A466" i="2"/>
  <c r="A476" i="2" l="1"/>
  <c r="A477" i="2" s="1"/>
  <c r="A478" i="2" s="1"/>
  <c r="A479" i="2" s="1"/>
  <c r="A480" i="2" s="1"/>
  <c r="A481" i="2" s="1"/>
  <c r="A482" i="2" s="1"/>
  <c r="A483" i="2" s="1"/>
  <c r="A475" i="2"/>
  <c r="A485" i="2" l="1"/>
  <c r="A486" i="2" s="1"/>
  <c r="A487" i="2" s="1"/>
  <c r="A488" i="2" s="1"/>
  <c r="A489" i="2" s="1"/>
  <c r="A490" i="2" s="1"/>
  <c r="A491" i="2" s="1"/>
  <c r="A492" i="2" s="1"/>
  <c r="A484" i="2"/>
  <c r="A494" i="2" l="1"/>
  <c r="A495" i="2" s="1"/>
  <c r="A496" i="2" s="1"/>
  <c r="A497" i="2" s="1"/>
  <c r="A498" i="2" s="1"/>
  <c r="A499" i="2" s="1"/>
  <c r="A500" i="2" s="1"/>
  <c r="A501" i="2" s="1"/>
  <c r="A493" i="2"/>
  <c r="A502" i="2" l="1"/>
  <c r="A503" i="2"/>
  <c r="A504" i="2" s="1"/>
  <c r="A505" i="2" s="1"/>
  <c r="A506" i="2" s="1"/>
  <c r="A507" i="2" s="1"/>
  <c r="A508" i="2" s="1"/>
  <c r="A509" i="2" s="1"/>
  <c r="A510" i="2" s="1"/>
  <c r="A511" i="2" l="1"/>
  <c r="A512" i="2"/>
  <c r="A513" i="2" s="1"/>
  <c r="A514" i="2" s="1"/>
  <c r="A515" i="2" s="1"/>
  <c r="A516" i="2" s="1"/>
  <c r="A517" i="2" s="1"/>
  <c r="A518" i="2" s="1"/>
  <c r="A519" i="2" s="1"/>
  <c r="A521" i="2" l="1"/>
  <c r="A522" i="2" s="1"/>
  <c r="A523" i="2" s="1"/>
  <c r="A524" i="2" s="1"/>
  <c r="A525" i="2" s="1"/>
  <c r="A526" i="2" s="1"/>
  <c r="A527" i="2" s="1"/>
  <c r="A528" i="2" s="1"/>
  <c r="A520" i="2"/>
  <c r="A529" i="2" l="1"/>
  <c r="A530" i="2"/>
  <c r="A531" i="2" s="1"/>
  <c r="A532" i="2" s="1"/>
  <c r="A533" i="2" s="1"/>
  <c r="A534" i="2" s="1"/>
  <c r="A535" i="2" s="1"/>
  <c r="A536" i="2" s="1"/>
  <c r="A537" i="2" s="1"/>
  <c r="A538" i="2" l="1"/>
  <c r="A539" i="2"/>
  <c r="A540" i="2" s="1"/>
  <c r="A541" i="2" s="1"/>
  <c r="A542" i="2" s="1"/>
  <c r="A543" i="2" s="1"/>
  <c r="A544" i="2" s="1"/>
  <c r="A545" i="2" s="1"/>
  <c r="A546" i="2" s="1"/>
  <c r="A548" i="2" l="1"/>
  <c r="A549" i="2" s="1"/>
  <c r="A550" i="2" s="1"/>
  <c r="A551" i="2" s="1"/>
  <c r="A552" i="2" s="1"/>
  <c r="A553" i="2" s="1"/>
  <c r="A554" i="2" s="1"/>
  <c r="A555" i="2" s="1"/>
  <c r="A547" i="2"/>
  <c r="A556" i="2" l="1"/>
  <c r="A557" i="2"/>
  <c r="A558" i="2" s="1"/>
  <c r="A559" i="2" s="1"/>
  <c r="A560" i="2" s="1"/>
  <c r="A561" i="2" s="1"/>
  <c r="A562" i="2" s="1"/>
  <c r="A563" i="2" s="1"/>
  <c r="A564" i="2" s="1"/>
  <c r="A565" i="2" l="1"/>
  <c r="A566" i="2"/>
  <c r="A567" i="2" s="1"/>
  <c r="A568" i="2" s="1"/>
  <c r="A569" i="2" s="1"/>
  <c r="A570" i="2" s="1"/>
  <c r="A571" i="2" s="1"/>
  <c r="A572" i="2" s="1"/>
  <c r="A573" i="2" s="1"/>
  <c r="A575" i="2" l="1"/>
  <c r="A576" i="2" s="1"/>
  <c r="A577" i="2" s="1"/>
  <c r="A578" i="2" s="1"/>
  <c r="A579" i="2" s="1"/>
  <c r="A580" i="2" s="1"/>
  <c r="A581" i="2" s="1"/>
  <c r="A582" i="2" s="1"/>
  <c r="A574" i="2"/>
  <c r="A583" i="2" l="1"/>
  <c r="A584" i="2"/>
  <c r="A585" i="2" s="1"/>
  <c r="A586" i="2" s="1"/>
  <c r="A587" i="2" s="1"/>
  <c r="A588" i="2" s="1"/>
  <c r="A589" i="2" s="1"/>
  <c r="A590" i="2" s="1"/>
  <c r="A591" i="2" s="1"/>
  <c r="A593" i="2" l="1"/>
  <c r="A594" i="2" s="1"/>
  <c r="A595" i="2" s="1"/>
  <c r="A596" i="2" s="1"/>
  <c r="A597" i="2" s="1"/>
  <c r="A598" i="2" s="1"/>
  <c r="A599" i="2" s="1"/>
  <c r="A600" i="2" s="1"/>
  <c r="A592" i="2"/>
  <c r="A602" i="2" l="1"/>
  <c r="A603" i="2" s="1"/>
  <c r="A604" i="2" s="1"/>
  <c r="A605" i="2" s="1"/>
  <c r="A606" i="2" s="1"/>
  <c r="A607" i="2" s="1"/>
  <c r="A608" i="2" s="1"/>
  <c r="A609" i="2" s="1"/>
  <c r="A601" i="2"/>
  <c r="A610" i="2" l="1"/>
  <c r="A612" i="2" s="1"/>
  <c r="A613" i="2" s="1"/>
  <c r="A614" i="2" s="1"/>
  <c r="A615" i="2" s="1"/>
  <c r="A616" i="2" s="1"/>
  <c r="A617" i="2" s="1"/>
  <c r="A618" i="2" s="1"/>
  <c r="A619" i="2" s="1"/>
  <c r="A611" i="2"/>
  <c r="A621" i="2" l="1"/>
  <c r="A620" i="2"/>
  <c r="A622" i="2" s="1"/>
  <c r="A623" i="2" s="1"/>
  <c r="A624" i="2" s="1"/>
  <c r="A625" i="2" s="1"/>
  <c r="A626" i="2" s="1"/>
  <c r="A627" i="2" s="1"/>
  <c r="A628" i="2" s="1"/>
  <c r="A629" i="2" s="1"/>
  <c r="A631" i="2" l="1"/>
  <c r="A630" i="2"/>
  <c r="A632" i="2" s="1"/>
  <c r="A633" i="2" s="1"/>
  <c r="A634" i="2" s="1"/>
  <c r="A635" i="2" s="1"/>
  <c r="A636" i="2" s="1"/>
  <c r="A637" i="2" s="1"/>
  <c r="A638" i="2" s="1"/>
  <c r="A639" i="2" s="1"/>
  <c r="A642" i="2" l="1"/>
  <c r="A640" i="2"/>
  <c r="A643" i="2" s="1"/>
  <c r="A644" i="2" s="1"/>
  <c r="A645" i="2" s="1"/>
  <c r="A646" i="2" s="1"/>
  <c r="A647" i="2" s="1"/>
  <c r="A648" i="2" s="1"/>
  <c r="A649" i="2" s="1"/>
  <c r="A650" i="2" s="1"/>
  <c r="A641" i="2"/>
  <c r="A653" i="2" l="1"/>
  <c r="A651" i="2"/>
  <c r="A654" i="2" s="1"/>
  <c r="A655" i="2" s="1"/>
  <c r="A656" i="2" s="1"/>
  <c r="A657" i="2" s="1"/>
  <c r="A658" i="2" s="1"/>
  <c r="A659" i="2" s="1"/>
  <c r="A660" i="2" s="1"/>
  <c r="A661" i="2" s="1"/>
  <c r="A652" i="2"/>
  <c r="A663" i="2" l="1"/>
  <c r="A664" i="2"/>
  <c r="A662" i="2"/>
  <c r="A665" i="2" s="1"/>
  <c r="A666" i="2" s="1"/>
  <c r="A667" i="2" s="1"/>
  <c r="A668" i="2" s="1"/>
  <c r="A669" i="2" s="1"/>
  <c r="A670" i="2" s="1"/>
  <c r="A671" i="2" s="1"/>
  <c r="A672" i="2" s="1"/>
  <c r="A673" i="2" l="1"/>
  <c r="A676" i="2" s="1"/>
  <c r="A677" i="2" s="1"/>
  <c r="A678" i="2" s="1"/>
  <c r="A679" i="2" s="1"/>
  <c r="A680" i="2" s="1"/>
  <c r="A681" i="2" s="1"/>
  <c r="A682" i="2" s="1"/>
  <c r="A683" i="2" s="1"/>
  <c r="A674" i="2"/>
  <c r="A675" i="2"/>
  <c r="A684" i="2" l="1"/>
  <c r="A685" i="2"/>
  <c r="A686" i="2"/>
  <c r="A687" i="2" s="1"/>
  <c r="A688" i="2" s="1"/>
  <c r="A689" i="2" s="1"/>
  <c r="A690" i="2" s="1"/>
  <c r="A691" i="2" s="1"/>
  <c r="A692" i="2" s="1"/>
  <c r="A693" i="2" s="1"/>
  <c r="A694" i="2" l="1"/>
  <c r="A695" i="2"/>
  <c r="A696" i="2"/>
  <c r="A697" i="2" s="1"/>
  <c r="A698" i="2" s="1"/>
  <c r="A699" i="2" s="1"/>
  <c r="A700" i="2" s="1"/>
  <c r="A701" i="2" s="1"/>
  <c r="A702" i="2" s="1"/>
  <c r="A703" i="2" s="1"/>
  <c r="A706" i="2" l="1"/>
  <c r="A707" i="2" s="1"/>
  <c r="A708" i="2" s="1"/>
  <c r="A709" i="2" s="1"/>
  <c r="A710" i="2" s="1"/>
  <c r="A711" i="2" s="1"/>
  <c r="A712" i="2" s="1"/>
  <c r="A713" i="2" s="1"/>
  <c r="A704" i="2"/>
  <c r="A705" i="2"/>
  <c r="A715" i="2" l="1"/>
  <c r="A716" i="2"/>
  <c r="A717" i="2" s="1"/>
  <c r="A718" i="2" s="1"/>
  <c r="A719" i="2" s="1"/>
  <c r="A720" i="2" s="1"/>
  <c r="A721" i="2" s="1"/>
  <c r="A722" i="2" s="1"/>
  <c r="A723" i="2" s="1"/>
  <c r="A714" i="2"/>
  <c r="A726" i="2" l="1"/>
  <c r="A727" i="2" s="1"/>
  <c r="A728" i="2" s="1"/>
  <c r="A729" i="2" s="1"/>
  <c r="A730" i="2" s="1"/>
  <c r="A731" i="2" s="1"/>
  <c r="A732" i="2" s="1"/>
  <c r="A733" i="2" s="1"/>
  <c r="A724" i="2"/>
  <c r="A725" i="2"/>
  <c r="A736" i="2" l="1"/>
  <c r="A737" i="2" s="1"/>
  <c r="A738" i="2" s="1"/>
  <c r="A739" i="2" s="1"/>
  <c r="A740" i="2" s="1"/>
  <c r="A741" i="2" s="1"/>
  <c r="A742" i="2" s="1"/>
  <c r="A743" i="2" s="1"/>
  <c r="A734" i="2"/>
  <c r="A735" i="2"/>
  <c r="A744" i="2" l="1"/>
  <c r="A745" i="2"/>
  <c r="A746" i="2"/>
  <c r="A747" i="2" s="1"/>
  <c r="A748" i="2" s="1"/>
  <c r="A749" i="2" s="1"/>
  <c r="A750" i="2" s="1"/>
  <c r="A751" i="2" s="1"/>
  <c r="A752" i="2" s="1"/>
  <c r="A753" i="2" s="1"/>
  <c r="A755" i="2" l="1"/>
  <c r="A756" i="2"/>
  <c r="A757" i="2" s="1"/>
  <c r="A758" i="2" s="1"/>
  <c r="A759" i="2" s="1"/>
  <c r="A760" i="2" s="1"/>
  <c r="A761" i="2" s="1"/>
  <c r="A762" i="2" s="1"/>
  <c r="A763" i="2" s="1"/>
  <c r="A754" i="2"/>
  <c r="A766" i="2" l="1"/>
  <c r="A767" i="2" s="1"/>
  <c r="A768" i="2" s="1"/>
  <c r="A769" i="2" s="1"/>
  <c r="A770" i="2" s="1"/>
  <c r="A771" i="2" s="1"/>
  <c r="A772" i="2" s="1"/>
  <c r="A773" i="2" s="1"/>
  <c r="A765" i="2"/>
  <c r="A764" i="2"/>
  <c r="A774" i="2" l="1"/>
  <c r="A775" i="2"/>
  <c r="A776" i="2"/>
  <c r="A777" i="2" s="1"/>
  <c r="A778" i="2" s="1"/>
  <c r="A779" i="2" s="1"/>
  <c r="A780" i="2" s="1"/>
  <c r="A781" i="2" s="1"/>
  <c r="A782" i="2" s="1"/>
  <c r="A783" i="2" s="1"/>
  <c r="A786" i="2" l="1"/>
  <c r="A787" i="2" s="1"/>
  <c r="A788" i="2" s="1"/>
  <c r="A789" i="2" s="1"/>
  <c r="A790" i="2" s="1"/>
  <c r="A791" i="2" s="1"/>
  <c r="A792" i="2" s="1"/>
  <c r="A793" i="2" s="1"/>
  <c r="A784" i="2"/>
  <c r="A785" i="2"/>
  <c r="A796" i="2" l="1"/>
  <c r="A797" i="2" s="1"/>
  <c r="A798" i="2" s="1"/>
  <c r="A799" i="2" s="1"/>
  <c r="A800" i="2" s="1"/>
  <c r="A801" i="2" s="1"/>
  <c r="A802" i="2" s="1"/>
  <c r="A803" i="2" s="1"/>
  <c r="A795" i="2"/>
  <c r="A794" i="2"/>
  <c r="A804" i="2" l="1"/>
  <c r="A806" i="2"/>
  <c r="A807" i="2" s="1"/>
  <c r="A808" i="2" s="1"/>
  <c r="A809" i="2" s="1"/>
  <c r="A810" i="2" s="1"/>
  <c r="A811" i="2" s="1"/>
  <c r="A812" i="2" s="1"/>
  <c r="A813" i="2" s="1"/>
  <c r="A805" i="2"/>
  <c r="A818" i="2" l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814" i="2"/>
  <c r="A815" i="2"/>
  <c r="A1108" i="2" l="1"/>
  <c r="A1109" i="2" s="1"/>
  <c r="A1107" i="2"/>
  <c r="A1106" i="2"/>
  <c r="A1103" i="2"/>
  <c r="A1101" i="2"/>
  <c r="A1105" i="2"/>
  <c r="A1104" i="2"/>
  <c r="A1102" i="2"/>
  <c r="A1116" i="2" l="1"/>
  <c r="A1111" i="2"/>
  <c r="A1113" i="2"/>
  <c r="A1115" i="2"/>
  <c r="A1110" i="2"/>
  <c r="A1112" i="2"/>
  <c r="A1114" i="2"/>
  <c r="A1117" i="2"/>
  <c r="A1118" i="2" s="1"/>
  <c r="A1126" i="2" l="1"/>
  <c r="A1127" i="2" s="1"/>
  <c r="A1123" i="2"/>
  <c r="A1119" i="2"/>
  <c r="A1124" i="2"/>
  <c r="A1121" i="2"/>
  <c r="A1125" i="2"/>
  <c r="A1122" i="2"/>
  <c r="A1120" i="2"/>
  <c r="A1130" i="2" l="1"/>
  <c r="A1132" i="2"/>
  <c r="A1134" i="2"/>
  <c r="A1129" i="2"/>
  <c r="A1133" i="2"/>
  <c r="A1128" i="2"/>
  <c r="A1131" i="2"/>
  <c r="A1135" i="2"/>
  <c r="A1136" i="2" s="1"/>
  <c r="A1144" i="2" l="1"/>
  <c r="A1145" i="2" s="1"/>
  <c r="A1137" i="2"/>
  <c r="A1143" i="2"/>
  <c r="A1139" i="2"/>
  <c r="A1138" i="2"/>
  <c r="A1140" i="2"/>
  <c r="A1141" i="2"/>
  <c r="A1142" i="2"/>
  <c r="A1151" i="2" l="1"/>
  <c r="A1146" i="2"/>
  <c r="A1153" i="2"/>
  <c r="A1154" i="2" s="1"/>
  <c r="A1152" i="2"/>
  <c r="A1150" i="2"/>
  <c r="A1147" i="2"/>
  <c r="A1149" i="2"/>
  <c r="A1148" i="2"/>
  <c r="A1157" i="2" l="1"/>
  <c r="A1160" i="2"/>
  <c r="A1162" i="2"/>
  <c r="A1163" i="2" s="1"/>
  <c r="A1155" i="2"/>
  <c r="A1161" i="2"/>
  <c r="A1159" i="2"/>
  <c r="A1156" i="2"/>
  <c r="A1158" i="2"/>
  <c r="A1171" i="2" l="1"/>
  <c r="A1172" i="2" s="1"/>
  <c r="A1164" i="2"/>
  <c r="A1167" i="2"/>
  <c r="A1169" i="2"/>
  <c r="A1166" i="2"/>
  <c r="A1170" i="2"/>
  <c r="A1168" i="2"/>
  <c r="A1165" i="2"/>
  <c r="A1179" i="2" l="1"/>
  <c r="A1180" i="2" s="1"/>
  <c r="A1174" i="2"/>
  <c r="A1176" i="2"/>
  <c r="A1173" i="2"/>
  <c r="A1175" i="2"/>
  <c r="A1177" i="2"/>
  <c r="A1178" i="2"/>
  <c r="A1183" i="2" l="1"/>
  <c r="A1181" i="2"/>
  <c r="A1185" i="2"/>
  <c r="A1187" i="2"/>
  <c r="A1188" i="2" s="1"/>
  <c r="A1182" i="2"/>
  <c r="A1184" i="2"/>
  <c r="A1186" i="2"/>
  <c r="A1192" i="2" l="1"/>
  <c r="A1189" i="2"/>
  <c r="A1191" i="2"/>
  <c r="A1193" i="2"/>
  <c r="A1194" i="2"/>
  <c r="A1195" i="2" s="1"/>
  <c r="A1190" i="2"/>
  <c r="A1198" i="2" l="1"/>
  <c r="A1196" i="2"/>
  <c r="A1200" i="2"/>
  <c r="A1201" i="2"/>
  <c r="A1202" i="2" s="1"/>
  <c r="A1199" i="2"/>
  <c r="A1197" i="2"/>
  <c r="A1208" i="2" l="1"/>
  <c r="A1209" i="2" s="1"/>
  <c r="A1203" i="2"/>
  <c r="A1205" i="2"/>
  <c r="A1207" i="2"/>
  <c r="A1204" i="2"/>
  <c r="A1206" i="2"/>
  <c r="A1214" i="2" l="1"/>
  <c r="A1213" i="2"/>
  <c r="A1215" i="2"/>
  <c r="A1216" i="2" s="1"/>
  <c r="A1212" i="2"/>
  <c r="A1210" i="2"/>
  <c r="A1211" i="2"/>
  <c r="A1221" i="2" l="1"/>
  <c r="A1219" i="2"/>
  <c r="A1217" i="2"/>
  <c r="A1218" i="2"/>
  <c r="A1220" i="2"/>
  <c r="A1222" i="2"/>
  <c r="A1223" i="2" s="1"/>
  <c r="A1225" i="2" l="1"/>
  <c r="A1229" i="2"/>
  <c r="A1230" i="2" s="1"/>
  <c r="A1224" i="2"/>
  <c r="A1228" i="2"/>
  <c r="A1226" i="2"/>
  <c r="A1227" i="2"/>
  <c r="A1231" i="2" l="1"/>
  <c r="A1235" i="2"/>
  <c r="A1232" i="2"/>
  <c r="A1234" i="2"/>
  <c r="A1236" i="2"/>
  <c r="A1237" i="2" s="1"/>
  <c r="A1233" i="2"/>
  <c r="A1242" i="2" l="1"/>
  <c r="A1238" i="2"/>
  <c r="A1240" i="2"/>
  <c r="A1243" i="2"/>
  <c r="A1244" i="2" s="1"/>
  <c r="A1239" i="2"/>
  <c r="A1241" i="2"/>
  <c r="A1247" i="2" l="1"/>
  <c r="A1248" i="2"/>
  <c r="A1250" i="2"/>
  <c r="A1251" i="2" s="1"/>
  <c r="A1245" i="2"/>
  <c r="A1246" i="2"/>
  <c r="A1249" i="2"/>
  <c r="A1254" i="2" l="1"/>
  <c r="A1257" i="2"/>
  <c r="A1258" i="2" s="1"/>
  <c r="A1256" i="2"/>
  <c r="A1252" i="2"/>
  <c r="A1253" i="2"/>
  <c r="A1255" i="2"/>
  <c r="A1259" i="2" l="1"/>
  <c r="A1262" i="2"/>
  <c r="A1261" i="2"/>
  <c r="A1263" i="2"/>
  <c r="A1260" i="2"/>
  <c r="A1264" i="2"/>
  <c r="A1265" i="2" s="1"/>
  <c r="A1267" i="2" l="1"/>
  <c r="A1270" i="2"/>
  <c r="A1271" i="2"/>
  <c r="A1272" i="2" s="1"/>
  <c r="A1269" i="2"/>
  <c r="A1268" i="2"/>
  <c r="A1266" i="2"/>
  <c r="A1276" i="2" l="1"/>
  <c r="A1278" i="2"/>
  <c r="A1279" i="2" s="1"/>
  <c r="A1273" i="2"/>
  <c r="A1274" i="2"/>
  <c r="A1275" i="2"/>
  <c r="A1277" i="2"/>
  <c r="A1284" i="2" l="1"/>
  <c r="A1280" i="2"/>
  <c r="A1281" i="2"/>
  <c r="A1283" i="2"/>
  <c r="A1285" i="2"/>
  <c r="A1286" i="2" s="1"/>
  <c r="A1282" i="2"/>
  <c r="A1292" i="2" l="1"/>
  <c r="A1293" i="2" s="1"/>
  <c r="A1287" i="2"/>
  <c r="A1291" i="2"/>
  <c r="A1288" i="2"/>
  <c r="A1290" i="2"/>
  <c r="A1289" i="2"/>
  <c r="A1296" i="2" l="1"/>
  <c r="A1295" i="2"/>
  <c r="A1297" i="2"/>
  <c r="A1299" i="2"/>
  <c r="A1300" i="2" s="1"/>
  <c r="A1294" i="2"/>
  <c r="A1298" i="2"/>
  <c r="A1306" i="2" l="1"/>
  <c r="A1307" i="2" s="1"/>
  <c r="A1301" i="2"/>
  <c r="A1305" i="2"/>
  <c r="A1304" i="2"/>
  <c r="A1303" i="2"/>
  <c r="A1302" i="2"/>
  <c r="A1311" i="2" l="1"/>
  <c r="A1309" i="2"/>
  <c r="A1308" i="2"/>
  <c r="A1310" i="2"/>
  <c r="A1313" i="2"/>
  <c r="A1314" i="2" s="1"/>
  <c r="A1312" i="2"/>
  <c r="A1315" i="2" l="1"/>
  <c r="A1317" i="2"/>
  <c r="A1320" i="2"/>
  <c r="A1321" i="2" s="1"/>
  <c r="A1319" i="2"/>
  <c r="A1316" i="2"/>
  <c r="A1318" i="2"/>
  <c r="A1322" i="2" l="1"/>
  <c r="A1324" i="2"/>
  <c r="A1323" i="2"/>
  <c r="A1326" i="2"/>
  <c r="A1325" i="2"/>
  <c r="A1327" i="2"/>
  <c r="A1328" i="2" s="1"/>
  <c r="A1329" i="2" l="1"/>
  <c r="A1333" i="2"/>
  <c r="A1334" i="2"/>
  <c r="A1335" i="2" s="1"/>
  <c r="A1331" i="2"/>
  <c r="A1330" i="2"/>
  <c r="A1332" i="2"/>
  <c r="A1336" i="2" l="1"/>
  <c r="A1338" i="2"/>
  <c r="A1337" i="2"/>
  <c r="A1339" i="2"/>
  <c r="A1341" i="2"/>
  <c r="A1342" i="2" s="1"/>
  <c r="A1340" i="2"/>
  <c r="A1346" i="2" l="1"/>
  <c r="A1348" i="2"/>
  <c r="A1349" i="2" s="1"/>
  <c r="A1345" i="2"/>
  <c r="A1344" i="2"/>
  <c r="A1343" i="2"/>
  <c r="A1347" i="2"/>
  <c r="A1350" i="2" l="1"/>
  <c r="A1352" i="2"/>
  <c r="A1354" i="2"/>
  <c r="A1351" i="2"/>
  <c r="A1353" i="2"/>
  <c r="A1355" i="2"/>
  <c r="A1356" i="2" s="1"/>
  <c r="A1362" i="2" l="1"/>
  <c r="A1363" i="2" s="1"/>
  <c r="A1357" i="2"/>
  <c r="A1358" i="2"/>
  <c r="A1360" i="2"/>
  <c r="A1361" i="2"/>
  <c r="A1359" i="2"/>
  <c r="A1368" i="2" l="1"/>
  <c r="A1364" i="2"/>
  <c r="A1369" i="2"/>
  <c r="A1370" i="2" s="1"/>
  <c r="A1366" i="2"/>
  <c r="A1367" i="2"/>
  <c r="A1365" i="2"/>
  <c r="A1375" i="2" l="1"/>
  <c r="A1373" i="2"/>
  <c r="A1376" i="2"/>
  <c r="A1377" i="2" s="1"/>
  <c r="A1372" i="2"/>
  <c r="A1374" i="2"/>
  <c r="A1371" i="2"/>
  <c r="A1380" i="2" l="1"/>
  <c r="A1382" i="2"/>
  <c r="A1378" i="2"/>
  <c r="A1379" i="2"/>
  <c r="A1383" i="2"/>
  <c r="A1384" i="2" s="1"/>
  <c r="A1381" i="2"/>
  <c r="A1390" i="2" l="1"/>
  <c r="A1391" i="2" s="1"/>
  <c r="A1385" i="2"/>
  <c r="A1387" i="2"/>
  <c r="A1386" i="2"/>
  <c r="A1389" i="2"/>
  <c r="A1388" i="2"/>
  <c r="A1393" i="2" l="1"/>
  <c r="A1396" i="2"/>
  <c r="A1397" i="2"/>
  <c r="A1398" i="2" s="1"/>
  <c r="A1394" i="2"/>
  <c r="A1392" i="2"/>
  <c r="A1395" i="2"/>
  <c r="A1400" i="2" l="1"/>
  <c r="A1402" i="2"/>
  <c r="A1401" i="2"/>
  <c r="A1403" i="2"/>
  <c r="A1404" i="2"/>
  <c r="A1405" i="2" s="1"/>
  <c r="A1399" i="2"/>
  <c r="A1411" i="2" l="1"/>
  <c r="A1412" i="2" s="1"/>
  <c r="A1409" i="2"/>
  <c r="A1407" i="2"/>
  <c r="A1410" i="2"/>
  <c r="A1408" i="2"/>
  <c r="A1406" i="2"/>
  <c r="A1417" i="2" l="1"/>
  <c r="A1415" i="2"/>
  <c r="A1413" i="2"/>
  <c r="A1418" i="2"/>
  <c r="A1419" i="2" s="1"/>
  <c r="A1416" i="2"/>
  <c r="A1414" i="2"/>
  <c r="A1424" i="2" l="1"/>
  <c r="A1422" i="2"/>
  <c r="A1420" i="2"/>
  <c r="A1425" i="2"/>
  <c r="A1426" i="2" s="1"/>
  <c r="A1423" i="2"/>
  <c r="A1421" i="2"/>
  <c r="A1428" i="2" l="1"/>
  <c r="A1430" i="2"/>
  <c r="A1427" i="2"/>
  <c r="A1432" i="2"/>
  <c r="A1433" i="2" s="1"/>
  <c r="A1429" i="2"/>
  <c r="A1431" i="2"/>
  <c r="A1438" i="2" l="1"/>
  <c r="A1435" i="2"/>
  <c r="A1437" i="2"/>
  <c r="A1434" i="2"/>
  <c r="A1436" i="2"/>
  <c r="A1439" i="2"/>
  <c r="A1440" i="2" s="1"/>
  <c r="A1442" i="2" l="1"/>
  <c r="A1443" i="2"/>
  <c r="A1441" i="2"/>
  <c r="A1445" i="2"/>
  <c r="A1444" i="2"/>
  <c r="A1446" i="2"/>
  <c r="A1447" i="2" s="1"/>
  <c r="A1452" i="2" l="1"/>
  <c r="A1451" i="2"/>
  <c r="A1449" i="2"/>
  <c r="A1450" i="2"/>
  <c r="A1448" i="2"/>
  <c r="A1454" i="2" s="1"/>
  <c r="A1455" i="2" s="1"/>
  <c r="A1453" i="2"/>
  <c r="A1459" i="2" l="1"/>
  <c r="A1458" i="2"/>
  <c r="A1460" i="2"/>
  <c r="A1457" i="2"/>
  <c r="A1461" i="2"/>
  <c r="A1456" i="2"/>
  <c r="A1463" i="2" l="1"/>
  <c r="A1462" i="2"/>
  <c r="A1464" i="2" l="1"/>
  <c r="A1466" i="2" l="1"/>
  <c r="A1468" i="2"/>
  <c r="A1469" i="2"/>
  <c r="A1465" i="2"/>
  <c r="A1471" i="2" s="1"/>
  <c r="A1467" i="2"/>
  <c r="A1470" i="2"/>
  <c r="A1472" i="2" l="1"/>
  <c r="A1473" i="2" s="1"/>
  <c r="A1479" i="2" l="1"/>
  <c r="A1475" i="2"/>
  <c r="A1478" i="2"/>
  <c r="A1474" i="2"/>
  <c r="A1477" i="2"/>
  <c r="A1476" i="2"/>
  <c r="A1481" i="2" l="1"/>
  <c r="A1482" i="2" s="1"/>
  <c r="A1480" i="2"/>
  <c r="A1486" i="2" l="1"/>
  <c r="A1485" i="2"/>
  <c r="A1487" i="2"/>
  <c r="A1483" i="2"/>
  <c r="A1484" i="2"/>
  <c r="A1488" i="2" l="1"/>
  <c r="A1489" i="2"/>
</calcChain>
</file>

<file path=xl/sharedStrings.xml><?xml version="1.0" encoding="utf-8"?>
<sst xmlns="http://schemas.openxmlformats.org/spreadsheetml/2006/main" count="1736" uniqueCount="123">
  <si>
    <t>Anthony Okpamen</t>
  </si>
  <si>
    <t>Daniel Trif</t>
  </si>
  <si>
    <t>Drew Alkemade</t>
  </si>
  <si>
    <t>Gurjinder Singh</t>
  </si>
  <si>
    <t>Ishan Sharma</t>
  </si>
  <si>
    <t>Jerry Jeremias</t>
  </si>
  <si>
    <t>Paul Robertson</t>
  </si>
  <si>
    <t>Rick Renwick</t>
  </si>
  <si>
    <t>Sahil Malhotra</t>
  </si>
  <si>
    <t>Tyler Meloche</t>
  </si>
  <si>
    <t>Zachary Ebbinghaus</t>
  </si>
  <si>
    <t>RT</t>
  </si>
  <si>
    <t>OT</t>
  </si>
  <si>
    <t>DT</t>
  </si>
  <si>
    <t>TT</t>
  </si>
  <si>
    <t>V</t>
  </si>
  <si>
    <t>H</t>
  </si>
  <si>
    <t>NB</t>
  </si>
  <si>
    <t>S</t>
  </si>
  <si>
    <t>Timesheet</t>
  </si>
  <si>
    <t>Approved</t>
  </si>
  <si>
    <t>Extra</t>
  </si>
  <si>
    <t>Regular</t>
  </si>
  <si>
    <t>Overtime 1</t>
  </si>
  <si>
    <t>Overtime 2</t>
  </si>
  <si>
    <t>Travel</t>
  </si>
  <si>
    <t>Sick</t>
  </si>
  <si>
    <t>Vacation</t>
  </si>
  <si>
    <t>Holiday</t>
  </si>
  <si>
    <t>Non-Billable</t>
  </si>
  <si>
    <t>Dan Trif</t>
  </si>
  <si>
    <t>Zac Ebbinghaus</t>
  </si>
  <si>
    <t>Name</t>
  </si>
  <si>
    <t>Date</t>
  </si>
  <si>
    <t>Total</t>
  </si>
  <si>
    <t>Per</t>
  </si>
  <si>
    <t>Rate</t>
  </si>
  <si>
    <t>Calculated Costs</t>
  </si>
  <si>
    <t>Calculated Hours</t>
  </si>
  <si>
    <t>Cost</t>
  </si>
  <si>
    <t>Billable</t>
  </si>
  <si>
    <t>Holiday Cost/Hr</t>
  </si>
  <si>
    <r>
      <t xml:space="preserve">Cost if Holiday is </t>
    </r>
    <r>
      <rPr>
        <b/>
        <sz val="8"/>
        <color theme="1"/>
        <rFont val="Microsoft JhengHei"/>
        <family val="2"/>
      </rPr>
      <t>not worked</t>
    </r>
  </si>
  <si>
    <r>
      <t xml:space="preserve">Cost if Holiday </t>
    </r>
    <r>
      <rPr>
        <b/>
        <sz val="8"/>
        <color theme="1"/>
        <rFont val="Microsoft JhengHei"/>
        <family val="2"/>
      </rPr>
      <t>is worked</t>
    </r>
  </si>
  <si>
    <t>Diff/yr</t>
  </si>
  <si>
    <t>Diff/wk</t>
  </si>
  <si>
    <t>Bonus</t>
  </si>
  <si>
    <t>Holiday/ Bonus</t>
  </si>
  <si>
    <t>Holiday/Bonus/Surprise</t>
  </si>
  <si>
    <t>Vacation/Non-Billable</t>
  </si>
  <si>
    <t>Vaca Acct</t>
  </si>
  <si>
    <t>Sharath Suresh</t>
  </si>
  <si>
    <t>Nihit Giri</t>
  </si>
  <si>
    <t>Mak Obiabunmo</t>
  </si>
  <si>
    <t>Jarrett Zorzi</t>
  </si>
  <si>
    <t>Income</t>
  </si>
  <si>
    <t>Hours</t>
  </si>
  <si>
    <t>Pieces</t>
  </si>
  <si>
    <t>Amount</t>
  </si>
  <si>
    <t>Project</t>
  </si>
  <si>
    <t>Comment</t>
  </si>
  <si>
    <t>Drive</t>
  </si>
  <si>
    <t>Chintan Ved</t>
  </si>
  <si>
    <t>Nathan Amoo-Onidundu</t>
  </si>
  <si>
    <t>Florin Moldovan Has</t>
  </si>
  <si>
    <t>Noor Pola</t>
  </si>
  <si>
    <t>Yousof Saleh</t>
  </si>
  <si>
    <t>OT1 Time &gt; 8hrs</t>
  </si>
  <si>
    <t>OT1 Time &gt; 0hrs</t>
  </si>
  <si>
    <t>Total Hours of OT1</t>
  </si>
  <si>
    <t>Count of Cells in Travel Heading</t>
  </si>
  <si>
    <t>Travel Time &gt; 0hrs</t>
  </si>
  <si>
    <t>Travel Time &gt; 8hrs</t>
  </si>
  <si>
    <t>Total Weeks with OT &lt; 8hrs</t>
  </si>
  <si>
    <t>Total Weeks with Travel &lt; 8hrs</t>
  </si>
  <si>
    <t>Total Hours of Travel</t>
  </si>
  <si>
    <t>Employee Overtime vs Travel Time</t>
  </si>
  <si>
    <t>Week1</t>
  </si>
  <si>
    <t>Y.Saleh</t>
  </si>
  <si>
    <t>Regular Hours</t>
  </si>
  <si>
    <t>Overtime Hours (1.5x)</t>
  </si>
  <si>
    <t>10-20-2024</t>
  </si>
  <si>
    <t>Week2</t>
  </si>
  <si>
    <t>10-27-2024</t>
  </si>
  <si>
    <t>Premium Hours (2x)</t>
  </si>
  <si>
    <t>Actual</t>
  </si>
  <si>
    <t>Equivalent</t>
  </si>
  <si>
    <t>Total Calculated Regular Hours</t>
  </si>
  <si>
    <t>Atkinson, Jeremy</t>
  </si>
  <si>
    <t>Wiseman, Jeremy</t>
  </si>
  <si>
    <t>Renwick, Rick</t>
  </si>
  <si>
    <t>Jeremias, Jerry</t>
  </si>
  <si>
    <t>Trif, Dan</t>
  </si>
  <si>
    <t>Shahzad, Faheem</t>
  </si>
  <si>
    <t>Ebbinghaus, Zachary</t>
  </si>
  <si>
    <t>Robertson, Paul</t>
  </si>
  <si>
    <t>Latour, Jason</t>
  </si>
  <si>
    <t>Zorzi, Jarrett</t>
  </si>
  <si>
    <t>Moldovan-Has, Florin</t>
  </si>
  <si>
    <t>Saleh, Yousof</t>
  </si>
  <si>
    <t>Current</t>
  </si>
  <si>
    <t>Future</t>
  </si>
  <si>
    <t>Increase</t>
  </si>
  <si>
    <t>Current Profit</t>
  </si>
  <si>
    <t>New Profit</t>
  </si>
  <si>
    <t>Ask</t>
  </si>
  <si>
    <t>Proposed</t>
  </si>
  <si>
    <t>Jr</t>
  </si>
  <si>
    <t>2nd</t>
  </si>
  <si>
    <t>3rd</t>
  </si>
  <si>
    <t>4th</t>
  </si>
  <si>
    <t>5th</t>
  </si>
  <si>
    <t>Special Rate</t>
  </si>
  <si>
    <t>Cost of Operations</t>
  </si>
  <si>
    <t>Profit per Hour</t>
  </si>
  <si>
    <t>Profit per Year (40hrs, 52 weeks)</t>
  </si>
  <si>
    <t>% Increase</t>
  </si>
  <si>
    <t>$ Increase</t>
  </si>
  <si>
    <t>Pathway</t>
  </si>
  <si>
    <t>6th+</t>
  </si>
  <si>
    <t>Inflation Increase</t>
  </si>
  <si>
    <t>Henry Andkilde</t>
  </si>
  <si>
    <t>Matina Rahbar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</si>
</sst>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0.0%"/>
  </numFmts>
  <fonts count="2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Microsoft JhengHei"/>
      <family val="2"/>
    </font>
    <font>
      <b/>
      <sz val="8"/>
      <color theme="1"/>
      <name val="Microsoft JhengHei"/>
      <family val="2"/>
    </font>
    <font>
      <sz val="8"/>
      <name val="Microsoft JhengHei"/>
      <family val="2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8"/>
      <color theme="1"/>
      <name val="Microsoft JhengHei"/>
      <family val="2"/>
    </font>
    <font>
      <b/>
      <sz val="11"/>
      <color rgb="FFFF00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5">
    <xf numFmtId="0" fontId="0" fillId="0" borderId="0"/>
    <xf numFmtId="44" fontId="2" fillId="0" borderId="0" applyFont="0" applyFill="0" applyBorder="0" applyAlignment="0" applyProtection="0"/>
    <xf numFmtId="0" fontId="7" fillId="0" borderId="34" applyNumberFormat="0" applyFill="0" applyAlignment="0" applyProtection="0"/>
    <xf numFmtId="0" fontId="8" fillId="0" borderId="35" applyNumberFormat="0" applyFill="0" applyAlignment="0" applyProtection="0"/>
    <xf numFmtId="0" fontId="9" fillId="0" borderId="36" applyNumberFormat="0" applyFill="0" applyAlignment="0" applyProtection="0"/>
    <xf numFmtId="0" fontId="9" fillId="0" borderId="0" applyNumberFormat="0" applyFill="0" applyBorder="0" applyAlignment="0" applyProtection="0"/>
    <xf numFmtId="0" fontId="10" fillId="11" borderId="0" applyNumberFormat="0" applyBorder="0" applyAlignment="0" applyProtection="0"/>
    <xf numFmtId="0" fontId="11" fillId="12" borderId="0" applyNumberFormat="0" applyBorder="0" applyAlignment="0" applyProtection="0"/>
    <xf numFmtId="0" fontId="12" fillId="14" borderId="37" applyNumberFormat="0" applyAlignment="0" applyProtection="0"/>
    <xf numFmtId="0" fontId="13" fillId="15" borderId="38" applyNumberFormat="0" applyAlignment="0" applyProtection="0"/>
    <xf numFmtId="0" fontId="14" fillId="15" borderId="37" applyNumberFormat="0" applyAlignment="0" applyProtection="0"/>
    <xf numFmtId="0" fontId="15" fillId="0" borderId="39" applyNumberFormat="0" applyFill="0" applyAlignment="0" applyProtection="0"/>
    <xf numFmtId="0" fontId="16" fillId="16" borderId="40" applyNumberFormat="0" applyAlignment="0" applyProtection="0"/>
    <xf numFmtId="0" fontId="17" fillId="0" borderId="0" applyNumberFormat="0" applyFill="0" applyBorder="0" applyAlignment="0" applyProtection="0"/>
    <xf numFmtId="0" fontId="2" fillId="17" borderId="41" applyNumberFormat="0" applyFont="0" applyAlignment="0" applyProtection="0"/>
    <xf numFmtId="0" fontId="18" fillId="0" borderId="0" applyNumberFormat="0" applyFill="0" applyBorder="0" applyAlignment="0" applyProtection="0"/>
    <xf numFmtId="0" fontId="6" fillId="0" borderId="42" applyNumberFormat="0" applyFill="0" applyAlignment="0" applyProtection="0"/>
    <xf numFmtId="0" fontId="19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9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9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9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9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19" fillId="38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20" fillId="13" borderId="0" applyNumberFormat="0" applyBorder="0" applyAlignment="0" applyProtection="0"/>
    <xf numFmtId="0" fontId="19" fillId="21" borderId="0" applyNumberFormat="0" applyBorder="0" applyAlignment="0" applyProtection="0"/>
    <xf numFmtId="0" fontId="19" fillId="25" borderId="0" applyNumberFormat="0" applyBorder="0" applyAlignment="0" applyProtection="0"/>
    <xf numFmtId="0" fontId="19" fillId="29" borderId="0" applyNumberFormat="0" applyBorder="0" applyAlignment="0" applyProtection="0"/>
    <xf numFmtId="0" fontId="19" fillId="33" borderId="0" applyNumberFormat="0" applyBorder="0" applyAlignment="0" applyProtection="0"/>
    <xf numFmtId="0" fontId="19" fillId="37" borderId="0" applyNumberFormat="0" applyBorder="0" applyAlignment="0" applyProtection="0"/>
    <xf numFmtId="0" fontId="19" fillId="41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/>
    <xf numFmtId="9" fontId="2" fillId="0" borderId="0" applyFont="0" applyFill="0" applyBorder="0" applyAlignment="0" applyProtection="0"/>
  </cellStyleXfs>
  <cellXfs count="23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/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horizontal="center"/>
    </xf>
    <xf numFmtId="0" fontId="1" fillId="0" borderId="0" xfId="0" applyFont="1"/>
    <xf numFmtId="44" fontId="0" fillId="0" borderId="0" xfId="0" applyNumberFormat="1"/>
    <xf numFmtId="0" fontId="3" fillId="0" borderId="0" xfId="0" applyFont="1" applyAlignment="1">
      <alignment horizontal="center"/>
    </xf>
    <xf numFmtId="44" fontId="3" fillId="0" borderId="1" xfId="1" applyFont="1" applyBorder="1"/>
    <xf numFmtId="44" fontId="3" fillId="0" borderId="5" xfId="1" applyFont="1" applyBorder="1"/>
    <xf numFmtId="44" fontId="3" fillId="0" borderId="7" xfId="1" applyFont="1" applyBorder="1"/>
    <xf numFmtId="2" fontId="3" fillId="0" borderId="1" xfId="0" applyNumberFormat="1" applyFont="1" applyBorder="1"/>
    <xf numFmtId="44" fontId="3" fillId="0" borderId="10" xfId="1" applyFont="1" applyBorder="1"/>
    <xf numFmtId="0" fontId="3" fillId="0" borderId="1" xfId="0" applyFont="1" applyBorder="1"/>
    <xf numFmtId="14" fontId="3" fillId="0" borderId="3" xfId="0" applyNumberFormat="1" applyFont="1" applyBorder="1"/>
    <xf numFmtId="0" fontId="3" fillId="0" borderId="16" xfId="0" applyFont="1" applyBorder="1"/>
    <xf numFmtId="2" fontId="3" fillId="0" borderId="16" xfId="0" applyNumberFormat="1" applyFont="1" applyBorder="1"/>
    <xf numFmtId="44" fontId="3" fillId="0" borderId="16" xfId="1" applyFont="1" applyBorder="1"/>
    <xf numFmtId="44" fontId="3" fillId="0" borderId="18" xfId="1" applyFont="1" applyBorder="1"/>
    <xf numFmtId="44" fontId="3" fillId="0" borderId="3" xfId="1" applyFont="1" applyBorder="1"/>
    <xf numFmtId="14" fontId="3" fillId="0" borderId="5" xfId="0" applyNumberFormat="1" applyFont="1" applyBorder="1"/>
    <xf numFmtId="14" fontId="3" fillId="0" borderId="7" xfId="0" applyNumberFormat="1" applyFont="1" applyBorder="1"/>
    <xf numFmtId="0" fontId="3" fillId="0" borderId="19" xfId="0" applyFont="1" applyBorder="1"/>
    <xf numFmtId="2" fontId="3" fillId="0" borderId="19" xfId="0" applyNumberFormat="1" applyFont="1" applyBorder="1"/>
    <xf numFmtId="44" fontId="3" fillId="0" borderId="19" xfId="1" applyFont="1" applyBorder="1"/>
    <xf numFmtId="44" fontId="3" fillId="0" borderId="21" xfId="1" applyFont="1" applyBorder="1"/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44" fontId="3" fillId="0" borderId="1" xfId="1" applyFont="1" applyBorder="1" applyAlignment="1">
      <alignment horizontal="center"/>
    </xf>
    <xf numFmtId="0" fontId="3" fillId="3" borderId="17" xfId="0" applyFont="1" applyFill="1" applyBorder="1"/>
    <xf numFmtId="0" fontId="3" fillId="3" borderId="0" xfId="0" applyFont="1" applyFill="1"/>
    <xf numFmtId="0" fontId="3" fillId="3" borderId="20" xfId="0" applyFont="1" applyFill="1" applyBorder="1"/>
    <xf numFmtId="2" fontId="3" fillId="0" borderId="22" xfId="0" applyNumberFormat="1" applyFont="1" applyBorder="1"/>
    <xf numFmtId="44" fontId="3" fillId="0" borderId="9" xfId="1" applyFont="1" applyBorder="1" applyAlignment="1">
      <alignment horizontal="center"/>
    </xf>
    <xf numFmtId="2" fontId="3" fillId="4" borderId="1" xfId="0" applyNumberFormat="1" applyFont="1" applyFill="1" applyBorder="1"/>
    <xf numFmtId="2" fontId="1" fillId="0" borderId="1" xfId="0" applyNumberFormat="1" applyFont="1" applyBorder="1" applyAlignment="1">
      <alignment horizontal="center" vertical="center"/>
    </xf>
    <xf numFmtId="14" fontId="0" fillId="0" borderId="0" xfId="0" applyNumberFormat="1"/>
    <xf numFmtId="2" fontId="3" fillId="5" borderId="16" xfId="0" applyNumberFormat="1" applyFont="1" applyFill="1" applyBorder="1"/>
    <xf numFmtId="2" fontId="3" fillId="5" borderId="19" xfId="0" applyNumberFormat="1" applyFont="1" applyFill="1" applyBorder="1"/>
    <xf numFmtId="2" fontId="3" fillId="5" borderId="1" xfId="0" applyNumberFormat="1" applyFont="1" applyFill="1" applyBorder="1"/>
    <xf numFmtId="44" fontId="3" fillId="0" borderId="16" xfId="1" applyFont="1" applyFill="1" applyBorder="1"/>
    <xf numFmtId="44" fontId="3" fillId="0" borderId="1" xfId="1" applyFont="1" applyFill="1" applyBorder="1"/>
    <xf numFmtId="44" fontId="3" fillId="0" borderId="19" xfId="1" applyFont="1" applyFill="1" applyBorder="1"/>
    <xf numFmtId="44" fontId="3" fillId="3" borderId="17" xfId="1" applyFont="1" applyFill="1" applyBorder="1"/>
    <xf numFmtId="44" fontId="3" fillId="3" borderId="0" xfId="1" applyFont="1" applyFill="1" applyBorder="1"/>
    <xf numFmtId="44" fontId="3" fillId="3" borderId="20" xfId="1" applyFont="1" applyFill="1" applyBorder="1"/>
    <xf numFmtId="0" fontId="3" fillId="0" borderId="12" xfId="0" applyFont="1" applyBorder="1"/>
    <xf numFmtId="2" fontId="3" fillId="0" borderId="12" xfId="0" applyNumberFormat="1" applyFont="1" applyBorder="1"/>
    <xf numFmtId="44" fontId="3" fillId="0" borderId="12" xfId="1" applyFont="1" applyFill="1" applyBorder="1"/>
    <xf numFmtId="44" fontId="3" fillId="0" borderId="12" xfId="1" applyFont="1" applyBorder="1"/>
    <xf numFmtId="44" fontId="3" fillId="0" borderId="13" xfId="1" applyFont="1" applyBorder="1"/>
    <xf numFmtId="44" fontId="3" fillId="0" borderId="14" xfId="1" applyFont="1" applyBorder="1"/>
    <xf numFmtId="44" fontId="3" fillId="5" borderId="16" xfId="1" applyFont="1" applyFill="1" applyBorder="1"/>
    <xf numFmtId="44" fontId="3" fillId="5" borderId="1" xfId="1" applyFont="1" applyFill="1" applyBorder="1"/>
    <xf numFmtId="44" fontId="3" fillId="5" borderId="12" xfId="1" applyFont="1" applyFill="1" applyBorder="1"/>
    <xf numFmtId="44" fontId="3" fillId="5" borderId="19" xfId="1" applyFont="1" applyFill="1" applyBorder="1"/>
    <xf numFmtId="2" fontId="0" fillId="0" borderId="0" xfId="0" applyNumberFormat="1"/>
    <xf numFmtId="164" fontId="0" fillId="0" borderId="0" xfId="0" applyNumberFormat="1"/>
    <xf numFmtId="44" fontId="3" fillId="6" borderId="1" xfId="1" applyFont="1" applyFill="1" applyBorder="1"/>
    <xf numFmtId="44" fontId="3" fillId="0" borderId="27" xfId="1" applyFont="1" applyBorder="1"/>
    <xf numFmtId="44" fontId="3" fillId="0" borderId="28" xfId="1" applyFont="1" applyBorder="1"/>
    <xf numFmtId="44" fontId="3" fillId="0" borderId="29" xfId="1" applyFont="1" applyBorder="1"/>
    <xf numFmtId="44" fontId="3" fillId="0" borderId="33" xfId="1" applyFont="1" applyBorder="1"/>
    <xf numFmtId="44" fontId="5" fillId="5" borderId="0" xfId="1" applyFont="1" applyFill="1" applyBorder="1"/>
    <xf numFmtId="14" fontId="3" fillId="0" borderId="14" xfId="0" applyNumberFormat="1" applyFont="1" applyBorder="1"/>
    <xf numFmtId="14" fontId="3" fillId="7" borderId="5" xfId="0" applyNumberFormat="1" applyFont="1" applyFill="1" applyBorder="1"/>
    <xf numFmtId="0" fontId="3" fillId="7" borderId="1" xfId="0" applyFont="1" applyFill="1" applyBorder="1"/>
    <xf numFmtId="44" fontId="3" fillId="7" borderId="0" xfId="1" applyFont="1" applyFill="1" applyBorder="1"/>
    <xf numFmtId="2" fontId="3" fillId="7" borderId="1" xfId="0" applyNumberFormat="1" applyFont="1" applyFill="1" applyBorder="1"/>
    <xf numFmtId="44" fontId="3" fillId="7" borderId="1" xfId="1" applyFont="1" applyFill="1" applyBorder="1"/>
    <xf numFmtId="0" fontId="3" fillId="7" borderId="0" xfId="0" applyFont="1" applyFill="1"/>
    <xf numFmtId="44" fontId="3" fillId="7" borderId="10" xfId="1" applyFont="1" applyFill="1" applyBorder="1"/>
    <xf numFmtId="44" fontId="3" fillId="7" borderId="27" xfId="1" applyFont="1" applyFill="1" applyBorder="1"/>
    <xf numFmtId="44" fontId="0" fillId="7" borderId="0" xfId="0" applyNumberFormat="1" applyFill="1"/>
    <xf numFmtId="0" fontId="0" fillId="7" borderId="0" xfId="0" applyFill="1"/>
    <xf numFmtId="44" fontId="3" fillId="0" borderId="10" xfId="1" applyFont="1" applyFill="1" applyBorder="1"/>
    <xf numFmtId="44" fontId="3" fillId="0" borderId="27" xfId="1" applyFont="1" applyFill="1" applyBorder="1"/>
    <xf numFmtId="0" fontId="3" fillId="8" borderId="12" xfId="0" applyFont="1" applyFill="1" applyBorder="1"/>
    <xf numFmtId="14" fontId="3" fillId="8" borderId="5" xfId="0" applyNumberFormat="1" applyFont="1" applyFill="1" applyBorder="1"/>
    <xf numFmtId="0" fontId="0" fillId="0" borderId="1" xfId="0" applyBorder="1"/>
    <xf numFmtId="2" fontId="0" fillId="0" borderId="1" xfId="0" applyNumberFormat="1" applyBorder="1"/>
    <xf numFmtId="0" fontId="6" fillId="0" borderId="10" xfId="0" applyFont="1" applyBorder="1"/>
    <xf numFmtId="0" fontId="0" fillId="0" borderId="11" xfId="0" applyBorder="1"/>
    <xf numFmtId="0" fontId="0" fillId="0" borderId="9" xfId="0" applyBorder="1"/>
    <xf numFmtId="0" fontId="3" fillId="6" borderId="0" xfId="0" applyFont="1" applyFill="1"/>
    <xf numFmtId="44" fontId="3" fillId="6" borderId="10" xfId="1" applyFont="1" applyFill="1" applyBorder="1"/>
    <xf numFmtId="44" fontId="3" fillId="6" borderId="27" xfId="1" applyFont="1" applyFill="1" applyBorder="1"/>
    <xf numFmtId="44" fontId="0" fillId="6" borderId="0" xfId="0" applyNumberFormat="1" applyFill="1"/>
    <xf numFmtId="0" fontId="0" fillId="6" borderId="0" xfId="0" applyFill="1"/>
    <xf numFmtId="44" fontId="3" fillId="6" borderId="12" xfId="1" applyFont="1" applyFill="1" applyBorder="1"/>
    <xf numFmtId="44" fontId="3" fillId="6" borderId="13" xfId="1" applyFont="1" applyFill="1" applyBorder="1"/>
    <xf numFmtId="44" fontId="3" fillId="6" borderId="28" xfId="1" applyFont="1" applyFill="1" applyBorder="1"/>
    <xf numFmtId="44" fontId="3" fillId="0" borderId="13" xfId="1" applyFont="1" applyFill="1" applyBorder="1"/>
    <xf numFmtId="44" fontId="3" fillId="0" borderId="28" xfId="1" applyFont="1" applyFill="1" applyBorder="1"/>
    <xf numFmtId="0" fontId="0" fillId="9" borderId="0" xfId="0" applyFill="1"/>
    <xf numFmtId="0" fontId="1" fillId="9" borderId="0" xfId="0" applyFont="1" applyFill="1"/>
    <xf numFmtId="0" fontId="0" fillId="9" borderId="2" xfId="0" applyFill="1" applyBorder="1"/>
    <xf numFmtId="14" fontId="3" fillId="10" borderId="5" xfId="0" applyNumberFormat="1" applyFont="1" applyFill="1" applyBorder="1"/>
    <xf numFmtId="0" fontId="3" fillId="10" borderId="1" xfId="0" applyFont="1" applyFill="1" applyBorder="1"/>
    <xf numFmtId="44" fontId="3" fillId="10" borderId="0" xfId="1" applyFont="1" applyFill="1" applyBorder="1"/>
    <xf numFmtId="2" fontId="3" fillId="10" borderId="1" xfId="0" applyNumberFormat="1" applyFont="1" applyFill="1" applyBorder="1"/>
    <xf numFmtId="44" fontId="3" fillId="10" borderId="1" xfId="1" applyFont="1" applyFill="1" applyBorder="1"/>
    <xf numFmtId="0" fontId="3" fillId="10" borderId="0" xfId="0" applyFont="1" applyFill="1"/>
    <xf numFmtId="44" fontId="3" fillId="10" borderId="10" xfId="1" applyFont="1" applyFill="1" applyBorder="1"/>
    <xf numFmtId="44" fontId="3" fillId="10" borderId="27" xfId="1" applyFont="1" applyFill="1" applyBorder="1"/>
    <xf numFmtId="0" fontId="0" fillId="0" borderId="1" xfId="0" applyBorder="1" applyAlignment="1">
      <alignment horizontal="center"/>
    </xf>
    <xf numFmtId="0" fontId="17" fillId="5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23" fillId="9" borderId="1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/>
    <xf numFmtId="0" fontId="0" fillId="0" borderId="45" xfId="0" applyBorder="1"/>
    <xf numFmtId="0" fontId="0" fillId="0" borderId="46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49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14" fontId="24" fillId="0" borderId="3" xfId="0" applyNumberFormat="1" applyFont="1" applyBorder="1"/>
    <xf numFmtId="0" fontId="24" fillId="0" borderId="16" xfId="0" applyFont="1" applyBorder="1"/>
    <xf numFmtId="44" fontId="24" fillId="3" borderId="17" xfId="1" applyFont="1" applyFill="1" applyBorder="1"/>
    <xf numFmtId="2" fontId="24" fillId="0" borderId="16" xfId="0" applyNumberFormat="1" applyFont="1" applyBorder="1"/>
    <xf numFmtId="44" fontId="24" fillId="0" borderId="16" xfId="1" applyFont="1" applyBorder="1"/>
    <xf numFmtId="0" fontId="24" fillId="3" borderId="17" xfId="0" applyFont="1" applyFill="1" applyBorder="1"/>
    <xf numFmtId="44" fontId="24" fillId="0" borderId="18" xfId="1" applyFont="1" applyBorder="1"/>
    <xf numFmtId="44" fontId="24" fillId="0" borderId="33" xfId="1" applyFont="1" applyBorder="1"/>
    <xf numFmtId="14" fontId="24" fillId="0" borderId="5" xfId="0" applyNumberFormat="1" applyFont="1" applyBorder="1"/>
    <xf numFmtId="0" fontId="24" fillId="0" borderId="1" xfId="0" applyFont="1" applyBorder="1"/>
    <xf numFmtId="44" fontId="24" fillId="3" borderId="0" xfId="1" applyFont="1" applyFill="1"/>
    <xf numFmtId="2" fontId="24" fillId="0" borderId="1" xfId="0" applyNumberFormat="1" applyFont="1" applyBorder="1"/>
    <xf numFmtId="44" fontId="24" fillId="0" borderId="1" xfId="1" applyFont="1" applyBorder="1"/>
    <xf numFmtId="0" fontId="24" fillId="3" borderId="0" xfId="0" applyFont="1" applyFill="1"/>
    <xf numFmtId="44" fontId="24" fillId="0" borderId="10" xfId="1" applyFont="1" applyBorder="1"/>
    <xf numFmtId="44" fontId="24" fillId="0" borderId="27" xfId="1" applyFont="1" applyBorder="1"/>
    <xf numFmtId="0" fontId="24" fillId="0" borderId="12" xfId="0" applyFont="1" applyBorder="1"/>
    <xf numFmtId="44" fontId="24" fillId="0" borderId="12" xfId="1" applyFont="1" applyBorder="1"/>
    <xf numFmtId="44" fontId="24" fillId="0" borderId="13" xfId="1" applyFont="1" applyBorder="1"/>
    <xf numFmtId="44" fontId="24" fillId="0" borderId="28" xfId="1" applyFont="1" applyBorder="1"/>
    <xf numFmtId="14" fontId="24" fillId="0" borderId="7" xfId="0" applyNumberFormat="1" applyFont="1" applyBorder="1"/>
    <xf numFmtId="0" fontId="24" fillId="0" borderId="19" xfId="0" applyFont="1" applyBorder="1"/>
    <xf numFmtId="44" fontId="24" fillId="3" borderId="20" xfId="1" applyFont="1" applyFill="1" applyBorder="1"/>
    <xf numFmtId="2" fontId="24" fillId="0" borderId="19" xfId="0" applyNumberFormat="1" applyFont="1" applyBorder="1"/>
    <xf numFmtId="44" fontId="24" fillId="0" borderId="19" xfId="1" applyFont="1" applyBorder="1"/>
    <xf numFmtId="0" fontId="24" fillId="3" borderId="20" xfId="0" applyFont="1" applyFill="1" applyBorder="1"/>
    <xf numFmtId="44" fontId="24" fillId="0" borderId="21" xfId="1" applyFont="1" applyBorder="1"/>
    <xf numFmtId="44" fontId="24" fillId="0" borderId="29" xfId="1" applyFont="1" applyBorder="1"/>
    <xf numFmtId="2" fontId="24" fillId="5" borderId="1" xfId="0" applyNumberFormat="1" applyFont="1" applyFill="1" applyBorder="1"/>
    <xf numFmtId="44" fontId="24" fillId="5" borderId="1" xfId="1" applyFont="1" applyFill="1" applyBorder="1"/>
    <xf numFmtId="2" fontId="24" fillId="5" borderId="19" xfId="0" applyNumberFormat="1" applyFont="1" applyFill="1" applyBorder="1"/>
    <xf numFmtId="44" fontId="24" fillId="5" borderId="19" xfId="1" applyFont="1" applyFill="1" applyBorder="1"/>
    <xf numFmtId="44" fontId="24" fillId="0" borderId="16" xfId="1" applyFont="1" applyFill="1" applyBorder="1"/>
    <xf numFmtId="44" fontId="24" fillId="0" borderId="1" xfId="1" applyFont="1" applyFill="1" applyBorder="1"/>
    <xf numFmtId="44" fontId="24" fillId="0" borderId="19" xfId="1" applyFont="1" applyFill="1" applyBorder="1"/>
    <xf numFmtId="0" fontId="2" fillId="31" borderId="0" xfId="27"/>
    <xf numFmtId="0" fontId="2" fillId="39" borderId="0" xfId="33"/>
    <xf numFmtId="2" fontId="24" fillId="42" borderId="19" xfId="0" applyNumberFormat="1" applyFont="1" applyFill="1" applyBorder="1"/>
    <xf numFmtId="44" fontId="0" fillId="0" borderId="1" xfId="1" applyFont="1" applyBorder="1"/>
    <xf numFmtId="10" fontId="0" fillId="0" borderId="1" xfId="44" applyNumberFormat="1" applyFont="1" applyBorder="1"/>
    <xf numFmtId="164" fontId="0" fillId="0" borderId="1" xfId="0" applyNumberFormat="1" applyBorder="1"/>
    <xf numFmtId="44" fontId="0" fillId="0" borderId="0" xfId="1" applyFont="1"/>
    <xf numFmtId="0" fontId="0" fillId="0" borderId="0" xfId="0" applyAlignment="1">
      <alignment horizontal="right"/>
    </xf>
    <xf numFmtId="44" fontId="25" fillId="0" borderId="0" xfId="1" applyFont="1"/>
    <xf numFmtId="164" fontId="6" fillId="0" borderId="43" xfId="0" applyNumberFormat="1" applyFont="1" applyBorder="1"/>
    <xf numFmtId="44" fontId="6" fillId="0" borderId="0" xfId="0" applyNumberFormat="1" applyFont="1"/>
    <xf numFmtId="44" fontId="0" fillId="0" borderId="1" xfId="1" applyFont="1" applyBorder="1" applyAlignment="1">
      <alignment horizontal="center"/>
    </xf>
    <xf numFmtId="44" fontId="0" fillId="0" borderId="1" xfId="44" applyNumberFormat="1" applyFont="1" applyBorder="1"/>
    <xf numFmtId="165" fontId="0" fillId="0" borderId="1" xfId="44" applyNumberFormat="1" applyFont="1" applyBorder="1" applyAlignment="1">
      <alignment horizontal="center"/>
    </xf>
    <xf numFmtId="10" fontId="0" fillId="0" borderId="0" xfId="44" applyNumberFormat="1" applyFont="1"/>
    <xf numFmtId="14" fontId="24" fillId="0" borderId="57" xfId="0" applyNumberFormat="1" applyFont="1" applyBorder="1"/>
    <xf numFmtId="2" fontId="24" fillId="0" borderId="58" xfId="0" applyNumberFormat="1" applyFont="1" applyBorder="1"/>
    <xf numFmtId="44" fontId="24" fillId="0" borderId="58" xfId="1" applyFont="1" applyFill="1" applyBorder="1"/>
    <xf numFmtId="44" fontId="24" fillId="0" borderId="58" xfId="1" applyFont="1" applyBorder="1"/>
    <xf numFmtId="44" fontId="24" fillId="0" borderId="59" xfId="1" applyFont="1" applyBorder="1"/>
    <xf numFmtId="44" fontId="24" fillId="0" borderId="60" xfId="1" applyFont="1" applyBorder="1"/>
    <xf numFmtId="0" fontId="24" fillId="3" borderId="2" xfId="0" applyFont="1" applyFill="1" applyBorder="1"/>
    <xf numFmtId="44" fontId="24" fillId="0" borderId="61" xfId="1" applyFont="1" applyBorder="1"/>
    <xf numFmtId="0" fontId="3" fillId="0" borderId="58" xfId="0" applyFont="1" applyBorder="1"/>
    <xf numFmtId="2" fontId="24" fillId="0" borderId="10" xfId="0" applyNumberFormat="1" applyFont="1" applyBorder="1"/>
    <xf numFmtId="2" fontId="24" fillId="0" borderId="9" xfId="0" applyNumberFormat="1" applyFont="1" applyBorder="1"/>
    <xf numFmtId="0" fontId="24" fillId="3" borderId="62" xfId="0" applyFont="1" applyFill="1" applyBorder="1"/>
    <xf numFmtId="44" fontId="24" fillId="0" borderId="9" xfId="1" applyFont="1" applyBorder="1"/>
    <xf numFmtId="0" fontId="24" fillId="0" borderId="10" xfId="0" applyFont="1" applyBorder="1"/>
    <xf numFmtId="44" fontId="24" fillId="3" borderId="62" xfId="1" applyFont="1" applyFill="1" applyBorder="1"/>
    <xf numFmtId="0" fontId="3" fillId="0" borderId="10" xfId="0" applyFont="1" applyBorder="1"/>
    <xf numFmtId="44" fontId="24" fillId="0" borderId="18" xfId="1" applyFont="1" applyFill="1" applyBorder="1"/>
    <xf numFmtId="44" fontId="24" fillId="0" borderId="33" xfId="1" applyFont="1" applyFill="1" applyBorder="1"/>
    <xf numFmtId="44" fontId="24" fillId="0" borderId="9" xfId="1" applyFont="1" applyFill="1" applyBorder="1"/>
    <xf numFmtId="44" fontId="24" fillId="0" borderId="10" xfId="1" applyFont="1" applyFill="1" applyBorder="1"/>
    <xf numFmtId="44" fontId="24" fillId="0" borderId="27" xfId="1" applyFont="1" applyFill="1" applyBorder="1"/>
    <xf numFmtId="44" fontId="24" fillId="0" borderId="61" xfId="1" applyFont="1" applyFill="1" applyBorder="1"/>
    <xf numFmtId="44" fontId="24" fillId="0" borderId="12" xfId="1" applyFont="1" applyFill="1" applyBorder="1"/>
    <xf numFmtId="44" fontId="24" fillId="0" borderId="13" xfId="1" applyFont="1" applyFill="1" applyBorder="1"/>
    <xf numFmtId="44" fontId="24" fillId="0" borderId="28" xfId="1" applyFont="1" applyFill="1" applyBorder="1"/>
    <xf numFmtId="44" fontId="0" fillId="0" borderId="0" xfId="1" applyFont="1" applyFill="1"/>
    <xf numFmtId="44" fontId="24" fillId="0" borderId="30" xfId="1" applyFont="1" applyBorder="1" applyAlignment="1">
      <alignment horizontal="center" vertical="center"/>
    </xf>
    <xf numFmtId="44" fontId="24" fillId="0" borderId="31" xfId="1" applyFont="1" applyBorder="1" applyAlignment="1">
      <alignment horizontal="center" vertical="center"/>
    </xf>
    <xf numFmtId="44" fontId="24" fillId="0" borderId="32" xfId="1" applyFont="1" applyBorder="1" applyAlignment="1">
      <alignment horizontal="center" vertical="center"/>
    </xf>
    <xf numFmtId="44" fontId="3" fillId="0" borderId="30" xfId="1" applyFont="1" applyBorder="1" applyAlignment="1">
      <alignment horizontal="center" vertical="center"/>
    </xf>
    <xf numFmtId="44" fontId="3" fillId="0" borderId="31" xfId="1" applyFont="1" applyBorder="1" applyAlignment="1">
      <alignment horizontal="center" vertical="center"/>
    </xf>
    <xf numFmtId="44" fontId="3" fillId="0" borderId="32" xfId="1" applyFont="1" applyBorder="1" applyAlignment="1">
      <alignment horizontal="center" vertical="center"/>
    </xf>
    <xf numFmtId="44" fontId="3" fillId="0" borderId="23" xfId="1" applyFont="1" applyBorder="1" applyAlignment="1">
      <alignment horizontal="center" vertical="center"/>
    </xf>
    <xf numFmtId="44" fontId="3" fillId="0" borderId="24" xfId="1" applyFont="1" applyBorder="1" applyAlignment="1">
      <alignment horizontal="center" vertical="center"/>
    </xf>
    <xf numFmtId="44" fontId="3" fillId="0" borderId="25" xfId="1" applyFont="1" applyBorder="1" applyAlignment="1">
      <alignment horizontal="center" vertical="center"/>
    </xf>
    <xf numFmtId="44" fontId="3" fillId="0" borderId="4" xfId="1" applyFont="1" applyBorder="1" applyAlignment="1">
      <alignment horizontal="center" vertical="center"/>
    </xf>
    <xf numFmtId="44" fontId="3" fillId="0" borderId="6" xfId="1" applyFont="1" applyBorder="1" applyAlignment="1">
      <alignment horizontal="center" vertical="center"/>
    </xf>
    <xf numFmtId="44" fontId="3" fillId="0" borderId="8" xfId="1" applyFont="1" applyBorder="1" applyAlignment="1">
      <alignment horizontal="center" vertical="center"/>
    </xf>
    <xf numFmtId="44" fontId="3" fillId="0" borderId="15" xfId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" fillId="0" borderId="10" xfId="1" applyFont="1" applyBorder="1" applyAlignment="1">
      <alignment horizontal="center"/>
    </xf>
    <xf numFmtId="44" fontId="3" fillId="0" borderId="9" xfId="1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12" xfId="0" applyFont="1" applyBorder="1" applyAlignment="1">
      <alignment horizontal="center" wrapText="1"/>
    </xf>
    <xf numFmtId="0" fontId="6" fillId="0" borderId="44" xfId="0" applyFont="1" applyBorder="1" applyAlignment="1">
      <alignment horizontal="center" wrapText="1"/>
    </xf>
  </cellXfs>
  <cellStyles count="45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7A7A0984-CAAF-4608-92BB-D7C300B6D38C}"/>
    <cellStyle name="60% - Accent2 2" xfId="37" xr:uid="{29A950D1-50B0-4D27-9DE7-AB81BAF1EC9C}"/>
    <cellStyle name="60% - Accent3 2" xfId="38" xr:uid="{AD7CF109-1C0A-44DE-95E9-DD85FCBEA900}"/>
    <cellStyle name="60% - Accent4 2" xfId="39" xr:uid="{738701DD-8BAD-47BD-91F0-69F4E4DD744A}"/>
    <cellStyle name="60% - Accent5 2" xfId="40" xr:uid="{85B4907D-8152-4B6F-AAD5-0D685DF29511}"/>
    <cellStyle name="60% - Accent6 2" xfId="41" xr:uid="{164CDAEC-5F7B-4D8A-8F14-6462745728FD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Currency" xfId="1" builtinId="4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8" builtinId="20" customBuiltin="1"/>
    <cellStyle name="Linked Cell" xfId="11" builtinId="24" customBuiltin="1"/>
    <cellStyle name="Neutral 2" xfId="35" xr:uid="{D22C7C93-011D-495A-A383-CEB18F629BFE}"/>
    <cellStyle name="Normal" xfId="0" builtinId="0"/>
    <cellStyle name="Normal 2" xfId="43" xr:uid="{D0878DC8-CF64-4433-9D42-820C9EDE9878}"/>
    <cellStyle name="Note" xfId="14" builtinId="10" customBuiltin="1"/>
    <cellStyle name="Output" xfId="9" builtinId="21" customBuiltin="1"/>
    <cellStyle name="Percent" xfId="44" builtinId="5"/>
    <cellStyle name="Title 2" xfId="42" xr:uid="{CCBC6DAD-7835-4F0B-AB84-398B5D5D3F12}"/>
    <cellStyle name="Total" xfId="16" builtinId="25" customBuiltin="1"/>
    <cellStyle name="Warning Text" xfId="13" builtinId="11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5F7C7-999C-4667-B73D-845E344D64B7}">
  <sheetPr codeName="Sheet1">
    <pageSetUpPr fitToPage="1"/>
  </sheetPr>
  <dimension ref="A1:Q39"/>
  <sheetViews>
    <sheetView zoomScale="70" zoomScaleNormal="70" workbookViewId="0">
      <selection activeCell="I17" sqref="I17"/>
    </sheetView>
  </sheetViews>
  <sheetFormatPr defaultRowHeight="14.25" x14ac:dyDescent="0.45"/>
  <cols>
    <col min="1" max="1" width="1.3984375" customWidth="1"/>
    <col min="2" max="2" width="26.86328125" bestFit="1" customWidth="1"/>
    <col min="3" max="3" width="1.3984375" customWidth="1"/>
    <col min="4" max="11" width="15.86328125" customWidth="1"/>
    <col min="12" max="12" width="1.3984375" customWidth="1"/>
    <col min="13" max="16" width="15.86328125" customWidth="1"/>
    <col min="17" max="17" width="1.3984375" customWidth="1"/>
  </cols>
  <sheetData>
    <row r="1" spans="1:17" ht="7.5" customHeight="1" x14ac:dyDescent="0.45"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8" x14ac:dyDescent="0.55000000000000004">
      <c r="A2" s="3"/>
      <c r="B2" s="40">
        <f>Current!A1</f>
        <v>46110</v>
      </c>
      <c r="C2" s="2"/>
      <c r="D2" s="230" t="s">
        <v>19</v>
      </c>
      <c r="E2" s="230"/>
      <c r="F2" s="230"/>
      <c r="G2" s="230"/>
      <c r="H2" s="230"/>
      <c r="I2" s="230"/>
      <c r="J2" s="230"/>
      <c r="K2" s="230"/>
      <c r="L2" s="2"/>
      <c r="M2" s="230" t="s">
        <v>20</v>
      </c>
      <c r="N2" s="230"/>
      <c r="O2" s="230"/>
      <c r="P2" s="230"/>
      <c r="Q2" s="2"/>
    </row>
    <row r="3" spans="1:17" ht="18" x14ac:dyDescent="0.55000000000000004">
      <c r="A3" s="3"/>
      <c r="C3" s="2"/>
      <c r="D3" s="6" t="s">
        <v>11</v>
      </c>
      <c r="E3" s="6" t="s">
        <v>12</v>
      </c>
      <c r="F3" s="6" t="s">
        <v>13</v>
      </c>
      <c r="G3" s="6" t="s">
        <v>14</v>
      </c>
      <c r="H3" s="6" t="s">
        <v>18</v>
      </c>
      <c r="I3" s="6" t="s">
        <v>15</v>
      </c>
      <c r="J3" s="6" t="s">
        <v>16</v>
      </c>
      <c r="K3" s="6" t="s">
        <v>17</v>
      </c>
      <c r="L3" s="2"/>
      <c r="M3" s="6" t="s">
        <v>11</v>
      </c>
      <c r="N3" s="6" t="s">
        <v>12</v>
      </c>
      <c r="O3" s="6" t="s">
        <v>13</v>
      </c>
      <c r="P3" s="6" t="s">
        <v>14</v>
      </c>
      <c r="Q3" s="2"/>
    </row>
    <row r="4" spans="1:17" ht="7.5" customHeight="1" x14ac:dyDescent="0.4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30" customHeight="1" x14ac:dyDescent="0.45">
      <c r="A5" s="1"/>
      <c r="B5" s="5" t="str">
        <f>Current!B1</f>
        <v>Dan Trif</v>
      </c>
      <c r="C5" s="1"/>
      <c r="D5" s="39">
        <f>IF(Current!D1=0,"",Current!D1)</f>
        <v>78</v>
      </c>
      <c r="E5" s="39">
        <f>IF(Current!E1=0,"",Current!E1)</f>
        <v>32</v>
      </c>
      <c r="F5" s="39">
        <f>IF(Current!F1=0,"",Current!F1)</f>
        <v>24</v>
      </c>
      <c r="G5" s="39">
        <f>IF(Current!G1=0,"",Current!G1)</f>
        <v>8</v>
      </c>
      <c r="H5" s="39" t="str">
        <f>IF(Current!H1=0,"",Current!H1)</f>
        <v/>
      </c>
      <c r="I5" s="39" t="str">
        <f>IF(Current!I1=0,"",Current!I1)</f>
        <v/>
      </c>
      <c r="J5" s="39" t="str">
        <f>IF(Current!J1=0,"",Current!J1)</f>
        <v/>
      </c>
      <c r="K5" s="39" t="str">
        <f>IF(Current!K1=0,"",Current!K1)</f>
        <v/>
      </c>
      <c r="L5" s="1"/>
      <c r="M5" s="39">
        <f>IF(Current!N1=0,"",Current!N1)</f>
        <v>78</v>
      </c>
      <c r="N5" s="39">
        <f>IF(Current!O1=0,"",Current!O1)</f>
        <v>32</v>
      </c>
      <c r="O5" s="39">
        <f>IF(Current!P1=0,"",Current!P1)</f>
        <v>24</v>
      </c>
      <c r="P5" s="39">
        <f>IF(Current!Q1=0,"",Current!Q1)</f>
        <v>8</v>
      </c>
      <c r="Q5" s="1"/>
    </row>
    <row r="6" spans="1:17" ht="30" customHeight="1" x14ac:dyDescent="0.45">
      <c r="A6" s="1"/>
      <c r="B6" s="5" t="s">
        <v>2</v>
      </c>
      <c r="C6" s="1"/>
      <c r="D6" s="39">
        <v>80</v>
      </c>
      <c r="E6" s="39"/>
      <c r="F6" s="39"/>
      <c r="G6" s="39"/>
      <c r="H6" s="39"/>
      <c r="I6" s="39"/>
      <c r="J6" s="39"/>
      <c r="K6" s="39"/>
      <c r="L6" s="1"/>
      <c r="M6" s="39">
        <v>80</v>
      </c>
      <c r="N6" s="39"/>
      <c r="O6" s="39"/>
      <c r="P6" s="39"/>
      <c r="Q6" s="1"/>
    </row>
    <row r="7" spans="1:17" ht="30" customHeight="1" x14ac:dyDescent="0.45">
      <c r="A7" s="1"/>
      <c r="B7" s="5" t="str">
        <f>Current!B4</f>
        <v>Florin Moldovan Has</v>
      </c>
      <c r="C7" s="1"/>
      <c r="D7" s="39">
        <f>IF(Current!D4=0,"",Current!D4)</f>
        <v>74</v>
      </c>
      <c r="E7" s="39">
        <f>IF(Current!E4=0,"",Current!E4)</f>
        <v>5.25</v>
      </c>
      <c r="F7" s="39">
        <f>IF(Current!F4=0,"",Current!F4)</f>
        <v>12</v>
      </c>
      <c r="G7" s="39">
        <f>IF(Current!G4=0,"",Current!G4)</f>
        <v>29.5</v>
      </c>
      <c r="H7" s="39" t="str">
        <f>IF(Current!H4=0,"",Current!H4)</f>
        <v/>
      </c>
      <c r="I7" s="39" t="str">
        <f>IF(Current!I4=0,"",Current!I4)</f>
        <v/>
      </c>
      <c r="J7" s="39" t="str">
        <f>IF(Current!J4=0,"",Current!J4)</f>
        <v/>
      </c>
      <c r="K7" s="39" t="str">
        <f>IF(Current!K4=0,"",Current!K4)</f>
        <v/>
      </c>
      <c r="L7" s="1"/>
      <c r="M7" s="39">
        <f>IF(Current!N4=0,"",Current!N4)</f>
        <v>74</v>
      </c>
      <c r="N7" s="39">
        <f>IF(Current!O4=0,"",Current!O4)</f>
        <v>5.25</v>
      </c>
      <c r="O7" s="39">
        <f>IF(Current!P4=0,"",Current!P4)</f>
        <v>12</v>
      </c>
      <c r="P7" s="39">
        <f>IF(Current!Q4=0,"",Current!Q4)</f>
        <v>29.5</v>
      </c>
      <c r="Q7" s="1"/>
    </row>
    <row r="8" spans="1:17" ht="30" customHeight="1" x14ac:dyDescent="0.45">
      <c r="A8" s="1"/>
      <c r="B8" s="5" t="str">
        <f>Current!B2</f>
        <v>Jerry Jeremias</v>
      </c>
      <c r="C8" s="1"/>
      <c r="D8" s="39">
        <f>IF(Current!D2=0,"",Current!D2)</f>
        <v>74.75</v>
      </c>
      <c r="E8" s="39" t="str">
        <f>IF(Current!E2=0,"",Current!E2)</f>
        <v/>
      </c>
      <c r="F8" s="39" t="str">
        <f>IF(Current!F2=0,"",Current!F2)</f>
        <v/>
      </c>
      <c r="G8" s="39" t="str">
        <f>IF(Current!G2=0,"",Current!G2)</f>
        <v/>
      </c>
      <c r="H8" s="39" t="str">
        <f>IF(Current!H2=0,"",Current!H2)</f>
        <v/>
      </c>
      <c r="I8" s="39">
        <f>IF(Current!I2=0,"",Current!I2)</f>
        <v>7</v>
      </c>
      <c r="J8" s="39" t="str">
        <f>IF(Current!J2=0,"",Current!J2)</f>
        <v/>
      </c>
      <c r="K8" s="39" t="str">
        <f>IF(Current!K2=0,"",Current!K2)</f>
        <v/>
      </c>
      <c r="L8" s="1"/>
      <c r="M8" s="39">
        <f>IF(Current!N2=0,"",Current!N2)</f>
        <v>73.75</v>
      </c>
      <c r="N8" s="39" t="str">
        <f>IF(Current!O2=0,"",Current!O2)</f>
        <v/>
      </c>
      <c r="O8" s="39" t="str">
        <f>IF(Current!P2=0,"",Current!P2)</f>
        <v/>
      </c>
      <c r="P8" s="39" t="str">
        <f>IF(Current!Q2=0,"",Current!Q2)</f>
        <v/>
      </c>
      <c r="Q8" s="1"/>
    </row>
    <row r="9" spans="1:17" ht="30" customHeight="1" x14ac:dyDescent="0.45">
      <c r="A9" s="1"/>
      <c r="B9" s="5" t="str">
        <f>Current!B5</f>
        <v>Jarrett Zorzi</v>
      </c>
      <c r="C9" s="1"/>
      <c r="D9" s="39">
        <f>IF(Current!D5=0,"",Current!D5)</f>
        <v>77.5</v>
      </c>
      <c r="E9" s="39">
        <f>IF(Current!E5=0,"",Current!E5)</f>
        <v>6.5</v>
      </c>
      <c r="F9" s="39" t="str">
        <f>IF(Current!F5=0,"",Current!F5)</f>
        <v/>
      </c>
      <c r="G9" s="39">
        <f>IF(Current!G5=0,"",Current!G5)</f>
        <v>11.5</v>
      </c>
      <c r="H9" s="39" t="str">
        <f>IF(Current!H5=0,"",Current!H5)</f>
        <v/>
      </c>
      <c r="I9" s="39" t="str">
        <f>IF(Current!I5=0,"",Current!I5)</f>
        <v/>
      </c>
      <c r="J9" s="39" t="str">
        <f>IF(Current!J5=0,"",Current!J5)</f>
        <v/>
      </c>
      <c r="K9" s="39" t="str">
        <f>IF(Current!K5=0,"",Current!K5)</f>
        <v/>
      </c>
      <c r="L9" s="1"/>
      <c r="M9" s="39">
        <f>IF(Current!N5=0,"",Current!N5)</f>
        <v>77.5</v>
      </c>
      <c r="N9" s="39">
        <f>IF(Current!O5=0,"",Current!O5)</f>
        <v>6.5</v>
      </c>
      <c r="O9" s="39" t="str">
        <f>IF(Current!P5=0,"",Current!P5)</f>
        <v/>
      </c>
      <c r="P9" s="39">
        <f>IF(Current!Q5=0,"",Current!Q5)</f>
        <v>11.5</v>
      </c>
      <c r="Q9" s="1"/>
    </row>
    <row r="10" spans="1:17" ht="30" customHeight="1" x14ac:dyDescent="0.45">
      <c r="A10" s="1"/>
      <c r="B10" s="5" t="s">
        <v>7</v>
      </c>
      <c r="C10" s="1"/>
      <c r="D10" s="39">
        <v>80</v>
      </c>
      <c r="E10" s="39"/>
      <c r="F10" s="39"/>
      <c r="G10" s="39"/>
      <c r="H10" s="39"/>
      <c r="I10" s="39"/>
      <c r="J10" s="39"/>
      <c r="K10" s="39"/>
      <c r="L10" s="1"/>
      <c r="M10" s="39">
        <v>80</v>
      </c>
      <c r="N10" s="39"/>
      <c r="O10" s="39"/>
      <c r="P10" s="39"/>
      <c r="Q10" s="1"/>
    </row>
    <row r="11" spans="1:17" ht="30" customHeight="1" x14ac:dyDescent="0.45">
      <c r="A11" s="1"/>
      <c r="B11" s="5" t="s">
        <v>66</v>
      </c>
      <c r="C11" s="1"/>
      <c r="D11" s="39">
        <f>IF(Current!D6=0,"",Current!D6)</f>
        <v>74</v>
      </c>
      <c r="E11" s="39">
        <f>IF(Current!E6=0,"",Current!E6)</f>
        <v>19</v>
      </c>
      <c r="F11" s="39" t="str">
        <f>IF(Current!F6=0,"",Current!F6)</f>
        <v/>
      </c>
      <c r="G11" s="39">
        <f>IF(Current!G6=0,"",Current!G6)</f>
        <v>2.5</v>
      </c>
      <c r="H11" s="39" t="str">
        <f>IF(Current!H6=0,"",Current!H6)</f>
        <v/>
      </c>
      <c r="I11" s="39">
        <f>IF(Current!I6=0,"",Current!I6)</f>
        <v>8</v>
      </c>
      <c r="J11" s="39" t="str">
        <f>IF(Current!J6=0,"",Current!J6)</f>
        <v/>
      </c>
      <c r="K11" s="39" t="str">
        <f>IF(Current!K6=0,"",Current!K6)</f>
        <v/>
      </c>
      <c r="L11" s="1"/>
      <c r="M11" s="39">
        <f>IF(Current!N6=0,"",Current!N6)</f>
        <v>74</v>
      </c>
      <c r="N11" s="39">
        <f>IF(Current!O6=0,"",Current!O6)</f>
        <v>17.5</v>
      </c>
      <c r="O11" s="39">
        <f>IF(Current!P6=0,"",Current!P6)</f>
        <v>1.5</v>
      </c>
      <c r="P11" s="39">
        <f>IF(Current!Q6=0,"",Current!Q6)</f>
        <v>2.5</v>
      </c>
      <c r="Q11" s="1"/>
    </row>
    <row r="12" spans="1:17" ht="30" customHeight="1" x14ac:dyDescent="0.45">
      <c r="A12" s="1"/>
      <c r="B12" s="5" t="str">
        <f>Current!B3</f>
        <v>Zac Ebbinghaus</v>
      </c>
      <c r="C12" s="1"/>
      <c r="D12" s="39">
        <f>IF(Current!D3=0,"",Current!D3)</f>
        <v>66.5</v>
      </c>
      <c r="E12" s="39" t="str">
        <f>IF(Current!E3=0,"",Current!E3)</f>
        <v/>
      </c>
      <c r="F12" s="39">
        <f>IF(Current!F3=0,"",Current!F3)</f>
        <v>12</v>
      </c>
      <c r="G12" s="39">
        <f>IF(Current!G3=0,"",Current!G3)</f>
        <v>12</v>
      </c>
      <c r="H12" s="39" t="str">
        <f>IF(Current!H3=0,"",Current!H3)</f>
        <v/>
      </c>
      <c r="I12" s="39" t="str">
        <f>IF(Current!I3=0,"",Current!I3)</f>
        <v/>
      </c>
      <c r="J12" s="39" t="str">
        <f>IF(Current!J3=0,"",Current!J3)</f>
        <v/>
      </c>
      <c r="K12" s="39" t="str">
        <f>IF(Current!K3=0,"",Current!K3)</f>
        <v/>
      </c>
      <c r="L12" s="1"/>
      <c r="M12" s="39">
        <f>IF(Current!N3=0,"",Current!N3)</f>
        <v>70.5</v>
      </c>
      <c r="N12" s="39" t="str">
        <f>IF(Current!O3=0,"",Current!O3)</f>
        <v/>
      </c>
      <c r="O12" s="39">
        <f>IF(Current!P3=0,"",Current!P3)</f>
        <v>12</v>
      </c>
      <c r="P12" s="39">
        <f>IF(Current!Q3=0,"",Current!Q3)</f>
        <v>8</v>
      </c>
      <c r="Q12" s="1"/>
    </row>
    <row r="13" spans="1:17" ht="30" customHeight="1" x14ac:dyDescent="0.45">
      <c r="A13" s="1"/>
      <c r="B13" s="5" t="s">
        <v>122</v>
      </c>
      <c r="C13" s="1"/>
      <c r="D13" s="39" t="str">
        <f>IF(Current!D8=0,"",Current!D7)</f>
        <v/>
      </c>
      <c r="E13" s="39" t="str">
        <f>IF(Current!E8=0,"",Current!E8)</f>
        <v/>
      </c>
      <c r="F13" s="39" t="str">
        <f>IF(Current!F8=0,"",Current!F8)</f>
        <v/>
      </c>
      <c r="G13" s="39" t="str">
        <f>IF(Current!G8=0,"",Current!G8)</f>
        <v/>
      </c>
      <c r="H13" s="39" t="str">
        <f>IF(Current!H8=0,"",Current!H8)</f>
        <v/>
      </c>
      <c r="I13" s="39" t="str">
        <f>IF(Current!I8=0,"",Current!I8)</f>
        <v/>
      </c>
      <c r="J13" s="39" t="str">
        <f>IF(Current!J8=0,"",Current!J8)</f>
        <v/>
      </c>
      <c r="K13" s="39">
        <f>IF(Current!K8=0,"",Current!K8)</f>
        <v>80</v>
      </c>
      <c r="L13" s="1"/>
      <c r="M13" s="39" t="str">
        <f>IF(Current!N8=0,"",Current!N8)</f>
        <v/>
      </c>
      <c r="N13" s="39" t="str">
        <f>IF(Current!O8=0,"",Current!O8)</f>
        <v/>
      </c>
      <c r="O13" s="39" t="str">
        <f>IF(Current!P8=0,"",Current!P8)</f>
        <v/>
      </c>
      <c r="P13" s="39" t="str">
        <f>IF(Current!Q8=0,"",Current!Q8)</f>
        <v/>
      </c>
      <c r="Q13" s="1"/>
    </row>
    <row r="14" spans="1:17" ht="30" customHeight="1" x14ac:dyDescent="0.45">
      <c r="A14" s="1"/>
      <c r="B14" s="5" t="s">
        <v>121</v>
      </c>
      <c r="C14" s="1"/>
      <c r="D14" s="39">
        <f>IF(Current!D7=0,"",Current!D7)</f>
        <v>51</v>
      </c>
      <c r="E14" s="39" t="str">
        <f>IF(Current!E7=0,"",Current!E7)</f>
        <v/>
      </c>
      <c r="F14" s="39" t="str">
        <f>IF(Current!F7=0,"",Current!F7)</f>
        <v/>
      </c>
      <c r="G14" s="39" t="str">
        <f>IF(Current!G7=0,"",Current!G7)</f>
        <v/>
      </c>
      <c r="H14" s="39" t="str">
        <f>IF(Current!H7=0,"",Current!H7)</f>
        <v/>
      </c>
      <c r="I14" s="39" t="str">
        <f>IF(Current!I7=0,"",Current!I7)</f>
        <v/>
      </c>
      <c r="J14" s="39" t="str">
        <f>IF(Current!J7=0,"",Current!J7)</f>
        <v/>
      </c>
      <c r="K14" s="39" t="str">
        <f>IF(Current!K7=0,"",Current!K7)</f>
        <v/>
      </c>
      <c r="L14" s="1"/>
      <c r="M14" s="39" t="str">
        <f>IF(Current!N7=0,"",Current!N7)</f>
        <v/>
      </c>
      <c r="N14" s="39" t="str">
        <f>IF(Current!O7=0,"",Current!O7)</f>
        <v/>
      </c>
      <c r="O14" s="39" t="str">
        <f>IF(Current!P7=0,"",Current!P7)</f>
        <v/>
      </c>
      <c r="P14" s="39" t="str">
        <f>IF(Current!Q7=0,"",Current!Q7)</f>
        <v/>
      </c>
      <c r="Q14" s="1"/>
    </row>
    <row r="15" spans="1:17" ht="7.5" customHeight="1" x14ac:dyDescent="0.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8" spans="2:7" ht="18" x14ac:dyDescent="0.55000000000000004">
      <c r="B18" s="7"/>
    </row>
    <row r="19" spans="2:7" ht="18" x14ac:dyDescent="0.55000000000000004">
      <c r="B19" s="7" t="s">
        <v>121</v>
      </c>
      <c r="C19" s="4"/>
      <c r="D19" s="4"/>
      <c r="E19" s="4"/>
      <c r="F19" s="4"/>
      <c r="G19" s="4"/>
    </row>
    <row r="20" spans="2:7" ht="18" x14ac:dyDescent="0.55000000000000004">
      <c r="B20" s="7"/>
    </row>
    <row r="21" spans="2:7" ht="18" x14ac:dyDescent="0.55000000000000004">
      <c r="B21" s="7" t="s">
        <v>7</v>
      </c>
      <c r="C21" s="4"/>
      <c r="D21" s="4"/>
      <c r="E21" s="4"/>
      <c r="F21" s="4"/>
      <c r="G21" s="4"/>
    </row>
    <row r="22" spans="2:7" ht="18" x14ac:dyDescent="0.55000000000000004">
      <c r="B22" s="7"/>
    </row>
    <row r="23" spans="2:7" ht="18" x14ac:dyDescent="0.55000000000000004">
      <c r="B23" s="7" t="s">
        <v>64</v>
      </c>
      <c r="C23" s="4"/>
      <c r="D23" s="4"/>
      <c r="E23" s="4"/>
      <c r="F23" s="4"/>
      <c r="G23" s="4"/>
    </row>
    <row r="24" spans="2:7" ht="18" x14ac:dyDescent="0.55000000000000004">
      <c r="B24" s="7"/>
    </row>
    <row r="25" spans="2:7" ht="18" x14ac:dyDescent="0.55000000000000004">
      <c r="B25" s="7" t="s">
        <v>122</v>
      </c>
      <c r="C25" s="4"/>
      <c r="D25" s="4"/>
      <c r="E25" s="4"/>
      <c r="F25" s="4"/>
      <c r="G25" s="4"/>
    </row>
    <row r="27" spans="2:7" ht="18" x14ac:dyDescent="0.55000000000000004">
      <c r="B27" s="7" t="s">
        <v>1</v>
      </c>
      <c r="C27" s="4"/>
      <c r="D27" s="4"/>
      <c r="E27" s="4"/>
      <c r="F27" s="4"/>
      <c r="G27" s="4"/>
    </row>
    <row r="28" spans="2:7" ht="18" x14ac:dyDescent="0.55000000000000004">
      <c r="B28" s="7"/>
    </row>
    <row r="29" spans="2:7" ht="18" x14ac:dyDescent="0.55000000000000004">
      <c r="B29" s="7" t="s">
        <v>5</v>
      </c>
      <c r="C29" s="4"/>
      <c r="D29" s="4"/>
      <c r="E29" s="4"/>
      <c r="F29" s="4"/>
      <c r="G29" s="4"/>
    </row>
    <row r="30" spans="2:7" ht="18" x14ac:dyDescent="0.55000000000000004">
      <c r="B30" s="7"/>
    </row>
    <row r="31" spans="2:7" ht="18" x14ac:dyDescent="0.55000000000000004">
      <c r="B31" s="7" t="s">
        <v>10</v>
      </c>
      <c r="C31" s="4"/>
      <c r="D31" s="4"/>
      <c r="E31" s="4"/>
      <c r="F31" s="4"/>
      <c r="G31" s="4"/>
    </row>
    <row r="32" spans="2:7" ht="18" x14ac:dyDescent="0.55000000000000004">
      <c r="B32" s="7"/>
    </row>
    <row r="33" spans="2:11" ht="18" x14ac:dyDescent="0.55000000000000004">
      <c r="B33" s="7" t="s">
        <v>6</v>
      </c>
      <c r="C33" s="4"/>
      <c r="D33" s="4"/>
      <c r="E33" s="4"/>
      <c r="F33" s="4"/>
      <c r="G33" s="4"/>
    </row>
    <row r="34" spans="2:11" ht="18" x14ac:dyDescent="0.55000000000000004">
      <c r="B34" s="7"/>
    </row>
    <row r="35" spans="2:11" ht="18" x14ac:dyDescent="0.55000000000000004">
      <c r="B35" s="7" t="s">
        <v>54</v>
      </c>
      <c r="C35" s="4"/>
      <c r="D35" s="4"/>
      <c r="E35" s="4"/>
      <c r="F35" s="4"/>
      <c r="G35" s="4"/>
      <c r="J35" s="40"/>
      <c r="K35" s="40"/>
    </row>
    <row r="36" spans="2:11" ht="18" x14ac:dyDescent="0.55000000000000004">
      <c r="B36" s="99"/>
      <c r="C36" s="98"/>
      <c r="D36" s="98"/>
      <c r="E36" s="98"/>
      <c r="F36" s="98"/>
      <c r="G36" s="98"/>
    </row>
    <row r="37" spans="2:11" ht="18" x14ac:dyDescent="0.55000000000000004">
      <c r="B37" s="99" t="s">
        <v>66</v>
      </c>
      <c r="C37" s="100"/>
      <c r="D37" s="100"/>
      <c r="E37" s="100"/>
      <c r="F37" s="100"/>
      <c r="G37" s="100"/>
    </row>
    <row r="38" spans="2:11" ht="18" x14ac:dyDescent="0.55000000000000004">
      <c r="B38" s="99"/>
      <c r="C38" s="98"/>
      <c r="D38" s="98"/>
      <c r="E38" s="98"/>
      <c r="F38" s="98"/>
      <c r="G38" s="98"/>
    </row>
    <row r="39" spans="2:11" ht="18" x14ac:dyDescent="0.55000000000000004">
      <c r="B39" s="99" t="s">
        <v>2</v>
      </c>
      <c r="C39" s="100"/>
      <c r="D39" s="100"/>
      <c r="E39" s="100"/>
      <c r="F39" s="100"/>
      <c r="G39" s="100"/>
    </row>
  </sheetData>
  <mergeCells count="2">
    <mergeCell ref="D2:K2"/>
    <mergeCell ref="M2:P2"/>
  </mergeCells>
  <pageMargins left="0.7" right="0.7" top="0.75" bottom="0.75" header="0.3" footer="0.3"/>
  <pageSetup scale="54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7BC54-FCD3-4167-8B97-1DAC86AEF269}">
  <sheetPr codeName="Sheet2"/>
  <dimension ref="A1:AC49"/>
  <sheetViews>
    <sheetView topLeftCell="A36" workbookViewId="0">
      <selection activeCell="V54" sqref="V54"/>
    </sheetView>
  </sheetViews>
  <sheetFormatPr defaultRowHeight="14.25" x14ac:dyDescent="0.45"/>
  <cols>
    <col min="1" max="1" width="9.265625" bestFit="1" customWidth="1"/>
    <col min="2" max="2" width="15.3984375" bestFit="1" customWidth="1"/>
    <col min="3" max="3" width="11.59765625" bestFit="1" customWidth="1"/>
    <col min="4" max="11" width="4.86328125" bestFit="1" customWidth="1"/>
    <col min="12" max="12" width="9" bestFit="1" customWidth="1"/>
    <col min="13" max="17" width="4.86328125" bestFit="1" customWidth="1"/>
    <col min="22" max="22" width="25" bestFit="1" customWidth="1"/>
    <col min="23" max="23" width="10.3984375" bestFit="1" customWidth="1"/>
    <col min="24" max="24" width="12.1328125" bestFit="1" customWidth="1"/>
    <col min="25" max="25" width="6.1328125" bestFit="1" customWidth="1"/>
    <col min="26" max="26" width="6.73046875" bestFit="1" customWidth="1"/>
    <col min="27" max="27" width="8.1328125" bestFit="1" customWidth="1"/>
    <col min="28" max="28" width="7.265625" bestFit="1" customWidth="1"/>
    <col min="29" max="29" width="9.73046875" bestFit="1" customWidth="1"/>
  </cols>
  <sheetData>
    <row r="1" spans="1:29" x14ac:dyDescent="0.45">
      <c r="A1" s="129">
        <v>46110</v>
      </c>
      <c r="B1" s="130" t="s">
        <v>30</v>
      </c>
      <c r="C1" s="131">
        <v>4680</v>
      </c>
      <c r="D1" s="132">
        <v>78</v>
      </c>
      <c r="E1" s="132">
        <v>32</v>
      </c>
      <c r="F1" s="132">
        <v>24</v>
      </c>
      <c r="G1" s="132">
        <v>8</v>
      </c>
      <c r="H1" s="132">
        <v>0</v>
      </c>
      <c r="I1" s="132">
        <v>0</v>
      </c>
      <c r="J1" s="132">
        <v>0</v>
      </c>
      <c r="K1" s="132">
        <v>0</v>
      </c>
      <c r="L1" s="161">
        <v>0</v>
      </c>
      <c r="M1" s="134"/>
      <c r="N1" s="132">
        <v>78</v>
      </c>
      <c r="O1" s="132">
        <v>32</v>
      </c>
      <c r="P1" s="132">
        <v>24</v>
      </c>
      <c r="Q1" s="132">
        <v>8</v>
      </c>
      <c r="V1" t="s">
        <v>32</v>
      </c>
      <c r="W1" t="s">
        <v>33</v>
      </c>
      <c r="X1" t="s">
        <v>55</v>
      </c>
      <c r="Y1" t="s">
        <v>56</v>
      </c>
      <c r="Z1" t="s">
        <v>57</v>
      </c>
      <c r="AA1" t="s">
        <v>58</v>
      </c>
      <c r="AB1" t="s">
        <v>59</v>
      </c>
      <c r="AC1" t="s">
        <v>60</v>
      </c>
    </row>
    <row r="2" spans="1:29" x14ac:dyDescent="0.45">
      <c r="A2" s="137">
        <v>46110</v>
      </c>
      <c r="B2" s="138" t="s">
        <v>5</v>
      </c>
      <c r="C2" s="139">
        <v>4200</v>
      </c>
      <c r="D2" s="140">
        <v>74.75</v>
      </c>
      <c r="E2" s="140">
        <v>0</v>
      </c>
      <c r="F2" s="140">
        <v>0</v>
      </c>
      <c r="G2" s="140">
        <v>0</v>
      </c>
      <c r="H2" s="140">
        <v>0</v>
      </c>
      <c r="I2" s="140">
        <v>7</v>
      </c>
      <c r="J2" s="140">
        <v>0</v>
      </c>
      <c r="K2" s="140">
        <v>0</v>
      </c>
      <c r="L2" s="162">
        <v>0</v>
      </c>
      <c r="M2" s="142"/>
      <c r="N2" s="140">
        <v>73.75</v>
      </c>
      <c r="O2" s="140">
        <v>0</v>
      </c>
      <c r="P2" s="140">
        <v>0</v>
      </c>
      <c r="Q2" s="140">
        <v>0</v>
      </c>
      <c r="V2" t="s">
        <v>1</v>
      </c>
      <c r="W2" s="40">
        <f>A$1</f>
        <v>46110</v>
      </c>
      <c r="X2" t="s">
        <v>22</v>
      </c>
      <c r="Y2" s="60">
        <f>D$1</f>
        <v>78</v>
      </c>
    </row>
    <row r="3" spans="1:29" x14ac:dyDescent="0.45">
      <c r="A3" s="137">
        <v>46110</v>
      </c>
      <c r="B3" s="138" t="s">
        <v>31</v>
      </c>
      <c r="C3" s="139">
        <v>4320</v>
      </c>
      <c r="D3" s="140">
        <v>66.5</v>
      </c>
      <c r="E3" s="140">
        <v>0</v>
      </c>
      <c r="F3" s="140">
        <v>12</v>
      </c>
      <c r="G3" s="140">
        <v>12</v>
      </c>
      <c r="H3" s="140">
        <v>0</v>
      </c>
      <c r="I3" s="140">
        <v>0</v>
      </c>
      <c r="J3" s="140">
        <v>0</v>
      </c>
      <c r="K3" s="140">
        <v>0</v>
      </c>
      <c r="L3" s="162">
        <v>0</v>
      </c>
      <c r="M3" s="142"/>
      <c r="N3" s="140">
        <v>70.5</v>
      </c>
      <c r="O3" s="140">
        <v>0</v>
      </c>
      <c r="P3" s="140">
        <v>12</v>
      </c>
      <c r="Q3" s="140">
        <v>8</v>
      </c>
      <c r="V3" t="s">
        <v>1</v>
      </c>
      <c r="W3" s="40">
        <f t="shared" ref="W3:W7" si="0">A$1</f>
        <v>46110</v>
      </c>
      <c r="X3" t="s">
        <v>23</v>
      </c>
      <c r="Y3" s="60">
        <f>E$1</f>
        <v>32</v>
      </c>
    </row>
    <row r="4" spans="1:29" x14ac:dyDescent="0.45">
      <c r="A4" s="137">
        <v>46110</v>
      </c>
      <c r="B4" s="138" t="s">
        <v>64</v>
      </c>
      <c r="C4" s="139">
        <v>2400</v>
      </c>
      <c r="D4" s="140">
        <v>74</v>
      </c>
      <c r="E4" s="140">
        <v>5.25</v>
      </c>
      <c r="F4" s="140">
        <v>12</v>
      </c>
      <c r="G4" s="140">
        <v>29.5</v>
      </c>
      <c r="H4" s="140">
        <v>0</v>
      </c>
      <c r="I4" s="140">
        <v>0</v>
      </c>
      <c r="J4" s="140">
        <v>0</v>
      </c>
      <c r="K4" s="140">
        <v>0</v>
      </c>
      <c r="L4" s="162">
        <v>0</v>
      </c>
      <c r="M4" s="142"/>
      <c r="N4" s="140">
        <v>74</v>
      </c>
      <c r="O4" s="140">
        <v>5.25</v>
      </c>
      <c r="P4" s="140">
        <v>12</v>
      </c>
      <c r="Q4" s="140">
        <v>29.5</v>
      </c>
      <c r="V4" t="s">
        <v>1</v>
      </c>
      <c r="W4" s="40">
        <f t="shared" si="0"/>
        <v>46110</v>
      </c>
      <c r="X4" t="s">
        <v>24</v>
      </c>
      <c r="Y4" s="60">
        <f>F$1</f>
        <v>24</v>
      </c>
    </row>
    <row r="5" spans="1:29" x14ac:dyDescent="0.45">
      <c r="A5" s="137">
        <v>46110</v>
      </c>
      <c r="B5" s="138" t="s">
        <v>54</v>
      </c>
      <c r="C5" s="139">
        <v>2453.6000000000004</v>
      </c>
      <c r="D5" s="140">
        <v>77.5</v>
      </c>
      <c r="E5" s="140">
        <v>6.5</v>
      </c>
      <c r="F5" s="140">
        <v>0</v>
      </c>
      <c r="G5" s="140">
        <v>11.5</v>
      </c>
      <c r="H5" s="140">
        <v>0</v>
      </c>
      <c r="I5" s="140">
        <v>0</v>
      </c>
      <c r="J5" s="140">
        <v>0</v>
      </c>
      <c r="K5" s="140">
        <v>0</v>
      </c>
      <c r="L5" s="162">
        <v>0</v>
      </c>
      <c r="M5" s="142"/>
      <c r="N5" s="140">
        <v>77.5</v>
      </c>
      <c r="O5" s="140">
        <v>6.5</v>
      </c>
      <c r="P5" s="140">
        <v>0</v>
      </c>
      <c r="Q5" s="140">
        <v>11.5</v>
      </c>
      <c r="V5" t="s">
        <v>1</v>
      </c>
      <c r="W5" s="40">
        <f t="shared" si="0"/>
        <v>46110</v>
      </c>
      <c r="X5" t="s">
        <v>61</v>
      </c>
      <c r="Y5" s="60">
        <f>G$1</f>
        <v>8</v>
      </c>
    </row>
    <row r="6" spans="1:29" x14ac:dyDescent="0.45">
      <c r="A6" s="137">
        <v>46110</v>
      </c>
      <c r="B6" s="138" t="s">
        <v>66</v>
      </c>
      <c r="C6" s="139">
        <v>2160</v>
      </c>
      <c r="D6" s="140">
        <v>74</v>
      </c>
      <c r="E6" s="140">
        <v>19</v>
      </c>
      <c r="F6" s="140">
        <v>0</v>
      </c>
      <c r="G6" s="140">
        <v>2.5</v>
      </c>
      <c r="H6" s="140">
        <v>0</v>
      </c>
      <c r="I6" s="140">
        <v>8</v>
      </c>
      <c r="J6" s="140">
        <v>0</v>
      </c>
      <c r="K6" s="140">
        <v>0</v>
      </c>
      <c r="L6" s="162">
        <v>0</v>
      </c>
      <c r="M6" s="142"/>
      <c r="N6" s="140">
        <v>74</v>
      </c>
      <c r="O6" s="140">
        <v>17.5</v>
      </c>
      <c r="P6" s="140">
        <v>1.5</v>
      </c>
      <c r="Q6" s="140">
        <v>2.5</v>
      </c>
      <c r="V6" t="s">
        <v>1</v>
      </c>
      <c r="W6" s="40">
        <f t="shared" si="0"/>
        <v>46110</v>
      </c>
      <c r="X6" t="s">
        <v>28</v>
      </c>
      <c r="Y6" s="60">
        <f>J$1</f>
        <v>0</v>
      </c>
    </row>
    <row r="7" spans="1:29" x14ac:dyDescent="0.45">
      <c r="A7" s="137">
        <v>46110</v>
      </c>
      <c r="B7" s="138" t="s">
        <v>121</v>
      </c>
      <c r="C7" s="139">
        <v>2720</v>
      </c>
      <c r="D7" s="140">
        <v>51</v>
      </c>
      <c r="E7" s="140">
        <v>0</v>
      </c>
      <c r="F7" s="140">
        <v>0</v>
      </c>
      <c r="G7" s="140">
        <v>0</v>
      </c>
      <c r="H7" s="140">
        <v>0</v>
      </c>
      <c r="I7" s="140">
        <v>0</v>
      </c>
      <c r="J7" s="140">
        <v>0</v>
      </c>
      <c r="K7" s="140">
        <v>0</v>
      </c>
      <c r="L7" s="162">
        <v>0</v>
      </c>
      <c r="M7" s="142"/>
      <c r="N7" s="140">
        <v>0</v>
      </c>
      <c r="O7" s="140">
        <v>0</v>
      </c>
      <c r="P7" s="140">
        <v>0</v>
      </c>
      <c r="Q7" s="140">
        <v>0</v>
      </c>
      <c r="V7" t="s">
        <v>1</v>
      </c>
      <c r="W7" s="40">
        <f t="shared" si="0"/>
        <v>46110</v>
      </c>
      <c r="X7" t="s">
        <v>29</v>
      </c>
      <c r="Y7" s="60">
        <f>K$1</f>
        <v>0</v>
      </c>
    </row>
    <row r="8" spans="1:29" ht="14.65" thickBot="1" x14ac:dyDescent="0.5">
      <c r="A8" s="179">
        <v>46110</v>
      </c>
      <c r="B8" s="24" t="s">
        <v>122</v>
      </c>
      <c r="C8" s="151">
        <v>1740</v>
      </c>
      <c r="D8" s="180">
        <v>0</v>
      </c>
      <c r="E8" s="180">
        <v>0</v>
      </c>
      <c r="F8" s="180">
        <v>0</v>
      </c>
      <c r="G8" s="180">
        <v>0</v>
      </c>
      <c r="H8" s="180">
        <v>0</v>
      </c>
      <c r="I8" s="180">
        <v>0</v>
      </c>
      <c r="J8" s="180">
        <v>0</v>
      </c>
      <c r="K8" s="180">
        <v>80</v>
      </c>
      <c r="L8" s="181">
        <v>0</v>
      </c>
      <c r="M8" s="154"/>
      <c r="N8" s="180">
        <v>0</v>
      </c>
      <c r="O8" s="180">
        <v>0</v>
      </c>
      <c r="P8" s="180">
        <v>0</v>
      </c>
      <c r="Q8" s="180">
        <v>0</v>
      </c>
      <c r="V8" t="s">
        <v>5</v>
      </c>
      <c r="W8" s="40">
        <f t="shared" ref="W8:W13" si="1">A$2</f>
        <v>46110</v>
      </c>
      <c r="X8" t="s">
        <v>22</v>
      </c>
      <c r="Y8" s="60">
        <f>D$2</f>
        <v>74.75</v>
      </c>
    </row>
    <row r="9" spans="1:29" x14ac:dyDescent="0.45">
      <c r="C9" s="61"/>
      <c r="V9" t="s">
        <v>5</v>
      </c>
      <c r="W9" s="40">
        <f t="shared" si="1"/>
        <v>46110</v>
      </c>
      <c r="X9" t="s">
        <v>23</v>
      </c>
      <c r="Y9" s="60">
        <f>E$2</f>
        <v>0</v>
      </c>
    </row>
    <row r="10" spans="1:29" x14ac:dyDescent="0.45">
      <c r="V10" t="s">
        <v>5</v>
      </c>
      <c r="W10" s="40">
        <f t="shared" si="1"/>
        <v>46110</v>
      </c>
      <c r="X10" t="s">
        <v>24</v>
      </c>
      <c r="Y10" s="60">
        <f>F$2</f>
        <v>0</v>
      </c>
    </row>
    <row r="11" spans="1:29" x14ac:dyDescent="0.45">
      <c r="V11" t="s">
        <v>5</v>
      </c>
      <c r="W11" s="40">
        <f t="shared" si="1"/>
        <v>46110</v>
      </c>
      <c r="X11" t="s">
        <v>61</v>
      </c>
      <c r="Y11" s="60">
        <f>G$2</f>
        <v>0</v>
      </c>
    </row>
    <row r="12" spans="1:29" x14ac:dyDescent="0.45">
      <c r="C12" s="61"/>
      <c r="V12" t="s">
        <v>5</v>
      </c>
      <c r="W12" s="40">
        <f t="shared" si="1"/>
        <v>46110</v>
      </c>
      <c r="X12" t="s">
        <v>28</v>
      </c>
      <c r="Y12" s="60">
        <f>J$2</f>
        <v>0</v>
      </c>
    </row>
    <row r="13" spans="1:29" x14ac:dyDescent="0.45">
      <c r="C13" s="61"/>
      <c r="V13" t="s">
        <v>5</v>
      </c>
      <c r="W13" s="40">
        <f t="shared" si="1"/>
        <v>46110</v>
      </c>
      <c r="X13" t="s">
        <v>29</v>
      </c>
      <c r="Y13" s="60">
        <f>K$2</f>
        <v>0</v>
      </c>
    </row>
    <row r="14" spans="1:29" x14ac:dyDescent="0.45">
      <c r="C14" s="61"/>
      <c r="V14" t="s">
        <v>10</v>
      </c>
      <c r="W14" s="40">
        <f>A$3</f>
        <v>46110</v>
      </c>
      <c r="X14" t="s">
        <v>22</v>
      </c>
      <c r="Y14" s="60">
        <f>D$3</f>
        <v>66.5</v>
      </c>
    </row>
    <row r="15" spans="1:29" x14ac:dyDescent="0.45">
      <c r="V15" t="s">
        <v>10</v>
      </c>
      <c r="W15" s="40">
        <f>A$3</f>
        <v>46110</v>
      </c>
      <c r="X15" t="s">
        <v>23</v>
      </c>
      <c r="Y15" s="60">
        <f>E$3</f>
        <v>0</v>
      </c>
    </row>
    <row r="16" spans="1:29" x14ac:dyDescent="0.45">
      <c r="C16" s="61"/>
      <c r="V16" t="s">
        <v>10</v>
      </c>
      <c r="W16" s="40">
        <f>A$3</f>
        <v>46110</v>
      </c>
      <c r="X16" t="s">
        <v>24</v>
      </c>
      <c r="Y16" s="60">
        <f>F$3</f>
        <v>12</v>
      </c>
    </row>
    <row r="17" spans="3:25" x14ac:dyDescent="0.45">
      <c r="V17" t="s">
        <v>10</v>
      </c>
      <c r="W17" s="40">
        <f>A$3</f>
        <v>46110</v>
      </c>
      <c r="X17" t="s">
        <v>61</v>
      </c>
      <c r="Y17" s="60">
        <f>G$3</f>
        <v>12</v>
      </c>
    </row>
    <row r="18" spans="3:25" x14ac:dyDescent="0.45">
      <c r="C18" s="8"/>
      <c r="V18" t="s">
        <v>10</v>
      </c>
      <c r="W18" s="40">
        <f>A$3</f>
        <v>46110</v>
      </c>
      <c r="X18" t="s">
        <v>28</v>
      </c>
      <c r="Y18" s="60">
        <f>J$3</f>
        <v>0</v>
      </c>
    </row>
    <row r="19" spans="3:25" x14ac:dyDescent="0.45">
      <c r="C19" s="8"/>
      <c r="V19" t="s">
        <v>10</v>
      </c>
      <c r="W19" s="40">
        <f>A$3</f>
        <v>46110</v>
      </c>
      <c r="X19" t="s">
        <v>29</v>
      </c>
      <c r="Y19" s="60">
        <f>K$3</f>
        <v>0</v>
      </c>
    </row>
    <row r="20" spans="3:25" x14ac:dyDescent="0.45">
      <c r="V20" t="s">
        <v>64</v>
      </c>
      <c r="W20" s="40">
        <f>A$4</f>
        <v>46110</v>
      </c>
      <c r="X20" t="s">
        <v>22</v>
      </c>
      <c r="Y20" s="60">
        <f>D$4</f>
        <v>74</v>
      </c>
    </row>
    <row r="21" spans="3:25" x14ac:dyDescent="0.45">
      <c r="V21" t="s">
        <v>64</v>
      </c>
      <c r="W21" s="40">
        <f>A$4</f>
        <v>46110</v>
      </c>
      <c r="X21" t="s">
        <v>23</v>
      </c>
      <c r="Y21" s="60">
        <f>E$4</f>
        <v>5.25</v>
      </c>
    </row>
    <row r="22" spans="3:25" x14ac:dyDescent="0.45">
      <c r="V22" t="s">
        <v>64</v>
      </c>
      <c r="W22" s="40">
        <f>A$4</f>
        <v>46110</v>
      </c>
      <c r="X22" t="s">
        <v>24</v>
      </c>
      <c r="Y22" s="60">
        <f>F$4</f>
        <v>12</v>
      </c>
    </row>
    <row r="23" spans="3:25" x14ac:dyDescent="0.45">
      <c r="V23" t="s">
        <v>64</v>
      </c>
      <c r="W23" s="40">
        <f>A$4</f>
        <v>46110</v>
      </c>
      <c r="X23" t="s">
        <v>61</v>
      </c>
      <c r="Y23" s="60">
        <f>G$4</f>
        <v>29.5</v>
      </c>
    </row>
    <row r="24" spans="3:25" x14ac:dyDescent="0.45">
      <c r="V24" t="s">
        <v>64</v>
      </c>
      <c r="W24" s="40">
        <f>A$4</f>
        <v>46110</v>
      </c>
      <c r="X24" t="s">
        <v>28</v>
      </c>
      <c r="Y24" s="60">
        <f>J$4</f>
        <v>0</v>
      </c>
    </row>
    <row r="25" spans="3:25" x14ac:dyDescent="0.45">
      <c r="V25" t="s">
        <v>64</v>
      </c>
      <c r="W25" s="40">
        <f>A$4</f>
        <v>46110</v>
      </c>
      <c r="X25" t="s">
        <v>29</v>
      </c>
      <c r="Y25" s="60">
        <f>K$4</f>
        <v>0</v>
      </c>
    </row>
    <row r="26" spans="3:25" x14ac:dyDescent="0.45">
      <c r="V26" t="s">
        <v>54</v>
      </c>
      <c r="W26" s="40">
        <f>A$5</f>
        <v>46110</v>
      </c>
      <c r="X26" t="s">
        <v>22</v>
      </c>
      <c r="Y26" s="60">
        <f>D$5</f>
        <v>77.5</v>
      </c>
    </row>
    <row r="27" spans="3:25" x14ac:dyDescent="0.45">
      <c r="V27" t="s">
        <v>54</v>
      </c>
      <c r="W27" s="40">
        <f>A$5</f>
        <v>46110</v>
      </c>
      <c r="X27" t="s">
        <v>23</v>
      </c>
      <c r="Y27" s="60">
        <f>E$5</f>
        <v>6.5</v>
      </c>
    </row>
    <row r="28" spans="3:25" x14ac:dyDescent="0.45">
      <c r="V28" t="s">
        <v>54</v>
      </c>
      <c r="W28" s="40">
        <f>A$5</f>
        <v>46110</v>
      </c>
      <c r="X28" t="s">
        <v>24</v>
      </c>
      <c r="Y28" s="60">
        <f>F$5</f>
        <v>0</v>
      </c>
    </row>
    <row r="29" spans="3:25" x14ac:dyDescent="0.45">
      <c r="V29" t="s">
        <v>54</v>
      </c>
      <c r="W29" s="40">
        <f>A$5</f>
        <v>46110</v>
      </c>
      <c r="X29" t="s">
        <v>61</v>
      </c>
      <c r="Y29" s="60">
        <f>G$5</f>
        <v>11.5</v>
      </c>
    </row>
    <row r="30" spans="3:25" x14ac:dyDescent="0.45">
      <c r="V30" t="s">
        <v>54</v>
      </c>
      <c r="W30" s="40">
        <f>A$5</f>
        <v>46110</v>
      </c>
      <c r="X30" t="s">
        <v>28</v>
      </c>
      <c r="Y30" s="60">
        <f>J$5</f>
        <v>0</v>
      </c>
    </row>
    <row r="31" spans="3:25" x14ac:dyDescent="0.45">
      <c r="V31" t="s">
        <v>54</v>
      </c>
      <c r="W31" s="40">
        <f>A$5</f>
        <v>46110</v>
      </c>
      <c r="X31" t="s">
        <v>29</v>
      </c>
      <c r="Y31" s="60">
        <f>K$5</f>
        <v>0</v>
      </c>
    </row>
    <row r="32" spans="3:25" x14ac:dyDescent="0.45">
      <c r="V32" t="s">
        <v>66</v>
      </c>
      <c r="W32" s="40">
        <f>A$6</f>
        <v>46110</v>
      </c>
      <c r="X32" t="s">
        <v>22</v>
      </c>
      <c r="Y32" s="60">
        <f>D$6</f>
        <v>74</v>
      </c>
    </row>
    <row r="33" spans="22:25" x14ac:dyDescent="0.45">
      <c r="V33" t="s">
        <v>66</v>
      </c>
      <c r="W33" s="40">
        <f>A$6</f>
        <v>46110</v>
      </c>
      <c r="X33" t="s">
        <v>23</v>
      </c>
      <c r="Y33" s="60">
        <f>E$6</f>
        <v>19</v>
      </c>
    </row>
    <row r="34" spans="22:25" x14ac:dyDescent="0.45">
      <c r="V34" t="s">
        <v>66</v>
      </c>
      <c r="W34" s="40">
        <f>A$6</f>
        <v>46110</v>
      </c>
      <c r="X34" t="s">
        <v>24</v>
      </c>
      <c r="Y34" s="60">
        <f>F$6</f>
        <v>0</v>
      </c>
    </row>
    <row r="35" spans="22:25" x14ac:dyDescent="0.45">
      <c r="V35" t="s">
        <v>66</v>
      </c>
      <c r="W35" s="40">
        <f>A$6</f>
        <v>46110</v>
      </c>
      <c r="X35" t="s">
        <v>61</v>
      </c>
      <c r="Y35" s="60">
        <f>G$6</f>
        <v>2.5</v>
      </c>
    </row>
    <row r="36" spans="22:25" x14ac:dyDescent="0.45">
      <c r="V36" t="s">
        <v>66</v>
      </c>
      <c r="W36" s="40">
        <f>A$6</f>
        <v>46110</v>
      </c>
      <c r="X36" t="s">
        <v>28</v>
      </c>
      <c r="Y36" s="60">
        <f>J$6</f>
        <v>0</v>
      </c>
    </row>
    <row r="37" spans="22:25" x14ac:dyDescent="0.45">
      <c r="V37" t="s">
        <v>66</v>
      </c>
      <c r="W37" s="40">
        <f>A$6</f>
        <v>46110</v>
      </c>
      <c r="X37" t="s">
        <v>29</v>
      </c>
      <c r="Y37" s="60">
        <f>K$6</f>
        <v>0</v>
      </c>
    </row>
    <row r="38" spans="22:25" x14ac:dyDescent="0.45">
      <c r="V38" t="s">
        <v>122</v>
      </c>
      <c r="W38" s="40">
        <f>A$8</f>
        <v>46110</v>
      </c>
      <c r="X38" t="s">
        <v>22</v>
      </c>
      <c r="Y38" s="60">
        <f>D$8</f>
        <v>0</v>
      </c>
    </row>
    <row r="39" spans="22:25" x14ac:dyDescent="0.45">
      <c r="V39" t="s">
        <v>122</v>
      </c>
      <c r="W39" s="40">
        <f>A$8</f>
        <v>46110</v>
      </c>
      <c r="X39" t="s">
        <v>23</v>
      </c>
      <c r="Y39" s="60">
        <f>E$8</f>
        <v>0</v>
      </c>
    </row>
    <row r="40" spans="22:25" x14ac:dyDescent="0.45">
      <c r="V40" t="s">
        <v>122</v>
      </c>
      <c r="W40" s="40">
        <f>A$8</f>
        <v>46110</v>
      </c>
      <c r="X40" t="s">
        <v>24</v>
      </c>
      <c r="Y40" s="60">
        <f>F$8</f>
        <v>0</v>
      </c>
    </row>
    <row r="41" spans="22:25" x14ac:dyDescent="0.45">
      <c r="V41" t="s">
        <v>122</v>
      </c>
      <c r="W41" s="40">
        <f>A$8</f>
        <v>46110</v>
      </c>
      <c r="X41" t="s">
        <v>61</v>
      </c>
      <c r="Y41" s="60">
        <f>G$8</f>
        <v>0</v>
      </c>
    </row>
    <row r="42" spans="22:25" x14ac:dyDescent="0.45">
      <c r="V42" t="s">
        <v>122</v>
      </c>
      <c r="W42" s="40">
        <f>A$8</f>
        <v>46110</v>
      </c>
      <c r="X42" t="s">
        <v>28</v>
      </c>
      <c r="Y42" s="60">
        <f>J$8</f>
        <v>0</v>
      </c>
    </row>
    <row r="43" spans="22:25" x14ac:dyDescent="0.45">
      <c r="V43" t="s">
        <v>122</v>
      </c>
      <c r="W43" s="40">
        <f>A$8</f>
        <v>46110</v>
      </c>
      <c r="X43" t="s">
        <v>29</v>
      </c>
      <c r="Y43" s="60">
        <f>K$8</f>
        <v>80</v>
      </c>
    </row>
    <row r="44" spans="22:25" x14ac:dyDescent="0.45">
      <c r="V44" t="s">
        <v>121</v>
      </c>
      <c r="W44" s="40">
        <f>A$7</f>
        <v>46110</v>
      </c>
      <c r="X44" t="s">
        <v>22</v>
      </c>
      <c r="Y44" s="60">
        <f>D$7</f>
        <v>51</v>
      </c>
    </row>
    <row r="45" spans="22:25" x14ac:dyDescent="0.45">
      <c r="V45" t="s">
        <v>121</v>
      </c>
      <c r="W45" s="40">
        <f>A$7</f>
        <v>46110</v>
      </c>
      <c r="X45" t="s">
        <v>23</v>
      </c>
      <c r="Y45" s="60">
        <f>E$7</f>
        <v>0</v>
      </c>
    </row>
    <row r="46" spans="22:25" x14ac:dyDescent="0.45">
      <c r="V46" t="s">
        <v>121</v>
      </c>
      <c r="W46" s="40">
        <f>A$7</f>
        <v>46110</v>
      </c>
      <c r="X46" t="s">
        <v>24</v>
      </c>
      <c r="Y46" s="60">
        <f>F$7</f>
        <v>0</v>
      </c>
    </row>
    <row r="47" spans="22:25" x14ac:dyDescent="0.45">
      <c r="V47" t="s">
        <v>121</v>
      </c>
      <c r="W47" s="40">
        <f>A$7</f>
        <v>46110</v>
      </c>
      <c r="X47" t="s">
        <v>61</v>
      </c>
      <c r="Y47" s="60">
        <f>G$7</f>
        <v>0</v>
      </c>
    </row>
    <row r="48" spans="22:25" x14ac:dyDescent="0.45">
      <c r="V48" t="s">
        <v>121</v>
      </c>
      <c r="W48" s="40">
        <f>A$7</f>
        <v>46110</v>
      </c>
      <c r="X48" t="s">
        <v>28</v>
      </c>
      <c r="Y48" s="60">
        <f>J$7</f>
        <v>0</v>
      </c>
    </row>
    <row r="49" spans="22:25" x14ac:dyDescent="0.45">
      <c r="V49" t="s">
        <v>121</v>
      </c>
      <c r="W49" s="40">
        <f>A$7</f>
        <v>46110</v>
      </c>
      <c r="X49" t="s">
        <v>29</v>
      </c>
      <c r="Y49" s="60">
        <f>K$7</f>
        <v>0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7D32B-805A-4EA3-B3CE-74BDB3214DBB}">
  <sheetPr codeName="Sheet3"/>
  <dimension ref="A1:BC1489"/>
  <sheetViews>
    <sheetView tabSelected="1" topLeftCell="T1" zoomScaleNormal="100" workbookViewId="0">
      <pane ySplit="2" topLeftCell="A1473" activePane="bottomLeft" state="frozenSplit"/>
      <selection pane="bottomLeft" activeCell="AH1486" sqref="AH1486"/>
    </sheetView>
  </sheetViews>
  <sheetFormatPr defaultRowHeight="14.25" x14ac:dyDescent="0.45"/>
  <cols>
    <col min="2" max="2" width="18.86328125" bestFit="1" customWidth="1"/>
    <col min="3" max="3" width="9" bestFit="1" customWidth="1"/>
    <col min="4" max="4" width="9.86328125" bestFit="1" customWidth="1"/>
    <col min="5" max="6" width="9.1328125" bestFit="1" customWidth="1"/>
    <col min="7" max="7" width="11.265625" bestFit="1" customWidth="1"/>
    <col min="8" max="8" width="9.86328125" bestFit="1" customWidth="1"/>
    <col min="9" max="9" width="7.3984375" bestFit="1" customWidth="1"/>
    <col min="10" max="10" width="6.73046875" bestFit="1" customWidth="1"/>
    <col min="11" max="11" width="10.3984375" bestFit="1" customWidth="1"/>
    <col min="12" max="12" width="9.1328125" bestFit="1" customWidth="1"/>
    <col min="13" max="13" width="3.1328125" customWidth="1"/>
    <col min="14" max="14" width="7" bestFit="1" customWidth="1"/>
    <col min="17" max="17" width="7.1328125" bestFit="1" customWidth="1"/>
    <col min="18" max="18" width="3.1328125" customWidth="1"/>
    <col min="19" max="19" width="8.59765625" bestFit="1" customWidth="1"/>
    <col min="20" max="20" width="9.86328125" bestFit="1" customWidth="1"/>
    <col min="21" max="21" width="7" bestFit="1" customWidth="1"/>
    <col min="22" max="22" width="3.1328125" customWidth="1"/>
    <col min="23" max="23" width="8" bestFit="1" customWidth="1"/>
    <col min="24" max="24" width="10.59765625" bestFit="1" customWidth="1"/>
    <col min="25" max="25" width="10.59765625" customWidth="1"/>
    <col min="26" max="26" width="12.59765625" bestFit="1" customWidth="1"/>
    <col min="27" max="27" width="12.59765625" customWidth="1"/>
    <col min="28" max="28" width="10.59765625" bestFit="1" customWidth="1"/>
    <col min="29" max="29" width="11.265625" bestFit="1" customWidth="1"/>
    <col min="30" max="30" width="10.3984375" bestFit="1" customWidth="1"/>
    <col min="31" max="31" width="11.265625" bestFit="1" customWidth="1"/>
    <col min="32" max="32" width="10.3984375" bestFit="1" customWidth="1"/>
    <col min="36" max="36" width="10.59765625" bestFit="1" customWidth="1"/>
    <col min="38" max="38" width="10.59765625" bestFit="1" customWidth="1"/>
    <col min="39" max="39" width="10.59765625" customWidth="1"/>
    <col min="40" max="40" width="9.73046875" bestFit="1" customWidth="1"/>
    <col min="41" max="41" width="14.1328125" bestFit="1" customWidth="1"/>
    <col min="42" max="42" width="3.1328125" customWidth="1"/>
    <col min="43" max="43" width="16.86328125" customWidth="1"/>
    <col min="47" max="47" width="12.265625" bestFit="1" customWidth="1"/>
    <col min="48" max="48" width="12.265625" customWidth="1"/>
    <col min="49" max="49" width="11.265625" customWidth="1"/>
    <col min="50" max="51" width="10.86328125" bestFit="1" customWidth="1"/>
  </cols>
  <sheetData>
    <row r="1" spans="1:49" x14ac:dyDescent="0.45">
      <c r="A1" s="9"/>
      <c r="B1" s="9"/>
      <c r="C1" s="9"/>
      <c r="D1" s="218" t="s">
        <v>19</v>
      </c>
      <c r="E1" s="218"/>
      <c r="F1" s="218"/>
      <c r="G1" s="218"/>
      <c r="H1" s="218"/>
      <c r="I1" s="218"/>
      <c r="J1" s="218"/>
      <c r="K1" s="218"/>
      <c r="L1" s="218"/>
      <c r="M1" s="9"/>
      <c r="N1" s="218" t="s">
        <v>20</v>
      </c>
      <c r="O1" s="218"/>
      <c r="P1" s="218"/>
      <c r="Q1" s="218"/>
      <c r="R1" s="9"/>
      <c r="S1" s="219" t="s">
        <v>38</v>
      </c>
      <c r="T1" s="220"/>
      <c r="U1" s="221"/>
      <c r="V1" s="9"/>
      <c r="W1" s="219" t="s">
        <v>37</v>
      </c>
      <c r="X1" s="220"/>
      <c r="Y1" s="220"/>
      <c r="Z1" s="220"/>
      <c r="AA1" s="220"/>
      <c r="AB1" s="222"/>
      <c r="AC1" s="223" t="s">
        <v>49</v>
      </c>
      <c r="AD1" s="224"/>
      <c r="AE1" s="223" t="s">
        <v>48</v>
      </c>
      <c r="AF1" s="224"/>
      <c r="AI1" s="219" t="s">
        <v>43</v>
      </c>
      <c r="AJ1" s="220"/>
      <c r="AK1" s="220"/>
      <c r="AL1" s="220"/>
      <c r="AM1" s="220"/>
      <c r="AN1" s="220"/>
      <c r="AO1" s="221"/>
      <c r="AQ1" s="219" t="s">
        <v>42</v>
      </c>
      <c r="AR1" s="220"/>
      <c r="AS1" s="220"/>
      <c r="AT1" s="220"/>
      <c r="AU1" s="220"/>
      <c r="AV1" s="220"/>
      <c r="AW1" s="221"/>
    </row>
    <row r="2" spans="1:49" s="3" customFormat="1" ht="14.65" thickBot="1" x14ac:dyDescent="0.5">
      <c r="A2" s="28" t="s">
        <v>33</v>
      </c>
      <c r="B2" s="28" t="s">
        <v>32</v>
      </c>
      <c r="C2" s="28" t="s">
        <v>50</v>
      </c>
      <c r="D2" s="28" t="s">
        <v>22</v>
      </c>
      <c r="E2" s="28" t="s">
        <v>23</v>
      </c>
      <c r="F2" s="28" t="s">
        <v>24</v>
      </c>
      <c r="G2" s="28" t="s">
        <v>25</v>
      </c>
      <c r="H2" s="28" t="s">
        <v>26</v>
      </c>
      <c r="I2" s="28" t="s">
        <v>27</v>
      </c>
      <c r="J2" s="28" t="s">
        <v>28</v>
      </c>
      <c r="K2" s="28" t="s">
        <v>29</v>
      </c>
      <c r="L2" s="28" t="s">
        <v>46</v>
      </c>
      <c r="M2" s="9"/>
      <c r="N2" s="28" t="s">
        <v>22</v>
      </c>
      <c r="O2" s="28" t="s">
        <v>23</v>
      </c>
      <c r="P2" s="28" t="s">
        <v>24</v>
      </c>
      <c r="Q2" s="28" t="s">
        <v>25</v>
      </c>
      <c r="R2" s="9"/>
      <c r="S2" s="28" t="s">
        <v>19</v>
      </c>
      <c r="T2" s="28" t="s">
        <v>20</v>
      </c>
      <c r="U2" s="28" t="s">
        <v>21</v>
      </c>
      <c r="V2" s="9"/>
      <c r="W2" s="28" t="s">
        <v>36</v>
      </c>
      <c r="X2" s="28" t="s">
        <v>19</v>
      </c>
      <c r="Y2" s="28" t="s">
        <v>27</v>
      </c>
      <c r="Z2" s="28" t="s">
        <v>47</v>
      </c>
      <c r="AA2" s="29" t="s">
        <v>29</v>
      </c>
      <c r="AB2" s="29" t="s">
        <v>20</v>
      </c>
      <c r="AC2" s="30" t="s">
        <v>35</v>
      </c>
      <c r="AD2" s="31" t="s">
        <v>34</v>
      </c>
      <c r="AE2" s="30" t="s">
        <v>35</v>
      </c>
      <c r="AF2" s="31" t="s">
        <v>34</v>
      </c>
      <c r="AI2" s="225" t="s">
        <v>39</v>
      </c>
      <c r="AJ2" s="226"/>
      <c r="AK2" s="225" t="s">
        <v>40</v>
      </c>
      <c r="AL2" s="226"/>
      <c r="AM2" s="37" t="s">
        <v>45</v>
      </c>
      <c r="AN2" s="32" t="s">
        <v>44</v>
      </c>
      <c r="AO2" s="32" t="s">
        <v>41</v>
      </c>
      <c r="AQ2" s="225" t="s">
        <v>39</v>
      </c>
      <c r="AR2" s="226"/>
      <c r="AS2" s="225" t="s">
        <v>40</v>
      </c>
      <c r="AT2" s="226"/>
      <c r="AU2" s="37" t="s">
        <v>45</v>
      </c>
      <c r="AV2" s="32" t="s">
        <v>44</v>
      </c>
      <c r="AW2" s="32" t="s">
        <v>41</v>
      </c>
    </row>
    <row r="3" spans="1:49" x14ac:dyDescent="0.45">
      <c r="A3" s="16">
        <v>43772</v>
      </c>
      <c r="B3" s="17" t="s">
        <v>0</v>
      </c>
      <c r="C3" s="33"/>
      <c r="D3" s="18">
        <v>0</v>
      </c>
      <c r="E3" s="18">
        <v>0</v>
      </c>
      <c r="F3" s="18">
        <v>0</v>
      </c>
      <c r="G3" s="18">
        <v>0</v>
      </c>
      <c r="H3" s="18">
        <v>0</v>
      </c>
      <c r="I3" s="18">
        <v>72</v>
      </c>
      <c r="J3" s="18">
        <v>0</v>
      </c>
      <c r="K3" s="18">
        <v>0</v>
      </c>
      <c r="L3" s="19">
        <v>0</v>
      </c>
      <c r="M3" s="33"/>
      <c r="N3" s="18">
        <v>0</v>
      </c>
      <c r="O3" s="18">
        <v>0</v>
      </c>
      <c r="P3" s="18">
        <v>0</v>
      </c>
      <c r="Q3" s="18">
        <v>0</v>
      </c>
      <c r="R3" s="33"/>
      <c r="S3" s="18">
        <f t="shared" ref="S3:S34" si="0">SUM(D3:G3)</f>
        <v>0</v>
      </c>
      <c r="T3" s="18">
        <f t="shared" ref="T3:T34" si="1">SUM(N3:Q3)</f>
        <v>0</v>
      </c>
      <c r="U3" s="18">
        <f t="shared" ref="U3:U34" si="2">SUM(H3:L3)</f>
        <v>72</v>
      </c>
      <c r="V3" s="33"/>
      <c r="W3" s="19">
        <v>22.85</v>
      </c>
      <c r="X3" s="19">
        <f t="shared" ref="X3:X34" si="3">(W3*1*D3)+(W3*1.5*E3)+(W3*2*F3)+(W3*1*G3)</f>
        <v>0</v>
      </c>
      <c r="Y3" s="19">
        <f>(W3*0*H3)+(W3*1*I3)</f>
        <v>1645.2</v>
      </c>
      <c r="Z3" s="19">
        <f>(W3*1*J3)+L3</f>
        <v>0</v>
      </c>
      <c r="AA3" s="20">
        <f>(W3*1*K3)</f>
        <v>0</v>
      </c>
      <c r="AB3" s="20">
        <f t="shared" ref="AB3:AB34" si="4">(W3*1*N3)+(W3*1.5*O3)+(W3*2*P3)+(W3*1*Q3)</f>
        <v>0</v>
      </c>
      <c r="AC3" s="21">
        <f>0-Y3-AA3</f>
        <v>-1645.2</v>
      </c>
      <c r="AD3" s="214">
        <f>SUM(AC3:AC11)</f>
        <v>-4725.42</v>
      </c>
      <c r="AE3" s="21">
        <f t="shared" ref="AE3:AE34" si="5">AB3-(X3+Z3)</f>
        <v>0</v>
      </c>
      <c r="AF3" s="214">
        <f>SUM(AE3:AE11)</f>
        <v>0</v>
      </c>
      <c r="AI3" s="10">
        <f>($W3*2.5*8)+($W3*1.5*4)</f>
        <v>594.1</v>
      </c>
      <c r="AJ3" s="10">
        <f>AI3*9</f>
        <v>5346.9000000000005</v>
      </c>
      <c r="AK3" s="10">
        <f>$W3*2*12</f>
        <v>548.40000000000009</v>
      </c>
      <c r="AL3" s="10">
        <f>AK3*9</f>
        <v>4935.6000000000004</v>
      </c>
      <c r="AM3" s="10">
        <f>AK3-AI3</f>
        <v>-45.699999999999932</v>
      </c>
      <c r="AN3" s="10">
        <f>AL3-AJ3</f>
        <v>-411.30000000000018</v>
      </c>
      <c r="AO3" s="10">
        <f>(AN3*-1)/52/40</f>
        <v>0.19774038461538471</v>
      </c>
      <c r="AQ3" s="10">
        <f>($W3*8)</f>
        <v>182.8</v>
      </c>
      <c r="AR3" s="10">
        <f>AQ3*9</f>
        <v>1645.2</v>
      </c>
      <c r="AS3" s="10">
        <v>0</v>
      </c>
      <c r="AT3" s="10">
        <f>AS3*9</f>
        <v>0</v>
      </c>
      <c r="AU3" s="10">
        <f>AS3-AQ3</f>
        <v>-182.8</v>
      </c>
      <c r="AV3" s="10">
        <f>AT3-AR3</f>
        <v>-1645.2</v>
      </c>
      <c r="AW3" s="10">
        <f>(AV3*-1)/52/40</f>
        <v>0.79096153846153849</v>
      </c>
    </row>
    <row r="4" spans="1:49" x14ac:dyDescent="0.45">
      <c r="A4" s="22">
        <f t="shared" ref="A4:A11" si="6">A3</f>
        <v>43772</v>
      </c>
      <c r="B4" s="15" t="s">
        <v>30</v>
      </c>
      <c r="C4" s="34"/>
      <c r="D4" s="13">
        <v>80</v>
      </c>
      <c r="E4" s="13">
        <v>16</v>
      </c>
      <c r="F4" s="13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0">
        <v>0</v>
      </c>
      <c r="M4" s="34"/>
      <c r="N4" s="13">
        <v>80</v>
      </c>
      <c r="O4" s="13">
        <v>16</v>
      </c>
      <c r="P4" s="13">
        <v>0</v>
      </c>
      <c r="Q4" s="13">
        <v>0</v>
      </c>
      <c r="R4" s="34"/>
      <c r="S4" s="13">
        <f t="shared" si="0"/>
        <v>96</v>
      </c>
      <c r="T4" s="13">
        <f t="shared" si="1"/>
        <v>96</v>
      </c>
      <c r="U4" s="13">
        <f t="shared" si="2"/>
        <v>0</v>
      </c>
      <c r="V4" s="34"/>
      <c r="W4" s="10">
        <v>30</v>
      </c>
      <c r="X4" s="10">
        <f t="shared" si="3"/>
        <v>3120</v>
      </c>
      <c r="Y4" s="10">
        <f t="shared" ref="Y4:Y11" si="7">(W4*0*H4)+(W4*1*I4)</f>
        <v>0</v>
      </c>
      <c r="Z4" s="10">
        <f t="shared" ref="Z4:Z11" si="8">(W4*1*J4)+L4</f>
        <v>0</v>
      </c>
      <c r="AA4" s="14">
        <f t="shared" ref="AA4:AA11" si="9">(W4*1*K4)</f>
        <v>0</v>
      </c>
      <c r="AB4" s="14">
        <f t="shared" si="4"/>
        <v>3120</v>
      </c>
      <c r="AC4" s="11">
        <f t="shared" ref="AC4:AC11" si="10">0-Y4-AA4</f>
        <v>0</v>
      </c>
      <c r="AD4" s="215"/>
      <c r="AE4" s="11">
        <f t="shared" si="5"/>
        <v>0</v>
      </c>
      <c r="AF4" s="215"/>
      <c r="AI4" s="10">
        <f t="shared" ref="AI4:AI11" si="11">($W4*2.5*8)+($W4*1.5*4)</f>
        <v>780</v>
      </c>
      <c r="AJ4" s="10">
        <f t="shared" ref="AJ4:AJ11" si="12">AI4*9</f>
        <v>7020</v>
      </c>
      <c r="AK4" s="10">
        <f t="shared" ref="AK4:AK11" si="13">$W4*2*12</f>
        <v>720</v>
      </c>
      <c r="AL4" s="10">
        <f t="shared" ref="AL4:AL11" si="14">AK4*9</f>
        <v>6480</v>
      </c>
      <c r="AM4" s="10">
        <f t="shared" ref="AM4:AM11" si="15">AK4-AI4</f>
        <v>-60</v>
      </c>
      <c r="AN4" s="10">
        <f t="shared" ref="AN4:AN11" si="16">AL4-AJ4</f>
        <v>-540</v>
      </c>
      <c r="AO4" s="10">
        <f t="shared" ref="AO4:AO12" si="17">(AN4*-1)/52/40</f>
        <v>0.25961538461538464</v>
      </c>
      <c r="AQ4" s="10">
        <f t="shared" ref="AQ4:AQ11" si="18">($W4*8)</f>
        <v>240</v>
      </c>
      <c r="AR4" s="10">
        <f t="shared" ref="AR4:AR11" si="19">AQ4*9</f>
        <v>2160</v>
      </c>
      <c r="AS4" s="10">
        <v>0</v>
      </c>
      <c r="AT4" s="10">
        <f t="shared" ref="AT4:AT11" si="20">AS4*9</f>
        <v>0</v>
      </c>
      <c r="AU4" s="10">
        <f t="shared" ref="AU4:AU11" si="21">AS4-AQ4</f>
        <v>-240</v>
      </c>
      <c r="AV4" s="10">
        <f t="shared" ref="AV4:AV11" si="22">AT4-AR4</f>
        <v>-2160</v>
      </c>
      <c r="AW4" s="10">
        <f t="shared" ref="AW4:AW12" si="23">(AV4*-1)/52/40</f>
        <v>1.0384615384615385</v>
      </c>
    </row>
    <row r="5" spans="1:49" x14ac:dyDescent="0.45">
      <c r="A5" s="22">
        <f t="shared" si="6"/>
        <v>43772</v>
      </c>
      <c r="B5" s="15" t="s">
        <v>3</v>
      </c>
      <c r="C5" s="34"/>
      <c r="D5" s="13">
        <v>0</v>
      </c>
      <c r="E5" s="13">
        <v>0</v>
      </c>
      <c r="F5" s="13">
        <v>0</v>
      </c>
      <c r="G5" s="13">
        <v>0</v>
      </c>
      <c r="H5" s="13">
        <v>0</v>
      </c>
      <c r="I5" s="13">
        <v>80</v>
      </c>
      <c r="J5" s="13">
        <v>0</v>
      </c>
      <c r="K5" s="13">
        <v>0</v>
      </c>
      <c r="L5" s="10">
        <v>0</v>
      </c>
      <c r="M5" s="34"/>
      <c r="N5" s="13">
        <v>0</v>
      </c>
      <c r="O5" s="13">
        <v>0</v>
      </c>
      <c r="P5" s="13">
        <v>0</v>
      </c>
      <c r="Q5" s="13">
        <v>0</v>
      </c>
      <c r="R5" s="34"/>
      <c r="S5" s="13">
        <f t="shared" si="0"/>
        <v>0</v>
      </c>
      <c r="T5" s="13">
        <f t="shared" si="1"/>
        <v>0</v>
      </c>
      <c r="U5" s="13">
        <f t="shared" si="2"/>
        <v>80</v>
      </c>
      <c r="V5" s="34"/>
      <c r="W5" s="10">
        <v>27</v>
      </c>
      <c r="X5" s="10">
        <f t="shared" si="3"/>
        <v>0</v>
      </c>
      <c r="Y5" s="10">
        <f t="shared" si="7"/>
        <v>2160</v>
      </c>
      <c r="Z5" s="10">
        <f t="shared" si="8"/>
        <v>0</v>
      </c>
      <c r="AA5" s="14">
        <f t="shared" si="9"/>
        <v>0</v>
      </c>
      <c r="AB5" s="14">
        <f t="shared" si="4"/>
        <v>0</v>
      </c>
      <c r="AC5" s="11">
        <f t="shared" si="10"/>
        <v>-2160</v>
      </c>
      <c r="AD5" s="215"/>
      <c r="AE5" s="11">
        <f t="shared" si="5"/>
        <v>0</v>
      </c>
      <c r="AF5" s="215"/>
      <c r="AI5" s="10">
        <f t="shared" si="11"/>
        <v>702</v>
      </c>
      <c r="AJ5" s="10">
        <f t="shared" si="12"/>
        <v>6318</v>
      </c>
      <c r="AK5" s="10">
        <f t="shared" si="13"/>
        <v>648</v>
      </c>
      <c r="AL5" s="10">
        <f t="shared" si="14"/>
        <v>5832</v>
      </c>
      <c r="AM5" s="10">
        <f t="shared" si="15"/>
        <v>-54</v>
      </c>
      <c r="AN5" s="10">
        <f t="shared" si="16"/>
        <v>-486</v>
      </c>
      <c r="AO5" s="10">
        <f t="shared" si="17"/>
        <v>0.23365384615384616</v>
      </c>
      <c r="AQ5" s="10">
        <f t="shared" si="18"/>
        <v>216</v>
      </c>
      <c r="AR5" s="10">
        <f t="shared" si="19"/>
        <v>1944</v>
      </c>
      <c r="AS5" s="10">
        <v>0</v>
      </c>
      <c r="AT5" s="10">
        <f t="shared" si="20"/>
        <v>0</v>
      </c>
      <c r="AU5" s="10">
        <f t="shared" si="21"/>
        <v>-216</v>
      </c>
      <c r="AV5" s="10">
        <f t="shared" si="22"/>
        <v>-1944</v>
      </c>
      <c r="AW5" s="10">
        <f t="shared" si="23"/>
        <v>0.93461538461538463</v>
      </c>
    </row>
    <row r="6" spans="1:49" x14ac:dyDescent="0.45">
      <c r="A6" s="22">
        <f t="shared" si="6"/>
        <v>43772</v>
      </c>
      <c r="B6" s="15" t="s">
        <v>4</v>
      </c>
      <c r="C6" s="34"/>
      <c r="D6" s="13">
        <v>80</v>
      </c>
      <c r="E6" s="13">
        <v>13.5</v>
      </c>
      <c r="F6" s="13">
        <v>0</v>
      </c>
      <c r="G6" s="13">
        <v>12.5</v>
      </c>
      <c r="H6" s="13">
        <v>0</v>
      </c>
      <c r="I6" s="13">
        <v>0</v>
      </c>
      <c r="J6" s="13">
        <v>0</v>
      </c>
      <c r="K6" s="13">
        <v>0</v>
      </c>
      <c r="L6" s="10">
        <v>0</v>
      </c>
      <c r="M6" s="34"/>
      <c r="N6" s="13">
        <v>80</v>
      </c>
      <c r="O6" s="13">
        <v>13.5</v>
      </c>
      <c r="P6" s="13">
        <v>0</v>
      </c>
      <c r="Q6" s="13">
        <v>12.5</v>
      </c>
      <c r="R6" s="34"/>
      <c r="S6" s="13">
        <f t="shared" si="0"/>
        <v>106</v>
      </c>
      <c r="T6" s="13">
        <f t="shared" si="1"/>
        <v>106</v>
      </c>
      <c r="U6" s="13">
        <f t="shared" si="2"/>
        <v>0</v>
      </c>
      <c r="V6" s="34"/>
      <c r="W6" s="10">
        <v>22</v>
      </c>
      <c r="X6" s="10">
        <f t="shared" si="3"/>
        <v>2480.5</v>
      </c>
      <c r="Y6" s="10">
        <f t="shared" si="7"/>
        <v>0</v>
      </c>
      <c r="Z6" s="10">
        <f t="shared" si="8"/>
        <v>0</v>
      </c>
      <c r="AA6" s="14">
        <f t="shared" si="9"/>
        <v>0</v>
      </c>
      <c r="AB6" s="14">
        <f t="shared" si="4"/>
        <v>2480.5</v>
      </c>
      <c r="AC6" s="11">
        <f t="shared" si="10"/>
        <v>0</v>
      </c>
      <c r="AD6" s="215"/>
      <c r="AE6" s="11">
        <f t="shared" si="5"/>
        <v>0</v>
      </c>
      <c r="AF6" s="215"/>
      <c r="AI6" s="10">
        <f t="shared" si="11"/>
        <v>572</v>
      </c>
      <c r="AJ6" s="10">
        <f t="shared" si="12"/>
        <v>5148</v>
      </c>
      <c r="AK6" s="10">
        <f t="shared" si="13"/>
        <v>528</v>
      </c>
      <c r="AL6" s="10">
        <f t="shared" si="14"/>
        <v>4752</v>
      </c>
      <c r="AM6" s="10">
        <f t="shared" si="15"/>
        <v>-44</v>
      </c>
      <c r="AN6" s="10">
        <f t="shared" si="16"/>
        <v>-396</v>
      </c>
      <c r="AO6" s="10">
        <f t="shared" si="17"/>
        <v>0.19038461538461537</v>
      </c>
      <c r="AQ6" s="10">
        <f t="shared" si="18"/>
        <v>176</v>
      </c>
      <c r="AR6" s="10">
        <f t="shared" si="19"/>
        <v>1584</v>
      </c>
      <c r="AS6" s="10">
        <v>0</v>
      </c>
      <c r="AT6" s="10">
        <f t="shared" si="20"/>
        <v>0</v>
      </c>
      <c r="AU6" s="10">
        <f t="shared" si="21"/>
        <v>-176</v>
      </c>
      <c r="AV6" s="10">
        <f t="shared" si="22"/>
        <v>-1584</v>
      </c>
      <c r="AW6" s="10">
        <f t="shared" si="23"/>
        <v>0.7615384615384615</v>
      </c>
    </row>
    <row r="7" spans="1:49" x14ac:dyDescent="0.45">
      <c r="A7" s="22">
        <f t="shared" si="6"/>
        <v>43772</v>
      </c>
      <c r="B7" s="15" t="s">
        <v>5</v>
      </c>
      <c r="C7" s="34"/>
      <c r="D7" s="13">
        <v>80</v>
      </c>
      <c r="E7" s="13">
        <v>11.5</v>
      </c>
      <c r="F7" s="13">
        <v>8</v>
      </c>
      <c r="G7" s="13">
        <v>8</v>
      </c>
      <c r="H7" s="13">
        <v>0</v>
      </c>
      <c r="I7" s="13">
        <v>0</v>
      </c>
      <c r="J7" s="13">
        <v>0</v>
      </c>
      <c r="K7" s="13">
        <v>0</v>
      </c>
      <c r="L7" s="10">
        <v>0</v>
      </c>
      <c r="M7" s="34"/>
      <c r="N7" s="13">
        <v>80</v>
      </c>
      <c r="O7" s="13">
        <v>11.5</v>
      </c>
      <c r="P7" s="13">
        <v>8</v>
      </c>
      <c r="Q7" s="13">
        <v>8</v>
      </c>
      <c r="R7" s="34"/>
      <c r="S7" s="13">
        <f t="shared" si="0"/>
        <v>107.5</v>
      </c>
      <c r="T7" s="13">
        <f t="shared" si="1"/>
        <v>107.5</v>
      </c>
      <c r="U7" s="13">
        <f t="shared" si="2"/>
        <v>0</v>
      </c>
      <c r="V7" s="34"/>
      <c r="W7" s="10">
        <v>26.5</v>
      </c>
      <c r="X7" s="10">
        <f t="shared" si="3"/>
        <v>3213.125</v>
      </c>
      <c r="Y7" s="10">
        <f t="shared" si="7"/>
        <v>0</v>
      </c>
      <c r="Z7" s="10">
        <f t="shared" si="8"/>
        <v>0</v>
      </c>
      <c r="AA7" s="14">
        <f t="shared" si="9"/>
        <v>0</v>
      </c>
      <c r="AB7" s="14">
        <f t="shared" si="4"/>
        <v>3213.125</v>
      </c>
      <c r="AC7" s="11">
        <f t="shared" si="10"/>
        <v>0</v>
      </c>
      <c r="AD7" s="215"/>
      <c r="AE7" s="11">
        <f t="shared" si="5"/>
        <v>0</v>
      </c>
      <c r="AF7" s="215"/>
      <c r="AI7" s="10">
        <f t="shared" si="11"/>
        <v>689</v>
      </c>
      <c r="AJ7" s="10">
        <f t="shared" si="12"/>
        <v>6201</v>
      </c>
      <c r="AK7" s="10">
        <f t="shared" si="13"/>
        <v>636</v>
      </c>
      <c r="AL7" s="10">
        <f t="shared" si="14"/>
        <v>5724</v>
      </c>
      <c r="AM7" s="10">
        <f t="shared" si="15"/>
        <v>-53</v>
      </c>
      <c r="AN7" s="10">
        <f t="shared" si="16"/>
        <v>-477</v>
      </c>
      <c r="AO7" s="10">
        <f t="shared" si="17"/>
        <v>0.22932692307692309</v>
      </c>
      <c r="AQ7" s="10">
        <f t="shared" si="18"/>
        <v>212</v>
      </c>
      <c r="AR7" s="10">
        <f t="shared" si="19"/>
        <v>1908</v>
      </c>
      <c r="AS7" s="10">
        <v>0</v>
      </c>
      <c r="AT7" s="10">
        <f t="shared" si="20"/>
        <v>0</v>
      </c>
      <c r="AU7" s="10">
        <f t="shared" si="21"/>
        <v>-212</v>
      </c>
      <c r="AV7" s="10">
        <f t="shared" si="22"/>
        <v>-1908</v>
      </c>
      <c r="AW7" s="10">
        <f t="shared" si="23"/>
        <v>0.91730769230769238</v>
      </c>
    </row>
    <row r="8" spans="1:49" x14ac:dyDescent="0.45">
      <c r="A8" s="22">
        <f t="shared" si="6"/>
        <v>43772</v>
      </c>
      <c r="B8" s="15" t="s">
        <v>6</v>
      </c>
      <c r="C8" s="34"/>
      <c r="D8" s="13">
        <v>37.5</v>
      </c>
      <c r="E8" s="13">
        <v>0</v>
      </c>
      <c r="F8" s="13">
        <v>0</v>
      </c>
      <c r="G8" s="13">
        <v>0</v>
      </c>
      <c r="H8" s="13">
        <v>0</v>
      </c>
      <c r="I8" s="13">
        <v>43.82</v>
      </c>
      <c r="J8" s="13">
        <v>0</v>
      </c>
      <c r="K8" s="13">
        <v>0</v>
      </c>
      <c r="L8" s="10">
        <v>0</v>
      </c>
      <c r="M8" s="34"/>
      <c r="N8" s="13">
        <v>37.5</v>
      </c>
      <c r="O8" s="13">
        <v>0</v>
      </c>
      <c r="P8" s="13">
        <v>0</v>
      </c>
      <c r="Q8" s="13">
        <v>0</v>
      </c>
      <c r="R8" s="34"/>
      <c r="S8" s="13">
        <f t="shared" si="0"/>
        <v>37.5</v>
      </c>
      <c r="T8" s="13">
        <f t="shared" si="1"/>
        <v>37.5</v>
      </c>
      <c r="U8" s="13">
        <f t="shared" si="2"/>
        <v>43.82</v>
      </c>
      <c r="V8" s="34"/>
      <c r="W8" s="10">
        <v>21</v>
      </c>
      <c r="X8" s="10">
        <f t="shared" si="3"/>
        <v>787.5</v>
      </c>
      <c r="Y8" s="10">
        <f t="shared" si="7"/>
        <v>920.22</v>
      </c>
      <c r="Z8" s="10">
        <f t="shared" si="8"/>
        <v>0</v>
      </c>
      <c r="AA8" s="14">
        <f t="shared" si="9"/>
        <v>0</v>
      </c>
      <c r="AB8" s="14">
        <f t="shared" si="4"/>
        <v>787.5</v>
      </c>
      <c r="AC8" s="11">
        <f t="shared" si="10"/>
        <v>-920.22</v>
      </c>
      <c r="AD8" s="215"/>
      <c r="AE8" s="11">
        <f t="shared" si="5"/>
        <v>0</v>
      </c>
      <c r="AF8" s="215"/>
      <c r="AI8" s="10">
        <f t="shared" si="11"/>
        <v>546</v>
      </c>
      <c r="AJ8" s="10">
        <f t="shared" si="12"/>
        <v>4914</v>
      </c>
      <c r="AK8" s="10">
        <f t="shared" si="13"/>
        <v>504</v>
      </c>
      <c r="AL8" s="10">
        <f t="shared" si="14"/>
        <v>4536</v>
      </c>
      <c r="AM8" s="10">
        <f t="shared" si="15"/>
        <v>-42</v>
      </c>
      <c r="AN8" s="10">
        <f t="shared" si="16"/>
        <v>-378</v>
      </c>
      <c r="AO8" s="10">
        <f t="shared" si="17"/>
        <v>0.18173076923076922</v>
      </c>
      <c r="AQ8" s="10">
        <f t="shared" si="18"/>
        <v>168</v>
      </c>
      <c r="AR8" s="10">
        <f t="shared" si="19"/>
        <v>1512</v>
      </c>
      <c r="AS8" s="10">
        <v>0</v>
      </c>
      <c r="AT8" s="10">
        <f t="shared" si="20"/>
        <v>0</v>
      </c>
      <c r="AU8" s="10">
        <f t="shared" si="21"/>
        <v>-168</v>
      </c>
      <c r="AV8" s="10">
        <f t="shared" si="22"/>
        <v>-1512</v>
      </c>
      <c r="AW8" s="10">
        <f t="shared" si="23"/>
        <v>0.72692307692307689</v>
      </c>
    </row>
    <row r="9" spans="1:49" x14ac:dyDescent="0.45">
      <c r="A9" s="22">
        <f t="shared" si="6"/>
        <v>43772</v>
      </c>
      <c r="B9" s="15" t="s">
        <v>8</v>
      </c>
      <c r="C9" s="34"/>
      <c r="D9" s="13">
        <v>80</v>
      </c>
      <c r="E9" s="13">
        <v>6.5</v>
      </c>
      <c r="F9" s="13">
        <v>0</v>
      </c>
      <c r="G9" s="13">
        <v>21.5</v>
      </c>
      <c r="H9" s="13">
        <v>0</v>
      </c>
      <c r="I9" s="13">
        <v>0</v>
      </c>
      <c r="J9" s="13">
        <v>0</v>
      </c>
      <c r="K9" s="13">
        <v>0</v>
      </c>
      <c r="L9" s="10">
        <v>0</v>
      </c>
      <c r="M9" s="34"/>
      <c r="N9" s="13">
        <v>80</v>
      </c>
      <c r="O9" s="13">
        <v>6.5</v>
      </c>
      <c r="P9" s="13">
        <v>0</v>
      </c>
      <c r="Q9" s="13">
        <v>21.5</v>
      </c>
      <c r="R9" s="34"/>
      <c r="S9" s="13">
        <f t="shared" si="0"/>
        <v>108</v>
      </c>
      <c r="T9" s="13">
        <f t="shared" si="1"/>
        <v>108</v>
      </c>
      <c r="U9" s="13">
        <f t="shared" si="2"/>
        <v>0</v>
      </c>
      <c r="V9" s="34"/>
      <c r="W9" s="10">
        <v>22</v>
      </c>
      <c r="X9" s="10">
        <f t="shared" si="3"/>
        <v>2447.5</v>
      </c>
      <c r="Y9" s="10">
        <f t="shared" si="7"/>
        <v>0</v>
      </c>
      <c r="Z9" s="10">
        <f t="shared" si="8"/>
        <v>0</v>
      </c>
      <c r="AA9" s="14">
        <f t="shared" si="9"/>
        <v>0</v>
      </c>
      <c r="AB9" s="14">
        <f t="shared" si="4"/>
        <v>2447.5</v>
      </c>
      <c r="AC9" s="11">
        <f t="shared" si="10"/>
        <v>0</v>
      </c>
      <c r="AD9" s="215"/>
      <c r="AE9" s="11">
        <f t="shared" si="5"/>
        <v>0</v>
      </c>
      <c r="AF9" s="215"/>
      <c r="AI9" s="10">
        <f t="shared" si="11"/>
        <v>572</v>
      </c>
      <c r="AJ9" s="10">
        <f t="shared" si="12"/>
        <v>5148</v>
      </c>
      <c r="AK9" s="10">
        <f t="shared" si="13"/>
        <v>528</v>
      </c>
      <c r="AL9" s="10">
        <f t="shared" si="14"/>
        <v>4752</v>
      </c>
      <c r="AM9" s="10">
        <f t="shared" si="15"/>
        <v>-44</v>
      </c>
      <c r="AN9" s="10">
        <f t="shared" si="16"/>
        <v>-396</v>
      </c>
      <c r="AO9" s="10">
        <f t="shared" si="17"/>
        <v>0.19038461538461537</v>
      </c>
      <c r="AQ9" s="10">
        <f t="shared" si="18"/>
        <v>176</v>
      </c>
      <c r="AR9" s="10">
        <f t="shared" si="19"/>
        <v>1584</v>
      </c>
      <c r="AS9" s="10">
        <v>0</v>
      </c>
      <c r="AT9" s="10">
        <f t="shared" si="20"/>
        <v>0</v>
      </c>
      <c r="AU9" s="10">
        <f t="shared" si="21"/>
        <v>-176</v>
      </c>
      <c r="AV9" s="10">
        <f t="shared" si="22"/>
        <v>-1584</v>
      </c>
      <c r="AW9" s="10">
        <f t="shared" si="23"/>
        <v>0.7615384615384615</v>
      </c>
    </row>
    <row r="10" spans="1:49" x14ac:dyDescent="0.45">
      <c r="A10" s="22">
        <f t="shared" si="6"/>
        <v>43772</v>
      </c>
      <c r="B10" s="15" t="s">
        <v>9</v>
      </c>
      <c r="C10" s="34"/>
      <c r="D10" s="13">
        <v>80</v>
      </c>
      <c r="E10" s="13">
        <v>9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0">
        <v>0</v>
      </c>
      <c r="M10" s="34"/>
      <c r="N10" s="13">
        <v>80</v>
      </c>
      <c r="O10" s="13">
        <v>9</v>
      </c>
      <c r="P10" s="13">
        <v>0</v>
      </c>
      <c r="Q10" s="13">
        <v>0</v>
      </c>
      <c r="R10" s="34"/>
      <c r="S10" s="13">
        <f t="shared" si="0"/>
        <v>89</v>
      </c>
      <c r="T10" s="13">
        <f t="shared" si="1"/>
        <v>89</v>
      </c>
      <c r="U10" s="13">
        <f t="shared" si="2"/>
        <v>0</v>
      </c>
      <c r="V10" s="34"/>
      <c r="W10" s="10">
        <v>26</v>
      </c>
      <c r="X10" s="10">
        <f t="shared" si="3"/>
        <v>2431</v>
      </c>
      <c r="Y10" s="10">
        <f t="shared" si="7"/>
        <v>0</v>
      </c>
      <c r="Z10" s="10">
        <f t="shared" si="8"/>
        <v>0</v>
      </c>
      <c r="AA10" s="14">
        <f t="shared" si="9"/>
        <v>0</v>
      </c>
      <c r="AB10" s="14">
        <f t="shared" si="4"/>
        <v>2431</v>
      </c>
      <c r="AC10" s="11">
        <f t="shared" si="10"/>
        <v>0</v>
      </c>
      <c r="AD10" s="215"/>
      <c r="AE10" s="11">
        <f t="shared" si="5"/>
        <v>0</v>
      </c>
      <c r="AF10" s="215"/>
      <c r="AI10" s="10">
        <f t="shared" si="11"/>
        <v>676</v>
      </c>
      <c r="AJ10" s="10">
        <f t="shared" si="12"/>
        <v>6084</v>
      </c>
      <c r="AK10" s="10">
        <f t="shared" si="13"/>
        <v>624</v>
      </c>
      <c r="AL10" s="10">
        <f t="shared" si="14"/>
        <v>5616</v>
      </c>
      <c r="AM10" s="10">
        <f t="shared" si="15"/>
        <v>-52</v>
      </c>
      <c r="AN10" s="10">
        <f t="shared" si="16"/>
        <v>-468</v>
      </c>
      <c r="AO10" s="10">
        <f t="shared" si="17"/>
        <v>0.22500000000000001</v>
      </c>
      <c r="AQ10" s="10">
        <f t="shared" si="18"/>
        <v>208</v>
      </c>
      <c r="AR10" s="10">
        <f t="shared" si="19"/>
        <v>1872</v>
      </c>
      <c r="AS10" s="10">
        <v>0</v>
      </c>
      <c r="AT10" s="10">
        <f t="shared" si="20"/>
        <v>0</v>
      </c>
      <c r="AU10" s="10">
        <f t="shared" si="21"/>
        <v>-208</v>
      </c>
      <c r="AV10" s="10">
        <f t="shared" si="22"/>
        <v>-1872</v>
      </c>
      <c r="AW10" s="10">
        <f t="shared" si="23"/>
        <v>0.9</v>
      </c>
    </row>
    <row r="11" spans="1:49" ht="14.65" thickBot="1" x14ac:dyDescent="0.5">
      <c r="A11" s="23">
        <f t="shared" si="6"/>
        <v>43772</v>
      </c>
      <c r="B11" s="24" t="s">
        <v>31</v>
      </c>
      <c r="C11" s="35"/>
      <c r="D11" s="25">
        <v>80</v>
      </c>
      <c r="E11" s="25">
        <v>9.75</v>
      </c>
      <c r="F11" s="25">
        <v>6.75</v>
      </c>
      <c r="G11" s="25">
        <v>6.5</v>
      </c>
      <c r="H11" s="25">
        <v>0</v>
      </c>
      <c r="I11" s="25">
        <v>0</v>
      </c>
      <c r="J11" s="25">
        <v>0</v>
      </c>
      <c r="K11" s="25">
        <v>0</v>
      </c>
      <c r="L11" s="26">
        <v>0</v>
      </c>
      <c r="M11" s="35"/>
      <c r="N11" s="25">
        <v>80</v>
      </c>
      <c r="O11" s="25">
        <v>9.75</v>
      </c>
      <c r="P11" s="25">
        <v>6.75</v>
      </c>
      <c r="Q11" s="25">
        <v>6.5</v>
      </c>
      <c r="R11" s="35"/>
      <c r="S11" s="25">
        <f t="shared" si="0"/>
        <v>103</v>
      </c>
      <c r="T11" s="25">
        <f t="shared" si="1"/>
        <v>103</v>
      </c>
      <c r="U11" s="25">
        <f t="shared" si="2"/>
        <v>0</v>
      </c>
      <c r="V11" s="35"/>
      <c r="W11" s="26">
        <v>25</v>
      </c>
      <c r="X11" s="26">
        <f t="shared" si="3"/>
        <v>2865.625</v>
      </c>
      <c r="Y11" s="26">
        <f t="shared" si="7"/>
        <v>0</v>
      </c>
      <c r="Z11" s="26">
        <f t="shared" si="8"/>
        <v>0</v>
      </c>
      <c r="AA11" s="27">
        <f t="shared" si="9"/>
        <v>0</v>
      </c>
      <c r="AB11" s="27">
        <f t="shared" si="4"/>
        <v>2865.625</v>
      </c>
      <c r="AC11" s="12">
        <f t="shared" si="10"/>
        <v>0</v>
      </c>
      <c r="AD11" s="216"/>
      <c r="AE11" s="12">
        <f t="shared" si="5"/>
        <v>0</v>
      </c>
      <c r="AF11" s="216"/>
      <c r="AI11" s="10">
        <f t="shared" si="11"/>
        <v>650</v>
      </c>
      <c r="AJ11" s="10">
        <f t="shared" si="12"/>
        <v>5850</v>
      </c>
      <c r="AK11" s="10">
        <f t="shared" si="13"/>
        <v>600</v>
      </c>
      <c r="AL11" s="10">
        <f t="shared" si="14"/>
        <v>5400</v>
      </c>
      <c r="AM11" s="10">
        <f t="shared" si="15"/>
        <v>-50</v>
      </c>
      <c r="AN11" s="10">
        <f t="shared" si="16"/>
        <v>-450</v>
      </c>
      <c r="AO11" s="10">
        <f t="shared" si="17"/>
        <v>0.21634615384615383</v>
      </c>
      <c r="AQ11" s="10">
        <f t="shared" si="18"/>
        <v>200</v>
      </c>
      <c r="AR11" s="10">
        <f t="shared" si="19"/>
        <v>1800</v>
      </c>
      <c r="AS11" s="10">
        <v>0</v>
      </c>
      <c r="AT11" s="10">
        <f t="shared" si="20"/>
        <v>0</v>
      </c>
      <c r="AU11" s="10">
        <f t="shared" si="21"/>
        <v>-200</v>
      </c>
      <c r="AV11" s="10">
        <f t="shared" si="22"/>
        <v>-1800</v>
      </c>
      <c r="AW11" s="10">
        <f t="shared" si="23"/>
        <v>0.86538461538461531</v>
      </c>
    </row>
    <row r="12" spans="1:49" x14ac:dyDescent="0.45">
      <c r="A12" s="16">
        <f>A11+14</f>
        <v>43786</v>
      </c>
      <c r="B12" s="17" t="s">
        <v>0</v>
      </c>
      <c r="C12" s="33"/>
      <c r="D12" s="18">
        <v>80</v>
      </c>
      <c r="E12" s="18">
        <v>33</v>
      </c>
      <c r="F12" s="18">
        <v>22</v>
      </c>
      <c r="G12" s="18">
        <v>6</v>
      </c>
      <c r="H12" s="18">
        <v>0</v>
      </c>
      <c r="I12" s="18">
        <v>0</v>
      </c>
      <c r="J12" s="18">
        <v>0</v>
      </c>
      <c r="K12" s="18">
        <v>0</v>
      </c>
      <c r="L12" s="19">
        <v>0</v>
      </c>
      <c r="M12" s="33"/>
      <c r="N12" s="18">
        <v>86</v>
      </c>
      <c r="O12" s="18">
        <v>33</v>
      </c>
      <c r="P12" s="18">
        <v>23</v>
      </c>
      <c r="Q12" s="18">
        <v>0</v>
      </c>
      <c r="R12" s="33"/>
      <c r="S12" s="36">
        <f t="shared" si="0"/>
        <v>141</v>
      </c>
      <c r="T12" s="36">
        <f t="shared" si="1"/>
        <v>142</v>
      </c>
      <c r="U12" s="18">
        <f t="shared" si="2"/>
        <v>0</v>
      </c>
      <c r="V12" s="33"/>
      <c r="W12" s="19">
        <v>22.85</v>
      </c>
      <c r="X12" s="19">
        <f t="shared" si="3"/>
        <v>4101.5750000000007</v>
      </c>
      <c r="Y12" s="19">
        <f>(W12*0*H12)+(W12*1*I12)</f>
        <v>0</v>
      </c>
      <c r="Z12" s="19">
        <f>(W12*1*J12)+L12</f>
        <v>0</v>
      </c>
      <c r="AA12" s="20">
        <f>(W12*1*K12)</f>
        <v>0</v>
      </c>
      <c r="AB12" s="20">
        <f t="shared" si="4"/>
        <v>4147.2750000000005</v>
      </c>
      <c r="AC12" s="21">
        <f>0-Y12-AA12</f>
        <v>0</v>
      </c>
      <c r="AD12" s="214">
        <f>SUM(AC12:AC20)</f>
        <v>-1944</v>
      </c>
      <c r="AE12" s="21">
        <f t="shared" si="5"/>
        <v>45.699999999999818</v>
      </c>
      <c r="AF12" s="214">
        <f>SUM(AE12:AE20)</f>
        <v>89.449999999999818</v>
      </c>
      <c r="AM12" s="10">
        <f>SUM(AM3:AM11)</f>
        <v>-444.69999999999993</v>
      </c>
      <c r="AN12" s="10">
        <f>SUM(AN3:AN11)</f>
        <v>-4002.3</v>
      </c>
      <c r="AO12" s="10">
        <f t="shared" si="17"/>
        <v>1.9241826923076926</v>
      </c>
      <c r="AU12" s="10">
        <f>SUM(AU3:AU11)</f>
        <v>-1778.8</v>
      </c>
      <c r="AV12" s="10">
        <f>SUM(AV3:AV11)</f>
        <v>-16009.2</v>
      </c>
      <c r="AW12" s="10">
        <f t="shared" si="23"/>
        <v>7.6967307692307703</v>
      </c>
    </row>
    <row r="13" spans="1:49" x14ac:dyDescent="0.45">
      <c r="A13" s="22">
        <f t="shared" ref="A13:A20" si="24">A12</f>
        <v>43786</v>
      </c>
      <c r="B13" s="15" t="s">
        <v>30</v>
      </c>
      <c r="C13" s="34"/>
      <c r="D13" s="13">
        <v>80</v>
      </c>
      <c r="E13" s="13">
        <v>14.5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0">
        <v>0</v>
      </c>
      <c r="M13" s="34"/>
      <c r="N13" s="13">
        <v>80</v>
      </c>
      <c r="O13" s="13">
        <v>14.5</v>
      </c>
      <c r="P13" s="13">
        <v>0</v>
      </c>
      <c r="Q13" s="13">
        <v>0</v>
      </c>
      <c r="R13" s="34"/>
      <c r="S13" s="13">
        <f t="shared" si="0"/>
        <v>94.5</v>
      </c>
      <c r="T13" s="13">
        <f t="shared" si="1"/>
        <v>94.5</v>
      </c>
      <c r="U13" s="13">
        <f t="shared" si="2"/>
        <v>0</v>
      </c>
      <c r="V13" s="34"/>
      <c r="W13" s="10">
        <v>30</v>
      </c>
      <c r="X13" s="10">
        <f t="shared" si="3"/>
        <v>3052.5</v>
      </c>
      <c r="Y13" s="10">
        <f t="shared" ref="Y13:Y20" si="25">(W13*0*H13)+(W13*1*I13)</f>
        <v>0</v>
      </c>
      <c r="Z13" s="10">
        <f t="shared" ref="Z13:Z20" si="26">(W13*1*J13)+L13</f>
        <v>0</v>
      </c>
      <c r="AA13" s="14">
        <f t="shared" ref="AA13:AA20" si="27">(W13*1*K13)</f>
        <v>0</v>
      </c>
      <c r="AB13" s="14">
        <f t="shared" si="4"/>
        <v>3052.5</v>
      </c>
      <c r="AC13" s="11">
        <f t="shared" ref="AC13:AC20" si="28">0-Y13-AA13</f>
        <v>0</v>
      </c>
      <c r="AD13" s="215"/>
      <c r="AE13" s="11">
        <f t="shared" si="5"/>
        <v>0</v>
      </c>
      <c r="AF13" s="215"/>
    </row>
    <row r="14" spans="1:49" x14ac:dyDescent="0.45">
      <c r="A14" s="22">
        <f t="shared" si="24"/>
        <v>43786</v>
      </c>
      <c r="B14" s="15" t="s">
        <v>3</v>
      </c>
      <c r="C14" s="34"/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72</v>
      </c>
      <c r="J14" s="13">
        <v>0</v>
      </c>
      <c r="K14" s="13">
        <v>0</v>
      </c>
      <c r="L14" s="10">
        <v>0</v>
      </c>
      <c r="M14" s="34"/>
      <c r="N14" s="13">
        <v>0</v>
      </c>
      <c r="O14" s="13">
        <v>0</v>
      </c>
      <c r="P14" s="13">
        <v>0</v>
      </c>
      <c r="Q14" s="13">
        <v>0</v>
      </c>
      <c r="R14" s="34"/>
      <c r="S14" s="13">
        <f t="shared" si="0"/>
        <v>0</v>
      </c>
      <c r="T14" s="13">
        <f t="shared" si="1"/>
        <v>0</v>
      </c>
      <c r="U14" s="13">
        <f t="shared" si="2"/>
        <v>72</v>
      </c>
      <c r="V14" s="34"/>
      <c r="W14" s="10">
        <v>27</v>
      </c>
      <c r="X14" s="10">
        <f t="shared" si="3"/>
        <v>0</v>
      </c>
      <c r="Y14" s="10">
        <f t="shared" si="25"/>
        <v>1944</v>
      </c>
      <c r="Z14" s="10">
        <f t="shared" si="26"/>
        <v>0</v>
      </c>
      <c r="AA14" s="14">
        <f t="shared" si="27"/>
        <v>0</v>
      </c>
      <c r="AB14" s="14">
        <f t="shared" si="4"/>
        <v>0</v>
      </c>
      <c r="AC14" s="11">
        <f t="shared" si="28"/>
        <v>-1944</v>
      </c>
      <c r="AD14" s="215"/>
      <c r="AE14" s="11">
        <f t="shared" si="5"/>
        <v>0</v>
      </c>
      <c r="AF14" s="215"/>
    </row>
    <row r="15" spans="1:49" x14ac:dyDescent="0.45">
      <c r="A15" s="22">
        <f t="shared" si="24"/>
        <v>43786</v>
      </c>
      <c r="B15" s="15" t="s">
        <v>4</v>
      </c>
      <c r="C15" s="34"/>
      <c r="D15" s="13">
        <v>80</v>
      </c>
      <c r="E15" s="13">
        <v>38.5</v>
      </c>
      <c r="F15" s="13">
        <v>12</v>
      </c>
      <c r="G15" s="13">
        <v>16</v>
      </c>
      <c r="H15" s="13">
        <v>0</v>
      </c>
      <c r="I15" s="13">
        <v>0</v>
      </c>
      <c r="J15" s="13">
        <v>0</v>
      </c>
      <c r="K15" s="13">
        <v>0</v>
      </c>
      <c r="L15" s="10">
        <v>0</v>
      </c>
      <c r="M15" s="34"/>
      <c r="N15" s="13">
        <v>92</v>
      </c>
      <c r="O15" s="13">
        <v>40.5</v>
      </c>
      <c r="P15" s="13">
        <v>14</v>
      </c>
      <c r="Q15" s="13">
        <v>0</v>
      </c>
      <c r="R15" s="34"/>
      <c r="S15" s="13">
        <f t="shared" si="0"/>
        <v>146.5</v>
      </c>
      <c r="T15" s="13">
        <f t="shared" si="1"/>
        <v>146.5</v>
      </c>
      <c r="U15" s="13">
        <f t="shared" si="2"/>
        <v>0</v>
      </c>
      <c r="V15" s="34"/>
      <c r="W15" s="10">
        <v>22</v>
      </c>
      <c r="X15" s="10">
        <f t="shared" si="3"/>
        <v>3910.5</v>
      </c>
      <c r="Y15" s="10">
        <f t="shared" si="25"/>
        <v>0</v>
      </c>
      <c r="Z15" s="10">
        <f t="shared" si="26"/>
        <v>0</v>
      </c>
      <c r="AA15" s="14">
        <f t="shared" si="27"/>
        <v>0</v>
      </c>
      <c r="AB15" s="14">
        <f t="shared" si="4"/>
        <v>3976.5</v>
      </c>
      <c r="AC15" s="11">
        <f t="shared" si="28"/>
        <v>0</v>
      </c>
      <c r="AD15" s="215"/>
      <c r="AE15" s="11">
        <f t="shared" si="5"/>
        <v>66</v>
      </c>
      <c r="AF15" s="215"/>
    </row>
    <row r="16" spans="1:49" x14ac:dyDescent="0.45">
      <c r="A16" s="22">
        <f t="shared" si="24"/>
        <v>43786</v>
      </c>
      <c r="B16" s="15" t="s">
        <v>5</v>
      </c>
      <c r="C16" s="34"/>
      <c r="D16" s="13">
        <v>80</v>
      </c>
      <c r="E16" s="13">
        <v>31.25</v>
      </c>
      <c r="F16" s="13">
        <v>0</v>
      </c>
      <c r="G16" s="13">
        <v>8</v>
      </c>
      <c r="H16" s="13">
        <v>0</v>
      </c>
      <c r="I16" s="13">
        <v>0</v>
      </c>
      <c r="J16" s="13">
        <v>0</v>
      </c>
      <c r="K16" s="13">
        <v>0</v>
      </c>
      <c r="L16" s="10">
        <v>0</v>
      </c>
      <c r="M16" s="34"/>
      <c r="N16" s="13">
        <v>80</v>
      </c>
      <c r="O16" s="13">
        <v>31.25</v>
      </c>
      <c r="P16" s="13">
        <v>0</v>
      </c>
      <c r="Q16" s="13">
        <v>8</v>
      </c>
      <c r="R16" s="34"/>
      <c r="S16" s="13">
        <f t="shared" si="0"/>
        <v>119.25</v>
      </c>
      <c r="T16" s="13">
        <f t="shared" si="1"/>
        <v>119.25</v>
      </c>
      <c r="U16" s="13">
        <f t="shared" si="2"/>
        <v>0</v>
      </c>
      <c r="V16" s="34"/>
      <c r="W16" s="10">
        <v>26.5</v>
      </c>
      <c r="X16" s="10">
        <f t="shared" si="3"/>
        <v>3574.1875</v>
      </c>
      <c r="Y16" s="10">
        <f t="shared" si="25"/>
        <v>0</v>
      </c>
      <c r="Z16" s="10">
        <f t="shared" si="26"/>
        <v>0</v>
      </c>
      <c r="AA16" s="14">
        <f t="shared" si="27"/>
        <v>0</v>
      </c>
      <c r="AB16" s="14">
        <f t="shared" si="4"/>
        <v>3574.1875</v>
      </c>
      <c r="AC16" s="11">
        <f t="shared" si="28"/>
        <v>0</v>
      </c>
      <c r="AD16" s="215"/>
      <c r="AE16" s="11">
        <f t="shared" si="5"/>
        <v>0</v>
      </c>
      <c r="AF16" s="215"/>
    </row>
    <row r="17" spans="1:32" x14ac:dyDescent="0.45">
      <c r="A17" s="22">
        <f t="shared" si="24"/>
        <v>43786</v>
      </c>
      <c r="B17" s="15" t="s">
        <v>6</v>
      </c>
      <c r="C17" s="34"/>
      <c r="D17" s="13">
        <v>80</v>
      </c>
      <c r="E17" s="13">
        <v>31.25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0">
        <v>0</v>
      </c>
      <c r="M17" s="34"/>
      <c r="N17" s="13">
        <v>80</v>
      </c>
      <c r="O17" s="13">
        <v>31.75</v>
      </c>
      <c r="P17" s="13">
        <v>0</v>
      </c>
      <c r="Q17" s="13">
        <v>0</v>
      </c>
      <c r="R17" s="34"/>
      <c r="S17" s="13">
        <f t="shared" si="0"/>
        <v>111.25</v>
      </c>
      <c r="T17" s="13">
        <f t="shared" si="1"/>
        <v>111.75</v>
      </c>
      <c r="U17" s="13">
        <f t="shared" si="2"/>
        <v>0</v>
      </c>
      <c r="V17" s="34"/>
      <c r="W17" s="10">
        <v>21</v>
      </c>
      <c r="X17" s="10">
        <f t="shared" si="3"/>
        <v>2664.375</v>
      </c>
      <c r="Y17" s="10">
        <f t="shared" si="25"/>
        <v>0</v>
      </c>
      <c r="Z17" s="10">
        <f t="shared" si="26"/>
        <v>0</v>
      </c>
      <c r="AA17" s="14">
        <f t="shared" si="27"/>
        <v>0</v>
      </c>
      <c r="AB17" s="14">
        <f t="shared" si="4"/>
        <v>2680.125</v>
      </c>
      <c r="AC17" s="11">
        <f t="shared" si="28"/>
        <v>0</v>
      </c>
      <c r="AD17" s="215"/>
      <c r="AE17" s="11">
        <f t="shared" si="5"/>
        <v>15.75</v>
      </c>
      <c r="AF17" s="215"/>
    </row>
    <row r="18" spans="1:32" x14ac:dyDescent="0.45">
      <c r="A18" s="22">
        <f t="shared" si="24"/>
        <v>43786</v>
      </c>
      <c r="B18" s="15" t="s">
        <v>8</v>
      </c>
      <c r="C18" s="34"/>
      <c r="D18" s="13">
        <v>80</v>
      </c>
      <c r="E18" s="13">
        <v>31.5</v>
      </c>
      <c r="F18" s="13">
        <v>12</v>
      </c>
      <c r="G18" s="13">
        <v>15</v>
      </c>
      <c r="H18" s="13">
        <v>0</v>
      </c>
      <c r="I18" s="13">
        <v>0</v>
      </c>
      <c r="J18" s="13">
        <v>0</v>
      </c>
      <c r="K18" s="13">
        <v>0</v>
      </c>
      <c r="L18" s="10">
        <v>0</v>
      </c>
      <c r="M18" s="34"/>
      <c r="N18" s="13">
        <v>92</v>
      </c>
      <c r="O18" s="13">
        <v>31.5</v>
      </c>
      <c r="P18" s="13">
        <v>15</v>
      </c>
      <c r="Q18" s="13">
        <v>0</v>
      </c>
      <c r="R18" s="34"/>
      <c r="S18" s="13">
        <f t="shared" si="0"/>
        <v>138.5</v>
      </c>
      <c r="T18" s="13">
        <f t="shared" si="1"/>
        <v>138.5</v>
      </c>
      <c r="U18" s="13">
        <f t="shared" si="2"/>
        <v>0</v>
      </c>
      <c r="V18" s="34"/>
      <c r="W18" s="10">
        <v>22</v>
      </c>
      <c r="X18" s="10">
        <f t="shared" si="3"/>
        <v>3657.5</v>
      </c>
      <c r="Y18" s="10">
        <f t="shared" si="25"/>
        <v>0</v>
      </c>
      <c r="Z18" s="10">
        <f t="shared" si="26"/>
        <v>0</v>
      </c>
      <c r="AA18" s="14">
        <f t="shared" si="27"/>
        <v>0</v>
      </c>
      <c r="AB18" s="14">
        <f t="shared" si="4"/>
        <v>3723.5</v>
      </c>
      <c r="AC18" s="11">
        <f t="shared" si="28"/>
        <v>0</v>
      </c>
      <c r="AD18" s="215"/>
      <c r="AE18" s="11">
        <f t="shared" si="5"/>
        <v>66</v>
      </c>
      <c r="AF18" s="215"/>
    </row>
    <row r="19" spans="1:32" x14ac:dyDescent="0.45">
      <c r="A19" s="22">
        <f t="shared" si="24"/>
        <v>43786</v>
      </c>
      <c r="B19" s="15" t="s">
        <v>9</v>
      </c>
      <c r="C19" s="34"/>
      <c r="D19" s="13">
        <v>80</v>
      </c>
      <c r="E19" s="13">
        <v>18</v>
      </c>
      <c r="F19" s="13">
        <v>8</v>
      </c>
      <c r="G19" s="13">
        <v>10</v>
      </c>
      <c r="H19" s="13">
        <v>0</v>
      </c>
      <c r="I19" s="13">
        <v>0</v>
      </c>
      <c r="J19" s="13">
        <v>0</v>
      </c>
      <c r="K19" s="13">
        <v>0</v>
      </c>
      <c r="L19" s="10">
        <v>0</v>
      </c>
      <c r="M19" s="34"/>
      <c r="N19" s="13">
        <v>80</v>
      </c>
      <c r="O19" s="13">
        <v>18</v>
      </c>
      <c r="P19" s="13">
        <v>8</v>
      </c>
      <c r="Q19" s="13">
        <v>6</v>
      </c>
      <c r="R19" s="34"/>
      <c r="S19" s="13">
        <f t="shared" si="0"/>
        <v>116</v>
      </c>
      <c r="T19" s="13">
        <f t="shared" si="1"/>
        <v>112</v>
      </c>
      <c r="U19" s="13">
        <f t="shared" si="2"/>
        <v>0</v>
      </c>
      <c r="V19" s="34"/>
      <c r="W19" s="10">
        <v>26</v>
      </c>
      <c r="X19" s="10">
        <f t="shared" si="3"/>
        <v>3458</v>
      </c>
      <c r="Y19" s="10">
        <f t="shared" si="25"/>
        <v>0</v>
      </c>
      <c r="Z19" s="10">
        <f t="shared" si="26"/>
        <v>0</v>
      </c>
      <c r="AA19" s="14">
        <f t="shared" si="27"/>
        <v>0</v>
      </c>
      <c r="AB19" s="14">
        <f t="shared" si="4"/>
        <v>3354</v>
      </c>
      <c r="AC19" s="11">
        <f t="shared" si="28"/>
        <v>0</v>
      </c>
      <c r="AD19" s="215"/>
      <c r="AE19" s="11">
        <f t="shared" si="5"/>
        <v>-104</v>
      </c>
      <c r="AF19" s="215"/>
    </row>
    <row r="20" spans="1:32" ht="14.65" thickBot="1" x14ac:dyDescent="0.5">
      <c r="A20" s="23">
        <f t="shared" si="24"/>
        <v>43786</v>
      </c>
      <c r="B20" s="24" t="s">
        <v>31</v>
      </c>
      <c r="C20" s="35"/>
      <c r="D20" s="25">
        <v>80</v>
      </c>
      <c r="E20" s="25">
        <v>25</v>
      </c>
      <c r="F20" s="25">
        <v>0</v>
      </c>
      <c r="G20" s="25">
        <v>0</v>
      </c>
      <c r="H20" s="25">
        <v>0</v>
      </c>
      <c r="I20" s="25">
        <v>0</v>
      </c>
      <c r="J20" s="25">
        <v>0</v>
      </c>
      <c r="K20" s="25">
        <v>0</v>
      </c>
      <c r="L20" s="26">
        <v>0</v>
      </c>
      <c r="M20" s="35"/>
      <c r="N20" s="25">
        <v>80</v>
      </c>
      <c r="O20" s="25">
        <v>25</v>
      </c>
      <c r="P20" s="25">
        <v>0</v>
      </c>
      <c r="Q20" s="25">
        <v>0</v>
      </c>
      <c r="R20" s="35"/>
      <c r="S20" s="25">
        <f t="shared" si="0"/>
        <v>105</v>
      </c>
      <c r="T20" s="25">
        <f t="shared" si="1"/>
        <v>105</v>
      </c>
      <c r="U20" s="25">
        <f t="shared" si="2"/>
        <v>0</v>
      </c>
      <c r="V20" s="35"/>
      <c r="W20" s="26">
        <v>25</v>
      </c>
      <c r="X20" s="26">
        <f t="shared" si="3"/>
        <v>2937.5</v>
      </c>
      <c r="Y20" s="26">
        <f t="shared" si="25"/>
        <v>0</v>
      </c>
      <c r="Z20" s="26">
        <f t="shared" si="26"/>
        <v>0</v>
      </c>
      <c r="AA20" s="27">
        <f t="shared" si="27"/>
        <v>0</v>
      </c>
      <c r="AB20" s="27">
        <f t="shared" si="4"/>
        <v>2937.5</v>
      </c>
      <c r="AC20" s="12">
        <f t="shared" si="28"/>
        <v>0</v>
      </c>
      <c r="AD20" s="216"/>
      <c r="AE20" s="12">
        <f t="shared" si="5"/>
        <v>0</v>
      </c>
      <c r="AF20" s="216"/>
    </row>
    <row r="21" spans="1:32" x14ac:dyDescent="0.45">
      <c r="A21" s="16">
        <f>A20+14</f>
        <v>43800</v>
      </c>
      <c r="B21" s="17" t="s">
        <v>0</v>
      </c>
      <c r="C21" s="33"/>
      <c r="D21" s="18">
        <v>80</v>
      </c>
      <c r="E21" s="18">
        <v>42.5</v>
      </c>
      <c r="F21" s="18">
        <v>17.5</v>
      </c>
      <c r="G21" s="18">
        <v>6</v>
      </c>
      <c r="H21" s="18">
        <v>0</v>
      </c>
      <c r="I21" s="18">
        <v>0</v>
      </c>
      <c r="J21" s="18">
        <v>0</v>
      </c>
      <c r="K21" s="18">
        <v>0</v>
      </c>
      <c r="L21" s="19">
        <v>0</v>
      </c>
      <c r="M21" s="33"/>
      <c r="N21" s="18">
        <v>86</v>
      </c>
      <c r="O21" s="18">
        <v>41</v>
      </c>
      <c r="P21" s="18">
        <v>19</v>
      </c>
      <c r="Q21" s="18">
        <v>0</v>
      </c>
      <c r="R21" s="33"/>
      <c r="S21" s="36">
        <f t="shared" si="0"/>
        <v>146</v>
      </c>
      <c r="T21" s="36">
        <f t="shared" si="1"/>
        <v>146</v>
      </c>
      <c r="U21" s="18">
        <f t="shared" si="2"/>
        <v>0</v>
      </c>
      <c r="V21" s="33"/>
      <c r="W21" s="19">
        <v>22.85</v>
      </c>
      <c r="X21" s="19">
        <f t="shared" si="3"/>
        <v>4221.5375000000004</v>
      </c>
      <c r="Y21" s="19">
        <f>(W21*0*H21)+(W21*1*I21)</f>
        <v>0</v>
      </c>
      <c r="Z21" s="19">
        <f>(W21*1*J21)+L21</f>
        <v>0</v>
      </c>
      <c r="AA21" s="20">
        <f>(W21*1*K21)</f>
        <v>0</v>
      </c>
      <c r="AB21" s="20">
        <f t="shared" si="4"/>
        <v>4238.6750000000002</v>
      </c>
      <c r="AC21" s="21">
        <f>0-Y21-AA21</f>
        <v>0</v>
      </c>
      <c r="AD21" s="214">
        <f>SUM(AC21:AC29)</f>
        <v>0</v>
      </c>
      <c r="AE21" s="21">
        <f t="shared" si="5"/>
        <v>17.137499999999818</v>
      </c>
      <c r="AF21" s="214">
        <f>SUM(AE21:AE29)</f>
        <v>11.137499999999818</v>
      </c>
    </row>
    <row r="22" spans="1:32" x14ac:dyDescent="0.45">
      <c r="A22" s="22">
        <f t="shared" ref="A22:A29" si="29">A21</f>
        <v>43800</v>
      </c>
      <c r="B22" s="15" t="s">
        <v>30</v>
      </c>
      <c r="C22" s="34"/>
      <c r="D22" s="13">
        <v>80</v>
      </c>
      <c r="E22" s="13">
        <v>15.5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0">
        <v>0</v>
      </c>
      <c r="M22" s="34"/>
      <c r="N22" s="13">
        <v>80</v>
      </c>
      <c r="O22" s="13">
        <v>17</v>
      </c>
      <c r="P22" s="13">
        <v>0</v>
      </c>
      <c r="Q22" s="13">
        <v>0</v>
      </c>
      <c r="R22" s="34"/>
      <c r="S22" s="13">
        <f t="shared" si="0"/>
        <v>95.5</v>
      </c>
      <c r="T22" s="13">
        <f t="shared" si="1"/>
        <v>97</v>
      </c>
      <c r="U22" s="13">
        <f t="shared" si="2"/>
        <v>0</v>
      </c>
      <c r="V22" s="34"/>
      <c r="W22" s="10">
        <v>30</v>
      </c>
      <c r="X22" s="10">
        <f t="shared" si="3"/>
        <v>3097.5</v>
      </c>
      <c r="Y22" s="10">
        <f t="shared" ref="Y22:Y29" si="30">(W22*0*H22)+(W22*1*I22)</f>
        <v>0</v>
      </c>
      <c r="Z22" s="10">
        <f t="shared" ref="Z22:Z29" si="31">(W22*1*J22)+L22</f>
        <v>0</v>
      </c>
      <c r="AA22" s="14">
        <f t="shared" ref="AA22:AA29" si="32">(W22*1*K22)</f>
        <v>0</v>
      </c>
      <c r="AB22" s="14">
        <f t="shared" si="4"/>
        <v>3165</v>
      </c>
      <c r="AC22" s="11">
        <f t="shared" ref="AC22:AC29" si="33">0-Y22-AA22</f>
        <v>0</v>
      </c>
      <c r="AD22" s="215"/>
      <c r="AE22" s="11">
        <f t="shared" si="5"/>
        <v>67.5</v>
      </c>
      <c r="AF22" s="215"/>
    </row>
    <row r="23" spans="1:32" x14ac:dyDescent="0.45">
      <c r="A23" s="22">
        <f t="shared" si="29"/>
        <v>43800</v>
      </c>
      <c r="B23" s="15" t="s">
        <v>3</v>
      </c>
      <c r="C23" s="34"/>
      <c r="D23" s="13">
        <v>80</v>
      </c>
      <c r="E23" s="13">
        <v>30</v>
      </c>
      <c r="F23" s="13">
        <v>12</v>
      </c>
      <c r="G23" s="13">
        <v>3</v>
      </c>
      <c r="H23" s="13">
        <v>0</v>
      </c>
      <c r="I23" s="13">
        <v>0</v>
      </c>
      <c r="J23" s="13">
        <v>0</v>
      </c>
      <c r="K23" s="13">
        <v>0</v>
      </c>
      <c r="L23" s="10">
        <v>0</v>
      </c>
      <c r="M23" s="34"/>
      <c r="N23" s="13">
        <v>83</v>
      </c>
      <c r="O23" s="13">
        <v>30</v>
      </c>
      <c r="P23" s="13">
        <v>12</v>
      </c>
      <c r="Q23" s="13">
        <v>0</v>
      </c>
      <c r="R23" s="34"/>
      <c r="S23" s="13">
        <f t="shared" si="0"/>
        <v>125</v>
      </c>
      <c r="T23" s="13">
        <f t="shared" si="1"/>
        <v>125</v>
      </c>
      <c r="U23" s="13">
        <f t="shared" si="2"/>
        <v>0</v>
      </c>
      <c r="V23" s="34"/>
      <c r="W23" s="10">
        <v>27</v>
      </c>
      <c r="X23" s="10">
        <f t="shared" si="3"/>
        <v>4104</v>
      </c>
      <c r="Y23" s="10">
        <f t="shared" si="30"/>
        <v>0</v>
      </c>
      <c r="Z23" s="10">
        <f t="shared" si="31"/>
        <v>0</v>
      </c>
      <c r="AA23" s="14">
        <f t="shared" si="32"/>
        <v>0</v>
      </c>
      <c r="AB23" s="14">
        <f t="shared" si="4"/>
        <v>4104</v>
      </c>
      <c r="AC23" s="11">
        <f t="shared" si="33"/>
        <v>0</v>
      </c>
      <c r="AD23" s="215"/>
      <c r="AE23" s="11">
        <f t="shared" si="5"/>
        <v>0</v>
      </c>
      <c r="AF23" s="215"/>
    </row>
    <row r="24" spans="1:32" x14ac:dyDescent="0.45">
      <c r="A24" s="22">
        <f t="shared" si="29"/>
        <v>43800</v>
      </c>
      <c r="B24" s="15" t="s">
        <v>4</v>
      </c>
      <c r="C24" s="34"/>
      <c r="D24" s="13">
        <v>80</v>
      </c>
      <c r="E24" s="13">
        <v>21</v>
      </c>
      <c r="F24" s="13">
        <v>8</v>
      </c>
      <c r="G24" s="13">
        <v>14.5</v>
      </c>
      <c r="H24" s="13">
        <v>0</v>
      </c>
      <c r="I24" s="13">
        <v>0</v>
      </c>
      <c r="J24" s="13">
        <v>0</v>
      </c>
      <c r="K24" s="13">
        <v>0</v>
      </c>
      <c r="L24" s="10">
        <v>0</v>
      </c>
      <c r="M24" s="34"/>
      <c r="N24" s="13">
        <v>95</v>
      </c>
      <c r="O24" s="13">
        <v>21</v>
      </c>
      <c r="P24" s="13">
        <v>8</v>
      </c>
      <c r="Q24" s="13">
        <v>0</v>
      </c>
      <c r="R24" s="34"/>
      <c r="S24" s="13">
        <f t="shared" si="0"/>
        <v>123.5</v>
      </c>
      <c r="T24" s="13">
        <f t="shared" si="1"/>
        <v>124</v>
      </c>
      <c r="U24" s="13">
        <f t="shared" si="2"/>
        <v>0</v>
      </c>
      <c r="V24" s="34"/>
      <c r="W24" s="10">
        <v>22</v>
      </c>
      <c r="X24" s="10">
        <f t="shared" si="3"/>
        <v>3124</v>
      </c>
      <c r="Y24" s="10">
        <f t="shared" si="30"/>
        <v>0</v>
      </c>
      <c r="Z24" s="10">
        <f t="shared" si="31"/>
        <v>0</v>
      </c>
      <c r="AA24" s="14">
        <f t="shared" si="32"/>
        <v>0</v>
      </c>
      <c r="AB24" s="14">
        <f t="shared" si="4"/>
        <v>3135</v>
      </c>
      <c r="AC24" s="11">
        <f t="shared" si="33"/>
        <v>0</v>
      </c>
      <c r="AD24" s="215"/>
      <c r="AE24" s="11">
        <f t="shared" si="5"/>
        <v>11</v>
      </c>
      <c r="AF24" s="215"/>
    </row>
    <row r="25" spans="1:32" x14ac:dyDescent="0.45">
      <c r="A25" s="22">
        <f t="shared" si="29"/>
        <v>43800</v>
      </c>
      <c r="B25" s="15" t="s">
        <v>5</v>
      </c>
      <c r="C25" s="34"/>
      <c r="D25" s="13">
        <v>72.5</v>
      </c>
      <c r="E25" s="13">
        <v>25.75</v>
      </c>
      <c r="F25" s="13">
        <v>15.5</v>
      </c>
      <c r="G25" s="13">
        <v>17.25</v>
      </c>
      <c r="H25" s="13">
        <v>0</v>
      </c>
      <c r="I25" s="13">
        <v>0</v>
      </c>
      <c r="J25" s="13">
        <v>0</v>
      </c>
      <c r="K25" s="13">
        <v>0</v>
      </c>
      <c r="L25" s="10">
        <v>0</v>
      </c>
      <c r="M25" s="34"/>
      <c r="N25" s="13">
        <v>72.5</v>
      </c>
      <c r="O25" s="13">
        <v>25.75</v>
      </c>
      <c r="P25" s="13">
        <v>15.5</v>
      </c>
      <c r="Q25" s="13">
        <v>17.25</v>
      </c>
      <c r="R25" s="34"/>
      <c r="S25" s="13">
        <f t="shared" si="0"/>
        <v>131</v>
      </c>
      <c r="T25" s="13">
        <f t="shared" si="1"/>
        <v>131</v>
      </c>
      <c r="U25" s="13">
        <f t="shared" si="2"/>
        <v>0</v>
      </c>
      <c r="V25" s="34"/>
      <c r="W25" s="10">
        <v>26.5</v>
      </c>
      <c r="X25" s="10">
        <f t="shared" si="3"/>
        <v>4223.4375</v>
      </c>
      <c r="Y25" s="10">
        <f t="shared" si="30"/>
        <v>0</v>
      </c>
      <c r="Z25" s="10">
        <f t="shared" si="31"/>
        <v>0</v>
      </c>
      <c r="AA25" s="14">
        <f t="shared" si="32"/>
        <v>0</v>
      </c>
      <c r="AB25" s="14">
        <f t="shared" si="4"/>
        <v>4223.4375</v>
      </c>
      <c r="AC25" s="11">
        <f t="shared" si="33"/>
        <v>0</v>
      </c>
      <c r="AD25" s="215"/>
      <c r="AE25" s="11">
        <f t="shared" si="5"/>
        <v>0</v>
      </c>
      <c r="AF25" s="215"/>
    </row>
    <row r="26" spans="1:32" x14ac:dyDescent="0.45">
      <c r="A26" s="22">
        <f t="shared" si="29"/>
        <v>43800</v>
      </c>
      <c r="B26" s="15" t="s">
        <v>6</v>
      </c>
      <c r="C26" s="34"/>
      <c r="D26" s="13">
        <v>60.5</v>
      </c>
      <c r="E26" s="13">
        <v>7.5</v>
      </c>
      <c r="F26" s="13">
        <v>1.25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0">
        <v>0</v>
      </c>
      <c r="M26" s="34"/>
      <c r="N26" s="13">
        <v>60.5</v>
      </c>
      <c r="O26" s="13">
        <v>7.5</v>
      </c>
      <c r="P26" s="13">
        <v>1.25</v>
      </c>
      <c r="Q26" s="13">
        <v>0</v>
      </c>
      <c r="R26" s="34"/>
      <c r="S26" s="13">
        <f t="shared" si="0"/>
        <v>69.25</v>
      </c>
      <c r="T26" s="13">
        <f t="shared" si="1"/>
        <v>69.25</v>
      </c>
      <c r="U26" s="13">
        <f t="shared" si="2"/>
        <v>0</v>
      </c>
      <c r="V26" s="34"/>
      <c r="W26" s="10">
        <v>21</v>
      </c>
      <c r="X26" s="10">
        <f t="shared" si="3"/>
        <v>1559.25</v>
      </c>
      <c r="Y26" s="10">
        <f t="shared" si="30"/>
        <v>0</v>
      </c>
      <c r="Z26" s="10">
        <f t="shared" si="31"/>
        <v>0</v>
      </c>
      <c r="AA26" s="14">
        <f t="shared" si="32"/>
        <v>0</v>
      </c>
      <c r="AB26" s="14">
        <f t="shared" si="4"/>
        <v>1559.25</v>
      </c>
      <c r="AC26" s="11">
        <f t="shared" si="33"/>
        <v>0</v>
      </c>
      <c r="AD26" s="215"/>
      <c r="AE26" s="11">
        <f t="shared" si="5"/>
        <v>0</v>
      </c>
      <c r="AF26" s="215"/>
    </row>
    <row r="27" spans="1:32" x14ac:dyDescent="0.45">
      <c r="A27" s="22">
        <f t="shared" si="29"/>
        <v>43800</v>
      </c>
      <c r="B27" s="15" t="s">
        <v>8</v>
      </c>
      <c r="C27" s="34"/>
      <c r="D27" s="13">
        <v>80</v>
      </c>
      <c r="E27" s="13">
        <v>36.75</v>
      </c>
      <c r="F27" s="13">
        <v>7.75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0">
        <v>0</v>
      </c>
      <c r="M27" s="34"/>
      <c r="N27" s="13">
        <v>80</v>
      </c>
      <c r="O27" s="13">
        <v>36.75</v>
      </c>
      <c r="P27" s="13">
        <v>7.75</v>
      </c>
      <c r="Q27" s="13">
        <v>0</v>
      </c>
      <c r="R27" s="34"/>
      <c r="S27" s="13">
        <f t="shared" si="0"/>
        <v>124.5</v>
      </c>
      <c r="T27" s="13">
        <f t="shared" si="1"/>
        <v>124.5</v>
      </c>
      <c r="U27" s="13">
        <f t="shared" si="2"/>
        <v>0</v>
      </c>
      <c r="V27" s="34"/>
      <c r="W27" s="10">
        <v>22</v>
      </c>
      <c r="X27" s="10">
        <f t="shared" si="3"/>
        <v>3313.75</v>
      </c>
      <c r="Y27" s="10">
        <f t="shared" si="30"/>
        <v>0</v>
      </c>
      <c r="Z27" s="10">
        <f t="shared" si="31"/>
        <v>0</v>
      </c>
      <c r="AA27" s="14">
        <f t="shared" si="32"/>
        <v>0</v>
      </c>
      <c r="AB27" s="14">
        <f t="shared" si="4"/>
        <v>3313.75</v>
      </c>
      <c r="AC27" s="11">
        <f t="shared" si="33"/>
        <v>0</v>
      </c>
      <c r="AD27" s="215"/>
      <c r="AE27" s="11">
        <f t="shared" si="5"/>
        <v>0</v>
      </c>
      <c r="AF27" s="215"/>
    </row>
    <row r="28" spans="1:32" x14ac:dyDescent="0.45">
      <c r="A28" s="22">
        <f t="shared" si="29"/>
        <v>43800</v>
      </c>
      <c r="B28" s="15" t="s">
        <v>9</v>
      </c>
      <c r="C28" s="34"/>
      <c r="D28" s="13">
        <v>63</v>
      </c>
      <c r="E28" s="13">
        <v>16.5</v>
      </c>
      <c r="F28" s="13">
        <v>0</v>
      </c>
      <c r="G28" s="13">
        <v>14</v>
      </c>
      <c r="H28" s="13">
        <v>0</v>
      </c>
      <c r="I28" s="13">
        <v>0</v>
      </c>
      <c r="J28" s="13">
        <v>0</v>
      </c>
      <c r="K28" s="13">
        <v>0</v>
      </c>
      <c r="L28" s="10">
        <v>0</v>
      </c>
      <c r="M28" s="34"/>
      <c r="N28" s="13">
        <v>80</v>
      </c>
      <c r="O28" s="13">
        <v>10</v>
      </c>
      <c r="P28" s="13">
        <v>0</v>
      </c>
      <c r="Q28" s="13">
        <v>3.5</v>
      </c>
      <c r="R28" s="34"/>
      <c r="S28" s="13">
        <f t="shared" si="0"/>
        <v>93.5</v>
      </c>
      <c r="T28" s="13">
        <f t="shared" si="1"/>
        <v>93.5</v>
      </c>
      <c r="U28" s="13">
        <f t="shared" si="2"/>
        <v>0</v>
      </c>
      <c r="V28" s="34"/>
      <c r="W28" s="10">
        <v>26</v>
      </c>
      <c r="X28" s="10">
        <f t="shared" si="3"/>
        <v>2645.5</v>
      </c>
      <c r="Y28" s="10">
        <f t="shared" si="30"/>
        <v>0</v>
      </c>
      <c r="Z28" s="10">
        <f t="shared" si="31"/>
        <v>0</v>
      </c>
      <c r="AA28" s="14">
        <f t="shared" si="32"/>
        <v>0</v>
      </c>
      <c r="AB28" s="14">
        <f t="shared" si="4"/>
        <v>2561</v>
      </c>
      <c r="AC28" s="11">
        <f t="shared" si="33"/>
        <v>0</v>
      </c>
      <c r="AD28" s="215"/>
      <c r="AE28" s="11">
        <f t="shared" si="5"/>
        <v>-84.5</v>
      </c>
      <c r="AF28" s="215"/>
    </row>
    <row r="29" spans="1:32" ht="14.65" thickBot="1" x14ac:dyDescent="0.5">
      <c r="A29" s="23">
        <f t="shared" si="29"/>
        <v>43800</v>
      </c>
      <c r="B29" s="24" t="s">
        <v>31</v>
      </c>
      <c r="C29" s="35"/>
      <c r="D29" s="25">
        <v>80</v>
      </c>
      <c r="E29" s="25">
        <v>37.75</v>
      </c>
      <c r="F29" s="25">
        <v>8</v>
      </c>
      <c r="G29" s="25">
        <v>0</v>
      </c>
      <c r="H29" s="25">
        <v>0</v>
      </c>
      <c r="I29" s="25">
        <v>0</v>
      </c>
      <c r="J29" s="25">
        <v>0</v>
      </c>
      <c r="K29" s="25">
        <v>0</v>
      </c>
      <c r="L29" s="26">
        <v>0</v>
      </c>
      <c r="M29" s="35"/>
      <c r="N29" s="25">
        <v>80</v>
      </c>
      <c r="O29" s="25">
        <v>37.75</v>
      </c>
      <c r="P29" s="25">
        <v>8</v>
      </c>
      <c r="Q29" s="25">
        <v>0</v>
      </c>
      <c r="R29" s="35"/>
      <c r="S29" s="25">
        <f t="shared" si="0"/>
        <v>125.75</v>
      </c>
      <c r="T29" s="25">
        <f t="shared" si="1"/>
        <v>125.75</v>
      </c>
      <c r="U29" s="25">
        <f t="shared" si="2"/>
        <v>0</v>
      </c>
      <c r="V29" s="35"/>
      <c r="W29" s="26">
        <v>25</v>
      </c>
      <c r="X29" s="26">
        <f t="shared" si="3"/>
        <v>3815.625</v>
      </c>
      <c r="Y29" s="26">
        <f t="shared" si="30"/>
        <v>0</v>
      </c>
      <c r="Z29" s="26">
        <f t="shared" si="31"/>
        <v>0</v>
      </c>
      <c r="AA29" s="27">
        <f t="shared" si="32"/>
        <v>0</v>
      </c>
      <c r="AB29" s="27">
        <f t="shared" si="4"/>
        <v>3815.625</v>
      </c>
      <c r="AC29" s="12">
        <f t="shared" si="33"/>
        <v>0</v>
      </c>
      <c r="AD29" s="216"/>
      <c r="AE29" s="12">
        <f t="shared" si="5"/>
        <v>0</v>
      </c>
      <c r="AF29" s="216"/>
    </row>
    <row r="30" spans="1:32" x14ac:dyDescent="0.45">
      <c r="A30" s="16">
        <f>A29+14</f>
        <v>43814</v>
      </c>
      <c r="B30" s="17" t="s">
        <v>0</v>
      </c>
      <c r="C30" s="33"/>
      <c r="D30" s="18">
        <v>80</v>
      </c>
      <c r="E30" s="18">
        <v>16.75</v>
      </c>
      <c r="F30" s="18">
        <v>0</v>
      </c>
      <c r="G30" s="18">
        <v>18</v>
      </c>
      <c r="H30" s="18">
        <v>0</v>
      </c>
      <c r="I30" s="18">
        <v>0</v>
      </c>
      <c r="J30" s="18">
        <v>0</v>
      </c>
      <c r="K30" s="18">
        <v>0</v>
      </c>
      <c r="L30" s="19">
        <v>1000</v>
      </c>
      <c r="M30" s="33"/>
      <c r="N30" s="18">
        <v>98</v>
      </c>
      <c r="O30" s="18">
        <v>13.25</v>
      </c>
      <c r="P30" s="18">
        <v>3.5</v>
      </c>
      <c r="Q30" s="18">
        <v>0</v>
      </c>
      <c r="R30" s="33"/>
      <c r="S30" s="36">
        <f t="shared" si="0"/>
        <v>114.75</v>
      </c>
      <c r="T30" s="36">
        <f t="shared" si="1"/>
        <v>114.75</v>
      </c>
      <c r="U30" s="18">
        <f t="shared" si="2"/>
        <v>1000</v>
      </c>
      <c r="V30" s="33"/>
      <c r="W30" s="19">
        <v>22.85</v>
      </c>
      <c r="X30" s="19">
        <f t="shared" si="3"/>
        <v>2813.40625</v>
      </c>
      <c r="Y30" s="19">
        <f>(W30*0*H30)+(W30*1*I30)</f>
        <v>0</v>
      </c>
      <c r="Z30" s="19">
        <f>(W30*1*J30)+L30</f>
        <v>1000</v>
      </c>
      <c r="AA30" s="20">
        <f>(W30*1*K30)</f>
        <v>0</v>
      </c>
      <c r="AB30" s="20">
        <f t="shared" si="4"/>
        <v>2853.3937500000002</v>
      </c>
      <c r="AC30" s="21">
        <f>0-Y30-AA30</f>
        <v>0</v>
      </c>
      <c r="AD30" s="214">
        <f>SUM(AC30:AC38)</f>
        <v>0</v>
      </c>
      <c r="AE30" s="21">
        <f t="shared" si="5"/>
        <v>-960.01249999999982</v>
      </c>
      <c r="AF30" s="214">
        <f>SUM(AE30:AE38)</f>
        <v>-7857.3874999999998</v>
      </c>
    </row>
    <row r="31" spans="1:32" x14ac:dyDescent="0.45">
      <c r="A31" s="22">
        <f t="shared" ref="A31:A38" si="34">A30</f>
        <v>43814</v>
      </c>
      <c r="B31" s="15" t="s">
        <v>30</v>
      </c>
      <c r="C31" s="34"/>
      <c r="D31" s="13">
        <v>72.5</v>
      </c>
      <c r="E31" s="13">
        <v>6.5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0">
        <v>1000</v>
      </c>
      <c r="M31" s="34"/>
      <c r="N31" s="13">
        <v>72.5</v>
      </c>
      <c r="O31" s="13">
        <v>6.5</v>
      </c>
      <c r="P31" s="13">
        <v>0</v>
      </c>
      <c r="Q31" s="13">
        <v>0</v>
      </c>
      <c r="R31" s="34"/>
      <c r="S31" s="13">
        <f t="shared" si="0"/>
        <v>79</v>
      </c>
      <c r="T31" s="13">
        <f t="shared" si="1"/>
        <v>79</v>
      </c>
      <c r="U31" s="13">
        <f t="shared" si="2"/>
        <v>1000</v>
      </c>
      <c r="V31" s="34"/>
      <c r="W31" s="10">
        <v>30</v>
      </c>
      <c r="X31" s="10">
        <f t="shared" si="3"/>
        <v>2467.5</v>
      </c>
      <c r="Y31" s="10">
        <f t="shared" ref="Y31:Y38" si="35">(W31*0*H31)+(W31*1*I31)</f>
        <v>0</v>
      </c>
      <c r="Z31" s="10">
        <f t="shared" ref="Z31:Z38" si="36">(W31*1*J31)+L31</f>
        <v>1000</v>
      </c>
      <c r="AA31" s="14">
        <f t="shared" ref="AA31:AA38" si="37">(W31*1*K31)</f>
        <v>0</v>
      </c>
      <c r="AB31" s="14">
        <f t="shared" si="4"/>
        <v>2467.5</v>
      </c>
      <c r="AC31" s="11">
        <f t="shared" ref="AC31:AC38" si="38">0-Y31-AA31</f>
        <v>0</v>
      </c>
      <c r="AD31" s="215"/>
      <c r="AE31" s="11">
        <f t="shared" si="5"/>
        <v>-1000</v>
      </c>
      <c r="AF31" s="215"/>
    </row>
    <row r="32" spans="1:32" x14ac:dyDescent="0.45">
      <c r="A32" s="22">
        <f t="shared" si="34"/>
        <v>43814</v>
      </c>
      <c r="B32" s="15" t="s">
        <v>3</v>
      </c>
      <c r="C32" s="34"/>
      <c r="D32" s="13">
        <v>80</v>
      </c>
      <c r="E32" s="13">
        <v>38</v>
      </c>
      <c r="F32" s="13">
        <v>23</v>
      </c>
      <c r="G32" s="13">
        <v>14.75</v>
      </c>
      <c r="H32" s="13">
        <v>0</v>
      </c>
      <c r="I32" s="13">
        <v>0</v>
      </c>
      <c r="J32" s="13">
        <v>0</v>
      </c>
      <c r="K32" s="13">
        <v>0</v>
      </c>
      <c r="L32" s="10">
        <v>1000</v>
      </c>
      <c r="M32" s="34"/>
      <c r="N32" s="13">
        <v>94.75</v>
      </c>
      <c r="O32" s="13">
        <v>35.25</v>
      </c>
      <c r="P32" s="13">
        <v>25.75</v>
      </c>
      <c r="Q32" s="13">
        <v>0</v>
      </c>
      <c r="R32" s="34"/>
      <c r="S32" s="13">
        <f t="shared" si="0"/>
        <v>155.75</v>
      </c>
      <c r="T32" s="13">
        <f t="shared" si="1"/>
        <v>155.75</v>
      </c>
      <c r="U32" s="13">
        <f t="shared" si="2"/>
        <v>1000</v>
      </c>
      <c r="V32" s="34"/>
      <c r="W32" s="10">
        <v>27</v>
      </c>
      <c r="X32" s="10">
        <f t="shared" si="3"/>
        <v>5339.25</v>
      </c>
      <c r="Y32" s="10">
        <f t="shared" si="35"/>
        <v>0</v>
      </c>
      <c r="Z32" s="10">
        <f t="shared" si="36"/>
        <v>1000</v>
      </c>
      <c r="AA32" s="14">
        <f t="shared" si="37"/>
        <v>0</v>
      </c>
      <c r="AB32" s="14">
        <f t="shared" si="4"/>
        <v>5376.375</v>
      </c>
      <c r="AC32" s="11">
        <f t="shared" si="38"/>
        <v>0</v>
      </c>
      <c r="AD32" s="215"/>
      <c r="AE32" s="11">
        <f t="shared" si="5"/>
        <v>-962.875</v>
      </c>
      <c r="AF32" s="215"/>
    </row>
    <row r="33" spans="1:32" x14ac:dyDescent="0.45">
      <c r="A33" s="22">
        <f t="shared" si="34"/>
        <v>43814</v>
      </c>
      <c r="B33" s="15" t="s">
        <v>4</v>
      </c>
      <c r="C33" s="34"/>
      <c r="D33" s="13">
        <v>80</v>
      </c>
      <c r="E33" s="13">
        <v>44.25</v>
      </c>
      <c r="F33" s="13">
        <v>12</v>
      </c>
      <c r="G33" s="13">
        <v>16</v>
      </c>
      <c r="H33" s="13">
        <v>0</v>
      </c>
      <c r="I33" s="13">
        <v>0</v>
      </c>
      <c r="J33" s="13">
        <v>0</v>
      </c>
      <c r="K33" s="13">
        <v>0</v>
      </c>
      <c r="L33" s="10">
        <v>500</v>
      </c>
      <c r="M33" s="34"/>
      <c r="N33" s="13">
        <v>96</v>
      </c>
      <c r="O33" s="13">
        <v>40</v>
      </c>
      <c r="P33" s="13">
        <v>16.25</v>
      </c>
      <c r="Q33" s="13">
        <v>0</v>
      </c>
      <c r="R33" s="34"/>
      <c r="S33" s="13">
        <f t="shared" si="0"/>
        <v>152.25</v>
      </c>
      <c r="T33" s="13">
        <f t="shared" si="1"/>
        <v>152.25</v>
      </c>
      <c r="U33" s="13">
        <f t="shared" si="2"/>
        <v>500</v>
      </c>
      <c r="V33" s="34"/>
      <c r="W33" s="10">
        <v>22</v>
      </c>
      <c r="X33" s="10">
        <f t="shared" si="3"/>
        <v>4100.25</v>
      </c>
      <c r="Y33" s="10">
        <f t="shared" si="35"/>
        <v>0</v>
      </c>
      <c r="Z33" s="10">
        <f t="shared" si="36"/>
        <v>500</v>
      </c>
      <c r="AA33" s="14">
        <f t="shared" si="37"/>
        <v>0</v>
      </c>
      <c r="AB33" s="14">
        <f t="shared" si="4"/>
        <v>4147</v>
      </c>
      <c r="AC33" s="11">
        <f t="shared" si="38"/>
        <v>0</v>
      </c>
      <c r="AD33" s="215"/>
      <c r="AE33" s="11">
        <f t="shared" si="5"/>
        <v>-453.25</v>
      </c>
      <c r="AF33" s="215"/>
    </row>
    <row r="34" spans="1:32" x14ac:dyDescent="0.45">
      <c r="A34" s="22">
        <f t="shared" si="34"/>
        <v>43814</v>
      </c>
      <c r="B34" s="15" t="s">
        <v>5</v>
      </c>
      <c r="C34" s="34"/>
      <c r="D34" s="13">
        <v>80</v>
      </c>
      <c r="E34" s="13">
        <v>13.5</v>
      </c>
      <c r="F34" s="13">
        <v>0</v>
      </c>
      <c r="G34" s="13">
        <v>13.5</v>
      </c>
      <c r="H34" s="13">
        <v>0</v>
      </c>
      <c r="I34" s="13">
        <v>0</v>
      </c>
      <c r="J34" s="13">
        <v>0</v>
      </c>
      <c r="K34" s="13">
        <v>0</v>
      </c>
      <c r="L34" s="10">
        <v>1000</v>
      </c>
      <c r="M34" s="34"/>
      <c r="N34" s="13">
        <v>80</v>
      </c>
      <c r="O34" s="13">
        <v>13.5</v>
      </c>
      <c r="P34" s="13">
        <v>0</v>
      </c>
      <c r="Q34" s="13">
        <v>13.5</v>
      </c>
      <c r="R34" s="34"/>
      <c r="S34" s="13">
        <f t="shared" si="0"/>
        <v>107</v>
      </c>
      <c r="T34" s="13">
        <f t="shared" si="1"/>
        <v>107</v>
      </c>
      <c r="U34" s="13">
        <f t="shared" si="2"/>
        <v>1000</v>
      </c>
      <c r="V34" s="34"/>
      <c r="W34" s="10">
        <v>26.5</v>
      </c>
      <c r="X34" s="10">
        <f t="shared" si="3"/>
        <v>3014.375</v>
      </c>
      <c r="Y34" s="10">
        <f t="shared" si="35"/>
        <v>0</v>
      </c>
      <c r="Z34" s="10">
        <f t="shared" si="36"/>
        <v>1000</v>
      </c>
      <c r="AA34" s="14">
        <f t="shared" si="37"/>
        <v>0</v>
      </c>
      <c r="AB34" s="14">
        <f t="shared" si="4"/>
        <v>3014.375</v>
      </c>
      <c r="AC34" s="11">
        <f t="shared" si="38"/>
        <v>0</v>
      </c>
      <c r="AD34" s="215"/>
      <c r="AE34" s="11">
        <f t="shared" si="5"/>
        <v>-1000</v>
      </c>
      <c r="AF34" s="215"/>
    </row>
    <row r="35" spans="1:32" x14ac:dyDescent="0.45">
      <c r="A35" s="22">
        <f t="shared" si="34"/>
        <v>43814</v>
      </c>
      <c r="B35" s="15" t="s">
        <v>6</v>
      </c>
      <c r="C35" s="34"/>
      <c r="D35" s="13">
        <v>47.75</v>
      </c>
      <c r="E35" s="13">
        <v>27</v>
      </c>
      <c r="F35" s="13">
        <v>8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0">
        <v>1000</v>
      </c>
      <c r="M35" s="34"/>
      <c r="N35" s="13">
        <v>47.75</v>
      </c>
      <c r="O35" s="13">
        <v>27</v>
      </c>
      <c r="P35" s="13">
        <v>8</v>
      </c>
      <c r="Q35" s="13">
        <v>0</v>
      </c>
      <c r="R35" s="34"/>
      <c r="S35" s="13">
        <f t="shared" ref="S35:S66" si="39">SUM(D35:G35)</f>
        <v>82.75</v>
      </c>
      <c r="T35" s="13">
        <f t="shared" ref="T35:T66" si="40">SUM(N35:Q35)</f>
        <v>82.75</v>
      </c>
      <c r="U35" s="13">
        <f t="shared" ref="U35:U66" si="41">SUM(H35:L35)</f>
        <v>1000</v>
      </c>
      <c r="V35" s="34"/>
      <c r="W35" s="10">
        <v>21</v>
      </c>
      <c r="X35" s="10">
        <f t="shared" ref="X35:X66" si="42">(W35*1*D35)+(W35*1.5*E35)+(W35*2*F35)+(W35*1*G35)</f>
        <v>2189.25</v>
      </c>
      <c r="Y35" s="10">
        <f t="shared" si="35"/>
        <v>0</v>
      </c>
      <c r="Z35" s="10">
        <f t="shared" si="36"/>
        <v>1000</v>
      </c>
      <c r="AA35" s="14">
        <f t="shared" si="37"/>
        <v>0</v>
      </c>
      <c r="AB35" s="14">
        <f t="shared" ref="AB35:AB66" si="43">(W35*1*N35)+(W35*1.5*O35)+(W35*2*P35)+(W35*1*Q35)</f>
        <v>2189.25</v>
      </c>
      <c r="AC35" s="11">
        <f t="shared" si="38"/>
        <v>0</v>
      </c>
      <c r="AD35" s="215"/>
      <c r="AE35" s="11">
        <f t="shared" ref="AE35:AE66" si="44">AB35-(X35+Z35)</f>
        <v>-1000</v>
      </c>
      <c r="AF35" s="215"/>
    </row>
    <row r="36" spans="1:32" x14ac:dyDescent="0.45">
      <c r="A36" s="22">
        <f t="shared" si="34"/>
        <v>43814</v>
      </c>
      <c r="B36" s="15" t="s">
        <v>8</v>
      </c>
      <c r="C36" s="34"/>
      <c r="D36" s="13">
        <v>80</v>
      </c>
      <c r="E36" s="13">
        <v>49.75</v>
      </c>
      <c r="F36" s="13">
        <v>0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0">
        <v>500</v>
      </c>
      <c r="M36" s="34"/>
      <c r="N36" s="13">
        <v>80</v>
      </c>
      <c r="O36" s="13">
        <v>49.75</v>
      </c>
      <c r="P36" s="13">
        <v>0</v>
      </c>
      <c r="Q36" s="13">
        <v>0</v>
      </c>
      <c r="R36" s="34"/>
      <c r="S36" s="13">
        <f t="shared" si="39"/>
        <v>129.75</v>
      </c>
      <c r="T36" s="13">
        <f t="shared" si="40"/>
        <v>129.75</v>
      </c>
      <c r="U36" s="13">
        <f t="shared" si="41"/>
        <v>500</v>
      </c>
      <c r="V36" s="34"/>
      <c r="W36" s="10">
        <v>22</v>
      </c>
      <c r="X36" s="10">
        <f t="shared" si="42"/>
        <v>3401.75</v>
      </c>
      <c r="Y36" s="10">
        <f t="shared" si="35"/>
        <v>0</v>
      </c>
      <c r="Z36" s="10">
        <f t="shared" si="36"/>
        <v>500</v>
      </c>
      <c r="AA36" s="14">
        <f t="shared" si="37"/>
        <v>0</v>
      </c>
      <c r="AB36" s="14">
        <f t="shared" si="43"/>
        <v>3401.75</v>
      </c>
      <c r="AC36" s="11">
        <f t="shared" si="38"/>
        <v>0</v>
      </c>
      <c r="AD36" s="215"/>
      <c r="AE36" s="11">
        <f t="shared" si="44"/>
        <v>-500</v>
      </c>
      <c r="AF36" s="215"/>
    </row>
    <row r="37" spans="1:32" x14ac:dyDescent="0.45">
      <c r="A37" s="22">
        <f t="shared" si="34"/>
        <v>43814</v>
      </c>
      <c r="B37" s="15" t="s">
        <v>9</v>
      </c>
      <c r="C37" s="34"/>
      <c r="D37" s="13">
        <v>57</v>
      </c>
      <c r="E37" s="13">
        <v>18</v>
      </c>
      <c r="F37" s="13">
        <v>10</v>
      </c>
      <c r="G37" s="13">
        <v>22</v>
      </c>
      <c r="H37" s="13">
        <v>0</v>
      </c>
      <c r="I37" s="13">
        <v>0</v>
      </c>
      <c r="J37" s="13">
        <v>0</v>
      </c>
      <c r="K37" s="13">
        <v>0</v>
      </c>
      <c r="L37" s="10">
        <v>1000</v>
      </c>
      <c r="M37" s="34"/>
      <c r="N37" s="13">
        <v>65</v>
      </c>
      <c r="O37" s="13">
        <v>18</v>
      </c>
      <c r="P37" s="13">
        <v>10</v>
      </c>
      <c r="Q37" s="13">
        <v>14</v>
      </c>
      <c r="R37" s="34"/>
      <c r="S37" s="13">
        <f t="shared" si="39"/>
        <v>107</v>
      </c>
      <c r="T37" s="13">
        <f t="shared" si="40"/>
        <v>107</v>
      </c>
      <c r="U37" s="13">
        <f t="shared" si="41"/>
        <v>1000</v>
      </c>
      <c r="V37" s="34"/>
      <c r="W37" s="10">
        <v>26</v>
      </c>
      <c r="X37" s="10">
        <f t="shared" si="42"/>
        <v>3276</v>
      </c>
      <c r="Y37" s="10">
        <f t="shared" si="35"/>
        <v>0</v>
      </c>
      <c r="Z37" s="10">
        <f t="shared" si="36"/>
        <v>1000</v>
      </c>
      <c r="AA37" s="14">
        <f t="shared" si="37"/>
        <v>0</v>
      </c>
      <c r="AB37" s="14">
        <f t="shared" si="43"/>
        <v>3276</v>
      </c>
      <c r="AC37" s="11">
        <f t="shared" si="38"/>
        <v>0</v>
      </c>
      <c r="AD37" s="215"/>
      <c r="AE37" s="11">
        <f t="shared" si="44"/>
        <v>-1000</v>
      </c>
      <c r="AF37" s="215"/>
    </row>
    <row r="38" spans="1:32" ht="14.65" thickBot="1" x14ac:dyDescent="0.5">
      <c r="A38" s="23">
        <f t="shared" si="34"/>
        <v>43814</v>
      </c>
      <c r="B38" s="24" t="s">
        <v>31</v>
      </c>
      <c r="C38" s="35"/>
      <c r="D38" s="25">
        <v>80</v>
      </c>
      <c r="E38" s="25">
        <v>50.5</v>
      </c>
      <c r="F38" s="25">
        <v>8</v>
      </c>
      <c r="G38" s="25">
        <v>0</v>
      </c>
      <c r="H38" s="25">
        <v>0</v>
      </c>
      <c r="I38" s="25">
        <v>0</v>
      </c>
      <c r="J38" s="25">
        <v>0</v>
      </c>
      <c r="K38" s="25">
        <v>0</v>
      </c>
      <c r="L38" s="26">
        <v>1000</v>
      </c>
      <c r="M38" s="35"/>
      <c r="N38" s="25">
        <v>80</v>
      </c>
      <c r="O38" s="25">
        <v>51</v>
      </c>
      <c r="P38" s="25">
        <v>8</v>
      </c>
      <c r="Q38" s="25">
        <v>0</v>
      </c>
      <c r="R38" s="35"/>
      <c r="S38" s="25">
        <f t="shared" si="39"/>
        <v>138.5</v>
      </c>
      <c r="T38" s="25">
        <f t="shared" si="40"/>
        <v>139</v>
      </c>
      <c r="U38" s="25">
        <f t="shared" si="41"/>
        <v>1000</v>
      </c>
      <c r="V38" s="35"/>
      <c r="W38" s="26">
        <v>25</v>
      </c>
      <c r="X38" s="26">
        <f t="shared" si="42"/>
        <v>4293.75</v>
      </c>
      <c r="Y38" s="26">
        <f t="shared" si="35"/>
        <v>0</v>
      </c>
      <c r="Z38" s="26">
        <f t="shared" si="36"/>
        <v>1000</v>
      </c>
      <c r="AA38" s="27">
        <f t="shared" si="37"/>
        <v>0</v>
      </c>
      <c r="AB38" s="27">
        <f t="shared" si="43"/>
        <v>4312.5</v>
      </c>
      <c r="AC38" s="12">
        <f t="shared" si="38"/>
        <v>0</v>
      </c>
      <c r="AD38" s="216"/>
      <c r="AE38" s="12">
        <f t="shared" si="44"/>
        <v>-981.25</v>
      </c>
      <c r="AF38" s="216"/>
    </row>
    <row r="39" spans="1:32" x14ac:dyDescent="0.45">
      <c r="A39" s="16">
        <f>A38+14</f>
        <v>43828</v>
      </c>
      <c r="B39" s="17" t="s">
        <v>0</v>
      </c>
      <c r="C39" s="33"/>
      <c r="D39" s="18">
        <v>40</v>
      </c>
      <c r="E39" s="18">
        <v>13.25</v>
      </c>
      <c r="F39" s="18">
        <v>0</v>
      </c>
      <c r="G39" s="18">
        <v>0</v>
      </c>
      <c r="H39" s="18">
        <v>0</v>
      </c>
      <c r="I39" s="18">
        <v>24</v>
      </c>
      <c r="J39" s="18">
        <v>16</v>
      </c>
      <c r="K39" s="18">
        <v>0</v>
      </c>
      <c r="L39" s="19">
        <v>0</v>
      </c>
      <c r="M39" s="33"/>
      <c r="N39" s="18">
        <v>40</v>
      </c>
      <c r="O39" s="18">
        <v>13.25</v>
      </c>
      <c r="P39" s="18">
        <v>0</v>
      </c>
      <c r="Q39" s="18">
        <v>0</v>
      </c>
      <c r="R39" s="33"/>
      <c r="S39" s="36">
        <f t="shared" si="39"/>
        <v>53.25</v>
      </c>
      <c r="T39" s="36">
        <f t="shared" si="40"/>
        <v>53.25</v>
      </c>
      <c r="U39" s="18">
        <f t="shared" si="41"/>
        <v>40</v>
      </c>
      <c r="V39" s="33"/>
      <c r="W39" s="19">
        <v>22.85</v>
      </c>
      <c r="X39" s="19">
        <f t="shared" si="42"/>
        <v>1368.1437500000002</v>
      </c>
      <c r="Y39" s="19">
        <f>(W39*0*H39)+(W39*1*I39)</f>
        <v>548.40000000000009</v>
      </c>
      <c r="Z39" s="19">
        <f>(W39*1*J39)+L39</f>
        <v>365.6</v>
      </c>
      <c r="AA39" s="20">
        <f>(W39*1*K39)</f>
        <v>0</v>
      </c>
      <c r="AB39" s="20">
        <f t="shared" si="43"/>
        <v>1368.1437500000002</v>
      </c>
      <c r="AC39" s="21">
        <f>0-Y39-AA39</f>
        <v>-548.40000000000009</v>
      </c>
      <c r="AD39" s="214">
        <f>SUM(AC39:AC47)</f>
        <v>-1904.4</v>
      </c>
      <c r="AE39" s="21">
        <f t="shared" si="44"/>
        <v>-365.59999999999991</v>
      </c>
      <c r="AF39" s="214">
        <f>SUM(AE39:AE47)</f>
        <v>-2309.9500000000003</v>
      </c>
    </row>
    <row r="40" spans="1:32" x14ac:dyDescent="0.45">
      <c r="A40" s="22">
        <f t="shared" ref="A40:A47" si="45">A39</f>
        <v>43828</v>
      </c>
      <c r="B40" s="15" t="s">
        <v>30</v>
      </c>
      <c r="C40" s="34"/>
      <c r="D40" s="13">
        <v>40</v>
      </c>
      <c r="E40" s="13">
        <v>0</v>
      </c>
      <c r="F40" s="13">
        <v>0</v>
      </c>
      <c r="G40" s="13">
        <v>0</v>
      </c>
      <c r="H40" s="13">
        <v>0</v>
      </c>
      <c r="I40" s="13">
        <v>24</v>
      </c>
      <c r="J40" s="13">
        <v>16</v>
      </c>
      <c r="K40" s="13">
        <v>0</v>
      </c>
      <c r="L40" s="10">
        <v>0</v>
      </c>
      <c r="M40" s="34"/>
      <c r="N40" s="13">
        <v>40</v>
      </c>
      <c r="O40" s="13">
        <v>0</v>
      </c>
      <c r="P40" s="13">
        <v>0</v>
      </c>
      <c r="Q40" s="13">
        <v>0</v>
      </c>
      <c r="R40" s="34"/>
      <c r="S40" s="13">
        <f t="shared" si="39"/>
        <v>40</v>
      </c>
      <c r="T40" s="13">
        <f t="shared" si="40"/>
        <v>40</v>
      </c>
      <c r="U40" s="13">
        <f t="shared" si="41"/>
        <v>40</v>
      </c>
      <c r="V40" s="34"/>
      <c r="W40" s="10">
        <v>30</v>
      </c>
      <c r="X40" s="10">
        <f t="shared" si="42"/>
        <v>1200</v>
      </c>
      <c r="Y40" s="10">
        <f t="shared" ref="Y40:Y47" si="46">(W40*0*H40)+(W40*1*I40)</f>
        <v>720</v>
      </c>
      <c r="Z40" s="10">
        <f t="shared" ref="Z40:Z47" si="47">(W40*1*J40)+L40</f>
        <v>480</v>
      </c>
      <c r="AA40" s="14">
        <f t="shared" ref="AA40:AA47" si="48">(W40*1*K40)</f>
        <v>0</v>
      </c>
      <c r="AB40" s="14">
        <f t="shared" si="43"/>
        <v>1200</v>
      </c>
      <c r="AC40" s="11">
        <f t="shared" ref="AC40:AC47" si="49">0-Y40-AA40</f>
        <v>-720</v>
      </c>
      <c r="AD40" s="215"/>
      <c r="AE40" s="11">
        <f t="shared" si="44"/>
        <v>-480</v>
      </c>
      <c r="AF40" s="215"/>
    </row>
    <row r="41" spans="1:32" x14ac:dyDescent="0.45">
      <c r="A41" s="22">
        <f t="shared" si="45"/>
        <v>43828</v>
      </c>
      <c r="B41" s="15" t="s">
        <v>3</v>
      </c>
      <c r="C41" s="34"/>
      <c r="D41" s="13">
        <v>40</v>
      </c>
      <c r="E41" s="13">
        <v>8</v>
      </c>
      <c r="F41" s="13">
        <v>0</v>
      </c>
      <c r="G41" s="13">
        <v>13</v>
      </c>
      <c r="H41" s="13">
        <v>0</v>
      </c>
      <c r="I41" s="13">
        <v>0</v>
      </c>
      <c r="J41" s="13">
        <v>16</v>
      </c>
      <c r="K41" s="13">
        <v>0</v>
      </c>
      <c r="L41" s="10">
        <v>0</v>
      </c>
      <c r="M41" s="34"/>
      <c r="N41" s="13">
        <v>53</v>
      </c>
      <c r="O41" s="13">
        <v>7</v>
      </c>
      <c r="P41" s="13">
        <v>1</v>
      </c>
      <c r="Q41" s="13">
        <v>0</v>
      </c>
      <c r="R41" s="34"/>
      <c r="S41" s="13">
        <f t="shared" si="39"/>
        <v>61</v>
      </c>
      <c r="T41" s="13">
        <f t="shared" si="40"/>
        <v>61</v>
      </c>
      <c r="U41" s="13">
        <f t="shared" si="41"/>
        <v>16</v>
      </c>
      <c r="V41" s="34"/>
      <c r="W41" s="10">
        <v>27</v>
      </c>
      <c r="X41" s="10">
        <f t="shared" si="42"/>
        <v>1755</v>
      </c>
      <c r="Y41" s="10">
        <f t="shared" si="46"/>
        <v>0</v>
      </c>
      <c r="Z41" s="10">
        <f t="shared" si="47"/>
        <v>432</v>
      </c>
      <c r="AA41" s="14">
        <f t="shared" si="48"/>
        <v>0</v>
      </c>
      <c r="AB41" s="14">
        <f t="shared" si="43"/>
        <v>1768.5</v>
      </c>
      <c r="AC41" s="11">
        <f t="shared" si="49"/>
        <v>0</v>
      </c>
      <c r="AD41" s="215"/>
      <c r="AE41" s="11">
        <f t="shared" si="44"/>
        <v>-418.5</v>
      </c>
      <c r="AF41" s="215"/>
    </row>
    <row r="42" spans="1:32" x14ac:dyDescent="0.45">
      <c r="A42" s="22">
        <f t="shared" si="45"/>
        <v>43828</v>
      </c>
      <c r="B42" s="15" t="s">
        <v>4</v>
      </c>
      <c r="C42" s="34"/>
      <c r="D42" s="13">
        <v>48</v>
      </c>
      <c r="E42" s="13">
        <v>1.25</v>
      </c>
      <c r="F42" s="13">
        <v>6</v>
      </c>
      <c r="G42" s="13">
        <v>3</v>
      </c>
      <c r="H42" s="13">
        <v>0</v>
      </c>
      <c r="I42" s="13">
        <v>0</v>
      </c>
      <c r="J42" s="13">
        <v>16</v>
      </c>
      <c r="K42" s="13">
        <v>0</v>
      </c>
      <c r="L42" s="10">
        <v>0</v>
      </c>
      <c r="M42" s="34"/>
      <c r="N42" s="13">
        <v>43</v>
      </c>
      <c r="O42" s="13">
        <v>16.25</v>
      </c>
      <c r="P42" s="13">
        <v>7</v>
      </c>
      <c r="Q42" s="13">
        <v>0</v>
      </c>
      <c r="R42" s="34"/>
      <c r="S42" s="13">
        <f t="shared" si="39"/>
        <v>58.25</v>
      </c>
      <c r="T42" s="13">
        <f t="shared" si="40"/>
        <v>66.25</v>
      </c>
      <c r="U42" s="13">
        <f t="shared" si="41"/>
        <v>16</v>
      </c>
      <c r="V42" s="34"/>
      <c r="W42" s="10">
        <v>22</v>
      </c>
      <c r="X42" s="10">
        <f t="shared" si="42"/>
        <v>1427.25</v>
      </c>
      <c r="Y42" s="10">
        <f t="shared" si="46"/>
        <v>0</v>
      </c>
      <c r="Z42" s="10">
        <f t="shared" si="47"/>
        <v>352</v>
      </c>
      <c r="AA42" s="14">
        <f t="shared" si="48"/>
        <v>0</v>
      </c>
      <c r="AB42" s="14">
        <f t="shared" si="43"/>
        <v>1790.25</v>
      </c>
      <c r="AC42" s="11">
        <f t="shared" si="49"/>
        <v>0</v>
      </c>
      <c r="AD42" s="215"/>
      <c r="AE42" s="11">
        <f t="shared" si="44"/>
        <v>11</v>
      </c>
      <c r="AF42" s="215"/>
    </row>
    <row r="43" spans="1:32" x14ac:dyDescent="0.45">
      <c r="A43" s="22">
        <f t="shared" si="45"/>
        <v>43828</v>
      </c>
      <c r="B43" s="15" t="s">
        <v>5</v>
      </c>
      <c r="C43" s="34"/>
      <c r="D43" s="13">
        <v>30</v>
      </c>
      <c r="E43" s="13">
        <v>0</v>
      </c>
      <c r="F43" s="13">
        <v>0</v>
      </c>
      <c r="G43" s="13">
        <v>4</v>
      </c>
      <c r="H43" s="13">
        <v>0</v>
      </c>
      <c r="I43" s="13">
        <v>24</v>
      </c>
      <c r="J43" s="13">
        <v>16</v>
      </c>
      <c r="K43" s="13">
        <v>0</v>
      </c>
      <c r="L43" s="10">
        <v>0</v>
      </c>
      <c r="M43" s="34"/>
      <c r="N43" s="13">
        <v>30</v>
      </c>
      <c r="O43" s="13">
        <v>0</v>
      </c>
      <c r="P43" s="13">
        <v>0</v>
      </c>
      <c r="Q43" s="13">
        <v>4</v>
      </c>
      <c r="R43" s="34"/>
      <c r="S43" s="13">
        <f t="shared" si="39"/>
        <v>34</v>
      </c>
      <c r="T43" s="13">
        <f t="shared" si="40"/>
        <v>34</v>
      </c>
      <c r="U43" s="13">
        <f t="shared" si="41"/>
        <v>40</v>
      </c>
      <c r="V43" s="34"/>
      <c r="W43" s="10">
        <v>26.5</v>
      </c>
      <c r="X43" s="10">
        <f t="shared" si="42"/>
        <v>901</v>
      </c>
      <c r="Y43" s="10">
        <f t="shared" si="46"/>
        <v>636</v>
      </c>
      <c r="Z43" s="10">
        <f t="shared" si="47"/>
        <v>424</v>
      </c>
      <c r="AA43" s="14">
        <f t="shared" si="48"/>
        <v>0</v>
      </c>
      <c r="AB43" s="14">
        <f t="shared" si="43"/>
        <v>901</v>
      </c>
      <c r="AC43" s="11">
        <f t="shared" si="49"/>
        <v>-636</v>
      </c>
      <c r="AD43" s="215"/>
      <c r="AE43" s="11">
        <f t="shared" si="44"/>
        <v>-424</v>
      </c>
      <c r="AF43" s="215"/>
    </row>
    <row r="44" spans="1:32" x14ac:dyDescent="0.45">
      <c r="A44" s="22">
        <f t="shared" si="45"/>
        <v>43828</v>
      </c>
      <c r="B44" s="15" t="s">
        <v>6</v>
      </c>
      <c r="C44" s="34"/>
      <c r="D44" s="13">
        <v>40</v>
      </c>
      <c r="E44" s="13">
        <v>0.25</v>
      </c>
      <c r="F44" s="13">
        <v>0</v>
      </c>
      <c r="G44" s="13">
        <v>0</v>
      </c>
      <c r="H44" s="13">
        <v>0</v>
      </c>
      <c r="I44" s="13">
        <v>0</v>
      </c>
      <c r="J44" s="13">
        <v>16</v>
      </c>
      <c r="K44" s="13">
        <v>0</v>
      </c>
      <c r="L44" s="10">
        <v>0</v>
      </c>
      <c r="M44" s="34"/>
      <c r="N44" s="13">
        <v>40</v>
      </c>
      <c r="O44" s="13">
        <v>0.25</v>
      </c>
      <c r="P44" s="13">
        <v>0</v>
      </c>
      <c r="Q44" s="13">
        <v>0</v>
      </c>
      <c r="R44" s="34"/>
      <c r="S44" s="13">
        <f t="shared" si="39"/>
        <v>40.25</v>
      </c>
      <c r="T44" s="13">
        <f t="shared" si="40"/>
        <v>40.25</v>
      </c>
      <c r="U44" s="13">
        <f t="shared" si="41"/>
        <v>16</v>
      </c>
      <c r="V44" s="34"/>
      <c r="W44" s="10">
        <v>21</v>
      </c>
      <c r="X44" s="10">
        <f t="shared" si="42"/>
        <v>847.875</v>
      </c>
      <c r="Y44" s="10">
        <f t="shared" si="46"/>
        <v>0</v>
      </c>
      <c r="Z44" s="10">
        <f t="shared" si="47"/>
        <v>336</v>
      </c>
      <c r="AA44" s="14">
        <f t="shared" si="48"/>
        <v>0</v>
      </c>
      <c r="AB44" s="14">
        <f t="shared" si="43"/>
        <v>847.875</v>
      </c>
      <c r="AC44" s="11">
        <f t="shared" si="49"/>
        <v>0</v>
      </c>
      <c r="AD44" s="215"/>
      <c r="AE44" s="11">
        <f t="shared" si="44"/>
        <v>-336</v>
      </c>
      <c r="AF44" s="215"/>
    </row>
    <row r="45" spans="1:32" x14ac:dyDescent="0.45">
      <c r="A45" s="22">
        <f t="shared" si="45"/>
        <v>43828</v>
      </c>
      <c r="B45" s="15" t="s">
        <v>8</v>
      </c>
      <c r="C45" s="34"/>
      <c r="D45" s="13">
        <v>40</v>
      </c>
      <c r="E45" s="13">
        <v>9.25</v>
      </c>
      <c r="F45" s="13">
        <v>0</v>
      </c>
      <c r="G45" s="13">
        <v>0</v>
      </c>
      <c r="H45" s="13">
        <v>0</v>
      </c>
      <c r="I45" s="13">
        <v>0</v>
      </c>
      <c r="J45" s="13">
        <v>16</v>
      </c>
      <c r="K45" s="13">
        <v>0</v>
      </c>
      <c r="L45" s="10">
        <v>0</v>
      </c>
      <c r="M45" s="34"/>
      <c r="N45" s="13">
        <v>40</v>
      </c>
      <c r="O45" s="13">
        <v>9.25</v>
      </c>
      <c r="P45" s="13">
        <v>0</v>
      </c>
      <c r="Q45" s="13">
        <v>0</v>
      </c>
      <c r="R45" s="34"/>
      <c r="S45" s="13">
        <f t="shared" si="39"/>
        <v>49.25</v>
      </c>
      <c r="T45" s="13">
        <f t="shared" si="40"/>
        <v>49.25</v>
      </c>
      <c r="U45" s="13">
        <f t="shared" si="41"/>
        <v>16</v>
      </c>
      <c r="V45" s="34"/>
      <c r="W45" s="10">
        <v>22</v>
      </c>
      <c r="X45" s="10">
        <f t="shared" si="42"/>
        <v>1185.25</v>
      </c>
      <c r="Y45" s="10">
        <f t="shared" si="46"/>
        <v>0</v>
      </c>
      <c r="Z45" s="10">
        <f t="shared" si="47"/>
        <v>352</v>
      </c>
      <c r="AA45" s="14">
        <f t="shared" si="48"/>
        <v>0</v>
      </c>
      <c r="AB45" s="14">
        <f t="shared" si="43"/>
        <v>1185.25</v>
      </c>
      <c r="AC45" s="11">
        <f t="shared" si="49"/>
        <v>0</v>
      </c>
      <c r="AD45" s="215"/>
      <c r="AE45" s="11">
        <f t="shared" si="44"/>
        <v>-352</v>
      </c>
      <c r="AF45" s="215"/>
    </row>
    <row r="46" spans="1:32" x14ac:dyDescent="0.45">
      <c r="A46" s="22">
        <f t="shared" si="45"/>
        <v>43828</v>
      </c>
      <c r="B46" s="15" t="s">
        <v>9</v>
      </c>
      <c r="C46" s="34"/>
      <c r="D46" s="13">
        <v>64</v>
      </c>
      <c r="E46" s="13">
        <v>26</v>
      </c>
      <c r="F46" s="13">
        <v>8</v>
      </c>
      <c r="G46" s="13">
        <v>24</v>
      </c>
      <c r="H46" s="13">
        <v>0</v>
      </c>
      <c r="I46" s="13">
        <v>0</v>
      </c>
      <c r="J46" s="13">
        <v>16</v>
      </c>
      <c r="K46" s="13">
        <v>0</v>
      </c>
      <c r="L46" s="10">
        <v>0</v>
      </c>
      <c r="M46" s="34"/>
      <c r="N46" s="13">
        <v>64</v>
      </c>
      <c r="O46" s="13">
        <v>26.8</v>
      </c>
      <c r="P46" s="13">
        <v>16.100000000000001</v>
      </c>
      <c r="Q46" s="13">
        <v>24</v>
      </c>
      <c r="R46" s="34"/>
      <c r="S46" s="13">
        <f t="shared" si="39"/>
        <v>122</v>
      </c>
      <c r="T46" s="13">
        <f t="shared" si="40"/>
        <v>130.9</v>
      </c>
      <c r="U46" s="13">
        <f t="shared" si="41"/>
        <v>16</v>
      </c>
      <c r="V46" s="34"/>
      <c r="W46" s="10">
        <v>26</v>
      </c>
      <c r="X46" s="10">
        <f t="shared" si="42"/>
        <v>3718</v>
      </c>
      <c r="Y46" s="10">
        <f t="shared" si="46"/>
        <v>0</v>
      </c>
      <c r="Z46" s="10">
        <f t="shared" si="47"/>
        <v>416</v>
      </c>
      <c r="AA46" s="14">
        <f t="shared" si="48"/>
        <v>0</v>
      </c>
      <c r="AB46" s="14">
        <f t="shared" si="43"/>
        <v>4170.3999999999996</v>
      </c>
      <c r="AC46" s="11">
        <f t="shared" si="49"/>
        <v>0</v>
      </c>
      <c r="AD46" s="215"/>
      <c r="AE46" s="11">
        <f t="shared" si="44"/>
        <v>36.399999999999636</v>
      </c>
      <c r="AF46" s="215"/>
    </row>
    <row r="47" spans="1:32" ht="14.65" thickBot="1" x14ac:dyDescent="0.5">
      <c r="A47" s="23">
        <f t="shared" si="45"/>
        <v>43828</v>
      </c>
      <c r="B47" s="24" t="s">
        <v>31</v>
      </c>
      <c r="C47" s="35"/>
      <c r="D47" s="25">
        <v>63</v>
      </c>
      <c r="E47" s="25">
        <v>21</v>
      </c>
      <c r="F47" s="25">
        <v>0</v>
      </c>
      <c r="G47" s="25">
        <v>0</v>
      </c>
      <c r="H47" s="25">
        <v>0</v>
      </c>
      <c r="I47" s="25">
        <v>0</v>
      </c>
      <c r="J47" s="25">
        <v>16</v>
      </c>
      <c r="K47" s="25">
        <v>0</v>
      </c>
      <c r="L47" s="26">
        <v>0</v>
      </c>
      <c r="M47" s="35"/>
      <c r="N47" s="25">
        <v>43</v>
      </c>
      <c r="O47" s="25">
        <v>29.5</v>
      </c>
      <c r="P47" s="25">
        <v>12</v>
      </c>
      <c r="Q47" s="25">
        <v>0</v>
      </c>
      <c r="R47" s="35"/>
      <c r="S47" s="25">
        <f t="shared" si="39"/>
        <v>84</v>
      </c>
      <c r="T47" s="25">
        <f t="shared" si="40"/>
        <v>84.5</v>
      </c>
      <c r="U47" s="25">
        <f t="shared" si="41"/>
        <v>16</v>
      </c>
      <c r="V47" s="35"/>
      <c r="W47" s="26">
        <v>25</v>
      </c>
      <c r="X47" s="26">
        <f t="shared" si="42"/>
        <v>2362.5</v>
      </c>
      <c r="Y47" s="26">
        <f t="shared" si="46"/>
        <v>0</v>
      </c>
      <c r="Z47" s="26">
        <f t="shared" si="47"/>
        <v>400</v>
      </c>
      <c r="AA47" s="27">
        <f t="shared" si="48"/>
        <v>0</v>
      </c>
      <c r="AB47" s="27">
        <f t="shared" si="43"/>
        <v>2781.25</v>
      </c>
      <c r="AC47" s="12">
        <f t="shared" si="49"/>
        <v>0</v>
      </c>
      <c r="AD47" s="216"/>
      <c r="AE47" s="12">
        <f t="shared" si="44"/>
        <v>18.75</v>
      </c>
      <c r="AF47" s="216"/>
    </row>
    <row r="48" spans="1:32" x14ac:dyDescent="0.45">
      <c r="A48" s="16">
        <f>A47+14</f>
        <v>43842</v>
      </c>
      <c r="B48" s="17" t="s">
        <v>0</v>
      </c>
      <c r="C48" s="33"/>
      <c r="D48" s="18">
        <v>72</v>
      </c>
      <c r="E48" s="18">
        <v>38</v>
      </c>
      <c r="F48" s="18">
        <v>0</v>
      </c>
      <c r="G48" s="18">
        <v>0</v>
      </c>
      <c r="H48" s="18">
        <v>0</v>
      </c>
      <c r="I48" s="18">
        <v>0</v>
      </c>
      <c r="J48" s="18">
        <v>8</v>
      </c>
      <c r="K48" s="18">
        <v>0</v>
      </c>
      <c r="L48" s="19">
        <v>0</v>
      </c>
      <c r="M48" s="33"/>
      <c r="N48" s="18">
        <v>72</v>
      </c>
      <c r="O48" s="18">
        <v>38</v>
      </c>
      <c r="P48" s="18">
        <v>0</v>
      </c>
      <c r="Q48" s="18">
        <v>0</v>
      </c>
      <c r="R48" s="33"/>
      <c r="S48" s="18">
        <f t="shared" si="39"/>
        <v>110</v>
      </c>
      <c r="T48" s="18">
        <f t="shared" si="40"/>
        <v>110</v>
      </c>
      <c r="U48" s="18">
        <f t="shared" si="41"/>
        <v>8</v>
      </c>
      <c r="V48" s="33"/>
      <c r="W48" s="19">
        <v>26.4</v>
      </c>
      <c r="X48" s="19">
        <f t="shared" si="42"/>
        <v>3405.5999999999995</v>
      </c>
      <c r="Y48" s="19">
        <f>(W48*0*H48)+(W48*1*I48)</f>
        <v>0</v>
      </c>
      <c r="Z48" s="19">
        <f>(W48*1*J48)+L48</f>
        <v>211.2</v>
      </c>
      <c r="AA48" s="20">
        <f>(W48*1*K48)</f>
        <v>0</v>
      </c>
      <c r="AB48" s="20">
        <f t="shared" si="43"/>
        <v>3405.5999999999995</v>
      </c>
      <c r="AC48" s="21">
        <f>0-Y48-AA48</f>
        <v>0</v>
      </c>
      <c r="AD48" s="214">
        <f>SUM(AC48:AC56)</f>
        <v>-1026.5519999999999</v>
      </c>
      <c r="AE48" s="21">
        <f t="shared" si="44"/>
        <v>-211.19999999999982</v>
      </c>
      <c r="AF48" s="214">
        <f>SUM(AE48:AE56)</f>
        <v>-1794.0499999999997</v>
      </c>
    </row>
    <row r="49" spans="1:32" x14ac:dyDescent="0.45">
      <c r="A49" s="22">
        <f t="shared" ref="A49:A56" si="50">A48</f>
        <v>43842</v>
      </c>
      <c r="B49" s="15" t="s">
        <v>30</v>
      </c>
      <c r="C49" s="34"/>
      <c r="D49" s="13">
        <v>49</v>
      </c>
      <c r="E49" s="13">
        <v>0</v>
      </c>
      <c r="F49" s="13">
        <v>0</v>
      </c>
      <c r="G49" s="13">
        <v>0</v>
      </c>
      <c r="H49" s="13">
        <v>0</v>
      </c>
      <c r="I49" s="13">
        <v>16</v>
      </c>
      <c r="J49" s="13">
        <v>8</v>
      </c>
      <c r="K49" s="13">
        <v>0</v>
      </c>
      <c r="L49" s="10">
        <v>0</v>
      </c>
      <c r="M49" s="34"/>
      <c r="N49" s="13">
        <v>49</v>
      </c>
      <c r="O49" s="13">
        <v>0</v>
      </c>
      <c r="P49" s="13">
        <v>0</v>
      </c>
      <c r="Q49" s="13">
        <v>0</v>
      </c>
      <c r="R49" s="34"/>
      <c r="S49" s="13">
        <f t="shared" si="39"/>
        <v>49</v>
      </c>
      <c r="T49" s="13">
        <f t="shared" si="40"/>
        <v>49</v>
      </c>
      <c r="U49" s="13">
        <f t="shared" si="41"/>
        <v>24</v>
      </c>
      <c r="V49" s="34"/>
      <c r="W49" s="10">
        <v>30.8</v>
      </c>
      <c r="X49" s="10">
        <f t="shared" si="42"/>
        <v>1509.2</v>
      </c>
      <c r="Y49" s="10">
        <f t="shared" ref="Y49:Y56" si="51">(W49*0*H49)+(W49*1*I49)</f>
        <v>492.8</v>
      </c>
      <c r="Z49" s="10">
        <f t="shared" ref="Z49:Z56" si="52">(W49*1*J49)+L49</f>
        <v>246.4</v>
      </c>
      <c r="AA49" s="14">
        <f t="shared" ref="AA49:AA56" si="53">(W49*1*K49)</f>
        <v>0</v>
      </c>
      <c r="AB49" s="14">
        <f t="shared" si="43"/>
        <v>1509.2</v>
      </c>
      <c r="AC49" s="11">
        <f t="shared" ref="AC49:AC56" si="54">0-Y49-AA49</f>
        <v>-492.8</v>
      </c>
      <c r="AD49" s="215"/>
      <c r="AE49" s="11">
        <f t="shared" si="44"/>
        <v>-246.40000000000009</v>
      </c>
      <c r="AF49" s="215"/>
    </row>
    <row r="50" spans="1:32" x14ac:dyDescent="0.45">
      <c r="A50" s="22">
        <f t="shared" si="50"/>
        <v>43842</v>
      </c>
      <c r="B50" s="15" t="s">
        <v>3</v>
      </c>
      <c r="C50" s="34"/>
      <c r="D50" s="13">
        <v>72</v>
      </c>
      <c r="E50" s="13">
        <v>16</v>
      </c>
      <c r="F50" s="13">
        <v>12</v>
      </c>
      <c r="G50" s="13">
        <v>26</v>
      </c>
      <c r="H50" s="13">
        <v>0</v>
      </c>
      <c r="I50" s="13">
        <v>0</v>
      </c>
      <c r="J50" s="13">
        <v>8</v>
      </c>
      <c r="K50" s="13">
        <v>0</v>
      </c>
      <c r="L50" s="10">
        <v>0</v>
      </c>
      <c r="M50" s="34"/>
      <c r="N50" s="13">
        <v>98</v>
      </c>
      <c r="O50" s="13">
        <v>12</v>
      </c>
      <c r="P50" s="13">
        <v>16</v>
      </c>
      <c r="Q50" s="13">
        <v>0</v>
      </c>
      <c r="R50" s="34"/>
      <c r="S50" s="13">
        <f t="shared" si="39"/>
        <v>126</v>
      </c>
      <c r="T50" s="13">
        <f t="shared" si="40"/>
        <v>126</v>
      </c>
      <c r="U50" s="13">
        <f t="shared" si="41"/>
        <v>8</v>
      </c>
      <c r="V50" s="34"/>
      <c r="W50" s="10">
        <v>28.5</v>
      </c>
      <c r="X50" s="10">
        <f t="shared" si="42"/>
        <v>4161</v>
      </c>
      <c r="Y50" s="10">
        <f t="shared" si="51"/>
        <v>0</v>
      </c>
      <c r="Z50" s="10">
        <f t="shared" si="52"/>
        <v>228</v>
      </c>
      <c r="AA50" s="14">
        <f t="shared" si="53"/>
        <v>0</v>
      </c>
      <c r="AB50" s="14">
        <f t="shared" si="43"/>
        <v>4218</v>
      </c>
      <c r="AC50" s="11">
        <f t="shared" si="54"/>
        <v>0</v>
      </c>
      <c r="AD50" s="215"/>
      <c r="AE50" s="11">
        <f t="shared" si="44"/>
        <v>-171</v>
      </c>
      <c r="AF50" s="215"/>
    </row>
    <row r="51" spans="1:32" x14ac:dyDescent="0.45">
      <c r="A51" s="22">
        <f t="shared" si="50"/>
        <v>43842</v>
      </c>
      <c r="B51" s="15" t="s">
        <v>4</v>
      </c>
      <c r="C51" s="34"/>
      <c r="D51" s="13">
        <v>72</v>
      </c>
      <c r="E51" s="13">
        <v>11.75</v>
      </c>
      <c r="F51" s="13">
        <v>0</v>
      </c>
      <c r="G51" s="13">
        <v>0</v>
      </c>
      <c r="H51" s="13">
        <v>0</v>
      </c>
      <c r="I51" s="13">
        <v>0</v>
      </c>
      <c r="J51" s="13">
        <v>8</v>
      </c>
      <c r="K51" s="13">
        <v>0</v>
      </c>
      <c r="L51" s="10">
        <v>0</v>
      </c>
      <c r="M51" s="34"/>
      <c r="N51" s="13">
        <v>72</v>
      </c>
      <c r="O51" s="13">
        <v>12</v>
      </c>
      <c r="P51" s="13">
        <v>0</v>
      </c>
      <c r="Q51" s="13">
        <v>0</v>
      </c>
      <c r="R51" s="34"/>
      <c r="S51" s="13">
        <f t="shared" si="39"/>
        <v>83.75</v>
      </c>
      <c r="T51" s="13">
        <f t="shared" si="40"/>
        <v>84</v>
      </c>
      <c r="U51" s="13">
        <f t="shared" si="41"/>
        <v>8</v>
      </c>
      <c r="V51" s="34"/>
      <c r="W51" s="10">
        <v>23</v>
      </c>
      <c r="X51" s="10">
        <f t="shared" si="42"/>
        <v>2061.375</v>
      </c>
      <c r="Y51" s="10">
        <f t="shared" si="51"/>
        <v>0</v>
      </c>
      <c r="Z51" s="10">
        <f t="shared" si="52"/>
        <v>184</v>
      </c>
      <c r="AA51" s="14">
        <f t="shared" si="53"/>
        <v>0</v>
      </c>
      <c r="AB51" s="14">
        <f t="shared" si="43"/>
        <v>2070</v>
      </c>
      <c r="AC51" s="11">
        <f t="shared" si="54"/>
        <v>0</v>
      </c>
      <c r="AD51" s="215"/>
      <c r="AE51" s="11">
        <f t="shared" si="44"/>
        <v>-175.375</v>
      </c>
      <c r="AF51" s="215"/>
    </row>
    <row r="52" spans="1:32" x14ac:dyDescent="0.45">
      <c r="A52" s="22">
        <f t="shared" si="50"/>
        <v>43842</v>
      </c>
      <c r="B52" s="15" t="s">
        <v>5</v>
      </c>
      <c r="C52" s="34"/>
      <c r="D52" s="13">
        <v>72</v>
      </c>
      <c r="E52" s="13">
        <v>7.25</v>
      </c>
      <c r="F52" s="13">
        <v>0</v>
      </c>
      <c r="G52" s="13">
        <v>0</v>
      </c>
      <c r="H52" s="13">
        <v>0</v>
      </c>
      <c r="I52" s="13">
        <v>0</v>
      </c>
      <c r="J52" s="13">
        <v>8</v>
      </c>
      <c r="K52" s="13">
        <v>0</v>
      </c>
      <c r="L52" s="10">
        <v>0</v>
      </c>
      <c r="M52" s="34"/>
      <c r="N52" s="13">
        <v>72</v>
      </c>
      <c r="O52" s="13">
        <v>10.5</v>
      </c>
      <c r="P52" s="13">
        <v>0</v>
      </c>
      <c r="Q52" s="13">
        <v>0</v>
      </c>
      <c r="R52" s="34"/>
      <c r="S52" s="13">
        <f t="shared" si="39"/>
        <v>79.25</v>
      </c>
      <c r="T52" s="13">
        <f t="shared" si="40"/>
        <v>82.5</v>
      </c>
      <c r="U52" s="13">
        <f t="shared" si="41"/>
        <v>8</v>
      </c>
      <c r="V52" s="34"/>
      <c r="W52" s="10">
        <v>27.2</v>
      </c>
      <c r="X52" s="10">
        <f t="shared" si="42"/>
        <v>2254.1999999999998</v>
      </c>
      <c r="Y52" s="10">
        <f t="shared" si="51"/>
        <v>0</v>
      </c>
      <c r="Z52" s="10">
        <f t="shared" si="52"/>
        <v>217.6</v>
      </c>
      <c r="AA52" s="14">
        <f t="shared" si="53"/>
        <v>0</v>
      </c>
      <c r="AB52" s="14">
        <f t="shared" si="43"/>
        <v>2386.7999999999997</v>
      </c>
      <c r="AC52" s="11">
        <f t="shared" si="54"/>
        <v>0</v>
      </c>
      <c r="AD52" s="215"/>
      <c r="AE52" s="11">
        <f t="shared" si="44"/>
        <v>-85</v>
      </c>
      <c r="AF52" s="215"/>
    </row>
    <row r="53" spans="1:32" x14ac:dyDescent="0.45">
      <c r="A53" s="22">
        <f t="shared" si="50"/>
        <v>43842</v>
      </c>
      <c r="B53" s="15" t="s">
        <v>6</v>
      </c>
      <c r="C53" s="34"/>
      <c r="D53" s="13">
        <v>67.25</v>
      </c>
      <c r="E53" s="13">
        <v>8.75</v>
      </c>
      <c r="F53" s="13">
        <v>0</v>
      </c>
      <c r="G53" s="13">
        <v>0</v>
      </c>
      <c r="H53" s="13">
        <v>0</v>
      </c>
      <c r="I53" s="13">
        <v>0</v>
      </c>
      <c r="J53" s="13">
        <v>8</v>
      </c>
      <c r="K53" s="13">
        <v>3.25</v>
      </c>
      <c r="L53" s="10">
        <v>0</v>
      </c>
      <c r="M53" s="34"/>
      <c r="N53" s="13">
        <v>72</v>
      </c>
      <c r="O53" s="13">
        <v>4</v>
      </c>
      <c r="P53" s="13">
        <v>0</v>
      </c>
      <c r="Q53" s="13">
        <v>0</v>
      </c>
      <c r="R53" s="34"/>
      <c r="S53" s="13">
        <f t="shared" si="39"/>
        <v>76</v>
      </c>
      <c r="T53" s="13">
        <f t="shared" si="40"/>
        <v>76</v>
      </c>
      <c r="U53" s="13">
        <f t="shared" si="41"/>
        <v>11.25</v>
      </c>
      <c r="V53" s="34"/>
      <c r="W53" s="10">
        <v>23</v>
      </c>
      <c r="X53" s="10">
        <f t="shared" si="42"/>
        <v>1848.625</v>
      </c>
      <c r="Y53" s="10">
        <f t="shared" si="51"/>
        <v>0</v>
      </c>
      <c r="Z53" s="10">
        <f t="shared" si="52"/>
        <v>184</v>
      </c>
      <c r="AA53" s="14">
        <f t="shared" si="53"/>
        <v>74.75</v>
      </c>
      <c r="AB53" s="14">
        <f t="shared" si="43"/>
        <v>1794</v>
      </c>
      <c r="AC53" s="11">
        <f t="shared" si="54"/>
        <v>-74.75</v>
      </c>
      <c r="AD53" s="215"/>
      <c r="AE53" s="11">
        <f t="shared" si="44"/>
        <v>-238.625</v>
      </c>
      <c r="AF53" s="215"/>
    </row>
    <row r="54" spans="1:32" x14ac:dyDescent="0.45">
      <c r="A54" s="22">
        <f t="shared" si="50"/>
        <v>43842</v>
      </c>
      <c r="B54" s="15" t="s">
        <v>8</v>
      </c>
      <c r="C54" s="34"/>
      <c r="D54" s="13">
        <v>62.5</v>
      </c>
      <c r="E54" s="13">
        <v>8.5</v>
      </c>
      <c r="F54" s="13">
        <v>0</v>
      </c>
      <c r="G54" s="13">
        <v>0</v>
      </c>
      <c r="H54" s="13">
        <v>0</v>
      </c>
      <c r="I54" s="13">
        <v>0</v>
      </c>
      <c r="J54" s="13">
        <v>8</v>
      </c>
      <c r="K54" s="13">
        <v>0</v>
      </c>
      <c r="L54" s="10">
        <v>0</v>
      </c>
      <c r="M54" s="34"/>
      <c r="N54" s="13">
        <v>62.5</v>
      </c>
      <c r="O54" s="13">
        <v>8.5</v>
      </c>
      <c r="P54" s="13">
        <v>0</v>
      </c>
      <c r="Q54" s="13">
        <v>0</v>
      </c>
      <c r="R54" s="34"/>
      <c r="S54" s="13">
        <f t="shared" si="39"/>
        <v>71</v>
      </c>
      <c r="T54" s="13">
        <f t="shared" si="40"/>
        <v>71</v>
      </c>
      <c r="U54" s="13">
        <f t="shared" si="41"/>
        <v>8</v>
      </c>
      <c r="V54" s="34"/>
      <c r="W54" s="10">
        <v>23</v>
      </c>
      <c r="X54" s="10">
        <f t="shared" si="42"/>
        <v>1730.75</v>
      </c>
      <c r="Y54" s="10">
        <f t="shared" si="51"/>
        <v>0</v>
      </c>
      <c r="Z54" s="10">
        <f t="shared" si="52"/>
        <v>184</v>
      </c>
      <c r="AA54" s="14">
        <f t="shared" si="53"/>
        <v>0</v>
      </c>
      <c r="AB54" s="14">
        <f t="shared" si="43"/>
        <v>1730.75</v>
      </c>
      <c r="AC54" s="11">
        <f t="shared" si="54"/>
        <v>0</v>
      </c>
      <c r="AD54" s="215"/>
      <c r="AE54" s="11">
        <f t="shared" si="44"/>
        <v>-184</v>
      </c>
      <c r="AF54" s="215"/>
    </row>
    <row r="55" spans="1:32" x14ac:dyDescent="0.45">
      <c r="A55" s="22">
        <f t="shared" si="50"/>
        <v>43842</v>
      </c>
      <c r="B55" s="15" t="s">
        <v>9</v>
      </c>
      <c r="C55" s="34"/>
      <c r="D55" s="13">
        <v>72</v>
      </c>
      <c r="E55" s="13">
        <v>22</v>
      </c>
      <c r="F55" s="13">
        <v>10</v>
      </c>
      <c r="G55" s="13">
        <v>22</v>
      </c>
      <c r="H55" s="13">
        <v>0</v>
      </c>
      <c r="I55" s="13">
        <v>0</v>
      </c>
      <c r="J55" s="13">
        <v>8</v>
      </c>
      <c r="K55" s="13">
        <v>0</v>
      </c>
      <c r="L55" s="10">
        <v>0</v>
      </c>
      <c r="M55" s="34"/>
      <c r="N55" s="13">
        <v>72</v>
      </c>
      <c r="O55" s="13">
        <v>20</v>
      </c>
      <c r="P55" s="13">
        <v>12</v>
      </c>
      <c r="Q55" s="13">
        <v>22</v>
      </c>
      <c r="R55" s="34"/>
      <c r="S55" s="13">
        <f t="shared" si="39"/>
        <v>126</v>
      </c>
      <c r="T55" s="13">
        <f t="shared" si="40"/>
        <v>126</v>
      </c>
      <c r="U55" s="13">
        <f t="shared" si="41"/>
        <v>8</v>
      </c>
      <c r="V55" s="34"/>
      <c r="W55" s="10">
        <v>26.7</v>
      </c>
      <c r="X55" s="10">
        <f t="shared" si="42"/>
        <v>3924.9</v>
      </c>
      <c r="Y55" s="10">
        <f t="shared" si="51"/>
        <v>0</v>
      </c>
      <c r="Z55" s="10">
        <f t="shared" si="52"/>
        <v>213.6</v>
      </c>
      <c r="AA55" s="14">
        <f t="shared" si="53"/>
        <v>0</v>
      </c>
      <c r="AB55" s="14">
        <f t="shared" si="43"/>
        <v>3951.6</v>
      </c>
      <c r="AC55" s="11">
        <f t="shared" si="54"/>
        <v>0</v>
      </c>
      <c r="AD55" s="215"/>
      <c r="AE55" s="11">
        <f t="shared" si="44"/>
        <v>-186.90000000000009</v>
      </c>
      <c r="AF55" s="215"/>
    </row>
    <row r="56" spans="1:32" ht="14.65" thickBot="1" x14ac:dyDescent="0.5">
      <c r="A56" s="23">
        <f t="shared" si="50"/>
        <v>43842</v>
      </c>
      <c r="B56" s="24" t="s">
        <v>31</v>
      </c>
      <c r="C56" s="35"/>
      <c r="D56" s="25">
        <v>49</v>
      </c>
      <c r="E56" s="25">
        <v>20</v>
      </c>
      <c r="F56" s="25">
        <v>3.5</v>
      </c>
      <c r="G56" s="25">
        <v>0</v>
      </c>
      <c r="H56" s="25">
        <v>0</v>
      </c>
      <c r="I56" s="25">
        <v>17.86</v>
      </c>
      <c r="J56" s="25">
        <v>8</v>
      </c>
      <c r="K56" s="25">
        <v>0</v>
      </c>
      <c r="L56" s="26">
        <v>0</v>
      </c>
      <c r="M56" s="35"/>
      <c r="N56" s="25">
        <v>52.5</v>
      </c>
      <c r="O56" s="25">
        <v>20</v>
      </c>
      <c r="P56" s="25">
        <v>0</v>
      </c>
      <c r="Q56" s="25">
        <v>0</v>
      </c>
      <c r="R56" s="35"/>
      <c r="S56" s="25">
        <f t="shared" si="39"/>
        <v>72.5</v>
      </c>
      <c r="T56" s="25">
        <f t="shared" si="40"/>
        <v>72.5</v>
      </c>
      <c r="U56" s="25">
        <f t="shared" si="41"/>
        <v>25.86</v>
      </c>
      <c r="V56" s="35"/>
      <c r="W56" s="26">
        <v>25.7</v>
      </c>
      <c r="X56" s="26">
        <f t="shared" si="42"/>
        <v>2210.1999999999998</v>
      </c>
      <c r="Y56" s="26">
        <f t="shared" si="51"/>
        <v>459.00199999999995</v>
      </c>
      <c r="Z56" s="26">
        <f t="shared" si="52"/>
        <v>205.6</v>
      </c>
      <c r="AA56" s="27">
        <f t="shared" si="53"/>
        <v>0</v>
      </c>
      <c r="AB56" s="27">
        <f t="shared" si="43"/>
        <v>2120.25</v>
      </c>
      <c r="AC56" s="12">
        <f t="shared" si="54"/>
        <v>-459.00199999999995</v>
      </c>
      <c r="AD56" s="216"/>
      <c r="AE56" s="12">
        <f t="shared" si="44"/>
        <v>-295.54999999999973</v>
      </c>
      <c r="AF56" s="216"/>
    </row>
    <row r="57" spans="1:32" x14ac:dyDescent="0.45">
      <c r="A57" s="16">
        <f>A56+14</f>
        <v>43856</v>
      </c>
      <c r="B57" s="17" t="s">
        <v>0</v>
      </c>
      <c r="C57" s="33"/>
      <c r="D57" s="18">
        <v>80</v>
      </c>
      <c r="E57" s="18">
        <v>46.25</v>
      </c>
      <c r="F57" s="18">
        <v>0</v>
      </c>
      <c r="G57" s="18">
        <v>0</v>
      </c>
      <c r="H57" s="18">
        <v>0</v>
      </c>
      <c r="I57" s="18">
        <v>0</v>
      </c>
      <c r="J57" s="18">
        <v>0</v>
      </c>
      <c r="K57" s="18">
        <v>0</v>
      </c>
      <c r="L57" s="19">
        <v>0</v>
      </c>
      <c r="M57" s="33"/>
      <c r="N57" s="18">
        <v>80</v>
      </c>
      <c r="O57" s="18">
        <v>46.25</v>
      </c>
      <c r="P57" s="18">
        <v>0</v>
      </c>
      <c r="Q57" s="18">
        <v>0</v>
      </c>
      <c r="R57" s="33"/>
      <c r="S57" s="36">
        <f t="shared" si="39"/>
        <v>126.25</v>
      </c>
      <c r="T57" s="36">
        <f t="shared" si="40"/>
        <v>126.25</v>
      </c>
      <c r="U57" s="18">
        <f t="shared" si="41"/>
        <v>0</v>
      </c>
      <c r="V57" s="33"/>
      <c r="W57" s="19">
        <v>26.4</v>
      </c>
      <c r="X57" s="19">
        <f t="shared" si="42"/>
        <v>3943.5</v>
      </c>
      <c r="Y57" s="19">
        <f>(W57*0*H57)+(W57*1*I57)</f>
        <v>0</v>
      </c>
      <c r="Z57" s="19">
        <f>(W57*1*J57)+L57</f>
        <v>0</v>
      </c>
      <c r="AA57" s="20">
        <f>(W57*1*K57)</f>
        <v>0</v>
      </c>
      <c r="AB57" s="20">
        <f t="shared" si="43"/>
        <v>3943.5</v>
      </c>
      <c r="AC57" s="21">
        <f>0-Y57-AA57</f>
        <v>0</v>
      </c>
      <c r="AD57" s="214">
        <f>SUM(AC57:AC65)</f>
        <v>-93.034000000000006</v>
      </c>
      <c r="AE57" s="21">
        <f t="shared" si="44"/>
        <v>0</v>
      </c>
      <c r="AF57" s="211">
        <f>SUM(AE57:AE65)</f>
        <v>287.75000000000091</v>
      </c>
    </row>
    <row r="58" spans="1:32" x14ac:dyDescent="0.45">
      <c r="A58" s="22">
        <f t="shared" ref="A58:A65" si="55">A57</f>
        <v>43856</v>
      </c>
      <c r="B58" s="15" t="s">
        <v>30</v>
      </c>
      <c r="C58" s="34"/>
      <c r="D58" s="13">
        <v>80</v>
      </c>
      <c r="E58" s="13">
        <v>13.5</v>
      </c>
      <c r="F58" s="13">
        <v>0</v>
      </c>
      <c r="G58" s="13">
        <v>6</v>
      </c>
      <c r="H58" s="13">
        <v>0</v>
      </c>
      <c r="I58" s="13">
        <v>0</v>
      </c>
      <c r="J58" s="13">
        <v>0</v>
      </c>
      <c r="K58" s="13">
        <v>0</v>
      </c>
      <c r="L58" s="10">
        <v>0</v>
      </c>
      <c r="M58" s="34"/>
      <c r="N58" s="13">
        <v>86</v>
      </c>
      <c r="O58" s="13">
        <v>13.5</v>
      </c>
      <c r="P58" s="13">
        <v>0</v>
      </c>
      <c r="Q58" s="13">
        <v>0</v>
      </c>
      <c r="R58" s="34"/>
      <c r="S58" s="13">
        <f t="shared" si="39"/>
        <v>99.5</v>
      </c>
      <c r="T58" s="13">
        <f t="shared" si="40"/>
        <v>99.5</v>
      </c>
      <c r="U58" s="13">
        <f t="shared" si="41"/>
        <v>0</v>
      </c>
      <c r="V58" s="34"/>
      <c r="W58" s="10">
        <v>30.8</v>
      </c>
      <c r="X58" s="10">
        <f t="shared" si="42"/>
        <v>3272.5</v>
      </c>
      <c r="Y58" s="10">
        <f t="shared" ref="Y58:Y65" si="56">(W58*0*H58)+(W58*1*I58)</f>
        <v>0</v>
      </c>
      <c r="Z58" s="10">
        <f t="shared" ref="Z58:Z65" si="57">(W58*1*J58)+L58</f>
        <v>0</v>
      </c>
      <c r="AA58" s="14">
        <f t="shared" ref="AA58:AA65" si="58">(W58*1*K58)</f>
        <v>0</v>
      </c>
      <c r="AB58" s="14">
        <f t="shared" si="43"/>
        <v>3272.5</v>
      </c>
      <c r="AC58" s="11">
        <f t="shared" ref="AC58:AC65" si="59">0-Y58-AA58</f>
        <v>0</v>
      </c>
      <c r="AD58" s="215"/>
      <c r="AE58" s="11">
        <f t="shared" si="44"/>
        <v>0</v>
      </c>
      <c r="AF58" s="212"/>
    </row>
    <row r="59" spans="1:32" x14ac:dyDescent="0.45">
      <c r="A59" s="22">
        <f t="shared" si="55"/>
        <v>43856</v>
      </c>
      <c r="B59" s="15" t="s">
        <v>3</v>
      </c>
      <c r="C59" s="34"/>
      <c r="D59" s="13">
        <v>80</v>
      </c>
      <c r="E59" s="13">
        <v>32.5</v>
      </c>
      <c r="F59" s="13">
        <v>12</v>
      </c>
      <c r="G59" s="13">
        <v>26</v>
      </c>
      <c r="H59" s="13">
        <v>0</v>
      </c>
      <c r="I59" s="13">
        <v>0</v>
      </c>
      <c r="J59" s="13">
        <v>0</v>
      </c>
      <c r="K59" s="13">
        <v>0</v>
      </c>
      <c r="L59" s="10">
        <v>0</v>
      </c>
      <c r="M59" s="34"/>
      <c r="N59" s="13">
        <v>106</v>
      </c>
      <c r="O59" s="13">
        <v>25</v>
      </c>
      <c r="P59" s="13">
        <v>19</v>
      </c>
      <c r="Q59" s="13">
        <v>0</v>
      </c>
      <c r="R59" s="34"/>
      <c r="S59" s="13">
        <f t="shared" si="39"/>
        <v>150.5</v>
      </c>
      <c r="T59" s="13">
        <f t="shared" si="40"/>
        <v>150</v>
      </c>
      <c r="U59" s="13">
        <f t="shared" si="41"/>
        <v>0</v>
      </c>
      <c r="V59" s="34"/>
      <c r="W59" s="10">
        <v>28.5</v>
      </c>
      <c r="X59" s="10">
        <f t="shared" si="42"/>
        <v>5094.375</v>
      </c>
      <c r="Y59" s="10">
        <f t="shared" si="56"/>
        <v>0</v>
      </c>
      <c r="Z59" s="10">
        <f t="shared" si="57"/>
        <v>0</v>
      </c>
      <c r="AA59" s="14">
        <f t="shared" si="58"/>
        <v>0</v>
      </c>
      <c r="AB59" s="14">
        <f t="shared" si="43"/>
        <v>5172.75</v>
      </c>
      <c r="AC59" s="11">
        <f t="shared" si="59"/>
        <v>0</v>
      </c>
      <c r="AD59" s="215"/>
      <c r="AE59" s="11">
        <f t="shared" si="44"/>
        <v>78.375</v>
      </c>
      <c r="AF59" s="212"/>
    </row>
    <row r="60" spans="1:32" x14ac:dyDescent="0.45">
      <c r="A60" s="22">
        <f t="shared" si="55"/>
        <v>43856</v>
      </c>
      <c r="B60" s="15" t="s">
        <v>4</v>
      </c>
      <c r="C60" s="34"/>
      <c r="D60" s="13">
        <v>80</v>
      </c>
      <c r="E60" s="13">
        <v>43</v>
      </c>
      <c r="F60" s="13">
        <v>7.75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  <c r="L60" s="10">
        <v>0</v>
      </c>
      <c r="M60" s="34"/>
      <c r="N60" s="13">
        <v>80</v>
      </c>
      <c r="O60" s="13">
        <v>43.75</v>
      </c>
      <c r="P60" s="13">
        <v>8</v>
      </c>
      <c r="Q60" s="13">
        <v>0</v>
      </c>
      <c r="R60" s="34"/>
      <c r="S60" s="13">
        <f t="shared" si="39"/>
        <v>130.75</v>
      </c>
      <c r="T60" s="13">
        <f t="shared" si="40"/>
        <v>131.75</v>
      </c>
      <c r="U60" s="13">
        <f t="shared" si="41"/>
        <v>0</v>
      </c>
      <c r="V60" s="34"/>
      <c r="W60" s="10">
        <v>23</v>
      </c>
      <c r="X60" s="10">
        <f t="shared" si="42"/>
        <v>3680</v>
      </c>
      <c r="Y60" s="10">
        <f t="shared" si="56"/>
        <v>0</v>
      </c>
      <c r="Z60" s="10">
        <f t="shared" si="57"/>
        <v>0</v>
      </c>
      <c r="AA60" s="14">
        <f t="shared" si="58"/>
        <v>0</v>
      </c>
      <c r="AB60" s="14">
        <f t="shared" si="43"/>
        <v>3717.375</v>
      </c>
      <c r="AC60" s="11">
        <f t="shared" si="59"/>
        <v>0</v>
      </c>
      <c r="AD60" s="215"/>
      <c r="AE60" s="11">
        <f t="shared" si="44"/>
        <v>37.375</v>
      </c>
      <c r="AF60" s="212"/>
    </row>
    <row r="61" spans="1:32" x14ac:dyDescent="0.45">
      <c r="A61" s="22">
        <f t="shared" si="55"/>
        <v>43856</v>
      </c>
      <c r="B61" s="15" t="s">
        <v>5</v>
      </c>
      <c r="C61" s="34"/>
      <c r="D61" s="13">
        <v>80</v>
      </c>
      <c r="E61" s="13">
        <v>36.75</v>
      </c>
      <c r="F61" s="13">
        <v>8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0">
        <v>0</v>
      </c>
      <c r="M61" s="34"/>
      <c r="N61" s="13">
        <v>80</v>
      </c>
      <c r="O61" s="13">
        <v>38.25</v>
      </c>
      <c r="P61" s="13">
        <v>7.5</v>
      </c>
      <c r="Q61" s="13">
        <v>0</v>
      </c>
      <c r="R61" s="34"/>
      <c r="S61" s="13">
        <f t="shared" si="39"/>
        <v>124.75</v>
      </c>
      <c r="T61" s="13">
        <f t="shared" si="40"/>
        <v>125.75</v>
      </c>
      <c r="U61" s="13">
        <f t="shared" si="41"/>
        <v>0</v>
      </c>
      <c r="V61" s="34"/>
      <c r="W61" s="10">
        <v>27.2</v>
      </c>
      <c r="X61" s="10">
        <f t="shared" si="42"/>
        <v>4110.5999999999995</v>
      </c>
      <c r="Y61" s="10">
        <f t="shared" si="56"/>
        <v>0</v>
      </c>
      <c r="Z61" s="10">
        <f t="shared" si="57"/>
        <v>0</v>
      </c>
      <c r="AA61" s="14">
        <f t="shared" si="58"/>
        <v>0</v>
      </c>
      <c r="AB61" s="14">
        <f t="shared" si="43"/>
        <v>4144.6000000000004</v>
      </c>
      <c r="AC61" s="11">
        <f t="shared" si="59"/>
        <v>0</v>
      </c>
      <c r="AD61" s="215"/>
      <c r="AE61" s="11">
        <f t="shared" si="44"/>
        <v>34.000000000000909</v>
      </c>
      <c r="AF61" s="212"/>
    </row>
    <row r="62" spans="1:32" x14ac:dyDescent="0.45">
      <c r="A62" s="22">
        <f t="shared" si="55"/>
        <v>43856</v>
      </c>
      <c r="B62" s="15" t="s">
        <v>6</v>
      </c>
      <c r="C62" s="34"/>
      <c r="D62" s="13">
        <v>80</v>
      </c>
      <c r="E62" s="13">
        <v>40.75</v>
      </c>
      <c r="F62" s="13">
        <v>8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  <c r="L62" s="10">
        <v>0</v>
      </c>
      <c r="M62" s="34"/>
      <c r="N62" s="13">
        <v>80</v>
      </c>
      <c r="O62" s="13">
        <v>40.75</v>
      </c>
      <c r="P62" s="13">
        <v>8</v>
      </c>
      <c r="Q62" s="13">
        <v>0</v>
      </c>
      <c r="R62" s="34"/>
      <c r="S62" s="13">
        <f t="shared" si="39"/>
        <v>128.75</v>
      </c>
      <c r="T62" s="13">
        <f t="shared" si="40"/>
        <v>128.75</v>
      </c>
      <c r="U62" s="13">
        <f t="shared" si="41"/>
        <v>0</v>
      </c>
      <c r="V62" s="34"/>
      <c r="W62" s="10">
        <v>23</v>
      </c>
      <c r="X62" s="10">
        <f t="shared" si="42"/>
        <v>3613.875</v>
      </c>
      <c r="Y62" s="10">
        <f t="shared" si="56"/>
        <v>0</v>
      </c>
      <c r="Z62" s="10">
        <f t="shared" si="57"/>
        <v>0</v>
      </c>
      <c r="AA62" s="14">
        <f t="shared" si="58"/>
        <v>0</v>
      </c>
      <c r="AB62" s="14">
        <f t="shared" si="43"/>
        <v>3613.875</v>
      </c>
      <c r="AC62" s="11">
        <f t="shared" si="59"/>
        <v>0</v>
      </c>
      <c r="AD62" s="215"/>
      <c r="AE62" s="11">
        <f t="shared" si="44"/>
        <v>0</v>
      </c>
      <c r="AF62" s="212"/>
    </row>
    <row r="63" spans="1:32" x14ac:dyDescent="0.45">
      <c r="A63" s="22">
        <f t="shared" si="55"/>
        <v>43856</v>
      </c>
      <c r="B63" s="15" t="s">
        <v>8</v>
      </c>
      <c r="C63" s="34"/>
      <c r="D63" s="13">
        <v>80</v>
      </c>
      <c r="E63" s="13">
        <v>39</v>
      </c>
      <c r="F63" s="13">
        <v>12</v>
      </c>
      <c r="G63" s="13">
        <v>15</v>
      </c>
      <c r="H63" s="13">
        <v>0</v>
      </c>
      <c r="I63" s="13">
        <v>0</v>
      </c>
      <c r="J63" s="13">
        <v>0</v>
      </c>
      <c r="K63" s="13">
        <v>0</v>
      </c>
      <c r="L63" s="10">
        <v>0</v>
      </c>
      <c r="M63" s="34"/>
      <c r="N63" s="13">
        <v>95.5</v>
      </c>
      <c r="O63" s="13">
        <v>30</v>
      </c>
      <c r="P63" s="13">
        <v>21.5</v>
      </c>
      <c r="Q63" s="13">
        <v>0</v>
      </c>
      <c r="R63" s="34"/>
      <c r="S63" s="13">
        <f t="shared" si="39"/>
        <v>146</v>
      </c>
      <c r="T63" s="13">
        <f t="shared" si="40"/>
        <v>147</v>
      </c>
      <c r="U63" s="13">
        <f t="shared" si="41"/>
        <v>0</v>
      </c>
      <c r="V63" s="34"/>
      <c r="W63" s="10">
        <v>23</v>
      </c>
      <c r="X63" s="10">
        <f t="shared" si="42"/>
        <v>4082.5</v>
      </c>
      <c r="Y63" s="10">
        <f t="shared" si="56"/>
        <v>0</v>
      </c>
      <c r="Z63" s="10">
        <f t="shared" si="57"/>
        <v>0</v>
      </c>
      <c r="AA63" s="14">
        <f t="shared" si="58"/>
        <v>0</v>
      </c>
      <c r="AB63" s="14">
        <f t="shared" si="43"/>
        <v>4220.5</v>
      </c>
      <c r="AC63" s="11">
        <f t="shared" si="59"/>
        <v>0</v>
      </c>
      <c r="AD63" s="215"/>
      <c r="AE63" s="11">
        <f t="shared" si="44"/>
        <v>138</v>
      </c>
      <c r="AF63" s="212"/>
    </row>
    <row r="64" spans="1:32" x14ac:dyDescent="0.45">
      <c r="A64" s="22">
        <f t="shared" si="55"/>
        <v>43856</v>
      </c>
      <c r="B64" s="15" t="s">
        <v>9</v>
      </c>
      <c r="C64" s="34"/>
      <c r="D64" s="13">
        <v>80</v>
      </c>
      <c r="E64" s="13">
        <v>42</v>
      </c>
      <c r="F64" s="13">
        <v>8</v>
      </c>
      <c r="G64" s="13">
        <v>26</v>
      </c>
      <c r="H64" s="13">
        <v>0</v>
      </c>
      <c r="I64" s="13">
        <v>0</v>
      </c>
      <c r="J64" s="13">
        <v>0</v>
      </c>
      <c r="K64" s="13">
        <v>0</v>
      </c>
      <c r="L64" s="10">
        <v>0</v>
      </c>
      <c r="M64" s="34"/>
      <c r="N64" s="13">
        <v>80</v>
      </c>
      <c r="O64" s="13">
        <v>42</v>
      </c>
      <c r="P64" s="13">
        <v>8</v>
      </c>
      <c r="Q64" s="13">
        <v>26</v>
      </c>
      <c r="R64" s="34"/>
      <c r="S64" s="13">
        <f t="shared" si="39"/>
        <v>156</v>
      </c>
      <c r="T64" s="13">
        <f t="shared" si="40"/>
        <v>156</v>
      </c>
      <c r="U64" s="13">
        <f t="shared" si="41"/>
        <v>0</v>
      </c>
      <c r="V64" s="34"/>
      <c r="W64" s="10">
        <v>26.7</v>
      </c>
      <c r="X64" s="10">
        <f t="shared" si="42"/>
        <v>4939.5</v>
      </c>
      <c r="Y64" s="10">
        <f t="shared" si="56"/>
        <v>0</v>
      </c>
      <c r="Z64" s="10">
        <f t="shared" si="57"/>
        <v>0</v>
      </c>
      <c r="AA64" s="14">
        <f t="shared" si="58"/>
        <v>0</v>
      </c>
      <c r="AB64" s="14">
        <f t="shared" si="43"/>
        <v>4939.5</v>
      </c>
      <c r="AC64" s="11">
        <f t="shared" si="59"/>
        <v>0</v>
      </c>
      <c r="AD64" s="215"/>
      <c r="AE64" s="11">
        <f t="shared" si="44"/>
        <v>0</v>
      </c>
      <c r="AF64" s="212"/>
    </row>
    <row r="65" spans="1:33" ht="14.65" thickBot="1" x14ac:dyDescent="0.5">
      <c r="A65" s="23">
        <f t="shared" si="55"/>
        <v>43856</v>
      </c>
      <c r="B65" s="24" t="s">
        <v>31</v>
      </c>
      <c r="C65" s="35"/>
      <c r="D65" s="25">
        <v>77.5</v>
      </c>
      <c r="E65" s="25">
        <v>10.5</v>
      </c>
      <c r="F65" s="25">
        <v>0</v>
      </c>
      <c r="G65" s="25">
        <v>0</v>
      </c>
      <c r="H65" s="25">
        <v>0</v>
      </c>
      <c r="I65" s="25">
        <v>3.62</v>
      </c>
      <c r="J65" s="25">
        <v>0</v>
      </c>
      <c r="K65" s="25">
        <v>0</v>
      </c>
      <c r="L65" s="26">
        <v>0</v>
      </c>
      <c r="M65" s="35"/>
      <c r="N65" s="25">
        <v>77.5</v>
      </c>
      <c r="O65" s="25">
        <v>10.5</v>
      </c>
      <c r="P65" s="25">
        <v>0</v>
      </c>
      <c r="Q65" s="25">
        <v>0</v>
      </c>
      <c r="R65" s="35"/>
      <c r="S65" s="25">
        <f t="shared" si="39"/>
        <v>88</v>
      </c>
      <c r="T65" s="25">
        <f t="shared" si="40"/>
        <v>88</v>
      </c>
      <c r="U65" s="25">
        <f t="shared" si="41"/>
        <v>3.62</v>
      </c>
      <c r="V65" s="35"/>
      <c r="W65" s="26">
        <v>25.7</v>
      </c>
      <c r="X65" s="26">
        <f t="shared" si="42"/>
        <v>2396.5250000000001</v>
      </c>
      <c r="Y65" s="26">
        <f t="shared" si="56"/>
        <v>93.034000000000006</v>
      </c>
      <c r="Z65" s="26">
        <f t="shared" si="57"/>
        <v>0</v>
      </c>
      <c r="AA65" s="27">
        <f t="shared" si="58"/>
        <v>0</v>
      </c>
      <c r="AB65" s="27">
        <f t="shared" si="43"/>
        <v>2396.5250000000001</v>
      </c>
      <c r="AC65" s="12">
        <f t="shared" si="59"/>
        <v>-93.034000000000006</v>
      </c>
      <c r="AD65" s="216"/>
      <c r="AE65" s="12">
        <f t="shared" si="44"/>
        <v>0</v>
      </c>
      <c r="AF65" s="213"/>
    </row>
    <row r="66" spans="1:33" x14ac:dyDescent="0.45">
      <c r="A66" s="16">
        <f>A65+14</f>
        <v>43870</v>
      </c>
      <c r="B66" s="17" t="s">
        <v>0</v>
      </c>
      <c r="C66" s="33"/>
      <c r="D66" s="18">
        <v>80</v>
      </c>
      <c r="E66" s="18">
        <v>50</v>
      </c>
      <c r="F66" s="18">
        <v>3</v>
      </c>
      <c r="G66" s="18">
        <v>15</v>
      </c>
      <c r="H66" s="18">
        <v>0</v>
      </c>
      <c r="I66" s="18">
        <v>0</v>
      </c>
      <c r="J66" s="18">
        <v>0</v>
      </c>
      <c r="K66" s="18">
        <v>0</v>
      </c>
      <c r="L66" s="19">
        <v>0</v>
      </c>
      <c r="M66" s="33"/>
      <c r="N66" s="18">
        <v>95</v>
      </c>
      <c r="O66" s="18">
        <v>44</v>
      </c>
      <c r="P66" s="18">
        <v>9</v>
      </c>
      <c r="Q66" s="18">
        <v>0</v>
      </c>
      <c r="R66" s="33"/>
      <c r="S66" s="36">
        <f t="shared" si="39"/>
        <v>148</v>
      </c>
      <c r="T66" s="36">
        <f t="shared" si="40"/>
        <v>148</v>
      </c>
      <c r="U66" s="18">
        <f t="shared" si="41"/>
        <v>0</v>
      </c>
      <c r="V66" s="33"/>
      <c r="W66" s="19">
        <v>26.4</v>
      </c>
      <c r="X66" s="19">
        <f t="shared" si="42"/>
        <v>4646.3999999999996</v>
      </c>
      <c r="Y66" s="19">
        <f>(W66*0*H66)+(W66*1*I66)</f>
        <v>0</v>
      </c>
      <c r="Z66" s="19">
        <f>(W66*1*J66)+L66</f>
        <v>0</v>
      </c>
      <c r="AA66" s="20">
        <f>(W66*1*K66)</f>
        <v>0</v>
      </c>
      <c r="AB66" s="20">
        <f t="shared" si="43"/>
        <v>4725.5999999999995</v>
      </c>
      <c r="AC66" s="21">
        <f>0-Y66-AA66</f>
        <v>0</v>
      </c>
      <c r="AD66" s="214">
        <f>SUM(AC66:AC74)</f>
        <v>-307.10300000000001</v>
      </c>
      <c r="AE66" s="21">
        <f t="shared" si="44"/>
        <v>79.199999999999818</v>
      </c>
      <c r="AF66" s="211">
        <f>SUM(AE66:AE74)</f>
        <v>173.57499999999982</v>
      </c>
    </row>
    <row r="67" spans="1:33" x14ac:dyDescent="0.45">
      <c r="A67" s="22">
        <f t="shared" ref="A67:A74" si="60">A66</f>
        <v>43870</v>
      </c>
      <c r="B67" s="15" t="s">
        <v>30</v>
      </c>
      <c r="C67" s="34"/>
      <c r="D67" s="13">
        <v>80</v>
      </c>
      <c r="E67" s="13">
        <v>43</v>
      </c>
      <c r="F67" s="13">
        <v>12</v>
      </c>
      <c r="G67" s="13">
        <v>6</v>
      </c>
      <c r="H67" s="13">
        <v>0</v>
      </c>
      <c r="I67" s="13">
        <v>0</v>
      </c>
      <c r="J67" s="13">
        <v>0</v>
      </c>
      <c r="K67" s="13">
        <v>0</v>
      </c>
      <c r="L67" s="10">
        <v>0</v>
      </c>
      <c r="M67" s="34"/>
      <c r="N67" s="13">
        <v>86</v>
      </c>
      <c r="O67" s="13">
        <v>43</v>
      </c>
      <c r="P67" s="13">
        <v>12</v>
      </c>
      <c r="Q67" s="13">
        <v>0</v>
      </c>
      <c r="R67" s="34"/>
      <c r="S67" s="13">
        <f t="shared" ref="S67:S83" si="61">SUM(D67:G67)</f>
        <v>141</v>
      </c>
      <c r="T67" s="13">
        <f t="shared" ref="T67:T83" si="62">SUM(N67:Q67)</f>
        <v>141</v>
      </c>
      <c r="U67" s="13">
        <f t="shared" ref="U67:U83" si="63">SUM(H67:L67)</f>
        <v>0</v>
      </c>
      <c r="V67" s="34"/>
      <c r="W67" s="10">
        <v>30.8</v>
      </c>
      <c r="X67" s="10">
        <f t="shared" ref="X67:X83" si="64">(W67*1*D67)+(W67*1.5*E67)+(W67*2*F67)+(W67*1*G67)</f>
        <v>5374.6</v>
      </c>
      <c r="Y67" s="10">
        <f t="shared" ref="Y67:Y74" si="65">(W67*0*H67)+(W67*1*I67)</f>
        <v>0</v>
      </c>
      <c r="Z67" s="10">
        <f t="shared" ref="Z67:Z74" si="66">(W67*1*J67)+L67</f>
        <v>0</v>
      </c>
      <c r="AA67" s="14">
        <f t="shared" ref="AA67:AA74" si="67">(W67*1*K67)</f>
        <v>0</v>
      </c>
      <c r="AB67" s="14">
        <f t="shared" ref="AB67:AB83" si="68">(W67*1*N67)+(W67*1.5*O67)+(W67*2*P67)+(W67*1*Q67)</f>
        <v>5374.6</v>
      </c>
      <c r="AC67" s="11">
        <f t="shared" ref="AC67:AC74" si="69">0-Y67-AA67</f>
        <v>0</v>
      </c>
      <c r="AD67" s="215"/>
      <c r="AE67" s="11">
        <f t="shared" ref="AE67:AE83" si="70">AB67-(X67+Z67)</f>
        <v>0</v>
      </c>
      <c r="AF67" s="212"/>
    </row>
    <row r="68" spans="1:33" x14ac:dyDescent="0.45">
      <c r="A68" s="22">
        <f t="shared" si="60"/>
        <v>43870</v>
      </c>
      <c r="B68" s="15" t="s">
        <v>3</v>
      </c>
      <c r="C68" s="34"/>
      <c r="D68" s="13">
        <v>80</v>
      </c>
      <c r="E68" s="13">
        <v>28</v>
      </c>
      <c r="F68" s="13">
        <v>8</v>
      </c>
      <c r="G68" s="13">
        <v>26</v>
      </c>
      <c r="H68" s="13">
        <v>0</v>
      </c>
      <c r="I68" s="13">
        <v>0</v>
      </c>
      <c r="J68" s="13">
        <v>0</v>
      </c>
      <c r="K68" s="13">
        <v>0</v>
      </c>
      <c r="L68" s="10">
        <v>0</v>
      </c>
      <c r="M68" s="34"/>
      <c r="N68" s="13">
        <v>106</v>
      </c>
      <c r="O68" s="13">
        <v>24</v>
      </c>
      <c r="P68" s="13">
        <v>12</v>
      </c>
      <c r="Q68" s="13">
        <v>0</v>
      </c>
      <c r="R68" s="34"/>
      <c r="S68" s="13">
        <f t="shared" si="61"/>
        <v>142</v>
      </c>
      <c r="T68" s="13">
        <f t="shared" si="62"/>
        <v>142</v>
      </c>
      <c r="U68" s="13">
        <f t="shared" si="63"/>
        <v>0</v>
      </c>
      <c r="V68" s="34"/>
      <c r="W68" s="10">
        <v>28.5</v>
      </c>
      <c r="X68" s="10">
        <f t="shared" si="64"/>
        <v>4674</v>
      </c>
      <c r="Y68" s="10">
        <f t="shared" si="65"/>
        <v>0</v>
      </c>
      <c r="Z68" s="10">
        <f t="shared" si="66"/>
        <v>0</v>
      </c>
      <c r="AA68" s="14">
        <f t="shared" si="67"/>
        <v>0</v>
      </c>
      <c r="AB68" s="14">
        <f t="shared" si="68"/>
        <v>4731</v>
      </c>
      <c r="AC68" s="11">
        <f t="shared" si="69"/>
        <v>0</v>
      </c>
      <c r="AD68" s="215"/>
      <c r="AE68" s="11">
        <f t="shared" si="70"/>
        <v>57</v>
      </c>
      <c r="AF68" s="212"/>
    </row>
    <row r="69" spans="1:33" x14ac:dyDescent="0.45">
      <c r="A69" s="22">
        <f t="shared" si="60"/>
        <v>43870</v>
      </c>
      <c r="B69" s="15" t="s">
        <v>4</v>
      </c>
      <c r="C69" s="34"/>
      <c r="D69" s="13">
        <v>80</v>
      </c>
      <c r="E69" s="13">
        <v>30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0">
        <v>0</v>
      </c>
      <c r="M69" s="34"/>
      <c r="N69" s="13">
        <v>80</v>
      </c>
      <c r="O69" s="13">
        <v>30</v>
      </c>
      <c r="P69" s="13">
        <v>0</v>
      </c>
      <c r="Q69" s="13">
        <v>0</v>
      </c>
      <c r="R69" s="34"/>
      <c r="S69" s="13">
        <f t="shared" si="61"/>
        <v>110</v>
      </c>
      <c r="T69" s="13">
        <f t="shared" si="62"/>
        <v>110</v>
      </c>
      <c r="U69" s="13">
        <f t="shared" si="63"/>
        <v>0</v>
      </c>
      <c r="V69" s="34"/>
      <c r="W69" s="10">
        <v>23</v>
      </c>
      <c r="X69" s="10">
        <f t="shared" si="64"/>
        <v>2875</v>
      </c>
      <c r="Y69" s="10">
        <f t="shared" si="65"/>
        <v>0</v>
      </c>
      <c r="Z69" s="10">
        <f t="shared" si="66"/>
        <v>0</v>
      </c>
      <c r="AA69" s="14">
        <f t="shared" si="67"/>
        <v>0</v>
      </c>
      <c r="AB69" s="14">
        <f t="shared" si="68"/>
        <v>2875</v>
      </c>
      <c r="AC69" s="11">
        <f t="shared" si="69"/>
        <v>0</v>
      </c>
      <c r="AD69" s="215"/>
      <c r="AE69" s="11">
        <f t="shared" si="70"/>
        <v>0</v>
      </c>
      <c r="AF69" s="212"/>
    </row>
    <row r="70" spans="1:33" x14ac:dyDescent="0.45">
      <c r="A70" s="22">
        <f t="shared" si="60"/>
        <v>43870</v>
      </c>
      <c r="B70" s="15" t="s">
        <v>5</v>
      </c>
      <c r="C70" s="34"/>
      <c r="D70" s="13">
        <v>80</v>
      </c>
      <c r="E70" s="13">
        <v>38.25</v>
      </c>
      <c r="F70" s="13">
        <v>0</v>
      </c>
      <c r="G70" s="13">
        <v>0</v>
      </c>
      <c r="H70" s="13">
        <v>0</v>
      </c>
      <c r="I70" s="13">
        <v>3.59</v>
      </c>
      <c r="J70" s="13">
        <v>0</v>
      </c>
      <c r="K70" s="13">
        <v>0</v>
      </c>
      <c r="L70" s="10">
        <v>0</v>
      </c>
      <c r="M70" s="34"/>
      <c r="N70" s="13">
        <v>80</v>
      </c>
      <c r="O70" s="13">
        <v>38.25</v>
      </c>
      <c r="P70" s="13">
        <v>0</v>
      </c>
      <c r="Q70" s="13">
        <v>0</v>
      </c>
      <c r="R70" s="34"/>
      <c r="S70" s="13">
        <f t="shared" si="61"/>
        <v>118.25</v>
      </c>
      <c r="T70" s="13">
        <f t="shared" si="62"/>
        <v>118.25</v>
      </c>
      <c r="U70" s="13">
        <f t="shared" si="63"/>
        <v>3.59</v>
      </c>
      <c r="V70" s="34"/>
      <c r="W70" s="10">
        <v>27.2</v>
      </c>
      <c r="X70" s="10">
        <f t="shared" si="64"/>
        <v>3736.6</v>
      </c>
      <c r="Y70" s="10">
        <f t="shared" si="65"/>
        <v>97.647999999999996</v>
      </c>
      <c r="Z70" s="10">
        <f t="shared" si="66"/>
        <v>0</v>
      </c>
      <c r="AA70" s="14">
        <f t="shared" si="67"/>
        <v>0</v>
      </c>
      <c r="AB70" s="14">
        <f t="shared" si="68"/>
        <v>3736.6</v>
      </c>
      <c r="AC70" s="11">
        <f t="shared" si="69"/>
        <v>-97.647999999999996</v>
      </c>
      <c r="AD70" s="215"/>
      <c r="AE70" s="11">
        <f t="shared" si="70"/>
        <v>0</v>
      </c>
      <c r="AF70" s="212"/>
    </row>
    <row r="71" spans="1:33" x14ac:dyDescent="0.45">
      <c r="A71" s="22">
        <f t="shared" si="60"/>
        <v>43870</v>
      </c>
      <c r="B71" s="15" t="s">
        <v>6</v>
      </c>
      <c r="C71" s="34"/>
      <c r="D71" s="13">
        <v>80</v>
      </c>
      <c r="E71" s="13">
        <v>33.75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0">
        <v>0</v>
      </c>
      <c r="M71" s="34"/>
      <c r="N71" s="13">
        <v>80</v>
      </c>
      <c r="O71" s="13">
        <v>33.75</v>
      </c>
      <c r="P71" s="13">
        <v>0</v>
      </c>
      <c r="Q71" s="13">
        <v>0</v>
      </c>
      <c r="R71" s="34"/>
      <c r="S71" s="13">
        <f t="shared" si="61"/>
        <v>113.75</v>
      </c>
      <c r="T71" s="13">
        <f t="shared" si="62"/>
        <v>113.75</v>
      </c>
      <c r="U71" s="13">
        <f t="shared" si="63"/>
        <v>0</v>
      </c>
      <c r="V71" s="34"/>
      <c r="W71" s="10">
        <v>23</v>
      </c>
      <c r="X71" s="10">
        <f t="shared" si="64"/>
        <v>3004.375</v>
      </c>
      <c r="Y71" s="10">
        <f t="shared" si="65"/>
        <v>0</v>
      </c>
      <c r="Z71" s="10">
        <f t="shared" si="66"/>
        <v>0</v>
      </c>
      <c r="AA71" s="14">
        <f t="shared" si="67"/>
        <v>0</v>
      </c>
      <c r="AB71" s="14">
        <f t="shared" si="68"/>
        <v>3004.375</v>
      </c>
      <c r="AC71" s="11">
        <f t="shared" si="69"/>
        <v>0</v>
      </c>
      <c r="AD71" s="215"/>
      <c r="AE71" s="11">
        <f t="shared" si="70"/>
        <v>0</v>
      </c>
      <c r="AF71" s="212"/>
    </row>
    <row r="72" spans="1:33" x14ac:dyDescent="0.45">
      <c r="A72" s="22">
        <f t="shared" si="60"/>
        <v>43870</v>
      </c>
      <c r="B72" s="15" t="s">
        <v>8</v>
      </c>
      <c r="C72" s="34"/>
      <c r="D72" s="13">
        <v>80</v>
      </c>
      <c r="E72" s="13">
        <v>36.25</v>
      </c>
      <c r="F72" s="13">
        <v>12</v>
      </c>
      <c r="G72" s="13">
        <v>16</v>
      </c>
      <c r="H72" s="13">
        <v>0</v>
      </c>
      <c r="I72" s="13">
        <v>0</v>
      </c>
      <c r="J72" s="13">
        <v>0</v>
      </c>
      <c r="K72" s="13">
        <v>0</v>
      </c>
      <c r="L72" s="10">
        <v>0</v>
      </c>
      <c r="M72" s="34"/>
      <c r="N72" s="13">
        <v>96</v>
      </c>
      <c r="O72" s="13">
        <v>33</v>
      </c>
      <c r="P72" s="13">
        <v>15.25</v>
      </c>
      <c r="Q72" s="13">
        <v>0</v>
      </c>
      <c r="R72" s="34"/>
      <c r="S72" s="13">
        <f t="shared" si="61"/>
        <v>144.25</v>
      </c>
      <c r="T72" s="13">
        <f t="shared" si="62"/>
        <v>144.25</v>
      </c>
      <c r="U72" s="13">
        <f t="shared" si="63"/>
        <v>0</v>
      </c>
      <c r="V72" s="34"/>
      <c r="W72" s="10">
        <v>23</v>
      </c>
      <c r="X72" s="10">
        <f t="shared" si="64"/>
        <v>4010.625</v>
      </c>
      <c r="Y72" s="10">
        <f t="shared" si="65"/>
        <v>0</v>
      </c>
      <c r="Z72" s="10">
        <f t="shared" si="66"/>
        <v>0</v>
      </c>
      <c r="AA72" s="14">
        <f t="shared" si="67"/>
        <v>0</v>
      </c>
      <c r="AB72" s="14">
        <f t="shared" si="68"/>
        <v>4048</v>
      </c>
      <c r="AC72" s="11">
        <f t="shared" si="69"/>
        <v>0</v>
      </c>
      <c r="AD72" s="215"/>
      <c r="AE72" s="11">
        <f t="shared" si="70"/>
        <v>37.375</v>
      </c>
      <c r="AF72" s="212"/>
    </row>
    <row r="73" spans="1:33" x14ac:dyDescent="0.45">
      <c r="A73" s="22">
        <f t="shared" si="60"/>
        <v>43870</v>
      </c>
      <c r="B73" s="15" t="s">
        <v>9</v>
      </c>
      <c r="C73" s="34"/>
      <c r="D73" s="13">
        <v>80</v>
      </c>
      <c r="E73" s="13">
        <v>36</v>
      </c>
      <c r="F73" s="13">
        <v>8</v>
      </c>
      <c r="G73" s="13">
        <v>24</v>
      </c>
      <c r="H73" s="13">
        <v>0</v>
      </c>
      <c r="I73" s="13">
        <v>0</v>
      </c>
      <c r="J73" s="13">
        <v>0</v>
      </c>
      <c r="K73" s="13">
        <v>0</v>
      </c>
      <c r="L73" s="10">
        <v>0</v>
      </c>
      <c r="M73" s="34"/>
      <c r="N73" s="13">
        <v>80</v>
      </c>
      <c r="O73" s="13">
        <v>36</v>
      </c>
      <c r="P73" s="13">
        <v>8</v>
      </c>
      <c r="Q73" s="13">
        <v>24</v>
      </c>
      <c r="R73" s="34"/>
      <c r="S73" s="13">
        <f t="shared" si="61"/>
        <v>148</v>
      </c>
      <c r="T73" s="13">
        <f t="shared" si="62"/>
        <v>148</v>
      </c>
      <c r="U73" s="13">
        <f t="shared" si="63"/>
        <v>0</v>
      </c>
      <c r="V73" s="34"/>
      <c r="W73" s="10">
        <v>26.7</v>
      </c>
      <c r="X73" s="10">
        <f t="shared" si="64"/>
        <v>4645.8</v>
      </c>
      <c r="Y73" s="10">
        <f t="shared" si="65"/>
        <v>0</v>
      </c>
      <c r="Z73" s="10">
        <f t="shared" si="66"/>
        <v>0</v>
      </c>
      <c r="AA73" s="14">
        <f t="shared" si="67"/>
        <v>0</v>
      </c>
      <c r="AB73" s="14">
        <f t="shared" si="68"/>
        <v>4645.8</v>
      </c>
      <c r="AC73" s="11">
        <f t="shared" si="69"/>
        <v>0</v>
      </c>
      <c r="AD73" s="215"/>
      <c r="AE73" s="11">
        <f t="shared" si="70"/>
        <v>0</v>
      </c>
      <c r="AF73" s="212"/>
    </row>
    <row r="74" spans="1:33" ht="14.65" thickBot="1" x14ac:dyDescent="0.5">
      <c r="A74" s="23">
        <f t="shared" si="60"/>
        <v>43870</v>
      </c>
      <c r="B74" s="24" t="s">
        <v>31</v>
      </c>
      <c r="C74" s="35"/>
      <c r="D74" s="25">
        <v>80</v>
      </c>
      <c r="E74" s="25">
        <v>49</v>
      </c>
      <c r="F74" s="25">
        <v>24</v>
      </c>
      <c r="G74" s="25">
        <v>5</v>
      </c>
      <c r="H74" s="25">
        <v>0</v>
      </c>
      <c r="I74" s="25">
        <v>8.15</v>
      </c>
      <c r="J74" s="25">
        <v>0</v>
      </c>
      <c r="K74" s="25">
        <v>0</v>
      </c>
      <c r="L74" s="26">
        <v>0</v>
      </c>
      <c r="M74" s="35"/>
      <c r="N74" s="25">
        <v>85</v>
      </c>
      <c r="O74" s="25">
        <v>49</v>
      </c>
      <c r="P74" s="25">
        <v>24</v>
      </c>
      <c r="Q74" s="25">
        <v>0</v>
      </c>
      <c r="R74" s="35"/>
      <c r="S74" s="25">
        <f t="shared" si="61"/>
        <v>158</v>
      </c>
      <c r="T74" s="25">
        <f t="shared" si="62"/>
        <v>158</v>
      </c>
      <c r="U74" s="25">
        <f t="shared" si="63"/>
        <v>8.15</v>
      </c>
      <c r="V74" s="35"/>
      <c r="W74" s="26">
        <v>25.7</v>
      </c>
      <c r="X74" s="26">
        <f t="shared" si="64"/>
        <v>5307.0499999999993</v>
      </c>
      <c r="Y74" s="26">
        <f t="shared" si="65"/>
        <v>209.45500000000001</v>
      </c>
      <c r="Z74" s="26">
        <f t="shared" si="66"/>
        <v>0</v>
      </c>
      <c r="AA74" s="27">
        <f t="shared" si="67"/>
        <v>0</v>
      </c>
      <c r="AB74" s="27">
        <f t="shared" si="68"/>
        <v>5307.0499999999993</v>
      </c>
      <c r="AC74" s="12">
        <f t="shared" si="69"/>
        <v>-209.45500000000001</v>
      </c>
      <c r="AD74" s="216"/>
      <c r="AE74" s="12">
        <f t="shared" si="70"/>
        <v>0</v>
      </c>
      <c r="AF74" s="213"/>
    </row>
    <row r="75" spans="1:33" x14ac:dyDescent="0.45">
      <c r="A75" s="16">
        <f>A74+14</f>
        <v>43884</v>
      </c>
      <c r="B75" s="17" t="s">
        <v>0</v>
      </c>
      <c r="C75" s="33"/>
      <c r="D75" s="18">
        <v>72</v>
      </c>
      <c r="E75" s="18">
        <v>20.25</v>
      </c>
      <c r="F75" s="18">
        <v>12</v>
      </c>
      <c r="G75" s="18">
        <v>28.75</v>
      </c>
      <c r="H75" s="18">
        <v>0</v>
      </c>
      <c r="I75" s="18">
        <v>0</v>
      </c>
      <c r="J75" s="18">
        <v>8</v>
      </c>
      <c r="K75" s="18">
        <v>0</v>
      </c>
      <c r="L75" s="19">
        <v>0</v>
      </c>
      <c r="M75" s="33"/>
      <c r="N75" s="18">
        <v>80</v>
      </c>
      <c r="O75" s="18">
        <v>23.25</v>
      </c>
      <c r="P75" s="18">
        <v>22.25</v>
      </c>
      <c r="Q75" s="18">
        <v>15.5</v>
      </c>
      <c r="R75" s="33"/>
      <c r="S75" s="36">
        <f t="shared" si="61"/>
        <v>133</v>
      </c>
      <c r="T75" s="36">
        <f t="shared" si="62"/>
        <v>141</v>
      </c>
      <c r="U75" s="18">
        <f t="shared" si="63"/>
        <v>8</v>
      </c>
      <c r="V75" s="33"/>
      <c r="W75" s="19">
        <v>26.4</v>
      </c>
      <c r="X75" s="19">
        <f t="shared" si="64"/>
        <v>4095.2999999999997</v>
      </c>
      <c r="Y75" s="19">
        <f>(W75*0*H75)+(W75*1*I75)</f>
        <v>0</v>
      </c>
      <c r="Z75" s="19">
        <f>(W75*1*J75)+L75</f>
        <v>211.2</v>
      </c>
      <c r="AA75" s="20">
        <f>(W75*1*K75)</f>
        <v>0</v>
      </c>
      <c r="AB75" s="20">
        <f t="shared" si="68"/>
        <v>4616.7</v>
      </c>
      <c r="AC75" s="21">
        <f>0-Y75-AA75</f>
        <v>0</v>
      </c>
      <c r="AD75" s="214">
        <f>SUM(AC75:AC83)</f>
        <v>-335.04899999999998</v>
      </c>
      <c r="AE75" s="21">
        <f t="shared" si="70"/>
        <v>310.19999999999982</v>
      </c>
      <c r="AF75" s="211">
        <f>SUM(AE75:AE83)</f>
        <v>-1826.650000000001</v>
      </c>
      <c r="AG75" s="8"/>
    </row>
    <row r="76" spans="1:33" x14ac:dyDescent="0.45">
      <c r="A76" s="22">
        <f t="shared" ref="A76:A83" si="71">A75</f>
        <v>43884</v>
      </c>
      <c r="B76" s="15" t="s">
        <v>30</v>
      </c>
      <c r="C76" s="34"/>
      <c r="D76" s="13">
        <v>72</v>
      </c>
      <c r="E76" s="13">
        <v>26</v>
      </c>
      <c r="F76" s="13">
        <v>0</v>
      </c>
      <c r="G76" s="13">
        <v>6</v>
      </c>
      <c r="H76" s="13">
        <v>0</v>
      </c>
      <c r="I76" s="13">
        <v>0</v>
      </c>
      <c r="J76" s="13">
        <v>8</v>
      </c>
      <c r="K76" s="13">
        <v>0</v>
      </c>
      <c r="L76" s="10">
        <v>0</v>
      </c>
      <c r="M76" s="34"/>
      <c r="N76" s="13">
        <v>80</v>
      </c>
      <c r="O76" s="13">
        <v>18.5</v>
      </c>
      <c r="P76" s="13">
        <v>0</v>
      </c>
      <c r="Q76" s="13">
        <v>6</v>
      </c>
      <c r="R76" s="34"/>
      <c r="S76" s="13">
        <f t="shared" si="61"/>
        <v>104</v>
      </c>
      <c r="T76" s="13">
        <f t="shared" si="62"/>
        <v>104.5</v>
      </c>
      <c r="U76" s="13">
        <f t="shared" si="63"/>
        <v>8</v>
      </c>
      <c r="V76" s="34"/>
      <c r="W76" s="10">
        <v>30.8</v>
      </c>
      <c r="X76" s="10">
        <f t="shared" si="64"/>
        <v>3603.6000000000004</v>
      </c>
      <c r="Y76" s="10">
        <f t="shared" ref="Y76:Y83" si="72">(W76*0*H76)+(W76*1*I76)</f>
        <v>0</v>
      </c>
      <c r="Z76" s="10">
        <f t="shared" ref="Z76:Z83" si="73">(W76*1*J76)+L76</f>
        <v>246.4</v>
      </c>
      <c r="AA76" s="14">
        <f t="shared" ref="AA76:AA83" si="74">(W76*1*K76)</f>
        <v>0</v>
      </c>
      <c r="AB76" s="14">
        <f t="shared" si="68"/>
        <v>3503.5</v>
      </c>
      <c r="AC76" s="11">
        <f t="shared" ref="AC76:AC83" si="75">0-Y76-AA76</f>
        <v>0</v>
      </c>
      <c r="AD76" s="215"/>
      <c r="AE76" s="11">
        <f t="shared" si="70"/>
        <v>-346.50000000000045</v>
      </c>
      <c r="AF76" s="212"/>
      <c r="AG76" s="8"/>
    </row>
    <row r="77" spans="1:33" x14ac:dyDescent="0.45">
      <c r="A77" s="22">
        <f t="shared" si="71"/>
        <v>43884</v>
      </c>
      <c r="B77" s="15" t="s">
        <v>3</v>
      </c>
      <c r="C77" s="34"/>
      <c r="D77" s="13">
        <v>72</v>
      </c>
      <c r="E77" s="13">
        <v>54.25</v>
      </c>
      <c r="F77" s="13">
        <v>12</v>
      </c>
      <c r="G77" s="13">
        <v>6</v>
      </c>
      <c r="H77" s="13">
        <v>0</v>
      </c>
      <c r="I77" s="13">
        <v>0</v>
      </c>
      <c r="J77" s="13">
        <v>8</v>
      </c>
      <c r="K77" s="13">
        <v>0</v>
      </c>
      <c r="L77" s="10">
        <v>0</v>
      </c>
      <c r="M77" s="34"/>
      <c r="N77" s="13">
        <v>80</v>
      </c>
      <c r="O77" s="13">
        <v>45.75</v>
      </c>
      <c r="P77" s="13">
        <v>12.5</v>
      </c>
      <c r="Q77" s="13">
        <v>6</v>
      </c>
      <c r="R77" s="34"/>
      <c r="S77" s="13">
        <f t="shared" si="61"/>
        <v>144.25</v>
      </c>
      <c r="T77" s="13">
        <f t="shared" si="62"/>
        <v>144.25</v>
      </c>
      <c r="U77" s="13">
        <f t="shared" si="63"/>
        <v>8</v>
      </c>
      <c r="V77" s="34"/>
      <c r="W77" s="10">
        <v>28.5</v>
      </c>
      <c r="X77" s="10">
        <f t="shared" si="64"/>
        <v>5226.1875</v>
      </c>
      <c r="Y77" s="10">
        <f t="shared" si="72"/>
        <v>0</v>
      </c>
      <c r="Z77" s="10">
        <f t="shared" si="73"/>
        <v>228</v>
      </c>
      <c r="AA77" s="14">
        <f t="shared" si="74"/>
        <v>0</v>
      </c>
      <c r="AB77" s="14">
        <f t="shared" si="68"/>
        <v>5119.3125</v>
      </c>
      <c r="AC77" s="11">
        <f t="shared" si="75"/>
        <v>0</v>
      </c>
      <c r="AD77" s="215"/>
      <c r="AE77" s="11">
        <f t="shared" si="70"/>
        <v>-334.875</v>
      </c>
      <c r="AF77" s="212"/>
      <c r="AG77" s="8"/>
    </row>
    <row r="78" spans="1:33" x14ac:dyDescent="0.45">
      <c r="A78" s="22">
        <f t="shared" si="71"/>
        <v>43884</v>
      </c>
      <c r="B78" s="15" t="s">
        <v>4</v>
      </c>
      <c r="C78" s="34"/>
      <c r="D78" s="13">
        <v>72</v>
      </c>
      <c r="E78" s="13">
        <v>30.25</v>
      </c>
      <c r="F78" s="13">
        <v>0</v>
      </c>
      <c r="G78" s="13">
        <v>0</v>
      </c>
      <c r="H78" s="13">
        <v>0</v>
      </c>
      <c r="I78" s="13">
        <v>0</v>
      </c>
      <c r="J78" s="13">
        <v>8</v>
      </c>
      <c r="K78" s="13">
        <v>0</v>
      </c>
      <c r="L78" s="10">
        <v>0</v>
      </c>
      <c r="M78" s="34"/>
      <c r="N78" s="13">
        <v>80</v>
      </c>
      <c r="O78" s="13">
        <v>22.75</v>
      </c>
      <c r="P78" s="13">
        <v>0</v>
      </c>
      <c r="Q78" s="13">
        <v>0</v>
      </c>
      <c r="R78" s="34"/>
      <c r="S78" s="13">
        <f t="shared" si="61"/>
        <v>102.25</v>
      </c>
      <c r="T78" s="13">
        <f t="shared" si="62"/>
        <v>102.75</v>
      </c>
      <c r="U78" s="13">
        <f t="shared" si="63"/>
        <v>8</v>
      </c>
      <c r="V78" s="34"/>
      <c r="W78" s="10">
        <v>23</v>
      </c>
      <c r="X78" s="10">
        <f t="shared" si="64"/>
        <v>2699.625</v>
      </c>
      <c r="Y78" s="10">
        <f t="shared" si="72"/>
        <v>0</v>
      </c>
      <c r="Z78" s="10">
        <f t="shared" si="73"/>
        <v>184</v>
      </c>
      <c r="AA78" s="14">
        <f t="shared" si="74"/>
        <v>0</v>
      </c>
      <c r="AB78" s="14">
        <f t="shared" si="68"/>
        <v>2624.875</v>
      </c>
      <c r="AC78" s="11">
        <f t="shared" si="75"/>
        <v>0</v>
      </c>
      <c r="AD78" s="215"/>
      <c r="AE78" s="11">
        <f t="shared" si="70"/>
        <v>-258.75</v>
      </c>
      <c r="AF78" s="212"/>
      <c r="AG78" s="8"/>
    </row>
    <row r="79" spans="1:33" x14ac:dyDescent="0.45">
      <c r="A79" s="22">
        <f t="shared" si="71"/>
        <v>43884</v>
      </c>
      <c r="B79" s="15" t="s">
        <v>5</v>
      </c>
      <c r="C79" s="34"/>
      <c r="D79" s="13">
        <v>72</v>
      </c>
      <c r="E79" s="13">
        <v>38.5</v>
      </c>
      <c r="F79" s="13">
        <v>0</v>
      </c>
      <c r="G79" s="13">
        <v>0</v>
      </c>
      <c r="H79" s="13">
        <v>0</v>
      </c>
      <c r="I79" s="13">
        <v>8</v>
      </c>
      <c r="J79" s="13">
        <v>8</v>
      </c>
      <c r="K79" s="13">
        <v>0</v>
      </c>
      <c r="L79" s="10">
        <v>0</v>
      </c>
      <c r="M79" s="34"/>
      <c r="N79" s="13">
        <v>80</v>
      </c>
      <c r="O79" s="13">
        <v>30.5</v>
      </c>
      <c r="P79" s="13">
        <v>0</v>
      </c>
      <c r="Q79" s="13">
        <v>0</v>
      </c>
      <c r="R79" s="34"/>
      <c r="S79" s="13">
        <f t="shared" si="61"/>
        <v>110.5</v>
      </c>
      <c r="T79" s="13">
        <f t="shared" si="62"/>
        <v>110.5</v>
      </c>
      <c r="U79" s="13">
        <f t="shared" si="63"/>
        <v>16</v>
      </c>
      <c r="V79" s="34"/>
      <c r="W79" s="10">
        <v>27.2</v>
      </c>
      <c r="X79" s="10">
        <f t="shared" si="64"/>
        <v>3529.2</v>
      </c>
      <c r="Y79" s="10">
        <f t="shared" si="72"/>
        <v>217.6</v>
      </c>
      <c r="Z79" s="10">
        <f t="shared" si="73"/>
        <v>217.6</v>
      </c>
      <c r="AA79" s="14">
        <f t="shared" si="74"/>
        <v>0</v>
      </c>
      <c r="AB79" s="14">
        <f t="shared" si="68"/>
        <v>3420.3999999999996</v>
      </c>
      <c r="AC79" s="11">
        <f t="shared" si="75"/>
        <v>-217.6</v>
      </c>
      <c r="AD79" s="215"/>
      <c r="AE79" s="11">
        <f t="shared" si="70"/>
        <v>-326.40000000000009</v>
      </c>
      <c r="AF79" s="212"/>
      <c r="AG79" s="8"/>
    </row>
    <row r="80" spans="1:33" x14ac:dyDescent="0.45">
      <c r="A80" s="22">
        <f t="shared" si="71"/>
        <v>43884</v>
      </c>
      <c r="B80" s="15" t="s">
        <v>6</v>
      </c>
      <c r="C80" s="34"/>
      <c r="D80" s="13">
        <v>72</v>
      </c>
      <c r="E80" s="13">
        <v>43.75</v>
      </c>
      <c r="F80" s="13">
        <v>0</v>
      </c>
      <c r="G80" s="13">
        <v>0</v>
      </c>
      <c r="H80" s="13">
        <v>0</v>
      </c>
      <c r="I80" s="13">
        <v>0</v>
      </c>
      <c r="J80" s="13">
        <v>8</v>
      </c>
      <c r="K80" s="13">
        <v>0</v>
      </c>
      <c r="L80" s="10">
        <v>0</v>
      </c>
      <c r="M80" s="34"/>
      <c r="N80" s="13">
        <v>80</v>
      </c>
      <c r="O80" s="13">
        <v>35.75</v>
      </c>
      <c r="P80" s="13">
        <v>0</v>
      </c>
      <c r="Q80" s="13">
        <v>0</v>
      </c>
      <c r="R80" s="34"/>
      <c r="S80" s="13">
        <f t="shared" si="61"/>
        <v>115.75</v>
      </c>
      <c r="T80" s="13">
        <f t="shared" si="62"/>
        <v>115.75</v>
      </c>
      <c r="U80" s="13">
        <f t="shared" si="63"/>
        <v>8</v>
      </c>
      <c r="V80" s="34"/>
      <c r="W80" s="10">
        <v>23</v>
      </c>
      <c r="X80" s="10">
        <f t="shared" si="64"/>
        <v>3165.375</v>
      </c>
      <c r="Y80" s="10">
        <f t="shared" si="72"/>
        <v>0</v>
      </c>
      <c r="Z80" s="10">
        <f t="shared" si="73"/>
        <v>184</v>
      </c>
      <c r="AA80" s="14">
        <f t="shared" si="74"/>
        <v>0</v>
      </c>
      <c r="AB80" s="14">
        <f t="shared" si="68"/>
        <v>3073.375</v>
      </c>
      <c r="AC80" s="11">
        <f t="shared" si="75"/>
        <v>0</v>
      </c>
      <c r="AD80" s="215"/>
      <c r="AE80" s="11">
        <f t="shared" si="70"/>
        <v>-276</v>
      </c>
      <c r="AF80" s="212"/>
      <c r="AG80" s="8"/>
    </row>
    <row r="81" spans="1:33" x14ac:dyDescent="0.45">
      <c r="A81" s="22">
        <f t="shared" si="71"/>
        <v>43884</v>
      </c>
      <c r="B81" s="15" t="s">
        <v>8</v>
      </c>
      <c r="C81" s="34"/>
      <c r="D81" s="13">
        <v>71.75</v>
      </c>
      <c r="E81" s="13">
        <v>45</v>
      </c>
      <c r="F81" s="13">
        <v>12</v>
      </c>
      <c r="G81" s="13">
        <v>16</v>
      </c>
      <c r="H81" s="13">
        <v>0</v>
      </c>
      <c r="I81" s="13">
        <v>0</v>
      </c>
      <c r="J81" s="13">
        <v>8</v>
      </c>
      <c r="K81" s="13">
        <v>0</v>
      </c>
      <c r="L81" s="10">
        <v>0</v>
      </c>
      <c r="M81" s="34"/>
      <c r="N81" s="13">
        <v>80</v>
      </c>
      <c r="O81" s="13">
        <v>34.75</v>
      </c>
      <c r="P81" s="13">
        <v>14.5</v>
      </c>
      <c r="Q81" s="13">
        <v>15.5</v>
      </c>
      <c r="R81" s="34"/>
      <c r="S81" s="13">
        <f t="shared" si="61"/>
        <v>144.75</v>
      </c>
      <c r="T81" s="13">
        <f t="shared" si="62"/>
        <v>144.75</v>
      </c>
      <c r="U81" s="13">
        <f t="shared" si="63"/>
        <v>8</v>
      </c>
      <c r="V81" s="34"/>
      <c r="W81" s="10">
        <v>23</v>
      </c>
      <c r="X81" s="10">
        <f t="shared" si="64"/>
        <v>4122.75</v>
      </c>
      <c r="Y81" s="10">
        <f t="shared" si="72"/>
        <v>0</v>
      </c>
      <c r="Z81" s="10">
        <f t="shared" si="73"/>
        <v>184</v>
      </c>
      <c r="AA81" s="14">
        <f t="shared" si="74"/>
        <v>0</v>
      </c>
      <c r="AB81" s="14">
        <f t="shared" si="68"/>
        <v>4062.375</v>
      </c>
      <c r="AC81" s="11">
        <f t="shared" si="75"/>
        <v>0</v>
      </c>
      <c r="AD81" s="215"/>
      <c r="AE81" s="11">
        <f t="shared" si="70"/>
        <v>-244.375</v>
      </c>
      <c r="AF81" s="212"/>
      <c r="AG81" s="8"/>
    </row>
    <row r="82" spans="1:33" x14ac:dyDescent="0.45">
      <c r="A82" s="22">
        <f t="shared" si="71"/>
        <v>43884</v>
      </c>
      <c r="B82" s="15" t="s">
        <v>9</v>
      </c>
      <c r="C82" s="34"/>
      <c r="D82" s="13">
        <v>72</v>
      </c>
      <c r="E82" s="13">
        <v>47</v>
      </c>
      <c r="F82" s="13">
        <v>0</v>
      </c>
      <c r="G82" s="13">
        <v>24</v>
      </c>
      <c r="H82" s="13">
        <v>0</v>
      </c>
      <c r="I82" s="13">
        <v>0</v>
      </c>
      <c r="J82" s="13">
        <v>8</v>
      </c>
      <c r="K82" s="13">
        <v>0</v>
      </c>
      <c r="L82" s="10">
        <v>0</v>
      </c>
      <c r="M82" s="34"/>
      <c r="N82" s="13">
        <v>72</v>
      </c>
      <c r="O82" s="13">
        <v>37</v>
      </c>
      <c r="P82" s="13">
        <v>10</v>
      </c>
      <c r="Q82" s="13">
        <v>24</v>
      </c>
      <c r="R82" s="34"/>
      <c r="S82" s="13">
        <f t="shared" si="61"/>
        <v>143</v>
      </c>
      <c r="T82" s="13">
        <f t="shared" si="62"/>
        <v>143</v>
      </c>
      <c r="U82" s="13">
        <f t="shared" si="63"/>
        <v>8</v>
      </c>
      <c r="V82" s="34"/>
      <c r="W82" s="10">
        <v>26.7</v>
      </c>
      <c r="X82" s="10">
        <f t="shared" si="64"/>
        <v>4445.55</v>
      </c>
      <c r="Y82" s="10">
        <f t="shared" si="72"/>
        <v>0</v>
      </c>
      <c r="Z82" s="10">
        <f t="shared" si="73"/>
        <v>213.6</v>
      </c>
      <c r="AA82" s="14">
        <f t="shared" si="74"/>
        <v>0</v>
      </c>
      <c r="AB82" s="14">
        <f t="shared" si="68"/>
        <v>4579.05</v>
      </c>
      <c r="AC82" s="11">
        <f t="shared" si="75"/>
        <v>0</v>
      </c>
      <c r="AD82" s="215"/>
      <c r="AE82" s="11">
        <f t="shared" si="70"/>
        <v>-80.100000000000364</v>
      </c>
      <c r="AF82" s="212"/>
      <c r="AG82" s="8"/>
    </row>
    <row r="83" spans="1:33" ht="14.65" thickBot="1" x14ac:dyDescent="0.5">
      <c r="A83" s="23">
        <f t="shared" si="71"/>
        <v>43884</v>
      </c>
      <c r="B83" s="24" t="s">
        <v>31</v>
      </c>
      <c r="C83" s="35"/>
      <c r="D83" s="25">
        <v>72</v>
      </c>
      <c r="E83" s="25">
        <v>20.75</v>
      </c>
      <c r="F83" s="25">
        <v>0</v>
      </c>
      <c r="G83" s="25">
        <v>6</v>
      </c>
      <c r="H83" s="25">
        <v>0</v>
      </c>
      <c r="I83" s="25">
        <v>4.57</v>
      </c>
      <c r="J83" s="25">
        <v>8</v>
      </c>
      <c r="K83" s="25">
        <v>0</v>
      </c>
      <c r="L83" s="26">
        <v>0</v>
      </c>
      <c r="M83" s="35"/>
      <c r="N83" s="25">
        <v>77</v>
      </c>
      <c r="O83" s="25">
        <v>15.75</v>
      </c>
      <c r="P83" s="25">
        <v>0</v>
      </c>
      <c r="Q83" s="25">
        <v>6</v>
      </c>
      <c r="R83" s="35"/>
      <c r="S83" s="25">
        <f t="shared" si="61"/>
        <v>98.75</v>
      </c>
      <c r="T83" s="25">
        <f t="shared" si="62"/>
        <v>98.75</v>
      </c>
      <c r="U83" s="25">
        <f t="shared" si="63"/>
        <v>12.57</v>
      </c>
      <c r="V83" s="35"/>
      <c r="W83" s="26">
        <v>25.7</v>
      </c>
      <c r="X83" s="26">
        <f t="shared" si="64"/>
        <v>2804.5124999999998</v>
      </c>
      <c r="Y83" s="26">
        <f t="shared" si="72"/>
        <v>117.449</v>
      </c>
      <c r="Z83" s="26">
        <f t="shared" si="73"/>
        <v>205.6</v>
      </c>
      <c r="AA83" s="27">
        <f t="shared" si="74"/>
        <v>0</v>
      </c>
      <c r="AB83" s="27">
        <f t="shared" si="68"/>
        <v>2740.2624999999998</v>
      </c>
      <c r="AC83" s="12">
        <f t="shared" si="75"/>
        <v>-117.449</v>
      </c>
      <c r="AD83" s="216"/>
      <c r="AE83" s="12">
        <f t="shared" si="70"/>
        <v>-269.84999999999991</v>
      </c>
      <c r="AF83" s="213"/>
      <c r="AG83" s="8"/>
    </row>
    <row r="84" spans="1:33" x14ac:dyDescent="0.45">
      <c r="A84" s="16">
        <f>A83+14</f>
        <v>43898</v>
      </c>
      <c r="B84" s="17" t="s">
        <v>0</v>
      </c>
      <c r="C84" s="33"/>
      <c r="D84" s="18">
        <v>80</v>
      </c>
      <c r="E84" s="18">
        <v>43.5</v>
      </c>
      <c r="F84" s="18">
        <v>0</v>
      </c>
      <c r="G84" s="18">
        <v>0</v>
      </c>
      <c r="H84" s="18">
        <v>0</v>
      </c>
      <c r="I84" s="18">
        <v>0</v>
      </c>
      <c r="J84" s="18">
        <v>0</v>
      </c>
      <c r="K84" s="18">
        <v>0</v>
      </c>
      <c r="L84" s="19">
        <v>0</v>
      </c>
      <c r="M84" s="33"/>
      <c r="N84" s="18">
        <v>80</v>
      </c>
      <c r="O84" s="18">
        <v>43.5</v>
      </c>
      <c r="P84" s="18">
        <v>0</v>
      </c>
      <c r="Q84" s="18">
        <v>0</v>
      </c>
      <c r="R84" s="33"/>
      <c r="S84" s="36">
        <f t="shared" ref="S84:S92" si="76">SUM(D84:G84)</f>
        <v>123.5</v>
      </c>
      <c r="T84" s="36">
        <f t="shared" ref="T84:T92" si="77">SUM(N84:Q84)</f>
        <v>123.5</v>
      </c>
      <c r="U84" s="18">
        <f t="shared" ref="U84:U92" si="78">SUM(H84:L84)</f>
        <v>0</v>
      </c>
      <c r="V84" s="33"/>
      <c r="W84" s="19">
        <v>26.4</v>
      </c>
      <c r="X84" s="19">
        <f t="shared" ref="X84:X92" si="79">(W84*1*D84)+(W84*1.5*E84)+(W84*2*F84)+(W84*1*G84)</f>
        <v>3834.5999999999995</v>
      </c>
      <c r="Y84" s="19">
        <f>(W84*0*H84)+(W84*1*I84)</f>
        <v>0</v>
      </c>
      <c r="Z84" s="19">
        <f>(W84*1*J84)+L84</f>
        <v>0</v>
      </c>
      <c r="AA84" s="20">
        <f>(W84*1*K84)</f>
        <v>0</v>
      </c>
      <c r="AB84" s="20">
        <f t="shared" ref="AB84:AB92" si="80">(W84*1*N84)+(W84*1.5*O84)+(W84*2*P84)+(W84*1*Q84)</f>
        <v>3834.5999999999995</v>
      </c>
      <c r="AC84" s="21">
        <f>0-Y84-AA84</f>
        <v>0</v>
      </c>
      <c r="AD84" s="214">
        <f>SUM(AC84:AC92)</f>
        <v>-1243.38885</v>
      </c>
      <c r="AE84" s="21">
        <f t="shared" ref="AE84:AE92" si="81">AB84-(X84+Z84)</f>
        <v>0</v>
      </c>
      <c r="AF84" s="211">
        <f>SUM(AE84:AE92)</f>
        <v>56.3100000000004</v>
      </c>
      <c r="AG84" s="8"/>
    </row>
    <row r="85" spans="1:33" x14ac:dyDescent="0.45">
      <c r="A85" s="22">
        <f t="shared" ref="A85:A148" si="82">A84</f>
        <v>43898</v>
      </c>
      <c r="B85" s="15" t="s">
        <v>30</v>
      </c>
      <c r="C85" s="34"/>
      <c r="D85" s="13">
        <v>80</v>
      </c>
      <c r="E85" s="13">
        <v>22.5</v>
      </c>
      <c r="F85" s="13">
        <v>0</v>
      </c>
      <c r="G85" s="13">
        <v>12</v>
      </c>
      <c r="H85" s="13">
        <v>0</v>
      </c>
      <c r="I85" s="13">
        <v>0</v>
      </c>
      <c r="J85" s="13">
        <v>0</v>
      </c>
      <c r="K85" s="13">
        <v>0</v>
      </c>
      <c r="L85" s="10">
        <v>0</v>
      </c>
      <c r="M85" s="34"/>
      <c r="N85" s="13">
        <v>80</v>
      </c>
      <c r="O85" s="13">
        <v>22.5</v>
      </c>
      <c r="P85" s="13">
        <v>0</v>
      </c>
      <c r="Q85" s="13">
        <v>12</v>
      </c>
      <c r="R85" s="34"/>
      <c r="S85" s="13">
        <f t="shared" si="76"/>
        <v>114.5</v>
      </c>
      <c r="T85" s="13">
        <f t="shared" si="77"/>
        <v>114.5</v>
      </c>
      <c r="U85" s="13">
        <f t="shared" si="78"/>
        <v>0</v>
      </c>
      <c r="V85" s="34"/>
      <c r="W85" s="10">
        <v>30.8</v>
      </c>
      <c r="X85" s="10">
        <f t="shared" si="79"/>
        <v>3873.1</v>
      </c>
      <c r="Y85" s="10">
        <f t="shared" ref="Y85:Y92" si="83">(W85*0*H85)+(W85*1*I85)</f>
        <v>0</v>
      </c>
      <c r="Z85" s="10">
        <f t="shared" ref="Z85:Z92" si="84">(W85*1*J85)+L85</f>
        <v>0</v>
      </c>
      <c r="AA85" s="14">
        <f t="shared" ref="AA85:AA92" si="85">(W85*1*K85)</f>
        <v>0</v>
      </c>
      <c r="AB85" s="14">
        <f t="shared" si="80"/>
        <v>3873.1</v>
      </c>
      <c r="AC85" s="11">
        <f t="shared" ref="AC85:AC92" si="86">0-Y85-AA85</f>
        <v>0</v>
      </c>
      <c r="AD85" s="215"/>
      <c r="AE85" s="11">
        <f t="shared" si="81"/>
        <v>0</v>
      </c>
      <c r="AF85" s="212"/>
      <c r="AG85" s="8"/>
    </row>
    <row r="86" spans="1:33" x14ac:dyDescent="0.45">
      <c r="A86" s="22">
        <f t="shared" si="82"/>
        <v>43898</v>
      </c>
      <c r="B86" s="15" t="s">
        <v>3</v>
      </c>
      <c r="C86" s="34"/>
      <c r="D86" s="13">
        <v>80</v>
      </c>
      <c r="E86" s="13">
        <v>29</v>
      </c>
      <c r="F86" s="13">
        <v>13.25</v>
      </c>
      <c r="G86" s="13">
        <v>3.25</v>
      </c>
      <c r="H86" s="13">
        <v>0</v>
      </c>
      <c r="I86" s="13">
        <v>0</v>
      </c>
      <c r="J86" s="13">
        <v>0</v>
      </c>
      <c r="K86" s="13">
        <v>0</v>
      </c>
      <c r="L86" s="10">
        <v>0</v>
      </c>
      <c r="M86" s="34"/>
      <c r="N86" s="13">
        <v>80</v>
      </c>
      <c r="O86" s="13">
        <v>28.5</v>
      </c>
      <c r="P86" s="13">
        <v>13.75</v>
      </c>
      <c r="Q86" s="13">
        <v>3.25</v>
      </c>
      <c r="R86" s="34"/>
      <c r="S86" s="13">
        <f t="shared" si="76"/>
        <v>125.5</v>
      </c>
      <c r="T86" s="13">
        <f t="shared" si="77"/>
        <v>125.5</v>
      </c>
      <c r="U86" s="13">
        <f t="shared" si="78"/>
        <v>0</v>
      </c>
      <c r="V86" s="34"/>
      <c r="W86" s="10">
        <v>28.5</v>
      </c>
      <c r="X86" s="10">
        <f t="shared" si="79"/>
        <v>4367.625</v>
      </c>
      <c r="Y86" s="10">
        <f t="shared" si="83"/>
        <v>0</v>
      </c>
      <c r="Z86" s="10">
        <f t="shared" si="84"/>
        <v>0</v>
      </c>
      <c r="AA86" s="14">
        <f t="shared" si="85"/>
        <v>0</v>
      </c>
      <c r="AB86" s="14">
        <f t="shared" si="80"/>
        <v>4374.75</v>
      </c>
      <c r="AC86" s="11">
        <f t="shared" si="86"/>
        <v>0</v>
      </c>
      <c r="AD86" s="215"/>
      <c r="AE86" s="11">
        <f t="shared" si="81"/>
        <v>7.125</v>
      </c>
      <c r="AF86" s="212"/>
      <c r="AG86" s="8"/>
    </row>
    <row r="87" spans="1:33" x14ac:dyDescent="0.45">
      <c r="A87" s="22">
        <f t="shared" si="82"/>
        <v>43898</v>
      </c>
      <c r="B87" s="15" t="s">
        <v>4</v>
      </c>
      <c r="C87" s="34"/>
      <c r="D87" s="13">
        <v>80</v>
      </c>
      <c r="E87" s="13">
        <v>18.75</v>
      </c>
      <c r="F87" s="13">
        <v>10.5</v>
      </c>
      <c r="G87" s="13">
        <v>3</v>
      </c>
      <c r="H87" s="13">
        <v>0</v>
      </c>
      <c r="I87" s="13">
        <v>0</v>
      </c>
      <c r="J87" s="13">
        <v>0</v>
      </c>
      <c r="K87" s="13">
        <v>0</v>
      </c>
      <c r="L87" s="10">
        <v>0</v>
      </c>
      <c r="M87" s="34"/>
      <c r="N87" s="13">
        <v>80</v>
      </c>
      <c r="O87" s="13">
        <v>15.75</v>
      </c>
      <c r="P87" s="13">
        <v>13.5</v>
      </c>
      <c r="Q87" s="13">
        <v>3</v>
      </c>
      <c r="R87" s="34"/>
      <c r="S87" s="13">
        <f t="shared" si="76"/>
        <v>112.25</v>
      </c>
      <c r="T87" s="13">
        <f t="shared" si="77"/>
        <v>112.25</v>
      </c>
      <c r="U87" s="13">
        <f t="shared" si="78"/>
        <v>0</v>
      </c>
      <c r="V87" s="34"/>
      <c r="W87" s="10">
        <v>23</v>
      </c>
      <c r="X87" s="10">
        <f t="shared" si="79"/>
        <v>3038.875</v>
      </c>
      <c r="Y87" s="10">
        <f t="shared" si="83"/>
        <v>0</v>
      </c>
      <c r="Z87" s="10">
        <f t="shared" si="84"/>
        <v>0</v>
      </c>
      <c r="AA87" s="14">
        <f t="shared" si="85"/>
        <v>0</v>
      </c>
      <c r="AB87" s="14">
        <f t="shared" si="80"/>
        <v>3073.375</v>
      </c>
      <c r="AC87" s="11">
        <f t="shared" si="86"/>
        <v>0</v>
      </c>
      <c r="AD87" s="215"/>
      <c r="AE87" s="11">
        <f t="shared" si="81"/>
        <v>34.5</v>
      </c>
      <c r="AF87" s="212"/>
      <c r="AG87" s="8"/>
    </row>
    <row r="88" spans="1:33" x14ac:dyDescent="0.45">
      <c r="A88" s="22">
        <f t="shared" si="82"/>
        <v>43898</v>
      </c>
      <c r="B88" s="15" t="s">
        <v>5</v>
      </c>
      <c r="C88" s="34"/>
      <c r="D88" s="13">
        <v>80</v>
      </c>
      <c r="E88" s="13">
        <v>40.5</v>
      </c>
      <c r="F88" s="13">
        <v>0</v>
      </c>
      <c r="G88" s="13">
        <v>0</v>
      </c>
      <c r="H88" s="13">
        <v>0</v>
      </c>
      <c r="I88" s="13">
        <v>7.9794</v>
      </c>
      <c r="J88" s="13">
        <v>0</v>
      </c>
      <c r="K88" s="13">
        <v>0</v>
      </c>
      <c r="L88" s="10">
        <v>0</v>
      </c>
      <c r="M88" s="34"/>
      <c r="N88" s="13">
        <v>80</v>
      </c>
      <c r="O88" s="13">
        <v>40.5</v>
      </c>
      <c r="P88" s="13">
        <v>0</v>
      </c>
      <c r="Q88" s="13">
        <v>0</v>
      </c>
      <c r="R88" s="34"/>
      <c r="S88" s="13">
        <f t="shared" si="76"/>
        <v>120.5</v>
      </c>
      <c r="T88" s="13">
        <f t="shared" si="77"/>
        <v>120.5</v>
      </c>
      <c r="U88" s="13">
        <f t="shared" si="78"/>
        <v>7.9794</v>
      </c>
      <c r="V88" s="34"/>
      <c r="W88" s="10">
        <v>27.2</v>
      </c>
      <c r="X88" s="10">
        <f t="shared" si="79"/>
        <v>3828.3999999999996</v>
      </c>
      <c r="Y88" s="10">
        <f t="shared" si="83"/>
        <v>217.03968</v>
      </c>
      <c r="Z88" s="10">
        <f t="shared" si="84"/>
        <v>0</v>
      </c>
      <c r="AA88" s="14">
        <f t="shared" si="85"/>
        <v>0</v>
      </c>
      <c r="AB88" s="14">
        <f t="shared" si="80"/>
        <v>3828.3999999999996</v>
      </c>
      <c r="AC88" s="11">
        <f t="shared" si="86"/>
        <v>-217.03968</v>
      </c>
      <c r="AD88" s="215"/>
      <c r="AE88" s="11">
        <f t="shared" si="81"/>
        <v>0</v>
      </c>
      <c r="AF88" s="212"/>
      <c r="AG88" s="8"/>
    </row>
    <row r="89" spans="1:33" x14ac:dyDescent="0.45">
      <c r="A89" s="22">
        <f t="shared" si="82"/>
        <v>43898</v>
      </c>
      <c r="B89" s="15" t="s">
        <v>6</v>
      </c>
      <c r="C89" s="34"/>
      <c r="D89" s="13">
        <v>80</v>
      </c>
      <c r="E89" s="13">
        <v>24.5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  <c r="L89" s="10">
        <v>0</v>
      </c>
      <c r="M89" s="34"/>
      <c r="N89" s="13">
        <v>80</v>
      </c>
      <c r="O89" s="13">
        <v>24.5</v>
      </c>
      <c r="P89" s="13">
        <v>0</v>
      </c>
      <c r="Q89" s="13">
        <v>0</v>
      </c>
      <c r="R89" s="34"/>
      <c r="S89" s="13">
        <f t="shared" si="76"/>
        <v>104.5</v>
      </c>
      <c r="T89" s="13">
        <f t="shared" si="77"/>
        <v>104.5</v>
      </c>
      <c r="U89" s="13">
        <f t="shared" si="78"/>
        <v>0</v>
      </c>
      <c r="V89" s="34"/>
      <c r="W89" s="10">
        <v>23</v>
      </c>
      <c r="X89" s="10">
        <f t="shared" si="79"/>
        <v>2685.25</v>
      </c>
      <c r="Y89" s="10">
        <f t="shared" si="83"/>
        <v>0</v>
      </c>
      <c r="Z89" s="10">
        <f t="shared" si="84"/>
        <v>0</v>
      </c>
      <c r="AA89" s="14">
        <f t="shared" si="85"/>
        <v>0</v>
      </c>
      <c r="AB89" s="14">
        <f t="shared" si="80"/>
        <v>2685.25</v>
      </c>
      <c r="AC89" s="11">
        <f t="shared" si="86"/>
        <v>0</v>
      </c>
      <c r="AD89" s="215"/>
      <c r="AE89" s="11">
        <f t="shared" si="81"/>
        <v>0</v>
      </c>
      <c r="AF89" s="212"/>
      <c r="AG89" s="8"/>
    </row>
    <row r="90" spans="1:33" x14ac:dyDescent="0.45">
      <c r="A90" s="22">
        <f t="shared" si="82"/>
        <v>43898</v>
      </c>
      <c r="B90" s="15" t="s">
        <v>8</v>
      </c>
      <c r="C90" s="34"/>
      <c r="D90" s="13">
        <v>34.25</v>
      </c>
      <c r="E90" s="13">
        <v>0</v>
      </c>
      <c r="F90" s="13">
        <v>0</v>
      </c>
      <c r="G90" s="13">
        <v>0</v>
      </c>
      <c r="H90" s="13">
        <v>0</v>
      </c>
      <c r="I90" s="13">
        <v>40</v>
      </c>
      <c r="J90" s="13">
        <v>0</v>
      </c>
      <c r="K90" s="13">
        <v>0</v>
      </c>
      <c r="L90" s="10">
        <v>0</v>
      </c>
      <c r="M90" s="34"/>
      <c r="N90" s="13">
        <v>34.25</v>
      </c>
      <c r="O90" s="13">
        <v>0</v>
      </c>
      <c r="P90" s="13">
        <v>0</v>
      </c>
      <c r="Q90" s="13">
        <v>0</v>
      </c>
      <c r="R90" s="34"/>
      <c r="S90" s="13">
        <f t="shared" si="76"/>
        <v>34.25</v>
      </c>
      <c r="T90" s="13">
        <f t="shared" si="77"/>
        <v>34.25</v>
      </c>
      <c r="U90" s="13">
        <f t="shared" si="78"/>
        <v>40</v>
      </c>
      <c r="V90" s="34"/>
      <c r="W90" s="10">
        <v>23</v>
      </c>
      <c r="X90" s="10">
        <f t="shared" si="79"/>
        <v>787.75</v>
      </c>
      <c r="Y90" s="10">
        <f t="shared" si="83"/>
        <v>920</v>
      </c>
      <c r="Z90" s="10">
        <f t="shared" si="84"/>
        <v>0</v>
      </c>
      <c r="AA90" s="14">
        <f t="shared" si="85"/>
        <v>0</v>
      </c>
      <c r="AB90" s="14">
        <f t="shared" si="80"/>
        <v>787.75</v>
      </c>
      <c r="AC90" s="11">
        <f t="shared" si="86"/>
        <v>-920</v>
      </c>
      <c r="AD90" s="215"/>
      <c r="AE90" s="11">
        <f t="shared" si="81"/>
        <v>0</v>
      </c>
      <c r="AF90" s="212"/>
      <c r="AG90" s="8"/>
    </row>
    <row r="91" spans="1:33" x14ac:dyDescent="0.45">
      <c r="A91" s="22">
        <f t="shared" si="82"/>
        <v>43898</v>
      </c>
      <c r="B91" s="15" t="s">
        <v>9</v>
      </c>
      <c r="C91" s="34"/>
      <c r="D91" s="13">
        <v>80</v>
      </c>
      <c r="E91" s="13">
        <v>30</v>
      </c>
      <c r="F91" s="13">
        <v>8</v>
      </c>
      <c r="G91" s="13">
        <v>24</v>
      </c>
      <c r="H91" s="13">
        <v>0</v>
      </c>
      <c r="I91" s="13">
        <v>0</v>
      </c>
      <c r="J91" s="13">
        <v>0</v>
      </c>
      <c r="K91" s="13">
        <v>0</v>
      </c>
      <c r="L91" s="10">
        <v>0</v>
      </c>
      <c r="M91" s="34"/>
      <c r="N91" s="13">
        <v>80</v>
      </c>
      <c r="O91" s="13">
        <v>30.1</v>
      </c>
      <c r="P91" s="13">
        <v>8.1999999999999993</v>
      </c>
      <c r="Q91" s="13">
        <v>24</v>
      </c>
      <c r="R91" s="34"/>
      <c r="S91" s="13">
        <f t="shared" si="76"/>
        <v>142</v>
      </c>
      <c r="T91" s="13">
        <f t="shared" si="77"/>
        <v>142.30000000000001</v>
      </c>
      <c r="U91" s="13">
        <f t="shared" si="78"/>
        <v>0</v>
      </c>
      <c r="V91" s="34"/>
      <c r="W91" s="10">
        <v>26.7</v>
      </c>
      <c r="X91" s="10">
        <f t="shared" si="79"/>
        <v>4405.5</v>
      </c>
      <c r="Y91" s="10">
        <f t="shared" si="83"/>
        <v>0</v>
      </c>
      <c r="Z91" s="10">
        <f t="shared" si="84"/>
        <v>0</v>
      </c>
      <c r="AA91" s="14">
        <f t="shared" si="85"/>
        <v>0</v>
      </c>
      <c r="AB91" s="14">
        <f t="shared" si="80"/>
        <v>4420.1850000000004</v>
      </c>
      <c r="AC91" s="11">
        <f t="shared" si="86"/>
        <v>0</v>
      </c>
      <c r="AD91" s="215"/>
      <c r="AE91" s="11">
        <f t="shared" si="81"/>
        <v>14.6850000000004</v>
      </c>
      <c r="AF91" s="212"/>
      <c r="AG91" s="8"/>
    </row>
    <row r="92" spans="1:33" ht="14.65" thickBot="1" x14ac:dyDescent="0.5">
      <c r="A92" s="23">
        <f t="shared" si="82"/>
        <v>43898</v>
      </c>
      <c r="B92" s="24" t="s">
        <v>31</v>
      </c>
      <c r="C92" s="35"/>
      <c r="D92" s="25">
        <v>80</v>
      </c>
      <c r="E92" s="25">
        <v>17.5</v>
      </c>
      <c r="F92" s="25">
        <v>0</v>
      </c>
      <c r="G92" s="25">
        <v>0</v>
      </c>
      <c r="H92" s="25">
        <v>0</v>
      </c>
      <c r="I92" s="25">
        <v>4.1380999999999997</v>
      </c>
      <c r="J92" s="25">
        <v>0</v>
      </c>
      <c r="K92" s="25">
        <v>0</v>
      </c>
      <c r="L92" s="26">
        <v>0</v>
      </c>
      <c r="M92" s="35"/>
      <c r="N92" s="25">
        <v>80</v>
      </c>
      <c r="O92" s="25">
        <v>17.5</v>
      </c>
      <c r="P92" s="25">
        <v>0</v>
      </c>
      <c r="Q92" s="25">
        <v>0</v>
      </c>
      <c r="R92" s="35"/>
      <c r="S92" s="25">
        <f t="shared" si="76"/>
        <v>97.5</v>
      </c>
      <c r="T92" s="25">
        <f t="shared" si="77"/>
        <v>97.5</v>
      </c>
      <c r="U92" s="25">
        <f t="shared" si="78"/>
        <v>4.1380999999999997</v>
      </c>
      <c r="V92" s="35"/>
      <c r="W92" s="26">
        <v>25.7</v>
      </c>
      <c r="X92" s="26">
        <f t="shared" si="79"/>
        <v>2730.625</v>
      </c>
      <c r="Y92" s="26">
        <f t="shared" si="83"/>
        <v>106.34916999999999</v>
      </c>
      <c r="Z92" s="26">
        <f t="shared" si="84"/>
        <v>0</v>
      </c>
      <c r="AA92" s="27">
        <f t="shared" si="85"/>
        <v>0</v>
      </c>
      <c r="AB92" s="27">
        <f t="shared" si="80"/>
        <v>2730.625</v>
      </c>
      <c r="AC92" s="12">
        <f t="shared" si="86"/>
        <v>-106.34916999999999</v>
      </c>
      <c r="AD92" s="216"/>
      <c r="AE92" s="12">
        <f t="shared" si="81"/>
        <v>0</v>
      </c>
      <c r="AF92" s="213"/>
      <c r="AG92" s="8"/>
    </row>
    <row r="93" spans="1:33" x14ac:dyDescent="0.45">
      <c r="A93" s="16">
        <f>A92+14</f>
        <v>43912</v>
      </c>
      <c r="B93" s="17" t="s">
        <v>0</v>
      </c>
      <c r="C93" s="33"/>
      <c r="D93" s="18">
        <v>80</v>
      </c>
      <c r="E93" s="18">
        <v>50</v>
      </c>
      <c r="F93" s="18">
        <v>0</v>
      </c>
      <c r="G93" s="18">
        <v>0</v>
      </c>
      <c r="H93" s="18">
        <v>0</v>
      </c>
      <c r="I93" s="18">
        <v>0</v>
      </c>
      <c r="J93" s="18">
        <v>0</v>
      </c>
      <c r="K93" s="18">
        <v>0</v>
      </c>
      <c r="L93" s="19">
        <v>0</v>
      </c>
      <c r="M93" s="33"/>
      <c r="N93" s="18">
        <v>80</v>
      </c>
      <c r="O93" s="18">
        <v>50</v>
      </c>
      <c r="P93" s="18">
        <v>0</v>
      </c>
      <c r="Q93" s="18">
        <v>0</v>
      </c>
      <c r="R93" s="33"/>
      <c r="S93" s="36">
        <f t="shared" ref="S93:S101" si="87">SUM(D93:G93)</f>
        <v>130</v>
      </c>
      <c r="T93" s="36">
        <f t="shared" ref="T93:T101" si="88">SUM(N93:Q93)</f>
        <v>130</v>
      </c>
      <c r="U93" s="18">
        <f t="shared" ref="U93:U101" si="89">SUM(H93:L93)</f>
        <v>0</v>
      </c>
      <c r="V93" s="33"/>
      <c r="W93" s="19">
        <v>26.4</v>
      </c>
      <c r="X93" s="19">
        <f t="shared" ref="X93:X101" si="90">(W93*1*D93)+(W93*1.5*E93)+(W93*2*F93)+(W93*1*G93)</f>
        <v>4092</v>
      </c>
      <c r="Y93" s="19">
        <f>(W93*0*H93)+(W93*1*I93)</f>
        <v>0</v>
      </c>
      <c r="Z93" s="19">
        <f>(W93*1*J93)+L93</f>
        <v>0</v>
      </c>
      <c r="AA93" s="20">
        <f>(W93*1*K93)</f>
        <v>0</v>
      </c>
      <c r="AB93" s="20">
        <f t="shared" ref="AB93:AB101" si="91">(W93*1*N93)+(W93*1.5*O93)+(W93*2*P93)+(W93*1*Q93)</f>
        <v>4092</v>
      </c>
      <c r="AC93" s="21">
        <f>0-Y93-AA93</f>
        <v>0</v>
      </c>
      <c r="AD93" s="214">
        <f>SUM(AC93:AC101)</f>
        <v>-1137.5999999999999</v>
      </c>
      <c r="AE93" s="21">
        <f t="shared" ref="AE93:AE101" si="92">AB93-(X93+Z93)</f>
        <v>0</v>
      </c>
      <c r="AF93" s="211">
        <f>SUM(AE93:AE101)</f>
        <v>-422.14999999999964</v>
      </c>
      <c r="AG93" s="8"/>
    </row>
    <row r="94" spans="1:33" x14ac:dyDescent="0.45">
      <c r="A94" s="22">
        <f t="shared" si="82"/>
        <v>43912</v>
      </c>
      <c r="B94" s="15" t="s">
        <v>30</v>
      </c>
      <c r="C94" s="34"/>
      <c r="D94" s="13">
        <v>80</v>
      </c>
      <c r="E94" s="13">
        <v>22.5</v>
      </c>
      <c r="F94" s="13">
        <v>0</v>
      </c>
      <c r="G94" s="13">
        <v>12</v>
      </c>
      <c r="H94" s="13">
        <v>0</v>
      </c>
      <c r="I94" s="13">
        <v>0</v>
      </c>
      <c r="J94" s="13">
        <v>0</v>
      </c>
      <c r="K94" s="13">
        <v>0</v>
      </c>
      <c r="L94" s="10">
        <v>0</v>
      </c>
      <c r="M94" s="34"/>
      <c r="N94" s="13">
        <v>80</v>
      </c>
      <c r="O94" s="13">
        <v>22.5</v>
      </c>
      <c r="P94" s="13">
        <v>0</v>
      </c>
      <c r="Q94" s="13">
        <v>12</v>
      </c>
      <c r="R94" s="34"/>
      <c r="S94" s="13">
        <f t="shared" si="87"/>
        <v>114.5</v>
      </c>
      <c r="T94" s="13">
        <f t="shared" si="88"/>
        <v>114.5</v>
      </c>
      <c r="U94" s="13">
        <f t="shared" si="89"/>
        <v>0</v>
      </c>
      <c r="V94" s="34"/>
      <c r="W94" s="10">
        <v>30.8</v>
      </c>
      <c r="X94" s="10">
        <f t="shared" si="90"/>
        <v>3873.1</v>
      </c>
      <c r="Y94" s="10">
        <f t="shared" ref="Y94:Y101" si="93">(W94*0*H94)+(W94*1*I94)</f>
        <v>0</v>
      </c>
      <c r="Z94" s="10">
        <f t="shared" ref="Z94:Z101" si="94">(W94*1*J94)+L94</f>
        <v>0</v>
      </c>
      <c r="AA94" s="14">
        <f t="shared" ref="AA94:AA101" si="95">(W94*1*K94)</f>
        <v>0</v>
      </c>
      <c r="AB94" s="14">
        <f t="shared" si="91"/>
        <v>3873.1</v>
      </c>
      <c r="AC94" s="11">
        <f t="shared" ref="AC94:AC101" si="96">0-Y94-AA94</f>
        <v>0</v>
      </c>
      <c r="AD94" s="215"/>
      <c r="AE94" s="11">
        <f t="shared" si="92"/>
        <v>0</v>
      </c>
      <c r="AF94" s="212"/>
      <c r="AG94" s="8"/>
    </row>
    <row r="95" spans="1:33" x14ac:dyDescent="0.45">
      <c r="A95" s="22">
        <f t="shared" si="82"/>
        <v>43912</v>
      </c>
      <c r="B95" s="15" t="s">
        <v>3</v>
      </c>
      <c r="C95" s="34"/>
      <c r="D95" s="13">
        <v>80</v>
      </c>
      <c r="E95" s="13">
        <v>27.75</v>
      </c>
      <c r="F95" s="13">
        <v>0</v>
      </c>
      <c r="G95" s="13">
        <v>6.75</v>
      </c>
      <c r="H95" s="13">
        <v>0</v>
      </c>
      <c r="I95" s="13">
        <v>0</v>
      </c>
      <c r="J95" s="13">
        <v>0</v>
      </c>
      <c r="K95" s="13">
        <v>0</v>
      </c>
      <c r="L95" s="10">
        <v>0</v>
      </c>
      <c r="M95" s="34"/>
      <c r="N95" s="13">
        <v>80</v>
      </c>
      <c r="O95" s="13">
        <v>27.75</v>
      </c>
      <c r="P95" s="13">
        <v>0</v>
      </c>
      <c r="Q95" s="13">
        <v>6.75</v>
      </c>
      <c r="R95" s="34"/>
      <c r="S95" s="13">
        <f t="shared" si="87"/>
        <v>114.5</v>
      </c>
      <c r="T95" s="13">
        <f t="shared" si="88"/>
        <v>114.5</v>
      </c>
      <c r="U95" s="13">
        <f t="shared" si="89"/>
        <v>0</v>
      </c>
      <c r="V95" s="34"/>
      <c r="W95" s="10">
        <v>28.5</v>
      </c>
      <c r="X95" s="10">
        <f t="shared" si="90"/>
        <v>3658.6875</v>
      </c>
      <c r="Y95" s="10">
        <f t="shared" si="93"/>
        <v>0</v>
      </c>
      <c r="Z95" s="10">
        <f t="shared" si="94"/>
        <v>0</v>
      </c>
      <c r="AA95" s="14">
        <f t="shared" si="95"/>
        <v>0</v>
      </c>
      <c r="AB95" s="14">
        <f t="shared" si="91"/>
        <v>3658.6875</v>
      </c>
      <c r="AC95" s="11">
        <f t="shared" si="96"/>
        <v>0</v>
      </c>
      <c r="AD95" s="215"/>
      <c r="AE95" s="11">
        <f t="shared" si="92"/>
        <v>0</v>
      </c>
      <c r="AF95" s="212"/>
      <c r="AG95" s="8"/>
    </row>
    <row r="96" spans="1:33" x14ac:dyDescent="0.45">
      <c r="A96" s="22">
        <f t="shared" si="82"/>
        <v>43912</v>
      </c>
      <c r="B96" s="15" t="s">
        <v>4</v>
      </c>
      <c r="C96" s="34"/>
      <c r="D96" s="13">
        <v>80</v>
      </c>
      <c r="E96" s="13">
        <v>20.75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  <c r="L96" s="10">
        <v>0</v>
      </c>
      <c r="M96" s="34"/>
      <c r="N96" s="13">
        <v>80</v>
      </c>
      <c r="O96" s="13">
        <v>20.75</v>
      </c>
      <c r="P96" s="13">
        <v>0</v>
      </c>
      <c r="Q96" s="13">
        <v>0</v>
      </c>
      <c r="R96" s="34"/>
      <c r="S96" s="13">
        <f t="shared" si="87"/>
        <v>100.75</v>
      </c>
      <c r="T96" s="13">
        <f t="shared" si="88"/>
        <v>100.75</v>
      </c>
      <c r="U96" s="13">
        <f t="shared" si="89"/>
        <v>0</v>
      </c>
      <c r="V96" s="34"/>
      <c r="W96" s="10">
        <v>23</v>
      </c>
      <c r="X96" s="10">
        <f t="shared" si="90"/>
        <v>2555.875</v>
      </c>
      <c r="Y96" s="10">
        <f t="shared" si="93"/>
        <v>0</v>
      </c>
      <c r="Z96" s="10">
        <f t="shared" si="94"/>
        <v>0</v>
      </c>
      <c r="AA96" s="14">
        <f t="shared" si="95"/>
        <v>0</v>
      </c>
      <c r="AB96" s="14">
        <f t="shared" si="91"/>
        <v>2555.875</v>
      </c>
      <c r="AC96" s="11">
        <f t="shared" si="96"/>
        <v>0</v>
      </c>
      <c r="AD96" s="215"/>
      <c r="AE96" s="11">
        <f t="shared" si="92"/>
        <v>0</v>
      </c>
      <c r="AF96" s="212"/>
      <c r="AG96" s="8"/>
    </row>
    <row r="97" spans="1:33" x14ac:dyDescent="0.45">
      <c r="A97" s="22">
        <f t="shared" si="82"/>
        <v>43912</v>
      </c>
      <c r="B97" s="15" t="s">
        <v>5</v>
      </c>
      <c r="C97" s="34"/>
      <c r="D97" s="13">
        <v>80</v>
      </c>
      <c r="E97" s="13">
        <v>18.75</v>
      </c>
      <c r="F97" s="13">
        <v>0</v>
      </c>
      <c r="G97" s="13">
        <v>0</v>
      </c>
      <c r="H97" s="13">
        <v>0</v>
      </c>
      <c r="I97" s="13">
        <v>8</v>
      </c>
      <c r="J97" s="13">
        <v>0</v>
      </c>
      <c r="K97" s="13">
        <v>0</v>
      </c>
      <c r="L97" s="10">
        <v>0</v>
      </c>
      <c r="M97" s="34"/>
      <c r="N97" s="13">
        <v>80</v>
      </c>
      <c r="O97" s="13">
        <v>18.75</v>
      </c>
      <c r="P97" s="13">
        <v>0</v>
      </c>
      <c r="Q97" s="13">
        <v>0</v>
      </c>
      <c r="R97" s="34"/>
      <c r="S97" s="13">
        <f t="shared" si="87"/>
        <v>98.75</v>
      </c>
      <c r="T97" s="13">
        <f t="shared" si="88"/>
        <v>98.75</v>
      </c>
      <c r="U97" s="13">
        <f t="shared" si="89"/>
        <v>8</v>
      </c>
      <c r="V97" s="34"/>
      <c r="W97" s="10">
        <v>27.2</v>
      </c>
      <c r="X97" s="10">
        <f t="shared" si="90"/>
        <v>2941</v>
      </c>
      <c r="Y97" s="10">
        <f t="shared" si="93"/>
        <v>217.6</v>
      </c>
      <c r="Z97" s="10">
        <f t="shared" si="94"/>
        <v>0</v>
      </c>
      <c r="AA97" s="14">
        <f t="shared" si="95"/>
        <v>0</v>
      </c>
      <c r="AB97" s="14">
        <f t="shared" si="91"/>
        <v>2941</v>
      </c>
      <c r="AC97" s="11">
        <f t="shared" si="96"/>
        <v>-217.6</v>
      </c>
      <c r="AD97" s="215"/>
      <c r="AE97" s="11">
        <f t="shared" si="92"/>
        <v>0</v>
      </c>
      <c r="AF97" s="212"/>
      <c r="AG97" s="8"/>
    </row>
    <row r="98" spans="1:33" x14ac:dyDescent="0.45">
      <c r="A98" s="22">
        <f t="shared" si="82"/>
        <v>43912</v>
      </c>
      <c r="B98" s="15" t="s">
        <v>6</v>
      </c>
      <c r="C98" s="34"/>
      <c r="D98" s="13">
        <v>80</v>
      </c>
      <c r="E98" s="13">
        <v>19.75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  <c r="L98" s="10">
        <v>0</v>
      </c>
      <c r="M98" s="34"/>
      <c r="N98" s="13">
        <v>80</v>
      </c>
      <c r="O98" s="13">
        <v>19.75</v>
      </c>
      <c r="P98" s="13">
        <v>0</v>
      </c>
      <c r="Q98" s="13">
        <v>0</v>
      </c>
      <c r="R98" s="34"/>
      <c r="S98" s="13">
        <f t="shared" si="87"/>
        <v>99.75</v>
      </c>
      <c r="T98" s="13">
        <f t="shared" si="88"/>
        <v>99.75</v>
      </c>
      <c r="U98" s="13">
        <f t="shared" si="89"/>
        <v>0</v>
      </c>
      <c r="V98" s="34"/>
      <c r="W98" s="10">
        <v>23</v>
      </c>
      <c r="X98" s="10">
        <f t="shared" si="90"/>
        <v>2521.375</v>
      </c>
      <c r="Y98" s="10">
        <f t="shared" si="93"/>
        <v>0</v>
      </c>
      <c r="Z98" s="10">
        <f t="shared" si="94"/>
        <v>0</v>
      </c>
      <c r="AA98" s="14">
        <f t="shared" si="95"/>
        <v>0</v>
      </c>
      <c r="AB98" s="14">
        <f t="shared" si="91"/>
        <v>2521.375</v>
      </c>
      <c r="AC98" s="11">
        <f t="shared" si="96"/>
        <v>0</v>
      </c>
      <c r="AD98" s="215"/>
      <c r="AE98" s="11">
        <f t="shared" si="92"/>
        <v>0</v>
      </c>
      <c r="AF98" s="212"/>
      <c r="AG98" s="8"/>
    </row>
    <row r="99" spans="1:33" x14ac:dyDescent="0.45">
      <c r="A99" s="22">
        <f t="shared" si="82"/>
        <v>43912</v>
      </c>
      <c r="B99" s="15" t="s">
        <v>8</v>
      </c>
      <c r="C99" s="34"/>
      <c r="D99" s="13">
        <v>40</v>
      </c>
      <c r="E99" s="13">
        <v>9.75</v>
      </c>
      <c r="F99" s="13">
        <v>0</v>
      </c>
      <c r="G99" s="13">
        <v>0</v>
      </c>
      <c r="H99" s="13">
        <v>0</v>
      </c>
      <c r="I99" s="13">
        <v>40</v>
      </c>
      <c r="J99" s="13">
        <v>0</v>
      </c>
      <c r="K99" s="13">
        <v>0</v>
      </c>
      <c r="L99" s="10">
        <v>500</v>
      </c>
      <c r="M99" s="34"/>
      <c r="N99" s="13">
        <v>40</v>
      </c>
      <c r="O99" s="13">
        <v>9.75</v>
      </c>
      <c r="P99" s="13">
        <v>0</v>
      </c>
      <c r="Q99" s="13">
        <v>0</v>
      </c>
      <c r="R99" s="34"/>
      <c r="S99" s="13">
        <f t="shared" si="87"/>
        <v>49.75</v>
      </c>
      <c r="T99" s="13">
        <f t="shared" si="88"/>
        <v>49.75</v>
      </c>
      <c r="U99" s="13">
        <f t="shared" si="89"/>
        <v>540</v>
      </c>
      <c r="V99" s="34"/>
      <c r="W99" s="10">
        <v>23</v>
      </c>
      <c r="X99" s="10">
        <f t="shared" si="90"/>
        <v>1256.375</v>
      </c>
      <c r="Y99" s="10">
        <f t="shared" si="93"/>
        <v>920</v>
      </c>
      <c r="Z99" s="10">
        <f t="shared" si="94"/>
        <v>500</v>
      </c>
      <c r="AA99" s="14">
        <f t="shared" si="95"/>
        <v>0</v>
      </c>
      <c r="AB99" s="14">
        <f t="shared" si="91"/>
        <v>1256.375</v>
      </c>
      <c r="AC99" s="11">
        <f t="shared" si="96"/>
        <v>-920</v>
      </c>
      <c r="AD99" s="215"/>
      <c r="AE99" s="11">
        <f t="shared" si="92"/>
        <v>-500</v>
      </c>
      <c r="AF99" s="212"/>
      <c r="AG99" s="8"/>
    </row>
    <row r="100" spans="1:33" x14ac:dyDescent="0.45">
      <c r="A100" s="22">
        <f t="shared" si="82"/>
        <v>43912</v>
      </c>
      <c r="B100" s="15" t="s">
        <v>9</v>
      </c>
      <c r="C100" s="34"/>
      <c r="D100" s="13">
        <v>80</v>
      </c>
      <c r="E100" s="13">
        <v>29</v>
      </c>
      <c r="F100" s="13">
        <v>0</v>
      </c>
      <c r="G100" s="13">
        <v>22</v>
      </c>
      <c r="H100" s="13">
        <v>0</v>
      </c>
      <c r="I100" s="13">
        <v>0</v>
      </c>
      <c r="J100" s="13">
        <v>0</v>
      </c>
      <c r="K100" s="13">
        <v>0</v>
      </c>
      <c r="L100" s="10">
        <v>0</v>
      </c>
      <c r="M100" s="34"/>
      <c r="N100" s="13">
        <v>80</v>
      </c>
      <c r="O100" s="13">
        <v>29.5</v>
      </c>
      <c r="P100" s="13">
        <v>0</v>
      </c>
      <c r="Q100" s="13">
        <v>22</v>
      </c>
      <c r="R100" s="34"/>
      <c r="S100" s="13">
        <f t="shared" si="87"/>
        <v>131</v>
      </c>
      <c r="T100" s="13">
        <f t="shared" si="88"/>
        <v>131.5</v>
      </c>
      <c r="U100" s="13">
        <f t="shared" si="89"/>
        <v>0</v>
      </c>
      <c r="V100" s="34"/>
      <c r="W100" s="10">
        <v>26.7</v>
      </c>
      <c r="X100" s="10">
        <f t="shared" si="90"/>
        <v>3884.85</v>
      </c>
      <c r="Y100" s="10">
        <f t="shared" si="93"/>
        <v>0</v>
      </c>
      <c r="Z100" s="10">
        <f t="shared" si="94"/>
        <v>0</v>
      </c>
      <c r="AA100" s="14">
        <f t="shared" si="95"/>
        <v>0</v>
      </c>
      <c r="AB100" s="14">
        <f t="shared" si="91"/>
        <v>3904.875</v>
      </c>
      <c r="AC100" s="11">
        <f t="shared" si="96"/>
        <v>0</v>
      </c>
      <c r="AD100" s="215"/>
      <c r="AE100" s="11">
        <f t="shared" si="92"/>
        <v>20.025000000000091</v>
      </c>
      <c r="AF100" s="212"/>
      <c r="AG100" s="8"/>
    </row>
    <row r="101" spans="1:33" ht="14.65" thickBot="1" x14ac:dyDescent="0.5">
      <c r="A101" s="23">
        <f t="shared" si="82"/>
        <v>43912</v>
      </c>
      <c r="B101" s="24" t="s">
        <v>31</v>
      </c>
      <c r="C101" s="35"/>
      <c r="D101" s="25">
        <v>80</v>
      </c>
      <c r="E101" s="25">
        <v>12</v>
      </c>
      <c r="F101" s="25">
        <v>14</v>
      </c>
      <c r="G101" s="25">
        <v>9.5</v>
      </c>
      <c r="H101" s="25">
        <v>0</v>
      </c>
      <c r="I101" s="25">
        <v>0</v>
      </c>
      <c r="J101" s="25">
        <v>0</v>
      </c>
      <c r="K101" s="25">
        <v>0</v>
      </c>
      <c r="L101" s="26">
        <v>0</v>
      </c>
      <c r="M101" s="35"/>
      <c r="N101" s="25">
        <v>80</v>
      </c>
      <c r="O101" s="25">
        <v>16.5</v>
      </c>
      <c r="P101" s="25">
        <v>14.5</v>
      </c>
      <c r="Q101" s="25">
        <v>4</v>
      </c>
      <c r="R101" s="35"/>
      <c r="S101" s="25">
        <f t="shared" si="87"/>
        <v>115.5</v>
      </c>
      <c r="T101" s="25">
        <f t="shared" si="88"/>
        <v>115</v>
      </c>
      <c r="U101" s="25">
        <f t="shared" si="89"/>
        <v>0</v>
      </c>
      <c r="V101" s="35"/>
      <c r="W101" s="26">
        <v>25.7</v>
      </c>
      <c r="X101" s="26">
        <f t="shared" si="90"/>
        <v>3482.35</v>
      </c>
      <c r="Y101" s="26">
        <f t="shared" si="93"/>
        <v>0</v>
      </c>
      <c r="Z101" s="26">
        <f t="shared" si="94"/>
        <v>0</v>
      </c>
      <c r="AA101" s="27">
        <f t="shared" si="95"/>
        <v>0</v>
      </c>
      <c r="AB101" s="27">
        <f t="shared" si="91"/>
        <v>3540.1750000000002</v>
      </c>
      <c r="AC101" s="12">
        <f t="shared" si="96"/>
        <v>0</v>
      </c>
      <c r="AD101" s="216"/>
      <c r="AE101" s="12">
        <f t="shared" si="92"/>
        <v>57.825000000000273</v>
      </c>
      <c r="AF101" s="213"/>
      <c r="AG101" s="8"/>
    </row>
    <row r="102" spans="1:33" x14ac:dyDescent="0.45">
      <c r="A102" s="16">
        <f>A101+14</f>
        <v>43926</v>
      </c>
      <c r="B102" s="17" t="s">
        <v>0</v>
      </c>
      <c r="C102" s="33"/>
      <c r="D102" s="18">
        <v>80</v>
      </c>
      <c r="E102" s="18">
        <v>54</v>
      </c>
      <c r="F102" s="18">
        <v>0</v>
      </c>
      <c r="G102" s="18">
        <v>0</v>
      </c>
      <c r="H102" s="18">
        <v>0</v>
      </c>
      <c r="I102" s="18">
        <v>0</v>
      </c>
      <c r="J102" s="18">
        <v>0</v>
      </c>
      <c r="K102" s="18">
        <v>0</v>
      </c>
      <c r="L102" s="19">
        <v>0</v>
      </c>
      <c r="M102" s="33"/>
      <c r="N102" s="18">
        <v>80</v>
      </c>
      <c r="O102" s="18">
        <v>54</v>
      </c>
      <c r="P102" s="18">
        <v>0</v>
      </c>
      <c r="Q102" s="18">
        <v>0</v>
      </c>
      <c r="R102" s="33"/>
      <c r="S102" s="36">
        <f t="shared" ref="S102:S110" si="97">SUM(D102:G102)</f>
        <v>134</v>
      </c>
      <c r="T102" s="36">
        <f t="shared" ref="T102:T110" si="98">SUM(N102:Q102)</f>
        <v>134</v>
      </c>
      <c r="U102" s="18">
        <f t="shared" ref="U102:U110" si="99">SUM(H102:L102)</f>
        <v>0</v>
      </c>
      <c r="V102" s="33"/>
      <c r="W102" s="19">
        <v>26.4</v>
      </c>
      <c r="X102" s="19">
        <f t="shared" ref="X102:X110" si="100">(W102*1*D102)+(W102*1.5*E102)+(W102*2*F102)+(W102*1*G102)</f>
        <v>4250.3999999999996</v>
      </c>
      <c r="Y102" s="19">
        <f>(W102*0*H102)+(W102*1*I102)</f>
        <v>0</v>
      </c>
      <c r="Z102" s="19">
        <f>(W102*1*J102)+L102</f>
        <v>0</v>
      </c>
      <c r="AA102" s="20">
        <f>(W102*1*K102)</f>
        <v>0</v>
      </c>
      <c r="AB102" s="20">
        <f t="shared" ref="AB102:AB110" si="101">(W102*1*N102)+(W102*1.5*O102)+(W102*2*P102)+(W102*1*Q102)</f>
        <v>4250.3999999999996</v>
      </c>
      <c r="AC102" s="21">
        <f>0-Y102-AA102</f>
        <v>0</v>
      </c>
      <c r="AD102" s="214">
        <f>SUM(AC102:AC110)</f>
        <v>-1028</v>
      </c>
      <c r="AE102" s="21">
        <f t="shared" ref="AE102:AE110" si="102">AB102-(X102+Z102)</f>
        <v>0</v>
      </c>
      <c r="AF102" s="211">
        <f>SUM(AE102:AE110)</f>
        <v>11.5</v>
      </c>
      <c r="AG102" s="8"/>
    </row>
    <row r="103" spans="1:33" x14ac:dyDescent="0.45">
      <c r="A103" s="22">
        <f t="shared" si="82"/>
        <v>43926</v>
      </c>
      <c r="B103" s="15" t="s">
        <v>30</v>
      </c>
      <c r="C103" s="34"/>
      <c r="D103" s="13">
        <v>80</v>
      </c>
      <c r="E103" s="13">
        <v>6.5</v>
      </c>
      <c r="F103" s="13">
        <v>0</v>
      </c>
      <c r="G103" s="13">
        <v>6</v>
      </c>
      <c r="H103" s="13">
        <v>0</v>
      </c>
      <c r="I103" s="13">
        <v>0</v>
      </c>
      <c r="J103" s="13">
        <v>0</v>
      </c>
      <c r="K103" s="13">
        <v>0</v>
      </c>
      <c r="L103" s="10">
        <v>0</v>
      </c>
      <c r="M103" s="34"/>
      <c r="N103" s="13">
        <v>80</v>
      </c>
      <c r="O103" s="13">
        <v>6.5</v>
      </c>
      <c r="P103" s="13">
        <v>0</v>
      </c>
      <c r="Q103" s="13">
        <v>6</v>
      </c>
      <c r="R103" s="34"/>
      <c r="S103" s="13">
        <f t="shared" si="97"/>
        <v>92.5</v>
      </c>
      <c r="T103" s="13">
        <f t="shared" si="98"/>
        <v>92.5</v>
      </c>
      <c r="U103" s="13">
        <f t="shared" si="99"/>
        <v>0</v>
      </c>
      <c r="V103" s="34"/>
      <c r="W103" s="10">
        <v>30.8</v>
      </c>
      <c r="X103" s="10">
        <f t="shared" si="100"/>
        <v>2949.1000000000004</v>
      </c>
      <c r="Y103" s="10">
        <f t="shared" ref="Y103:Y110" si="103">(W103*0*H103)+(W103*1*I103)</f>
        <v>0</v>
      </c>
      <c r="Z103" s="10">
        <f t="shared" ref="Z103:Z110" si="104">(W103*1*J103)+L103</f>
        <v>0</v>
      </c>
      <c r="AA103" s="14">
        <f t="shared" ref="AA103:AA110" si="105">(W103*1*K103)</f>
        <v>0</v>
      </c>
      <c r="AB103" s="14">
        <f t="shared" si="101"/>
        <v>2949.1000000000004</v>
      </c>
      <c r="AC103" s="11">
        <f t="shared" ref="AC103:AC110" si="106">0-Y103-AA103</f>
        <v>0</v>
      </c>
      <c r="AD103" s="215"/>
      <c r="AE103" s="11">
        <f t="shared" si="102"/>
        <v>0</v>
      </c>
      <c r="AF103" s="212"/>
      <c r="AG103" s="8"/>
    </row>
    <row r="104" spans="1:33" x14ac:dyDescent="0.45">
      <c r="A104" s="22">
        <f t="shared" si="82"/>
        <v>43926</v>
      </c>
      <c r="B104" s="15" t="s">
        <v>3</v>
      </c>
      <c r="C104" s="34"/>
      <c r="D104" s="13">
        <v>80</v>
      </c>
      <c r="E104" s="13">
        <v>39.75</v>
      </c>
      <c r="F104" s="13">
        <v>0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0">
        <v>0</v>
      </c>
      <c r="M104" s="34"/>
      <c r="N104" s="13">
        <v>80</v>
      </c>
      <c r="O104" s="13">
        <v>39.75</v>
      </c>
      <c r="P104" s="13">
        <v>0</v>
      </c>
      <c r="Q104" s="13">
        <v>0</v>
      </c>
      <c r="R104" s="34"/>
      <c r="S104" s="13">
        <f t="shared" si="97"/>
        <v>119.75</v>
      </c>
      <c r="T104" s="13">
        <f t="shared" si="98"/>
        <v>119.75</v>
      </c>
      <c r="U104" s="13">
        <f t="shared" si="99"/>
        <v>0</v>
      </c>
      <c r="V104" s="34"/>
      <c r="W104" s="10">
        <v>28.5</v>
      </c>
      <c r="X104" s="10">
        <f t="shared" si="100"/>
        <v>3979.3125</v>
      </c>
      <c r="Y104" s="10">
        <f t="shared" si="103"/>
        <v>0</v>
      </c>
      <c r="Z104" s="10">
        <f t="shared" si="104"/>
        <v>0</v>
      </c>
      <c r="AA104" s="14">
        <f t="shared" si="105"/>
        <v>0</v>
      </c>
      <c r="AB104" s="14">
        <f t="shared" si="101"/>
        <v>3979.3125</v>
      </c>
      <c r="AC104" s="11">
        <f t="shared" si="106"/>
        <v>0</v>
      </c>
      <c r="AD104" s="215"/>
      <c r="AE104" s="11">
        <f t="shared" si="102"/>
        <v>0</v>
      </c>
      <c r="AF104" s="212"/>
      <c r="AG104" s="8"/>
    </row>
    <row r="105" spans="1:33" x14ac:dyDescent="0.45">
      <c r="A105" s="22">
        <f t="shared" si="82"/>
        <v>43926</v>
      </c>
      <c r="B105" s="15" t="s">
        <v>4</v>
      </c>
      <c r="C105" s="34"/>
      <c r="D105" s="13">
        <v>68</v>
      </c>
      <c r="E105" s="13">
        <v>8.5</v>
      </c>
      <c r="F105" s="13">
        <v>0</v>
      </c>
      <c r="G105" s="13">
        <v>7</v>
      </c>
      <c r="H105" s="13">
        <v>0</v>
      </c>
      <c r="I105" s="13">
        <v>0</v>
      </c>
      <c r="J105" s="13">
        <v>0</v>
      </c>
      <c r="K105" s="13">
        <v>0</v>
      </c>
      <c r="L105" s="10">
        <v>0</v>
      </c>
      <c r="M105" s="34"/>
      <c r="N105" s="13">
        <v>75.5</v>
      </c>
      <c r="O105" s="13">
        <v>8.5</v>
      </c>
      <c r="P105" s="13">
        <v>0</v>
      </c>
      <c r="Q105" s="13">
        <v>0</v>
      </c>
      <c r="R105" s="34"/>
      <c r="S105" s="13">
        <f t="shared" si="97"/>
        <v>83.5</v>
      </c>
      <c r="T105" s="13">
        <f t="shared" si="98"/>
        <v>84</v>
      </c>
      <c r="U105" s="13">
        <f t="shared" si="99"/>
        <v>0</v>
      </c>
      <c r="V105" s="34"/>
      <c r="W105" s="10">
        <v>23</v>
      </c>
      <c r="X105" s="10">
        <f t="shared" si="100"/>
        <v>2018.25</v>
      </c>
      <c r="Y105" s="10">
        <f t="shared" si="103"/>
        <v>0</v>
      </c>
      <c r="Z105" s="10">
        <f t="shared" si="104"/>
        <v>0</v>
      </c>
      <c r="AA105" s="14">
        <f t="shared" si="105"/>
        <v>0</v>
      </c>
      <c r="AB105" s="14">
        <f t="shared" si="101"/>
        <v>2029.75</v>
      </c>
      <c r="AC105" s="11">
        <f t="shared" si="106"/>
        <v>0</v>
      </c>
      <c r="AD105" s="215"/>
      <c r="AE105" s="11">
        <f t="shared" si="102"/>
        <v>11.5</v>
      </c>
      <c r="AF105" s="212"/>
      <c r="AG105" s="8"/>
    </row>
    <row r="106" spans="1:33" x14ac:dyDescent="0.45">
      <c r="A106" s="22">
        <f t="shared" si="82"/>
        <v>43926</v>
      </c>
      <c r="B106" s="15" t="s">
        <v>5</v>
      </c>
      <c r="C106" s="34"/>
      <c r="D106" s="13">
        <v>80</v>
      </c>
      <c r="E106" s="13">
        <v>39.25</v>
      </c>
      <c r="F106" s="13">
        <v>0</v>
      </c>
      <c r="G106" s="13">
        <v>0</v>
      </c>
      <c r="H106" s="13">
        <v>0</v>
      </c>
      <c r="I106" s="13">
        <v>0</v>
      </c>
      <c r="J106" s="13">
        <v>0</v>
      </c>
      <c r="K106" s="13">
        <v>0</v>
      </c>
      <c r="L106" s="10">
        <v>0</v>
      </c>
      <c r="M106" s="34"/>
      <c r="N106" s="13">
        <v>80</v>
      </c>
      <c r="O106" s="13">
        <v>39.25</v>
      </c>
      <c r="P106" s="13">
        <v>0</v>
      </c>
      <c r="Q106" s="13">
        <v>0</v>
      </c>
      <c r="R106" s="34"/>
      <c r="S106" s="13">
        <f t="shared" si="97"/>
        <v>119.25</v>
      </c>
      <c r="T106" s="13">
        <f t="shared" si="98"/>
        <v>119.25</v>
      </c>
      <c r="U106" s="13">
        <f t="shared" si="99"/>
        <v>0</v>
      </c>
      <c r="V106" s="34"/>
      <c r="W106" s="10">
        <v>27.2</v>
      </c>
      <c r="X106" s="10">
        <f t="shared" si="100"/>
        <v>3777.3999999999996</v>
      </c>
      <c r="Y106" s="10">
        <f t="shared" si="103"/>
        <v>0</v>
      </c>
      <c r="Z106" s="10">
        <f t="shared" si="104"/>
        <v>0</v>
      </c>
      <c r="AA106" s="14">
        <f t="shared" si="105"/>
        <v>0</v>
      </c>
      <c r="AB106" s="14">
        <f t="shared" si="101"/>
        <v>3777.3999999999996</v>
      </c>
      <c r="AC106" s="11">
        <f t="shared" si="106"/>
        <v>0</v>
      </c>
      <c r="AD106" s="215"/>
      <c r="AE106" s="11">
        <f t="shared" si="102"/>
        <v>0</v>
      </c>
      <c r="AF106" s="212"/>
      <c r="AG106" s="8"/>
    </row>
    <row r="107" spans="1:33" x14ac:dyDescent="0.45">
      <c r="A107" s="22">
        <f t="shared" si="82"/>
        <v>43926</v>
      </c>
      <c r="B107" s="15" t="s">
        <v>6</v>
      </c>
      <c r="C107" s="34"/>
      <c r="D107" s="13">
        <v>80</v>
      </c>
      <c r="E107" s="13">
        <v>13.5</v>
      </c>
      <c r="F107" s="13">
        <v>0</v>
      </c>
      <c r="G107" s="13">
        <v>0</v>
      </c>
      <c r="H107" s="13">
        <v>0</v>
      </c>
      <c r="I107" s="13">
        <v>0</v>
      </c>
      <c r="J107" s="13">
        <v>0</v>
      </c>
      <c r="K107" s="13">
        <v>0</v>
      </c>
      <c r="L107" s="10">
        <v>0</v>
      </c>
      <c r="M107" s="34"/>
      <c r="N107" s="13">
        <v>80</v>
      </c>
      <c r="O107" s="13">
        <v>13.5</v>
      </c>
      <c r="P107" s="13">
        <v>0</v>
      </c>
      <c r="Q107" s="13">
        <v>0</v>
      </c>
      <c r="R107" s="34"/>
      <c r="S107" s="13">
        <f t="shared" si="97"/>
        <v>93.5</v>
      </c>
      <c r="T107" s="13">
        <f t="shared" si="98"/>
        <v>93.5</v>
      </c>
      <c r="U107" s="13">
        <f t="shared" si="99"/>
        <v>0</v>
      </c>
      <c r="V107" s="34"/>
      <c r="W107" s="10">
        <v>23</v>
      </c>
      <c r="X107" s="10">
        <f t="shared" si="100"/>
        <v>2305.75</v>
      </c>
      <c r="Y107" s="10">
        <f t="shared" si="103"/>
        <v>0</v>
      </c>
      <c r="Z107" s="10">
        <f t="shared" si="104"/>
        <v>0</v>
      </c>
      <c r="AA107" s="14">
        <f t="shared" si="105"/>
        <v>0</v>
      </c>
      <c r="AB107" s="14">
        <f t="shared" si="101"/>
        <v>2305.75</v>
      </c>
      <c r="AC107" s="11">
        <f t="shared" si="106"/>
        <v>0</v>
      </c>
      <c r="AD107" s="215"/>
      <c r="AE107" s="11">
        <f t="shared" si="102"/>
        <v>0</v>
      </c>
      <c r="AF107" s="212"/>
      <c r="AG107" s="8"/>
    </row>
    <row r="108" spans="1:33" x14ac:dyDescent="0.45">
      <c r="A108" s="22">
        <f t="shared" si="82"/>
        <v>43926</v>
      </c>
      <c r="B108" s="15" t="s">
        <v>8</v>
      </c>
      <c r="C108" s="34"/>
      <c r="D108" s="13">
        <v>80</v>
      </c>
      <c r="E108" s="13">
        <v>40.5</v>
      </c>
      <c r="F108" s="13">
        <v>0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0">
        <v>0</v>
      </c>
      <c r="M108" s="34"/>
      <c r="N108" s="13">
        <v>80</v>
      </c>
      <c r="O108" s="13">
        <v>40.5</v>
      </c>
      <c r="P108" s="13">
        <v>0</v>
      </c>
      <c r="Q108" s="13">
        <v>0</v>
      </c>
      <c r="R108" s="34"/>
      <c r="S108" s="13">
        <f t="shared" si="97"/>
        <v>120.5</v>
      </c>
      <c r="T108" s="13">
        <f t="shared" si="98"/>
        <v>120.5</v>
      </c>
      <c r="U108" s="13">
        <f t="shared" si="99"/>
        <v>0</v>
      </c>
      <c r="V108" s="34"/>
      <c r="W108" s="10">
        <v>23</v>
      </c>
      <c r="X108" s="10">
        <f t="shared" si="100"/>
        <v>3237.25</v>
      </c>
      <c r="Y108" s="10">
        <f t="shared" si="103"/>
        <v>0</v>
      </c>
      <c r="Z108" s="10">
        <f t="shared" si="104"/>
        <v>0</v>
      </c>
      <c r="AA108" s="14">
        <f t="shared" si="105"/>
        <v>0</v>
      </c>
      <c r="AB108" s="14">
        <f t="shared" si="101"/>
        <v>3237.25</v>
      </c>
      <c r="AC108" s="11">
        <f t="shared" si="106"/>
        <v>0</v>
      </c>
      <c r="AD108" s="215"/>
      <c r="AE108" s="11">
        <f t="shared" si="102"/>
        <v>0</v>
      </c>
      <c r="AF108" s="212"/>
      <c r="AG108" s="8"/>
    </row>
    <row r="109" spans="1:33" x14ac:dyDescent="0.45">
      <c r="A109" s="22">
        <f t="shared" si="82"/>
        <v>43926</v>
      </c>
      <c r="B109" s="15" t="s">
        <v>9</v>
      </c>
      <c r="C109" s="34"/>
      <c r="D109" s="13">
        <v>0</v>
      </c>
      <c r="E109" s="13">
        <v>0</v>
      </c>
      <c r="F109" s="13">
        <v>0</v>
      </c>
      <c r="G109" s="13">
        <v>0</v>
      </c>
      <c r="H109" s="13">
        <v>0</v>
      </c>
      <c r="I109" s="13">
        <v>0</v>
      </c>
      <c r="J109" s="13">
        <v>0</v>
      </c>
      <c r="K109" s="13">
        <v>0</v>
      </c>
      <c r="L109" s="10">
        <v>0</v>
      </c>
      <c r="M109" s="34"/>
      <c r="N109" s="13">
        <v>0</v>
      </c>
      <c r="O109" s="13">
        <v>0</v>
      </c>
      <c r="P109" s="13">
        <v>0</v>
      </c>
      <c r="Q109" s="13">
        <v>0</v>
      </c>
      <c r="R109" s="34"/>
      <c r="S109" s="13">
        <f t="shared" si="97"/>
        <v>0</v>
      </c>
      <c r="T109" s="13">
        <f t="shared" si="98"/>
        <v>0</v>
      </c>
      <c r="U109" s="13">
        <f t="shared" si="99"/>
        <v>0</v>
      </c>
      <c r="V109" s="34"/>
      <c r="W109" s="10">
        <v>26.7</v>
      </c>
      <c r="X109" s="10">
        <f t="shared" si="100"/>
        <v>0</v>
      </c>
      <c r="Y109" s="10">
        <f t="shared" si="103"/>
        <v>0</v>
      </c>
      <c r="Z109" s="10">
        <f t="shared" si="104"/>
        <v>0</v>
      </c>
      <c r="AA109" s="14">
        <f t="shared" si="105"/>
        <v>0</v>
      </c>
      <c r="AB109" s="14">
        <f t="shared" si="101"/>
        <v>0</v>
      </c>
      <c r="AC109" s="11">
        <f t="shared" si="106"/>
        <v>0</v>
      </c>
      <c r="AD109" s="215"/>
      <c r="AE109" s="11">
        <f t="shared" si="102"/>
        <v>0</v>
      </c>
      <c r="AF109" s="212"/>
      <c r="AG109" s="8"/>
    </row>
    <row r="110" spans="1:33" ht="14.65" thickBot="1" x14ac:dyDescent="0.5">
      <c r="A110" s="23">
        <f t="shared" si="82"/>
        <v>43926</v>
      </c>
      <c r="B110" s="24" t="s">
        <v>31</v>
      </c>
      <c r="C110" s="35"/>
      <c r="D110" s="25">
        <v>40</v>
      </c>
      <c r="E110" s="25">
        <v>5</v>
      </c>
      <c r="F110" s="25">
        <v>0</v>
      </c>
      <c r="G110" s="25">
        <v>0</v>
      </c>
      <c r="H110" s="25">
        <v>0</v>
      </c>
      <c r="I110" s="25">
        <v>40</v>
      </c>
      <c r="J110" s="25">
        <v>0</v>
      </c>
      <c r="K110" s="25">
        <v>0</v>
      </c>
      <c r="L110" s="26">
        <v>0</v>
      </c>
      <c r="M110" s="35"/>
      <c r="N110" s="25">
        <v>40</v>
      </c>
      <c r="O110" s="25">
        <v>5</v>
      </c>
      <c r="P110" s="25">
        <v>0</v>
      </c>
      <c r="Q110" s="25">
        <v>0</v>
      </c>
      <c r="R110" s="35"/>
      <c r="S110" s="25">
        <f t="shared" si="97"/>
        <v>45</v>
      </c>
      <c r="T110" s="25">
        <f t="shared" si="98"/>
        <v>45</v>
      </c>
      <c r="U110" s="25">
        <f t="shared" si="99"/>
        <v>40</v>
      </c>
      <c r="V110" s="35"/>
      <c r="W110" s="26">
        <v>25.7</v>
      </c>
      <c r="X110" s="26">
        <f t="shared" si="100"/>
        <v>1220.75</v>
      </c>
      <c r="Y110" s="26">
        <f t="shared" si="103"/>
        <v>1028</v>
      </c>
      <c r="Z110" s="26">
        <f t="shared" si="104"/>
        <v>0</v>
      </c>
      <c r="AA110" s="27">
        <f t="shared" si="105"/>
        <v>0</v>
      </c>
      <c r="AB110" s="27">
        <f t="shared" si="101"/>
        <v>1220.75</v>
      </c>
      <c r="AC110" s="12">
        <f t="shared" si="106"/>
        <v>-1028</v>
      </c>
      <c r="AD110" s="216"/>
      <c r="AE110" s="12">
        <f t="shared" si="102"/>
        <v>0</v>
      </c>
      <c r="AF110" s="213"/>
      <c r="AG110" s="8"/>
    </row>
    <row r="111" spans="1:33" x14ac:dyDescent="0.45">
      <c r="A111" s="16">
        <f>A110+14</f>
        <v>43940</v>
      </c>
      <c r="B111" s="17" t="s">
        <v>0</v>
      </c>
      <c r="C111" s="33"/>
      <c r="D111" s="18">
        <v>72</v>
      </c>
      <c r="E111" s="18">
        <v>33.25</v>
      </c>
      <c r="F111" s="18">
        <v>0</v>
      </c>
      <c r="G111" s="18">
        <v>0</v>
      </c>
      <c r="H111" s="18">
        <v>0</v>
      </c>
      <c r="I111" s="18">
        <v>0</v>
      </c>
      <c r="J111" s="18">
        <v>8</v>
      </c>
      <c r="K111" s="18">
        <v>0</v>
      </c>
      <c r="L111" s="19">
        <v>0</v>
      </c>
      <c r="M111" s="33"/>
      <c r="N111" s="18">
        <v>72</v>
      </c>
      <c r="O111" s="18">
        <v>33.25</v>
      </c>
      <c r="P111" s="18">
        <v>0</v>
      </c>
      <c r="Q111" s="18">
        <v>0</v>
      </c>
      <c r="R111" s="33"/>
      <c r="S111" s="36">
        <f t="shared" ref="S111:S119" si="107">SUM(D111:G111)</f>
        <v>105.25</v>
      </c>
      <c r="T111" s="36">
        <f t="shared" ref="T111:T119" si="108">SUM(N111:Q111)</f>
        <v>105.25</v>
      </c>
      <c r="U111" s="18">
        <f t="shared" ref="U111:U119" si="109">SUM(H111:L111)</f>
        <v>8</v>
      </c>
      <c r="V111" s="33"/>
      <c r="W111" s="19">
        <v>26.4</v>
      </c>
      <c r="X111" s="19">
        <f t="shared" ref="X111:X119" si="110">(W111*1*D111)+(W111*1.5*E111)+(W111*2*F111)+(W111*1*G111)</f>
        <v>3217.5</v>
      </c>
      <c r="Y111" s="19">
        <f>(W111*0*H111)+(W111*1*I111)</f>
        <v>0</v>
      </c>
      <c r="Z111" s="19">
        <f>(W111*1*J111)+L111</f>
        <v>211.2</v>
      </c>
      <c r="AA111" s="20">
        <f>(W111*1*K111)</f>
        <v>0</v>
      </c>
      <c r="AB111" s="20">
        <f t="shared" ref="AB111:AB119" si="111">(W111*1*N111)+(W111*1.5*O111)+(W111*2*P111)+(W111*1*Q111)</f>
        <v>3217.5</v>
      </c>
      <c r="AC111" s="21">
        <f>0-Y111-AA111</f>
        <v>0</v>
      </c>
      <c r="AD111" s="214">
        <f>SUM(AC111:AC119)</f>
        <v>0</v>
      </c>
      <c r="AE111" s="21">
        <f t="shared" ref="AE111:AE119" si="112">AB111-(X111+Z111)</f>
        <v>-211.19999999999982</v>
      </c>
      <c r="AF111" s="211">
        <f>SUM(AE111:AE119)</f>
        <v>-1607.4749999999997</v>
      </c>
      <c r="AG111" s="8"/>
    </row>
    <row r="112" spans="1:33" x14ac:dyDescent="0.45">
      <c r="A112" s="22">
        <f t="shared" si="82"/>
        <v>43940</v>
      </c>
      <c r="B112" s="15" t="s">
        <v>30</v>
      </c>
      <c r="C112" s="34"/>
      <c r="D112" s="13">
        <v>72</v>
      </c>
      <c r="E112" s="13">
        <v>3</v>
      </c>
      <c r="F112" s="13">
        <v>0</v>
      </c>
      <c r="G112" s="13">
        <v>0</v>
      </c>
      <c r="H112" s="13">
        <v>0</v>
      </c>
      <c r="I112" s="13">
        <v>0</v>
      </c>
      <c r="J112" s="13">
        <v>8</v>
      </c>
      <c r="K112" s="13">
        <v>0</v>
      </c>
      <c r="L112" s="10">
        <v>0</v>
      </c>
      <c r="M112" s="34"/>
      <c r="N112" s="13">
        <v>72</v>
      </c>
      <c r="O112" s="13">
        <v>3</v>
      </c>
      <c r="P112" s="13">
        <v>0</v>
      </c>
      <c r="Q112" s="13">
        <v>0</v>
      </c>
      <c r="R112" s="34"/>
      <c r="S112" s="13">
        <f t="shared" si="107"/>
        <v>75</v>
      </c>
      <c r="T112" s="13">
        <f t="shared" si="108"/>
        <v>75</v>
      </c>
      <c r="U112" s="13">
        <f t="shared" si="109"/>
        <v>8</v>
      </c>
      <c r="V112" s="34"/>
      <c r="W112" s="10">
        <v>30.8</v>
      </c>
      <c r="X112" s="10">
        <f t="shared" si="110"/>
        <v>2356.1999999999998</v>
      </c>
      <c r="Y112" s="10">
        <f t="shared" ref="Y112:Y119" si="113">(W112*0*H112)+(W112*1*I112)</f>
        <v>0</v>
      </c>
      <c r="Z112" s="10">
        <f t="shared" ref="Z112:Z119" si="114">(W112*1*J112)+L112</f>
        <v>246.4</v>
      </c>
      <c r="AA112" s="14">
        <f t="shared" ref="AA112:AA119" si="115">(W112*1*K112)</f>
        <v>0</v>
      </c>
      <c r="AB112" s="14">
        <f t="shared" si="111"/>
        <v>2356.1999999999998</v>
      </c>
      <c r="AC112" s="11">
        <f t="shared" ref="AC112:AC119" si="116">0-Y112-AA112</f>
        <v>0</v>
      </c>
      <c r="AD112" s="215"/>
      <c r="AE112" s="11">
        <f t="shared" si="112"/>
        <v>-246.40000000000009</v>
      </c>
      <c r="AF112" s="212"/>
      <c r="AG112" s="8"/>
    </row>
    <row r="113" spans="1:33" x14ac:dyDescent="0.45">
      <c r="A113" s="22">
        <f t="shared" si="82"/>
        <v>43940</v>
      </c>
      <c r="B113" s="15" t="s">
        <v>3</v>
      </c>
      <c r="C113" s="34"/>
      <c r="D113" s="13">
        <v>72</v>
      </c>
      <c r="E113" s="13">
        <v>26.25</v>
      </c>
      <c r="F113" s="13">
        <v>0</v>
      </c>
      <c r="G113" s="13">
        <v>0</v>
      </c>
      <c r="H113" s="13">
        <v>0</v>
      </c>
      <c r="I113" s="13">
        <v>0</v>
      </c>
      <c r="J113" s="13">
        <v>8</v>
      </c>
      <c r="K113" s="13">
        <v>0</v>
      </c>
      <c r="L113" s="10">
        <v>0</v>
      </c>
      <c r="M113" s="34"/>
      <c r="N113" s="13">
        <v>72</v>
      </c>
      <c r="O113" s="13">
        <v>26.25</v>
      </c>
      <c r="P113" s="13">
        <v>0</v>
      </c>
      <c r="Q113" s="13">
        <v>0</v>
      </c>
      <c r="R113" s="34"/>
      <c r="S113" s="13">
        <f t="shared" si="107"/>
        <v>98.25</v>
      </c>
      <c r="T113" s="13">
        <f t="shared" si="108"/>
        <v>98.25</v>
      </c>
      <c r="U113" s="13">
        <f t="shared" si="109"/>
        <v>8</v>
      </c>
      <c r="V113" s="34"/>
      <c r="W113" s="10">
        <v>28.5</v>
      </c>
      <c r="X113" s="10">
        <f t="shared" si="110"/>
        <v>3174.1875</v>
      </c>
      <c r="Y113" s="10">
        <f t="shared" si="113"/>
        <v>0</v>
      </c>
      <c r="Z113" s="10">
        <f t="shared" si="114"/>
        <v>228</v>
      </c>
      <c r="AA113" s="14">
        <f t="shared" si="115"/>
        <v>0</v>
      </c>
      <c r="AB113" s="14">
        <f t="shared" si="111"/>
        <v>3174.1875</v>
      </c>
      <c r="AC113" s="11">
        <f t="shared" si="116"/>
        <v>0</v>
      </c>
      <c r="AD113" s="215"/>
      <c r="AE113" s="11">
        <f t="shared" si="112"/>
        <v>-228</v>
      </c>
      <c r="AF113" s="212"/>
      <c r="AG113" s="8"/>
    </row>
    <row r="114" spans="1:33" x14ac:dyDescent="0.45">
      <c r="A114" s="22">
        <f t="shared" si="82"/>
        <v>43940</v>
      </c>
      <c r="B114" s="15" t="s">
        <v>4</v>
      </c>
      <c r="C114" s="34"/>
      <c r="D114" s="13">
        <v>72</v>
      </c>
      <c r="E114" s="13">
        <v>9</v>
      </c>
      <c r="F114" s="13">
        <v>0</v>
      </c>
      <c r="G114" s="13">
        <v>6.5</v>
      </c>
      <c r="H114" s="13">
        <v>0</v>
      </c>
      <c r="I114" s="13">
        <v>0</v>
      </c>
      <c r="J114" s="13">
        <v>8</v>
      </c>
      <c r="K114" s="13">
        <v>0</v>
      </c>
      <c r="L114" s="10">
        <v>0</v>
      </c>
      <c r="M114" s="34"/>
      <c r="N114" s="13">
        <v>72</v>
      </c>
      <c r="O114" s="13">
        <v>10</v>
      </c>
      <c r="P114" s="13">
        <v>0</v>
      </c>
      <c r="Q114" s="13">
        <v>6.5</v>
      </c>
      <c r="R114" s="34"/>
      <c r="S114" s="13">
        <f t="shared" si="107"/>
        <v>87.5</v>
      </c>
      <c r="T114" s="13">
        <f t="shared" si="108"/>
        <v>88.5</v>
      </c>
      <c r="U114" s="13">
        <f t="shared" si="109"/>
        <v>8</v>
      </c>
      <c r="V114" s="34"/>
      <c r="W114" s="10">
        <v>23</v>
      </c>
      <c r="X114" s="10">
        <f t="shared" si="110"/>
        <v>2116</v>
      </c>
      <c r="Y114" s="10">
        <f t="shared" si="113"/>
        <v>0</v>
      </c>
      <c r="Z114" s="10">
        <f t="shared" si="114"/>
        <v>184</v>
      </c>
      <c r="AA114" s="14">
        <f t="shared" si="115"/>
        <v>0</v>
      </c>
      <c r="AB114" s="14">
        <f t="shared" si="111"/>
        <v>2150.5</v>
      </c>
      <c r="AC114" s="11">
        <f t="shared" si="116"/>
        <v>0</v>
      </c>
      <c r="AD114" s="215"/>
      <c r="AE114" s="11">
        <f t="shared" si="112"/>
        <v>-149.5</v>
      </c>
      <c r="AF114" s="212"/>
      <c r="AG114" s="8"/>
    </row>
    <row r="115" spans="1:33" x14ac:dyDescent="0.45">
      <c r="A115" s="22">
        <f t="shared" si="82"/>
        <v>43940</v>
      </c>
      <c r="B115" s="15" t="s">
        <v>5</v>
      </c>
      <c r="C115" s="34"/>
      <c r="D115" s="13">
        <v>72</v>
      </c>
      <c r="E115" s="13">
        <v>27.75</v>
      </c>
      <c r="F115" s="13">
        <v>0</v>
      </c>
      <c r="G115" s="13">
        <v>0</v>
      </c>
      <c r="H115" s="13">
        <v>0</v>
      </c>
      <c r="I115" s="13">
        <v>0</v>
      </c>
      <c r="J115" s="13">
        <v>8</v>
      </c>
      <c r="K115" s="13">
        <v>0</v>
      </c>
      <c r="L115" s="10">
        <v>0</v>
      </c>
      <c r="M115" s="34"/>
      <c r="N115" s="13">
        <v>72</v>
      </c>
      <c r="O115" s="13">
        <v>28</v>
      </c>
      <c r="P115" s="13">
        <v>0</v>
      </c>
      <c r="Q115" s="13">
        <v>0</v>
      </c>
      <c r="R115" s="34"/>
      <c r="S115" s="13">
        <f t="shared" si="107"/>
        <v>99.75</v>
      </c>
      <c r="T115" s="13">
        <f t="shared" si="108"/>
        <v>100</v>
      </c>
      <c r="U115" s="13">
        <f t="shared" si="109"/>
        <v>8</v>
      </c>
      <c r="V115" s="34"/>
      <c r="W115" s="10">
        <v>27.2</v>
      </c>
      <c r="X115" s="10">
        <f t="shared" si="110"/>
        <v>3090.5999999999995</v>
      </c>
      <c r="Y115" s="10">
        <f t="shared" si="113"/>
        <v>0</v>
      </c>
      <c r="Z115" s="10">
        <f t="shared" si="114"/>
        <v>217.6</v>
      </c>
      <c r="AA115" s="14">
        <f t="shared" si="115"/>
        <v>0</v>
      </c>
      <c r="AB115" s="14">
        <f t="shared" si="111"/>
        <v>3100.7999999999997</v>
      </c>
      <c r="AC115" s="11">
        <f t="shared" si="116"/>
        <v>0</v>
      </c>
      <c r="AD115" s="215"/>
      <c r="AE115" s="11">
        <f t="shared" si="112"/>
        <v>-207.39999999999964</v>
      </c>
      <c r="AF115" s="212"/>
      <c r="AG115" s="8"/>
    </row>
    <row r="116" spans="1:33" x14ac:dyDescent="0.45">
      <c r="A116" s="22">
        <f t="shared" si="82"/>
        <v>43940</v>
      </c>
      <c r="B116" s="15" t="s">
        <v>6</v>
      </c>
      <c r="C116" s="34"/>
      <c r="D116" s="13">
        <v>72</v>
      </c>
      <c r="E116" s="13">
        <v>0</v>
      </c>
      <c r="F116" s="13">
        <v>0</v>
      </c>
      <c r="G116" s="13">
        <v>0</v>
      </c>
      <c r="H116" s="13">
        <v>0</v>
      </c>
      <c r="I116" s="13">
        <v>0</v>
      </c>
      <c r="J116" s="13">
        <v>8</v>
      </c>
      <c r="K116" s="13">
        <v>0</v>
      </c>
      <c r="L116" s="10">
        <v>0</v>
      </c>
      <c r="M116" s="34"/>
      <c r="N116" s="13">
        <v>72</v>
      </c>
      <c r="O116" s="13">
        <v>0.25</v>
      </c>
      <c r="P116" s="13">
        <v>0</v>
      </c>
      <c r="Q116" s="13">
        <v>0</v>
      </c>
      <c r="R116" s="34"/>
      <c r="S116" s="13">
        <f t="shared" si="107"/>
        <v>72</v>
      </c>
      <c r="T116" s="13">
        <f t="shared" si="108"/>
        <v>72.25</v>
      </c>
      <c r="U116" s="13">
        <f t="shared" si="109"/>
        <v>8</v>
      </c>
      <c r="V116" s="34"/>
      <c r="W116" s="10">
        <v>23</v>
      </c>
      <c r="X116" s="10">
        <f t="shared" si="110"/>
        <v>1656</v>
      </c>
      <c r="Y116" s="10">
        <f t="shared" si="113"/>
        <v>0</v>
      </c>
      <c r="Z116" s="10">
        <f t="shared" si="114"/>
        <v>184</v>
      </c>
      <c r="AA116" s="14">
        <f t="shared" si="115"/>
        <v>0</v>
      </c>
      <c r="AB116" s="14">
        <f t="shared" si="111"/>
        <v>1664.625</v>
      </c>
      <c r="AC116" s="11">
        <f t="shared" si="116"/>
        <v>0</v>
      </c>
      <c r="AD116" s="215"/>
      <c r="AE116" s="11">
        <f t="shared" si="112"/>
        <v>-175.375</v>
      </c>
      <c r="AF116" s="212"/>
      <c r="AG116" s="8"/>
    </row>
    <row r="117" spans="1:33" x14ac:dyDescent="0.45">
      <c r="A117" s="22">
        <f t="shared" si="82"/>
        <v>43940</v>
      </c>
      <c r="B117" s="15" t="s">
        <v>8</v>
      </c>
      <c r="C117" s="34"/>
      <c r="D117" s="13">
        <v>72</v>
      </c>
      <c r="E117" s="13">
        <v>27.5</v>
      </c>
      <c r="F117" s="13">
        <v>0</v>
      </c>
      <c r="G117" s="13">
        <v>0</v>
      </c>
      <c r="H117" s="13">
        <v>0</v>
      </c>
      <c r="I117" s="13">
        <v>0</v>
      </c>
      <c r="J117" s="13">
        <v>8</v>
      </c>
      <c r="K117" s="13">
        <v>0</v>
      </c>
      <c r="L117" s="10">
        <v>0</v>
      </c>
      <c r="M117" s="34"/>
      <c r="N117" s="13">
        <v>72</v>
      </c>
      <c r="O117" s="13">
        <v>27.5</v>
      </c>
      <c r="P117" s="13">
        <v>0</v>
      </c>
      <c r="Q117" s="13">
        <v>0</v>
      </c>
      <c r="R117" s="34"/>
      <c r="S117" s="13">
        <f t="shared" si="107"/>
        <v>99.5</v>
      </c>
      <c r="T117" s="13">
        <f t="shared" si="108"/>
        <v>99.5</v>
      </c>
      <c r="U117" s="13">
        <f t="shared" si="109"/>
        <v>8</v>
      </c>
      <c r="V117" s="34"/>
      <c r="W117" s="10">
        <v>23</v>
      </c>
      <c r="X117" s="10">
        <f t="shared" si="110"/>
        <v>2604.75</v>
      </c>
      <c r="Y117" s="10">
        <f t="shared" si="113"/>
        <v>0</v>
      </c>
      <c r="Z117" s="10">
        <f t="shared" si="114"/>
        <v>184</v>
      </c>
      <c r="AA117" s="14">
        <f t="shared" si="115"/>
        <v>0</v>
      </c>
      <c r="AB117" s="14">
        <f t="shared" si="111"/>
        <v>2604.75</v>
      </c>
      <c r="AC117" s="11">
        <f t="shared" si="116"/>
        <v>0</v>
      </c>
      <c r="AD117" s="215"/>
      <c r="AE117" s="11">
        <f t="shared" si="112"/>
        <v>-184</v>
      </c>
      <c r="AF117" s="212"/>
      <c r="AG117" s="8"/>
    </row>
    <row r="118" spans="1:33" x14ac:dyDescent="0.45">
      <c r="A118" s="22">
        <f t="shared" si="82"/>
        <v>43940</v>
      </c>
      <c r="B118" s="15" t="s">
        <v>9</v>
      </c>
      <c r="C118" s="34"/>
      <c r="D118" s="13">
        <v>0</v>
      </c>
      <c r="E118" s="13">
        <v>0</v>
      </c>
      <c r="F118" s="13">
        <v>0</v>
      </c>
      <c r="G118" s="13">
        <v>0</v>
      </c>
      <c r="H118" s="13">
        <v>0</v>
      </c>
      <c r="I118" s="13">
        <v>0</v>
      </c>
      <c r="J118" s="13">
        <v>0</v>
      </c>
      <c r="K118" s="13">
        <v>0</v>
      </c>
      <c r="L118" s="10">
        <v>0</v>
      </c>
      <c r="M118" s="34"/>
      <c r="N118" s="13">
        <v>0</v>
      </c>
      <c r="O118" s="13">
        <v>0</v>
      </c>
      <c r="P118" s="13">
        <v>0</v>
      </c>
      <c r="Q118" s="13">
        <v>0</v>
      </c>
      <c r="R118" s="34"/>
      <c r="S118" s="13">
        <f t="shared" si="107"/>
        <v>0</v>
      </c>
      <c r="T118" s="13">
        <f t="shared" si="108"/>
        <v>0</v>
      </c>
      <c r="U118" s="13">
        <f t="shared" si="109"/>
        <v>0</v>
      </c>
      <c r="V118" s="34"/>
      <c r="W118" s="10">
        <v>26.7</v>
      </c>
      <c r="X118" s="10">
        <f t="shared" si="110"/>
        <v>0</v>
      </c>
      <c r="Y118" s="10">
        <f t="shared" si="113"/>
        <v>0</v>
      </c>
      <c r="Z118" s="10">
        <f t="shared" si="114"/>
        <v>0</v>
      </c>
      <c r="AA118" s="14">
        <f t="shared" si="115"/>
        <v>0</v>
      </c>
      <c r="AB118" s="14">
        <f t="shared" si="111"/>
        <v>0</v>
      </c>
      <c r="AC118" s="11">
        <f t="shared" si="116"/>
        <v>0</v>
      </c>
      <c r="AD118" s="215"/>
      <c r="AE118" s="11">
        <f t="shared" si="112"/>
        <v>0</v>
      </c>
      <c r="AF118" s="212"/>
      <c r="AG118" s="8"/>
    </row>
    <row r="119" spans="1:33" ht="14.65" thickBot="1" x14ac:dyDescent="0.5">
      <c r="A119" s="23">
        <f t="shared" si="82"/>
        <v>43940</v>
      </c>
      <c r="B119" s="24" t="s">
        <v>31</v>
      </c>
      <c r="C119" s="35"/>
      <c r="D119" s="25">
        <v>72</v>
      </c>
      <c r="E119" s="25">
        <v>0</v>
      </c>
      <c r="F119" s="25">
        <v>0</v>
      </c>
      <c r="G119" s="25">
        <v>0</v>
      </c>
      <c r="H119" s="25">
        <v>0</v>
      </c>
      <c r="I119" s="25">
        <v>0</v>
      </c>
      <c r="J119" s="25">
        <v>8</v>
      </c>
      <c r="K119" s="25">
        <v>0</v>
      </c>
      <c r="L119" s="26">
        <v>0</v>
      </c>
      <c r="M119" s="35"/>
      <c r="N119" s="25">
        <v>72</v>
      </c>
      <c r="O119" s="25">
        <v>0</v>
      </c>
      <c r="P119" s="25">
        <v>0</v>
      </c>
      <c r="Q119" s="25">
        <v>0</v>
      </c>
      <c r="R119" s="35"/>
      <c r="S119" s="25">
        <f t="shared" si="107"/>
        <v>72</v>
      </c>
      <c r="T119" s="25">
        <f t="shared" si="108"/>
        <v>72</v>
      </c>
      <c r="U119" s="25">
        <f t="shared" si="109"/>
        <v>8</v>
      </c>
      <c r="V119" s="35"/>
      <c r="W119" s="26">
        <v>25.7</v>
      </c>
      <c r="X119" s="26">
        <f t="shared" si="110"/>
        <v>1850.3999999999999</v>
      </c>
      <c r="Y119" s="26">
        <f t="shared" si="113"/>
        <v>0</v>
      </c>
      <c r="Z119" s="26">
        <f t="shared" si="114"/>
        <v>205.6</v>
      </c>
      <c r="AA119" s="27">
        <f t="shared" si="115"/>
        <v>0</v>
      </c>
      <c r="AB119" s="27">
        <f t="shared" si="111"/>
        <v>1850.3999999999999</v>
      </c>
      <c r="AC119" s="12">
        <f t="shared" si="116"/>
        <v>0</v>
      </c>
      <c r="AD119" s="216"/>
      <c r="AE119" s="12">
        <f t="shared" si="112"/>
        <v>-205.60000000000014</v>
      </c>
      <c r="AF119" s="213"/>
      <c r="AG119" s="8"/>
    </row>
    <row r="120" spans="1:33" x14ac:dyDescent="0.45">
      <c r="A120" s="16">
        <f>A119+14</f>
        <v>43954</v>
      </c>
      <c r="B120" s="17" t="s">
        <v>0</v>
      </c>
      <c r="C120" s="33"/>
      <c r="D120" s="18">
        <v>80</v>
      </c>
      <c r="E120" s="18">
        <v>34.25</v>
      </c>
      <c r="F120" s="18">
        <v>0</v>
      </c>
      <c r="G120" s="18">
        <v>0</v>
      </c>
      <c r="H120" s="18">
        <v>0</v>
      </c>
      <c r="I120" s="18">
        <v>0</v>
      </c>
      <c r="J120" s="18">
        <v>0</v>
      </c>
      <c r="K120" s="18">
        <v>0</v>
      </c>
      <c r="L120" s="19">
        <v>0</v>
      </c>
      <c r="M120" s="33"/>
      <c r="N120" s="18">
        <v>80</v>
      </c>
      <c r="O120" s="18">
        <v>34.25</v>
      </c>
      <c r="P120" s="18">
        <v>0</v>
      </c>
      <c r="Q120" s="18">
        <v>0</v>
      </c>
      <c r="R120" s="33"/>
      <c r="S120" s="36">
        <f t="shared" ref="S120:S128" si="117">SUM(D120:G120)</f>
        <v>114.25</v>
      </c>
      <c r="T120" s="36">
        <f t="shared" ref="T120:T128" si="118">SUM(N120:Q120)</f>
        <v>114.25</v>
      </c>
      <c r="U120" s="18">
        <f t="shared" ref="U120:U128" si="119">SUM(H120:L120)</f>
        <v>0</v>
      </c>
      <c r="V120" s="33"/>
      <c r="W120" s="19">
        <v>26.4</v>
      </c>
      <c r="X120" s="19">
        <f t="shared" ref="X120:X128" si="120">(W120*1*D120)+(W120*1.5*E120)+(W120*2*F120)+(W120*1*G120)</f>
        <v>3468.2999999999997</v>
      </c>
      <c r="Y120" s="19">
        <f>(W120*0*H120)+(W120*1*I120)</f>
        <v>0</v>
      </c>
      <c r="Z120" s="19">
        <f>(W120*1*J120)+L120</f>
        <v>0</v>
      </c>
      <c r="AA120" s="20">
        <f>(W120*1*K120)</f>
        <v>0</v>
      </c>
      <c r="AB120" s="20">
        <f t="shared" ref="AB120:AB128" si="121">(W120*1*N120)+(W120*1.5*O120)+(W120*2*P120)+(W120*1*Q120)</f>
        <v>3468.2999999999997</v>
      </c>
      <c r="AC120" s="21">
        <f>0-Y120-AA120</f>
        <v>0</v>
      </c>
      <c r="AD120" s="214">
        <f>SUM(AC120:AC128)</f>
        <v>0</v>
      </c>
      <c r="AE120" s="21">
        <f t="shared" ref="AE120:AE128" si="122">AB120-(X120+Z120)</f>
        <v>0</v>
      </c>
      <c r="AF120" s="211">
        <f>SUM(AE120:AE128)</f>
        <v>0</v>
      </c>
      <c r="AG120" s="8"/>
    </row>
    <row r="121" spans="1:33" x14ac:dyDescent="0.45">
      <c r="A121" s="22">
        <f t="shared" si="82"/>
        <v>43954</v>
      </c>
      <c r="B121" s="15" t="s">
        <v>30</v>
      </c>
      <c r="C121" s="34"/>
      <c r="D121" s="13">
        <v>80</v>
      </c>
      <c r="E121" s="13">
        <v>10</v>
      </c>
      <c r="F121" s="13">
        <v>0</v>
      </c>
      <c r="G121" s="13">
        <v>6</v>
      </c>
      <c r="H121" s="13">
        <v>0</v>
      </c>
      <c r="I121" s="13">
        <v>0</v>
      </c>
      <c r="J121" s="13">
        <v>0</v>
      </c>
      <c r="K121" s="13">
        <v>0</v>
      </c>
      <c r="L121" s="10">
        <v>0</v>
      </c>
      <c r="M121" s="34"/>
      <c r="N121" s="13">
        <v>80</v>
      </c>
      <c r="O121" s="13">
        <v>10</v>
      </c>
      <c r="P121" s="13">
        <v>0</v>
      </c>
      <c r="Q121" s="13">
        <v>6</v>
      </c>
      <c r="R121" s="34"/>
      <c r="S121" s="13">
        <f t="shared" si="117"/>
        <v>96</v>
      </c>
      <c r="T121" s="13">
        <f t="shared" si="118"/>
        <v>96</v>
      </c>
      <c r="U121" s="13">
        <f t="shared" si="119"/>
        <v>0</v>
      </c>
      <c r="V121" s="34"/>
      <c r="W121" s="10">
        <v>30.8</v>
      </c>
      <c r="X121" s="10">
        <f t="shared" si="120"/>
        <v>3110.8</v>
      </c>
      <c r="Y121" s="10">
        <f t="shared" ref="Y121:Y128" si="123">(W121*0*H121)+(W121*1*I121)</f>
        <v>0</v>
      </c>
      <c r="Z121" s="10">
        <f t="shared" ref="Z121:Z128" si="124">(W121*1*J121)+L121</f>
        <v>0</v>
      </c>
      <c r="AA121" s="14">
        <f t="shared" ref="AA121:AA128" si="125">(W121*1*K121)</f>
        <v>0</v>
      </c>
      <c r="AB121" s="14">
        <f t="shared" si="121"/>
        <v>3110.8</v>
      </c>
      <c r="AC121" s="11">
        <f t="shared" ref="AC121:AC128" si="126">0-Y121-AA121</f>
        <v>0</v>
      </c>
      <c r="AD121" s="215"/>
      <c r="AE121" s="11">
        <f t="shared" si="122"/>
        <v>0</v>
      </c>
      <c r="AF121" s="212"/>
      <c r="AG121" s="8"/>
    </row>
    <row r="122" spans="1:33" x14ac:dyDescent="0.45">
      <c r="A122" s="22">
        <f t="shared" si="82"/>
        <v>43954</v>
      </c>
      <c r="B122" s="15" t="s">
        <v>3</v>
      </c>
      <c r="C122" s="34"/>
      <c r="D122" s="13">
        <v>80</v>
      </c>
      <c r="E122" s="13">
        <v>35.25</v>
      </c>
      <c r="F122" s="13">
        <v>0</v>
      </c>
      <c r="G122" s="13">
        <v>0</v>
      </c>
      <c r="H122" s="13">
        <v>0</v>
      </c>
      <c r="I122" s="13">
        <v>0</v>
      </c>
      <c r="J122" s="13">
        <v>0</v>
      </c>
      <c r="K122" s="13">
        <v>0</v>
      </c>
      <c r="L122" s="10">
        <v>0</v>
      </c>
      <c r="M122" s="34"/>
      <c r="N122" s="13">
        <v>80</v>
      </c>
      <c r="O122" s="13">
        <v>35.25</v>
      </c>
      <c r="P122" s="13">
        <v>0</v>
      </c>
      <c r="Q122" s="13">
        <v>0</v>
      </c>
      <c r="R122" s="34"/>
      <c r="S122" s="13">
        <f t="shared" si="117"/>
        <v>115.25</v>
      </c>
      <c r="T122" s="13">
        <f t="shared" si="118"/>
        <v>115.25</v>
      </c>
      <c r="U122" s="13">
        <f t="shared" si="119"/>
        <v>0</v>
      </c>
      <c r="V122" s="34"/>
      <c r="W122" s="10">
        <v>28.5</v>
      </c>
      <c r="X122" s="10">
        <f t="shared" si="120"/>
        <v>3786.9375</v>
      </c>
      <c r="Y122" s="10">
        <f t="shared" si="123"/>
        <v>0</v>
      </c>
      <c r="Z122" s="10">
        <f t="shared" si="124"/>
        <v>0</v>
      </c>
      <c r="AA122" s="14">
        <f t="shared" si="125"/>
        <v>0</v>
      </c>
      <c r="AB122" s="14">
        <f t="shared" si="121"/>
        <v>3786.9375</v>
      </c>
      <c r="AC122" s="11">
        <f t="shared" si="126"/>
        <v>0</v>
      </c>
      <c r="AD122" s="215"/>
      <c r="AE122" s="11">
        <f t="shared" si="122"/>
        <v>0</v>
      </c>
      <c r="AF122" s="212"/>
      <c r="AG122" s="8"/>
    </row>
    <row r="123" spans="1:33" x14ac:dyDescent="0.45">
      <c r="A123" s="22">
        <f t="shared" si="82"/>
        <v>43954</v>
      </c>
      <c r="B123" s="15" t="s">
        <v>4</v>
      </c>
      <c r="C123" s="34"/>
      <c r="D123" s="13">
        <v>80</v>
      </c>
      <c r="E123" s="13">
        <v>9.5</v>
      </c>
      <c r="F123" s="13">
        <v>0</v>
      </c>
      <c r="G123" s="13">
        <v>8</v>
      </c>
      <c r="H123" s="13">
        <v>0</v>
      </c>
      <c r="I123" s="13">
        <v>0</v>
      </c>
      <c r="J123" s="13">
        <v>0</v>
      </c>
      <c r="K123" s="13">
        <v>0</v>
      </c>
      <c r="L123" s="10">
        <v>0</v>
      </c>
      <c r="M123" s="34"/>
      <c r="N123" s="13">
        <v>80</v>
      </c>
      <c r="O123" s="13">
        <v>9.5</v>
      </c>
      <c r="P123" s="13">
        <v>0</v>
      </c>
      <c r="Q123" s="13">
        <v>8</v>
      </c>
      <c r="R123" s="34"/>
      <c r="S123" s="13">
        <f t="shared" si="117"/>
        <v>97.5</v>
      </c>
      <c r="T123" s="13">
        <f t="shared" si="118"/>
        <v>97.5</v>
      </c>
      <c r="U123" s="13">
        <f t="shared" si="119"/>
        <v>0</v>
      </c>
      <c r="V123" s="34"/>
      <c r="W123" s="10">
        <v>23</v>
      </c>
      <c r="X123" s="10">
        <f t="shared" si="120"/>
        <v>2351.75</v>
      </c>
      <c r="Y123" s="10">
        <f t="shared" si="123"/>
        <v>0</v>
      </c>
      <c r="Z123" s="10">
        <f t="shared" si="124"/>
        <v>0</v>
      </c>
      <c r="AA123" s="14">
        <f t="shared" si="125"/>
        <v>0</v>
      </c>
      <c r="AB123" s="14">
        <f t="shared" si="121"/>
        <v>2351.75</v>
      </c>
      <c r="AC123" s="11">
        <f t="shared" si="126"/>
        <v>0</v>
      </c>
      <c r="AD123" s="215"/>
      <c r="AE123" s="11">
        <f t="shared" si="122"/>
        <v>0</v>
      </c>
      <c r="AF123" s="212"/>
      <c r="AG123" s="8"/>
    </row>
    <row r="124" spans="1:33" x14ac:dyDescent="0.45">
      <c r="A124" s="22">
        <f t="shared" si="82"/>
        <v>43954</v>
      </c>
      <c r="B124" s="15" t="s">
        <v>5</v>
      </c>
      <c r="C124" s="34"/>
      <c r="D124" s="13">
        <v>80</v>
      </c>
      <c r="E124" s="13">
        <v>33.75</v>
      </c>
      <c r="F124" s="13">
        <v>0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0">
        <v>0</v>
      </c>
      <c r="M124" s="34"/>
      <c r="N124" s="13">
        <v>80</v>
      </c>
      <c r="O124" s="13">
        <v>33.75</v>
      </c>
      <c r="P124" s="13">
        <v>0</v>
      </c>
      <c r="Q124" s="13">
        <v>0</v>
      </c>
      <c r="R124" s="34"/>
      <c r="S124" s="13">
        <f t="shared" si="117"/>
        <v>113.75</v>
      </c>
      <c r="T124" s="13">
        <f t="shared" si="118"/>
        <v>113.75</v>
      </c>
      <c r="U124" s="13">
        <f t="shared" si="119"/>
        <v>0</v>
      </c>
      <c r="V124" s="34"/>
      <c r="W124" s="10">
        <v>27.2</v>
      </c>
      <c r="X124" s="10">
        <f t="shared" si="120"/>
        <v>3553</v>
      </c>
      <c r="Y124" s="10">
        <f t="shared" si="123"/>
        <v>0</v>
      </c>
      <c r="Z124" s="10">
        <f t="shared" si="124"/>
        <v>0</v>
      </c>
      <c r="AA124" s="14">
        <f t="shared" si="125"/>
        <v>0</v>
      </c>
      <c r="AB124" s="14">
        <f t="shared" si="121"/>
        <v>3553</v>
      </c>
      <c r="AC124" s="11">
        <f t="shared" si="126"/>
        <v>0</v>
      </c>
      <c r="AD124" s="215"/>
      <c r="AE124" s="11">
        <f t="shared" si="122"/>
        <v>0</v>
      </c>
      <c r="AF124" s="212"/>
      <c r="AG124" s="8"/>
    </row>
    <row r="125" spans="1:33" x14ac:dyDescent="0.45">
      <c r="A125" s="22">
        <f t="shared" si="82"/>
        <v>43954</v>
      </c>
      <c r="B125" s="15" t="s">
        <v>6</v>
      </c>
      <c r="C125" s="34"/>
      <c r="D125" s="13">
        <v>80</v>
      </c>
      <c r="E125" s="13">
        <v>0</v>
      </c>
      <c r="F125" s="13">
        <v>0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0">
        <v>0</v>
      </c>
      <c r="M125" s="34"/>
      <c r="N125" s="13">
        <v>80</v>
      </c>
      <c r="O125" s="13">
        <v>0</v>
      </c>
      <c r="P125" s="13">
        <v>0</v>
      </c>
      <c r="Q125" s="13">
        <v>0</v>
      </c>
      <c r="R125" s="34"/>
      <c r="S125" s="13">
        <f t="shared" si="117"/>
        <v>80</v>
      </c>
      <c r="T125" s="13">
        <f t="shared" si="118"/>
        <v>80</v>
      </c>
      <c r="U125" s="13">
        <f t="shared" si="119"/>
        <v>0</v>
      </c>
      <c r="V125" s="34"/>
      <c r="W125" s="10">
        <v>23</v>
      </c>
      <c r="X125" s="10">
        <f t="shared" si="120"/>
        <v>1840</v>
      </c>
      <c r="Y125" s="10">
        <f t="shared" si="123"/>
        <v>0</v>
      </c>
      <c r="Z125" s="10">
        <f t="shared" si="124"/>
        <v>0</v>
      </c>
      <c r="AA125" s="14">
        <f t="shared" si="125"/>
        <v>0</v>
      </c>
      <c r="AB125" s="14">
        <f t="shared" si="121"/>
        <v>1840</v>
      </c>
      <c r="AC125" s="11">
        <f t="shared" si="126"/>
        <v>0</v>
      </c>
      <c r="AD125" s="215"/>
      <c r="AE125" s="11">
        <f t="shared" si="122"/>
        <v>0</v>
      </c>
      <c r="AF125" s="212"/>
      <c r="AG125" s="8"/>
    </row>
    <row r="126" spans="1:33" x14ac:dyDescent="0.45">
      <c r="A126" s="22">
        <f t="shared" si="82"/>
        <v>43954</v>
      </c>
      <c r="B126" s="15" t="s">
        <v>8</v>
      </c>
      <c r="C126" s="34"/>
      <c r="D126" s="13">
        <v>80</v>
      </c>
      <c r="E126" s="13">
        <v>37</v>
      </c>
      <c r="F126" s="13">
        <v>0</v>
      </c>
      <c r="G126" s="13">
        <v>0</v>
      </c>
      <c r="H126" s="13">
        <v>0</v>
      </c>
      <c r="I126" s="13">
        <v>0</v>
      </c>
      <c r="J126" s="13">
        <v>0</v>
      </c>
      <c r="K126" s="13">
        <v>0</v>
      </c>
      <c r="L126" s="10">
        <v>0</v>
      </c>
      <c r="M126" s="34"/>
      <c r="N126" s="13">
        <v>80</v>
      </c>
      <c r="O126" s="13">
        <v>37</v>
      </c>
      <c r="P126" s="13">
        <v>0</v>
      </c>
      <c r="Q126" s="13">
        <v>0</v>
      </c>
      <c r="R126" s="34"/>
      <c r="S126" s="13">
        <f t="shared" si="117"/>
        <v>117</v>
      </c>
      <c r="T126" s="13">
        <f t="shared" si="118"/>
        <v>117</v>
      </c>
      <c r="U126" s="13">
        <f t="shared" si="119"/>
        <v>0</v>
      </c>
      <c r="V126" s="34"/>
      <c r="W126" s="10">
        <v>23</v>
      </c>
      <c r="X126" s="10">
        <f t="shared" si="120"/>
        <v>3116.5</v>
      </c>
      <c r="Y126" s="10">
        <f t="shared" si="123"/>
        <v>0</v>
      </c>
      <c r="Z126" s="10">
        <f t="shared" si="124"/>
        <v>0</v>
      </c>
      <c r="AA126" s="14">
        <f t="shared" si="125"/>
        <v>0</v>
      </c>
      <c r="AB126" s="14">
        <f t="shared" si="121"/>
        <v>3116.5</v>
      </c>
      <c r="AC126" s="11">
        <f t="shared" si="126"/>
        <v>0</v>
      </c>
      <c r="AD126" s="215"/>
      <c r="AE126" s="11">
        <f t="shared" si="122"/>
        <v>0</v>
      </c>
      <c r="AF126" s="212"/>
      <c r="AG126" s="8"/>
    </row>
    <row r="127" spans="1:33" x14ac:dyDescent="0.45">
      <c r="A127" s="22">
        <f t="shared" si="82"/>
        <v>43954</v>
      </c>
      <c r="B127" s="15" t="s">
        <v>9</v>
      </c>
      <c r="C127" s="34"/>
      <c r="D127" s="13">
        <v>40</v>
      </c>
      <c r="E127" s="13">
        <v>22.5</v>
      </c>
      <c r="F127" s="13">
        <v>11</v>
      </c>
      <c r="G127" s="13">
        <v>4</v>
      </c>
      <c r="H127" s="13">
        <v>0</v>
      </c>
      <c r="I127" s="13">
        <v>0</v>
      </c>
      <c r="J127" s="13">
        <v>0</v>
      </c>
      <c r="K127" s="13">
        <v>0</v>
      </c>
      <c r="L127" s="10">
        <v>0</v>
      </c>
      <c r="M127" s="34"/>
      <c r="N127" s="13">
        <v>40</v>
      </c>
      <c r="O127" s="13">
        <v>22.5</v>
      </c>
      <c r="P127" s="13">
        <v>11</v>
      </c>
      <c r="Q127" s="13">
        <v>4</v>
      </c>
      <c r="R127" s="34"/>
      <c r="S127" s="13">
        <f t="shared" si="117"/>
        <v>77.5</v>
      </c>
      <c r="T127" s="13">
        <f t="shared" si="118"/>
        <v>77.5</v>
      </c>
      <c r="U127" s="13">
        <f t="shared" si="119"/>
        <v>0</v>
      </c>
      <c r="V127" s="34"/>
      <c r="W127" s="10">
        <v>26.7</v>
      </c>
      <c r="X127" s="10">
        <f t="shared" si="120"/>
        <v>2663.3250000000003</v>
      </c>
      <c r="Y127" s="10">
        <f t="shared" si="123"/>
        <v>0</v>
      </c>
      <c r="Z127" s="10">
        <f t="shared" si="124"/>
        <v>0</v>
      </c>
      <c r="AA127" s="14">
        <f t="shared" si="125"/>
        <v>0</v>
      </c>
      <c r="AB127" s="14">
        <f t="shared" si="121"/>
        <v>2663.3250000000003</v>
      </c>
      <c r="AC127" s="11">
        <f t="shared" si="126"/>
        <v>0</v>
      </c>
      <c r="AD127" s="215"/>
      <c r="AE127" s="11">
        <f t="shared" si="122"/>
        <v>0</v>
      </c>
      <c r="AF127" s="212"/>
      <c r="AG127" s="8"/>
    </row>
    <row r="128" spans="1:33" ht="14.65" thickBot="1" x14ac:dyDescent="0.5">
      <c r="A128" s="23">
        <f t="shared" si="82"/>
        <v>43954</v>
      </c>
      <c r="B128" s="24" t="s">
        <v>31</v>
      </c>
      <c r="C128" s="35"/>
      <c r="D128" s="25">
        <v>80</v>
      </c>
      <c r="E128" s="25">
        <v>0</v>
      </c>
      <c r="F128" s="25">
        <v>0</v>
      </c>
      <c r="G128" s="25">
        <v>0</v>
      </c>
      <c r="H128" s="25">
        <v>0</v>
      </c>
      <c r="I128" s="25">
        <v>0</v>
      </c>
      <c r="J128" s="25">
        <v>0</v>
      </c>
      <c r="K128" s="25">
        <v>0</v>
      </c>
      <c r="L128" s="26">
        <v>0</v>
      </c>
      <c r="M128" s="35"/>
      <c r="N128" s="25">
        <v>80</v>
      </c>
      <c r="O128" s="25">
        <v>0</v>
      </c>
      <c r="P128" s="25">
        <v>0</v>
      </c>
      <c r="Q128" s="25">
        <v>0</v>
      </c>
      <c r="R128" s="35"/>
      <c r="S128" s="25">
        <f t="shared" si="117"/>
        <v>80</v>
      </c>
      <c r="T128" s="25">
        <f t="shared" si="118"/>
        <v>80</v>
      </c>
      <c r="U128" s="25">
        <f t="shared" si="119"/>
        <v>0</v>
      </c>
      <c r="V128" s="35"/>
      <c r="W128" s="26">
        <v>25.7</v>
      </c>
      <c r="X128" s="26">
        <f t="shared" si="120"/>
        <v>2056</v>
      </c>
      <c r="Y128" s="26">
        <f t="shared" si="123"/>
        <v>0</v>
      </c>
      <c r="Z128" s="26">
        <f t="shared" si="124"/>
        <v>0</v>
      </c>
      <c r="AA128" s="27">
        <f t="shared" si="125"/>
        <v>0</v>
      </c>
      <c r="AB128" s="27">
        <f t="shared" si="121"/>
        <v>2056</v>
      </c>
      <c r="AC128" s="12">
        <f t="shared" si="126"/>
        <v>0</v>
      </c>
      <c r="AD128" s="216"/>
      <c r="AE128" s="12">
        <f t="shared" si="122"/>
        <v>0</v>
      </c>
      <c r="AF128" s="213"/>
      <c r="AG128" s="8"/>
    </row>
    <row r="129" spans="1:33" x14ac:dyDescent="0.45">
      <c r="A129" s="16">
        <f>A128+14</f>
        <v>43968</v>
      </c>
      <c r="B129" s="17" t="s">
        <v>0</v>
      </c>
      <c r="C129" s="33"/>
      <c r="D129" s="18">
        <v>80</v>
      </c>
      <c r="E129" s="18">
        <v>37</v>
      </c>
      <c r="F129" s="18">
        <v>0</v>
      </c>
      <c r="G129" s="18">
        <v>0</v>
      </c>
      <c r="H129" s="18">
        <v>0</v>
      </c>
      <c r="I129" s="18">
        <v>0</v>
      </c>
      <c r="J129" s="18">
        <v>0</v>
      </c>
      <c r="K129" s="18">
        <v>0</v>
      </c>
      <c r="L129" s="19">
        <v>0</v>
      </c>
      <c r="M129" s="33"/>
      <c r="N129" s="18">
        <v>80</v>
      </c>
      <c r="O129" s="18">
        <v>37</v>
      </c>
      <c r="P129" s="18">
        <v>0</v>
      </c>
      <c r="Q129" s="18">
        <v>0</v>
      </c>
      <c r="R129" s="33"/>
      <c r="S129" s="36">
        <f t="shared" ref="S129:S137" si="127">SUM(D129:G129)</f>
        <v>117</v>
      </c>
      <c r="T129" s="36">
        <f t="shared" ref="T129:T137" si="128">SUM(N129:Q129)</f>
        <v>117</v>
      </c>
      <c r="U129" s="18">
        <f t="shared" ref="U129:U137" si="129">SUM(H129:L129)</f>
        <v>0</v>
      </c>
      <c r="V129" s="33"/>
      <c r="W129" s="19">
        <v>26.4</v>
      </c>
      <c r="X129" s="19">
        <f t="shared" ref="X129:X137" si="130">(W129*1*D129)+(W129*1.5*E129)+(W129*2*F129)+(W129*1*G129)</f>
        <v>3577.2</v>
      </c>
      <c r="Y129" s="19">
        <f>(W129*0*H129)+(W129*1*I129)</f>
        <v>0</v>
      </c>
      <c r="Z129" s="19">
        <f>(W129*1*J129)+L129</f>
        <v>0</v>
      </c>
      <c r="AA129" s="20">
        <f>(W129*1*K129)</f>
        <v>0</v>
      </c>
      <c r="AB129" s="20">
        <f t="shared" ref="AB129:AB137" si="131">(W129*1*N129)+(W129*1.5*O129)+(W129*2*P129)+(W129*1*Q129)</f>
        <v>3577.2</v>
      </c>
      <c r="AC129" s="21">
        <f>0-Y129-AA129</f>
        <v>0</v>
      </c>
      <c r="AD129" s="214">
        <f>SUM(AC129:AC137)</f>
        <v>-1837.836</v>
      </c>
      <c r="AE129" s="21">
        <f t="shared" ref="AE129:AE137" si="132">AB129-(X129+Z129)</f>
        <v>0</v>
      </c>
      <c r="AF129" s="211">
        <f>SUM(AE129:AE137)</f>
        <v>61.200000000000273</v>
      </c>
      <c r="AG129" s="8"/>
    </row>
    <row r="130" spans="1:33" x14ac:dyDescent="0.45">
      <c r="A130" s="22">
        <f t="shared" si="82"/>
        <v>43968</v>
      </c>
      <c r="B130" s="15" t="s">
        <v>30</v>
      </c>
      <c r="C130" s="34"/>
      <c r="D130" s="13">
        <v>0</v>
      </c>
      <c r="E130" s="13">
        <v>0</v>
      </c>
      <c r="F130" s="13">
        <v>0</v>
      </c>
      <c r="G130" s="13">
        <v>0</v>
      </c>
      <c r="H130" s="13">
        <v>0</v>
      </c>
      <c r="I130" s="13">
        <v>59.67</v>
      </c>
      <c r="J130" s="13">
        <v>0</v>
      </c>
      <c r="K130" s="13">
        <v>0</v>
      </c>
      <c r="L130" s="10">
        <v>0</v>
      </c>
      <c r="M130" s="34"/>
      <c r="N130" s="13">
        <v>0</v>
      </c>
      <c r="O130" s="13">
        <v>0</v>
      </c>
      <c r="P130" s="13">
        <v>0</v>
      </c>
      <c r="Q130" s="13">
        <v>0</v>
      </c>
      <c r="R130" s="34"/>
      <c r="S130" s="13">
        <f t="shared" si="127"/>
        <v>0</v>
      </c>
      <c r="T130" s="13">
        <f t="shared" si="128"/>
        <v>0</v>
      </c>
      <c r="U130" s="13">
        <f t="shared" si="129"/>
        <v>59.67</v>
      </c>
      <c r="V130" s="34"/>
      <c r="W130" s="10">
        <v>30.8</v>
      </c>
      <c r="X130" s="10">
        <f t="shared" si="130"/>
        <v>0</v>
      </c>
      <c r="Y130" s="10">
        <f t="shared" ref="Y130:Y137" si="133">(W130*0*H130)+(W130*1*I130)</f>
        <v>1837.836</v>
      </c>
      <c r="Z130" s="10">
        <f t="shared" ref="Z130:Z137" si="134">(W130*1*J130)+L130</f>
        <v>0</v>
      </c>
      <c r="AA130" s="14">
        <f t="shared" ref="AA130:AA137" si="135">(W130*1*K130)</f>
        <v>0</v>
      </c>
      <c r="AB130" s="14">
        <f t="shared" si="131"/>
        <v>0</v>
      </c>
      <c r="AC130" s="11">
        <f t="shared" ref="AC130:AC137" si="136">0-Y130-AA130</f>
        <v>-1837.836</v>
      </c>
      <c r="AD130" s="215"/>
      <c r="AE130" s="11">
        <f t="shared" si="132"/>
        <v>0</v>
      </c>
      <c r="AF130" s="212"/>
      <c r="AG130" s="8"/>
    </row>
    <row r="131" spans="1:33" x14ac:dyDescent="0.45">
      <c r="A131" s="22">
        <f t="shared" si="82"/>
        <v>43968</v>
      </c>
      <c r="B131" s="15" t="s">
        <v>3</v>
      </c>
      <c r="C131" s="34"/>
      <c r="D131" s="13">
        <v>80</v>
      </c>
      <c r="E131" s="13">
        <v>31.25</v>
      </c>
      <c r="F131" s="13">
        <v>0</v>
      </c>
      <c r="G131" s="13">
        <v>0</v>
      </c>
      <c r="H131" s="13">
        <v>0</v>
      </c>
      <c r="I131" s="13">
        <v>0</v>
      </c>
      <c r="J131" s="13">
        <v>0</v>
      </c>
      <c r="K131" s="13">
        <v>0</v>
      </c>
      <c r="L131" s="10">
        <v>0</v>
      </c>
      <c r="M131" s="34"/>
      <c r="N131" s="13">
        <v>80</v>
      </c>
      <c r="O131" s="13">
        <v>31.25</v>
      </c>
      <c r="P131" s="13">
        <v>0</v>
      </c>
      <c r="Q131" s="13">
        <v>0</v>
      </c>
      <c r="R131" s="34"/>
      <c r="S131" s="13">
        <f t="shared" si="127"/>
        <v>111.25</v>
      </c>
      <c r="T131" s="13">
        <f t="shared" si="128"/>
        <v>111.25</v>
      </c>
      <c r="U131" s="13">
        <f t="shared" si="129"/>
        <v>0</v>
      </c>
      <c r="V131" s="34"/>
      <c r="W131" s="10">
        <v>28.5</v>
      </c>
      <c r="X131" s="10">
        <f t="shared" si="130"/>
        <v>3615.9375</v>
      </c>
      <c r="Y131" s="10">
        <f t="shared" si="133"/>
        <v>0</v>
      </c>
      <c r="Z131" s="10">
        <f t="shared" si="134"/>
        <v>0</v>
      </c>
      <c r="AA131" s="14">
        <f t="shared" si="135"/>
        <v>0</v>
      </c>
      <c r="AB131" s="14">
        <f t="shared" si="131"/>
        <v>3615.9375</v>
      </c>
      <c r="AC131" s="11">
        <f t="shared" si="136"/>
        <v>0</v>
      </c>
      <c r="AD131" s="215"/>
      <c r="AE131" s="11">
        <f t="shared" si="132"/>
        <v>0</v>
      </c>
      <c r="AF131" s="212"/>
      <c r="AG131" s="8"/>
    </row>
    <row r="132" spans="1:33" x14ac:dyDescent="0.45">
      <c r="A132" s="22">
        <f t="shared" si="82"/>
        <v>43968</v>
      </c>
      <c r="B132" s="15" t="s">
        <v>4</v>
      </c>
      <c r="C132" s="34"/>
      <c r="D132" s="13">
        <v>75.5</v>
      </c>
      <c r="E132" s="13">
        <v>3.25</v>
      </c>
      <c r="F132" s="13">
        <v>0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0">
        <v>0</v>
      </c>
      <c r="M132" s="34"/>
      <c r="N132" s="13">
        <v>75.5</v>
      </c>
      <c r="O132" s="13">
        <v>3.25</v>
      </c>
      <c r="P132" s="13">
        <v>0</v>
      </c>
      <c r="Q132" s="13">
        <v>0</v>
      </c>
      <c r="R132" s="34"/>
      <c r="S132" s="13">
        <f t="shared" si="127"/>
        <v>78.75</v>
      </c>
      <c r="T132" s="13">
        <f t="shared" si="128"/>
        <v>78.75</v>
      </c>
      <c r="U132" s="13">
        <f t="shared" si="129"/>
        <v>0</v>
      </c>
      <c r="V132" s="34"/>
      <c r="W132" s="10">
        <v>23</v>
      </c>
      <c r="X132" s="10">
        <f t="shared" si="130"/>
        <v>1848.625</v>
      </c>
      <c r="Y132" s="10">
        <f t="shared" si="133"/>
        <v>0</v>
      </c>
      <c r="Z132" s="10">
        <f t="shared" si="134"/>
        <v>0</v>
      </c>
      <c r="AA132" s="14">
        <f t="shared" si="135"/>
        <v>0</v>
      </c>
      <c r="AB132" s="14">
        <f t="shared" si="131"/>
        <v>1848.625</v>
      </c>
      <c r="AC132" s="11">
        <f t="shared" si="136"/>
        <v>0</v>
      </c>
      <c r="AD132" s="215"/>
      <c r="AE132" s="11">
        <f t="shared" si="132"/>
        <v>0</v>
      </c>
      <c r="AF132" s="212"/>
      <c r="AG132" s="8"/>
    </row>
    <row r="133" spans="1:33" x14ac:dyDescent="0.45">
      <c r="A133" s="22">
        <f t="shared" si="82"/>
        <v>43968</v>
      </c>
      <c r="B133" s="15" t="s">
        <v>5</v>
      </c>
      <c r="C133" s="34"/>
      <c r="D133" s="13">
        <v>80</v>
      </c>
      <c r="E133" s="13">
        <v>31.75</v>
      </c>
      <c r="F133" s="13">
        <v>0</v>
      </c>
      <c r="G133" s="13">
        <v>0</v>
      </c>
      <c r="H133" s="13">
        <v>0</v>
      </c>
      <c r="I133" s="13">
        <v>0</v>
      </c>
      <c r="J133" s="13">
        <v>0</v>
      </c>
      <c r="K133" s="13">
        <v>0</v>
      </c>
      <c r="L133" s="10">
        <v>0</v>
      </c>
      <c r="M133" s="34"/>
      <c r="N133" s="13">
        <v>80</v>
      </c>
      <c r="O133" s="13">
        <v>33.25</v>
      </c>
      <c r="P133" s="13">
        <v>0</v>
      </c>
      <c r="Q133" s="13">
        <v>0</v>
      </c>
      <c r="R133" s="34"/>
      <c r="S133" s="13">
        <f t="shared" si="127"/>
        <v>111.75</v>
      </c>
      <c r="T133" s="13">
        <f t="shared" si="128"/>
        <v>113.25</v>
      </c>
      <c r="U133" s="13">
        <f t="shared" si="129"/>
        <v>0</v>
      </c>
      <c r="V133" s="34"/>
      <c r="W133" s="10">
        <v>27.2</v>
      </c>
      <c r="X133" s="10">
        <f t="shared" si="130"/>
        <v>3471.3999999999996</v>
      </c>
      <c r="Y133" s="10">
        <f t="shared" si="133"/>
        <v>0</v>
      </c>
      <c r="Z133" s="10">
        <f t="shared" si="134"/>
        <v>0</v>
      </c>
      <c r="AA133" s="14">
        <f t="shared" si="135"/>
        <v>0</v>
      </c>
      <c r="AB133" s="14">
        <f t="shared" si="131"/>
        <v>3532.6</v>
      </c>
      <c r="AC133" s="11">
        <f t="shared" si="136"/>
        <v>0</v>
      </c>
      <c r="AD133" s="215"/>
      <c r="AE133" s="11">
        <f t="shared" si="132"/>
        <v>61.200000000000273</v>
      </c>
      <c r="AF133" s="212"/>
      <c r="AG133" s="8"/>
    </row>
    <row r="134" spans="1:33" x14ac:dyDescent="0.45">
      <c r="A134" s="22">
        <f t="shared" si="82"/>
        <v>43968</v>
      </c>
      <c r="B134" s="15" t="s">
        <v>6</v>
      </c>
      <c r="C134" s="34"/>
      <c r="D134" s="13">
        <v>75.5</v>
      </c>
      <c r="E134" s="13">
        <v>3.25</v>
      </c>
      <c r="F134" s="13">
        <v>0</v>
      </c>
      <c r="G134" s="13">
        <v>0</v>
      </c>
      <c r="H134" s="13">
        <v>0</v>
      </c>
      <c r="I134" s="13">
        <v>0</v>
      </c>
      <c r="J134" s="13">
        <v>0</v>
      </c>
      <c r="K134" s="13">
        <v>0</v>
      </c>
      <c r="L134" s="10">
        <v>0</v>
      </c>
      <c r="M134" s="34"/>
      <c r="N134" s="13">
        <v>75.5</v>
      </c>
      <c r="O134" s="13">
        <v>3.25</v>
      </c>
      <c r="P134" s="13">
        <v>0</v>
      </c>
      <c r="Q134" s="13">
        <v>0</v>
      </c>
      <c r="R134" s="34"/>
      <c r="S134" s="13">
        <f t="shared" si="127"/>
        <v>78.75</v>
      </c>
      <c r="T134" s="13">
        <f t="shared" si="128"/>
        <v>78.75</v>
      </c>
      <c r="U134" s="13">
        <f t="shared" si="129"/>
        <v>0</v>
      </c>
      <c r="V134" s="34"/>
      <c r="W134" s="10">
        <v>23</v>
      </c>
      <c r="X134" s="10">
        <f t="shared" si="130"/>
        <v>1848.625</v>
      </c>
      <c r="Y134" s="10">
        <f t="shared" si="133"/>
        <v>0</v>
      </c>
      <c r="Z134" s="10">
        <f t="shared" si="134"/>
        <v>0</v>
      </c>
      <c r="AA134" s="14">
        <f t="shared" si="135"/>
        <v>0</v>
      </c>
      <c r="AB134" s="14">
        <f t="shared" si="131"/>
        <v>1848.625</v>
      </c>
      <c r="AC134" s="11">
        <f t="shared" si="136"/>
        <v>0</v>
      </c>
      <c r="AD134" s="215"/>
      <c r="AE134" s="11">
        <f t="shared" si="132"/>
        <v>0</v>
      </c>
      <c r="AF134" s="212"/>
      <c r="AG134" s="8"/>
    </row>
    <row r="135" spans="1:33" x14ac:dyDescent="0.45">
      <c r="A135" s="22">
        <f t="shared" si="82"/>
        <v>43968</v>
      </c>
      <c r="B135" s="15" t="s">
        <v>8</v>
      </c>
      <c r="C135" s="34"/>
      <c r="D135" s="13">
        <v>80</v>
      </c>
      <c r="E135" s="13">
        <v>33</v>
      </c>
      <c r="F135" s="13">
        <v>0</v>
      </c>
      <c r="G135" s="13">
        <v>0</v>
      </c>
      <c r="H135" s="13">
        <v>0</v>
      </c>
      <c r="I135" s="13">
        <v>0</v>
      </c>
      <c r="J135" s="13">
        <v>0</v>
      </c>
      <c r="K135" s="13">
        <v>0</v>
      </c>
      <c r="L135" s="10">
        <v>0</v>
      </c>
      <c r="M135" s="34"/>
      <c r="N135" s="13">
        <v>80</v>
      </c>
      <c r="O135" s="13">
        <v>33</v>
      </c>
      <c r="P135" s="13">
        <v>0</v>
      </c>
      <c r="Q135" s="13">
        <v>0</v>
      </c>
      <c r="R135" s="34"/>
      <c r="S135" s="13">
        <f t="shared" si="127"/>
        <v>113</v>
      </c>
      <c r="T135" s="13">
        <f t="shared" si="128"/>
        <v>113</v>
      </c>
      <c r="U135" s="13">
        <f t="shared" si="129"/>
        <v>0</v>
      </c>
      <c r="V135" s="34"/>
      <c r="W135" s="10">
        <v>23</v>
      </c>
      <c r="X135" s="10">
        <f t="shared" si="130"/>
        <v>2978.5</v>
      </c>
      <c r="Y135" s="10">
        <f t="shared" si="133"/>
        <v>0</v>
      </c>
      <c r="Z135" s="10">
        <f t="shared" si="134"/>
        <v>0</v>
      </c>
      <c r="AA135" s="14">
        <f t="shared" si="135"/>
        <v>0</v>
      </c>
      <c r="AB135" s="14">
        <f t="shared" si="131"/>
        <v>2978.5</v>
      </c>
      <c r="AC135" s="11">
        <f t="shared" si="136"/>
        <v>0</v>
      </c>
      <c r="AD135" s="215"/>
      <c r="AE135" s="11">
        <f t="shared" si="132"/>
        <v>0</v>
      </c>
      <c r="AF135" s="212"/>
      <c r="AG135" s="8"/>
    </row>
    <row r="136" spans="1:33" x14ac:dyDescent="0.45">
      <c r="A136" s="22">
        <f t="shared" si="82"/>
        <v>43968</v>
      </c>
      <c r="B136" s="15" t="s">
        <v>9</v>
      </c>
      <c r="C136" s="34"/>
      <c r="D136" s="13">
        <v>80</v>
      </c>
      <c r="E136" s="13">
        <v>43</v>
      </c>
      <c r="F136" s="13">
        <v>11</v>
      </c>
      <c r="G136" s="13">
        <v>4</v>
      </c>
      <c r="H136" s="13">
        <v>0</v>
      </c>
      <c r="I136" s="13">
        <v>0</v>
      </c>
      <c r="J136" s="13">
        <v>0</v>
      </c>
      <c r="K136" s="13">
        <v>0</v>
      </c>
      <c r="L136" s="10">
        <v>0</v>
      </c>
      <c r="M136" s="34"/>
      <c r="N136" s="13">
        <v>80</v>
      </c>
      <c r="O136" s="13">
        <v>43</v>
      </c>
      <c r="P136" s="13">
        <v>11</v>
      </c>
      <c r="Q136" s="13">
        <v>4</v>
      </c>
      <c r="R136" s="34"/>
      <c r="S136" s="13">
        <f t="shared" si="127"/>
        <v>138</v>
      </c>
      <c r="T136" s="13">
        <f t="shared" si="128"/>
        <v>138</v>
      </c>
      <c r="U136" s="13">
        <f t="shared" si="129"/>
        <v>0</v>
      </c>
      <c r="V136" s="34"/>
      <c r="W136" s="10">
        <v>26.7</v>
      </c>
      <c r="X136" s="10">
        <f t="shared" si="130"/>
        <v>4552.3499999999995</v>
      </c>
      <c r="Y136" s="10">
        <f t="shared" si="133"/>
        <v>0</v>
      </c>
      <c r="Z136" s="10">
        <f t="shared" si="134"/>
        <v>0</v>
      </c>
      <c r="AA136" s="14">
        <f t="shared" si="135"/>
        <v>0</v>
      </c>
      <c r="AB136" s="14">
        <f t="shared" si="131"/>
        <v>4552.3499999999995</v>
      </c>
      <c r="AC136" s="11">
        <f t="shared" si="136"/>
        <v>0</v>
      </c>
      <c r="AD136" s="215"/>
      <c r="AE136" s="11">
        <f t="shared" si="132"/>
        <v>0</v>
      </c>
      <c r="AF136" s="212"/>
      <c r="AG136" s="8"/>
    </row>
    <row r="137" spans="1:33" ht="14.65" thickBot="1" x14ac:dyDescent="0.5">
      <c r="A137" s="23">
        <f t="shared" si="82"/>
        <v>43968</v>
      </c>
      <c r="B137" s="24" t="s">
        <v>31</v>
      </c>
      <c r="C137" s="35"/>
      <c r="D137" s="25">
        <v>80</v>
      </c>
      <c r="E137" s="25">
        <v>25.25</v>
      </c>
      <c r="F137" s="25">
        <v>0</v>
      </c>
      <c r="G137" s="25">
        <v>0</v>
      </c>
      <c r="H137" s="25">
        <v>0</v>
      </c>
      <c r="I137" s="25">
        <v>0</v>
      </c>
      <c r="J137" s="25">
        <v>0</v>
      </c>
      <c r="K137" s="25">
        <v>0</v>
      </c>
      <c r="L137" s="26">
        <v>0</v>
      </c>
      <c r="M137" s="35"/>
      <c r="N137" s="25">
        <v>80</v>
      </c>
      <c r="O137" s="25">
        <v>25.25</v>
      </c>
      <c r="P137" s="25">
        <v>0</v>
      </c>
      <c r="Q137" s="25">
        <v>0</v>
      </c>
      <c r="R137" s="35"/>
      <c r="S137" s="25">
        <f t="shared" si="127"/>
        <v>105.25</v>
      </c>
      <c r="T137" s="25">
        <f t="shared" si="128"/>
        <v>105.25</v>
      </c>
      <c r="U137" s="25">
        <f t="shared" si="129"/>
        <v>0</v>
      </c>
      <c r="V137" s="35"/>
      <c r="W137" s="26">
        <v>25.7</v>
      </c>
      <c r="X137" s="26">
        <f t="shared" si="130"/>
        <v>3029.3874999999998</v>
      </c>
      <c r="Y137" s="26">
        <f t="shared" si="133"/>
        <v>0</v>
      </c>
      <c r="Z137" s="26">
        <f t="shared" si="134"/>
        <v>0</v>
      </c>
      <c r="AA137" s="27">
        <f t="shared" si="135"/>
        <v>0</v>
      </c>
      <c r="AB137" s="27">
        <f t="shared" si="131"/>
        <v>3029.3874999999998</v>
      </c>
      <c r="AC137" s="12">
        <f t="shared" si="136"/>
        <v>0</v>
      </c>
      <c r="AD137" s="216"/>
      <c r="AE137" s="12">
        <f t="shared" si="132"/>
        <v>0</v>
      </c>
      <c r="AF137" s="213"/>
      <c r="AG137" s="8"/>
    </row>
    <row r="138" spans="1:33" x14ac:dyDescent="0.45">
      <c r="A138" s="16">
        <f>A137+14</f>
        <v>43982</v>
      </c>
      <c r="B138" s="17" t="s">
        <v>0</v>
      </c>
      <c r="C138" s="33"/>
      <c r="D138" s="18">
        <v>72</v>
      </c>
      <c r="E138" s="18">
        <v>46.5</v>
      </c>
      <c r="F138" s="18">
        <v>0</v>
      </c>
      <c r="G138" s="18">
        <v>0</v>
      </c>
      <c r="H138" s="18">
        <v>0</v>
      </c>
      <c r="I138" s="18">
        <v>0</v>
      </c>
      <c r="J138" s="18">
        <v>8</v>
      </c>
      <c r="K138" s="18">
        <v>0</v>
      </c>
      <c r="L138" s="19">
        <v>0</v>
      </c>
      <c r="M138" s="33"/>
      <c r="N138" s="18">
        <v>72</v>
      </c>
      <c r="O138" s="18">
        <v>46.5</v>
      </c>
      <c r="P138" s="18">
        <v>0</v>
      </c>
      <c r="Q138" s="18">
        <v>0</v>
      </c>
      <c r="R138" s="33"/>
      <c r="S138" s="36">
        <f t="shared" ref="S138:S146" si="137">SUM(D138:G138)</f>
        <v>118.5</v>
      </c>
      <c r="T138" s="36">
        <f t="shared" ref="T138:T146" si="138">SUM(N138:Q138)</f>
        <v>118.5</v>
      </c>
      <c r="U138" s="18">
        <f t="shared" ref="U138:U149" si="139">SUM(H138:K138)</f>
        <v>8</v>
      </c>
      <c r="V138" s="33"/>
      <c r="W138" s="19">
        <v>26.4</v>
      </c>
      <c r="X138" s="19">
        <f t="shared" ref="X138:X146" si="140">(W138*1*D138)+(W138*1.5*E138)+(W138*2*F138)+(W138*1*G138)</f>
        <v>3742.2</v>
      </c>
      <c r="Y138" s="19">
        <f>(W138*0*H138)+(W138*1*I138)</f>
        <v>0</v>
      </c>
      <c r="Z138" s="19">
        <f>(W138*1*J138)+L138</f>
        <v>211.2</v>
      </c>
      <c r="AA138" s="20">
        <f>(W138*1*K138)</f>
        <v>0</v>
      </c>
      <c r="AB138" s="20">
        <f t="shared" ref="AB138:AB146" si="141">(W138*1*N138)+(W138*1.5*O138)+(W138*2*P138)+(W138*1*Q138)</f>
        <v>3742.2</v>
      </c>
      <c r="AC138" s="21">
        <f>0-Y138-AA138</f>
        <v>0</v>
      </c>
      <c r="AD138" s="214">
        <f>SUM(AC138:AC146)</f>
        <v>-918.94880000000001</v>
      </c>
      <c r="AE138" s="21">
        <f t="shared" ref="AE138:AE146" si="142">AB138-(X138+Z138)</f>
        <v>-211.19999999999982</v>
      </c>
      <c r="AF138" s="211">
        <f>SUM(AE138:AE146)</f>
        <v>-2211.1750000000002</v>
      </c>
      <c r="AG138" s="8"/>
    </row>
    <row r="139" spans="1:33" x14ac:dyDescent="0.45">
      <c r="A139" s="22">
        <f t="shared" si="82"/>
        <v>43982</v>
      </c>
      <c r="B139" s="15" t="s">
        <v>30</v>
      </c>
      <c r="C139" s="34"/>
      <c r="D139" s="13">
        <v>40</v>
      </c>
      <c r="E139" s="13">
        <v>0</v>
      </c>
      <c r="F139" s="13">
        <v>0</v>
      </c>
      <c r="G139" s="13">
        <v>0</v>
      </c>
      <c r="H139" s="13">
        <v>0</v>
      </c>
      <c r="I139" s="38">
        <v>29.835999999999999</v>
      </c>
      <c r="J139" s="13">
        <v>8</v>
      </c>
      <c r="K139" s="13">
        <v>0</v>
      </c>
      <c r="L139" s="10">
        <v>0</v>
      </c>
      <c r="M139" s="34"/>
      <c r="N139" s="13">
        <v>40</v>
      </c>
      <c r="O139" s="13">
        <v>0.25</v>
      </c>
      <c r="P139" s="13">
        <v>0</v>
      </c>
      <c r="Q139" s="13">
        <v>0</v>
      </c>
      <c r="R139" s="34"/>
      <c r="S139" s="13">
        <f t="shared" si="137"/>
        <v>40</v>
      </c>
      <c r="T139" s="13">
        <f t="shared" si="138"/>
        <v>40.25</v>
      </c>
      <c r="U139" s="13">
        <f t="shared" si="139"/>
        <v>37.835999999999999</v>
      </c>
      <c r="V139" s="34"/>
      <c r="W139" s="10">
        <v>30.8</v>
      </c>
      <c r="X139" s="10">
        <f t="shared" si="140"/>
        <v>1232</v>
      </c>
      <c r="Y139" s="10">
        <f t="shared" ref="Y139:Y146" si="143">(W139*0*H139)+(W139*1*I139)</f>
        <v>918.94880000000001</v>
      </c>
      <c r="Z139" s="10">
        <f t="shared" ref="Z139:Z146" si="144">(W139*1*J139)+L139</f>
        <v>246.4</v>
      </c>
      <c r="AA139" s="14">
        <f t="shared" ref="AA139:AA146" si="145">(W139*1*K139)</f>
        <v>0</v>
      </c>
      <c r="AB139" s="14">
        <f t="shared" si="141"/>
        <v>1243.55</v>
      </c>
      <c r="AC139" s="11">
        <f t="shared" ref="AC139:AC146" si="146">0-Y139-AA139</f>
        <v>-918.94880000000001</v>
      </c>
      <c r="AD139" s="215"/>
      <c r="AE139" s="11">
        <f t="shared" si="142"/>
        <v>-234.85000000000014</v>
      </c>
      <c r="AF139" s="212"/>
      <c r="AG139" s="8"/>
    </row>
    <row r="140" spans="1:33" x14ac:dyDescent="0.45">
      <c r="A140" s="22">
        <f t="shared" si="82"/>
        <v>43982</v>
      </c>
      <c r="B140" s="15" t="s">
        <v>3</v>
      </c>
      <c r="C140" s="34"/>
      <c r="D140" s="13">
        <v>72</v>
      </c>
      <c r="E140" s="13">
        <v>45</v>
      </c>
      <c r="F140" s="13">
        <v>0</v>
      </c>
      <c r="G140" s="13">
        <v>0</v>
      </c>
      <c r="H140" s="13">
        <v>0</v>
      </c>
      <c r="I140" s="13">
        <v>0</v>
      </c>
      <c r="J140" s="13">
        <v>8</v>
      </c>
      <c r="K140" s="13">
        <v>0</v>
      </c>
      <c r="L140" s="10">
        <v>0</v>
      </c>
      <c r="M140" s="34"/>
      <c r="N140" s="13">
        <v>72</v>
      </c>
      <c r="O140" s="13">
        <v>45</v>
      </c>
      <c r="P140" s="13">
        <v>0</v>
      </c>
      <c r="Q140" s="13">
        <v>0</v>
      </c>
      <c r="R140" s="34"/>
      <c r="S140" s="13">
        <f t="shared" si="137"/>
        <v>117</v>
      </c>
      <c r="T140" s="13">
        <f t="shared" si="138"/>
        <v>117</v>
      </c>
      <c r="U140" s="13">
        <f t="shared" si="139"/>
        <v>8</v>
      </c>
      <c r="V140" s="34"/>
      <c r="W140" s="10">
        <v>28.5</v>
      </c>
      <c r="X140" s="10">
        <f t="shared" si="140"/>
        <v>3975.75</v>
      </c>
      <c r="Y140" s="10">
        <f t="shared" si="143"/>
        <v>0</v>
      </c>
      <c r="Z140" s="10">
        <f t="shared" si="144"/>
        <v>228</v>
      </c>
      <c r="AA140" s="14">
        <f t="shared" si="145"/>
        <v>0</v>
      </c>
      <c r="AB140" s="14">
        <f t="shared" si="141"/>
        <v>3975.75</v>
      </c>
      <c r="AC140" s="11">
        <f t="shared" si="146"/>
        <v>0</v>
      </c>
      <c r="AD140" s="215"/>
      <c r="AE140" s="11">
        <f t="shared" si="142"/>
        <v>-228</v>
      </c>
      <c r="AF140" s="212"/>
      <c r="AG140" s="8"/>
    </row>
    <row r="141" spans="1:33" x14ac:dyDescent="0.45">
      <c r="A141" s="22">
        <f t="shared" si="82"/>
        <v>43982</v>
      </c>
      <c r="B141" s="15" t="s">
        <v>4</v>
      </c>
      <c r="C141" s="34"/>
      <c r="D141" s="13">
        <v>72</v>
      </c>
      <c r="E141" s="13">
        <v>1</v>
      </c>
      <c r="F141" s="13">
        <v>0</v>
      </c>
      <c r="G141" s="13">
        <v>0</v>
      </c>
      <c r="H141" s="13">
        <v>0</v>
      </c>
      <c r="I141" s="13">
        <v>0</v>
      </c>
      <c r="J141" s="13">
        <v>8</v>
      </c>
      <c r="K141" s="13">
        <v>0</v>
      </c>
      <c r="L141" s="10">
        <v>500</v>
      </c>
      <c r="M141" s="34"/>
      <c r="N141" s="13">
        <v>72</v>
      </c>
      <c r="O141" s="13">
        <v>1</v>
      </c>
      <c r="P141" s="13">
        <v>0</v>
      </c>
      <c r="Q141" s="13">
        <v>0</v>
      </c>
      <c r="R141" s="34"/>
      <c r="S141" s="13">
        <f t="shared" si="137"/>
        <v>73</v>
      </c>
      <c r="T141" s="13">
        <f t="shared" si="138"/>
        <v>73</v>
      </c>
      <c r="U141" s="13">
        <f>SUM(H141:K141)</f>
        <v>8</v>
      </c>
      <c r="V141" s="34"/>
      <c r="W141" s="10">
        <v>23</v>
      </c>
      <c r="X141" s="10">
        <f t="shared" si="140"/>
        <v>1690.5</v>
      </c>
      <c r="Y141" s="10">
        <f t="shared" si="143"/>
        <v>0</v>
      </c>
      <c r="Z141" s="10">
        <f t="shared" si="144"/>
        <v>684</v>
      </c>
      <c r="AA141" s="14">
        <f t="shared" si="145"/>
        <v>0</v>
      </c>
      <c r="AB141" s="14">
        <f t="shared" si="141"/>
        <v>1690.5</v>
      </c>
      <c r="AC141" s="11">
        <f t="shared" si="146"/>
        <v>0</v>
      </c>
      <c r="AD141" s="215"/>
      <c r="AE141" s="11">
        <f t="shared" si="142"/>
        <v>-684</v>
      </c>
      <c r="AF141" s="212"/>
      <c r="AG141" s="8"/>
    </row>
    <row r="142" spans="1:33" x14ac:dyDescent="0.45">
      <c r="A142" s="22">
        <f t="shared" si="82"/>
        <v>43982</v>
      </c>
      <c r="B142" s="15" t="s">
        <v>5</v>
      </c>
      <c r="C142" s="34"/>
      <c r="D142" s="13">
        <v>72</v>
      </c>
      <c r="E142" s="13">
        <v>43.25</v>
      </c>
      <c r="F142" s="13">
        <v>0</v>
      </c>
      <c r="G142" s="13">
        <v>0</v>
      </c>
      <c r="H142" s="13">
        <v>0</v>
      </c>
      <c r="I142" s="13">
        <v>0</v>
      </c>
      <c r="J142" s="13">
        <v>8</v>
      </c>
      <c r="K142" s="13">
        <v>0</v>
      </c>
      <c r="L142" s="10">
        <v>0</v>
      </c>
      <c r="M142" s="34"/>
      <c r="N142" s="13">
        <v>72</v>
      </c>
      <c r="O142" s="13">
        <v>43.25</v>
      </c>
      <c r="P142" s="13">
        <v>0</v>
      </c>
      <c r="Q142" s="13">
        <v>0</v>
      </c>
      <c r="R142" s="34"/>
      <c r="S142" s="13">
        <f t="shared" si="137"/>
        <v>115.25</v>
      </c>
      <c r="T142" s="13">
        <f t="shared" si="138"/>
        <v>115.25</v>
      </c>
      <c r="U142" s="13">
        <f t="shared" ref="U142:U146" si="147">SUM(H142:K142)</f>
        <v>8</v>
      </c>
      <c r="V142" s="34"/>
      <c r="W142" s="10">
        <v>27.2</v>
      </c>
      <c r="X142" s="10">
        <f t="shared" si="140"/>
        <v>3723</v>
      </c>
      <c r="Y142" s="10">
        <f t="shared" si="143"/>
        <v>0</v>
      </c>
      <c r="Z142" s="10">
        <f t="shared" si="144"/>
        <v>217.6</v>
      </c>
      <c r="AA142" s="14">
        <f t="shared" si="145"/>
        <v>0</v>
      </c>
      <c r="AB142" s="14">
        <f t="shared" si="141"/>
        <v>3723</v>
      </c>
      <c r="AC142" s="11">
        <f t="shared" si="146"/>
        <v>0</v>
      </c>
      <c r="AD142" s="215"/>
      <c r="AE142" s="11">
        <f t="shared" si="142"/>
        <v>-217.59999999999991</v>
      </c>
      <c r="AF142" s="212"/>
      <c r="AG142" s="8"/>
    </row>
    <row r="143" spans="1:33" x14ac:dyDescent="0.45">
      <c r="A143" s="22">
        <f t="shared" si="82"/>
        <v>43982</v>
      </c>
      <c r="B143" s="15" t="s">
        <v>6</v>
      </c>
      <c r="C143" s="34"/>
      <c r="D143" s="13">
        <v>70.75</v>
      </c>
      <c r="E143" s="13">
        <v>0.25</v>
      </c>
      <c r="F143" s="13">
        <v>0</v>
      </c>
      <c r="G143" s="13">
        <v>0</v>
      </c>
      <c r="H143" s="13">
        <v>0</v>
      </c>
      <c r="I143" s="13">
        <v>0</v>
      </c>
      <c r="J143" s="13">
        <v>8</v>
      </c>
      <c r="K143" s="13">
        <v>0</v>
      </c>
      <c r="L143" s="10">
        <v>0</v>
      </c>
      <c r="M143" s="34"/>
      <c r="N143" s="13">
        <v>71</v>
      </c>
      <c r="O143" s="13">
        <v>0.25</v>
      </c>
      <c r="P143" s="13">
        <v>0</v>
      </c>
      <c r="Q143" s="13">
        <v>0</v>
      </c>
      <c r="R143" s="34"/>
      <c r="S143" s="13">
        <f t="shared" si="137"/>
        <v>71</v>
      </c>
      <c r="T143" s="13">
        <f t="shared" si="138"/>
        <v>71.25</v>
      </c>
      <c r="U143" s="13">
        <f t="shared" si="147"/>
        <v>8</v>
      </c>
      <c r="V143" s="34"/>
      <c r="W143" s="10">
        <v>23</v>
      </c>
      <c r="X143" s="10">
        <f t="shared" si="140"/>
        <v>1635.875</v>
      </c>
      <c r="Y143" s="10">
        <f t="shared" si="143"/>
        <v>0</v>
      </c>
      <c r="Z143" s="10">
        <f t="shared" si="144"/>
        <v>184</v>
      </c>
      <c r="AA143" s="14">
        <f t="shared" si="145"/>
        <v>0</v>
      </c>
      <c r="AB143" s="14">
        <f t="shared" si="141"/>
        <v>1641.625</v>
      </c>
      <c r="AC143" s="11">
        <f t="shared" si="146"/>
        <v>0</v>
      </c>
      <c r="AD143" s="215"/>
      <c r="AE143" s="11">
        <f t="shared" si="142"/>
        <v>-178.25</v>
      </c>
      <c r="AF143" s="212"/>
      <c r="AG143" s="8"/>
    </row>
    <row r="144" spans="1:33" x14ac:dyDescent="0.45">
      <c r="A144" s="22">
        <f t="shared" si="82"/>
        <v>43982</v>
      </c>
      <c r="B144" s="15" t="s">
        <v>8</v>
      </c>
      <c r="C144" s="34"/>
      <c r="D144" s="13">
        <v>72</v>
      </c>
      <c r="E144" s="13">
        <v>21.75</v>
      </c>
      <c r="F144" s="13">
        <v>10</v>
      </c>
      <c r="G144" s="13">
        <v>19.5</v>
      </c>
      <c r="H144" s="13">
        <v>0</v>
      </c>
      <c r="I144" s="13">
        <v>0</v>
      </c>
      <c r="J144" s="13">
        <v>8</v>
      </c>
      <c r="K144" s="13">
        <v>0</v>
      </c>
      <c r="L144" s="10">
        <v>0</v>
      </c>
      <c r="M144" s="34"/>
      <c r="N144" s="13">
        <v>72</v>
      </c>
      <c r="O144" s="13">
        <v>22.25</v>
      </c>
      <c r="P144" s="13">
        <v>10</v>
      </c>
      <c r="Q144" s="13">
        <v>19</v>
      </c>
      <c r="R144" s="34"/>
      <c r="S144" s="13">
        <f t="shared" si="137"/>
        <v>123.25</v>
      </c>
      <c r="T144" s="13">
        <f t="shared" si="138"/>
        <v>123.25</v>
      </c>
      <c r="U144" s="13">
        <f t="shared" si="147"/>
        <v>8</v>
      </c>
      <c r="V144" s="34"/>
      <c r="W144" s="10">
        <v>23</v>
      </c>
      <c r="X144" s="10">
        <f t="shared" si="140"/>
        <v>3314.875</v>
      </c>
      <c r="Y144" s="10">
        <f t="shared" si="143"/>
        <v>0</v>
      </c>
      <c r="Z144" s="10">
        <f t="shared" si="144"/>
        <v>184</v>
      </c>
      <c r="AA144" s="14">
        <f t="shared" si="145"/>
        <v>0</v>
      </c>
      <c r="AB144" s="14">
        <f t="shared" si="141"/>
        <v>3320.625</v>
      </c>
      <c r="AC144" s="11">
        <f t="shared" si="146"/>
        <v>0</v>
      </c>
      <c r="AD144" s="215"/>
      <c r="AE144" s="11">
        <f t="shared" si="142"/>
        <v>-178.25</v>
      </c>
      <c r="AF144" s="212"/>
      <c r="AG144" s="8"/>
    </row>
    <row r="145" spans="1:33" x14ac:dyDescent="0.45">
      <c r="A145" s="22">
        <f t="shared" si="82"/>
        <v>43982</v>
      </c>
      <c r="B145" s="15" t="s">
        <v>9</v>
      </c>
      <c r="C145" s="34"/>
      <c r="D145" s="13">
        <v>72</v>
      </c>
      <c r="E145" s="13">
        <v>22</v>
      </c>
      <c r="F145" s="13">
        <v>11</v>
      </c>
      <c r="G145" s="13">
        <v>8</v>
      </c>
      <c r="H145" s="13">
        <v>0</v>
      </c>
      <c r="I145" s="13">
        <v>0</v>
      </c>
      <c r="J145" s="13">
        <v>8</v>
      </c>
      <c r="K145" s="13">
        <v>0</v>
      </c>
      <c r="L145" s="10">
        <v>0</v>
      </c>
      <c r="M145" s="34"/>
      <c r="N145" s="13">
        <v>72</v>
      </c>
      <c r="O145" s="13">
        <v>25.5</v>
      </c>
      <c r="P145" s="13">
        <v>11</v>
      </c>
      <c r="Q145" s="13">
        <v>8</v>
      </c>
      <c r="R145" s="34"/>
      <c r="S145" s="13">
        <f t="shared" si="137"/>
        <v>113</v>
      </c>
      <c r="T145" s="13">
        <f t="shared" si="138"/>
        <v>116.5</v>
      </c>
      <c r="U145" s="13">
        <f t="shared" si="147"/>
        <v>8</v>
      </c>
      <c r="V145" s="34"/>
      <c r="W145" s="10">
        <v>26.7</v>
      </c>
      <c r="X145" s="10">
        <f t="shared" si="140"/>
        <v>3604.5</v>
      </c>
      <c r="Y145" s="10">
        <f t="shared" si="143"/>
        <v>0</v>
      </c>
      <c r="Z145" s="10">
        <f t="shared" si="144"/>
        <v>213.6</v>
      </c>
      <c r="AA145" s="14">
        <f t="shared" si="145"/>
        <v>0</v>
      </c>
      <c r="AB145" s="14">
        <f t="shared" si="141"/>
        <v>3744.6749999999997</v>
      </c>
      <c r="AC145" s="11">
        <f t="shared" si="146"/>
        <v>0</v>
      </c>
      <c r="AD145" s="215"/>
      <c r="AE145" s="11">
        <f t="shared" si="142"/>
        <v>-73.425000000000182</v>
      </c>
      <c r="AF145" s="212"/>
      <c r="AG145" s="8"/>
    </row>
    <row r="146" spans="1:33" ht="14.65" thickBot="1" x14ac:dyDescent="0.5">
      <c r="A146" s="23">
        <f t="shared" si="82"/>
        <v>43982</v>
      </c>
      <c r="B146" s="24" t="s">
        <v>31</v>
      </c>
      <c r="C146" s="35"/>
      <c r="D146" s="25">
        <v>72</v>
      </c>
      <c r="E146" s="25">
        <v>40.5</v>
      </c>
      <c r="F146" s="25">
        <v>0</v>
      </c>
      <c r="G146" s="25">
        <v>0</v>
      </c>
      <c r="H146" s="25">
        <v>0</v>
      </c>
      <c r="I146" s="25">
        <v>0</v>
      </c>
      <c r="J146" s="25">
        <v>8</v>
      </c>
      <c r="K146" s="25">
        <v>0</v>
      </c>
      <c r="L146" s="26">
        <v>0</v>
      </c>
      <c r="M146" s="35"/>
      <c r="N146" s="25">
        <v>72</v>
      </c>
      <c r="O146" s="25">
        <v>40.5</v>
      </c>
      <c r="P146" s="25">
        <v>0</v>
      </c>
      <c r="Q146" s="25">
        <v>0</v>
      </c>
      <c r="R146" s="35"/>
      <c r="S146" s="25">
        <f t="shared" si="137"/>
        <v>112.5</v>
      </c>
      <c r="T146" s="25">
        <f t="shared" si="138"/>
        <v>112.5</v>
      </c>
      <c r="U146" s="25">
        <f t="shared" si="147"/>
        <v>8</v>
      </c>
      <c r="V146" s="35"/>
      <c r="W146" s="26">
        <v>25.7</v>
      </c>
      <c r="X146" s="26">
        <f t="shared" si="140"/>
        <v>3411.6749999999997</v>
      </c>
      <c r="Y146" s="26">
        <f t="shared" si="143"/>
        <v>0</v>
      </c>
      <c r="Z146" s="26">
        <f t="shared" si="144"/>
        <v>205.6</v>
      </c>
      <c r="AA146" s="27">
        <f t="shared" si="145"/>
        <v>0</v>
      </c>
      <c r="AB146" s="27">
        <f t="shared" si="141"/>
        <v>3411.6749999999997</v>
      </c>
      <c r="AC146" s="12">
        <f t="shared" si="146"/>
        <v>0</v>
      </c>
      <c r="AD146" s="216"/>
      <c r="AE146" s="12">
        <f t="shared" si="142"/>
        <v>-205.59999999999991</v>
      </c>
      <c r="AF146" s="213"/>
      <c r="AG146" s="8"/>
    </row>
    <row r="147" spans="1:33" x14ac:dyDescent="0.45">
      <c r="A147" s="16">
        <f>A146+14</f>
        <v>43996</v>
      </c>
      <c r="B147" s="17" t="s">
        <v>0</v>
      </c>
      <c r="C147" s="33"/>
      <c r="D147" s="18">
        <v>80</v>
      </c>
      <c r="E147" s="18">
        <v>47.75</v>
      </c>
      <c r="F147" s="18">
        <v>0</v>
      </c>
      <c r="G147" s="18">
        <v>0</v>
      </c>
      <c r="H147" s="18">
        <v>0</v>
      </c>
      <c r="I147" s="18">
        <v>0</v>
      </c>
      <c r="J147" s="18">
        <v>0</v>
      </c>
      <c r="K147" s="18">
        <v>0</v>
      </c>
      <c r="L147" s="19">
        <v>0</v>
      </c>
      <c r="M147" s="33"/>
      <c r="N147" s="18">
        <v>80</v>
      </c>
      <c r="O147" s="18">
        <v>47.75</v>
      </c>
      <c r="P147" s="18">
        <v>0</v>
      </c>
      <c r="Q147" s="18">
        <v>0</v>
      </c>
      <c r="R147" s="33"/>
      <c r="S147" s="36">
        <f t="shared" ref="S147:S155" si="148">SUM(D147:G147)</f>
        <v>127.75</v>
      </c>
      <c r="T147" s="36">
        <f t="shared" ref="T147:T155" si="149">SUM(N147:Q147)</f>
        <v>127.75</v>
      </c>
      <c r="U147" s="18">
        <f t="shared" si="139"/>
        <v>0</v>
      </c>
      <c r="V147" s="33"/>
      <c r="W147" s="19">
        <v>26.4</v>
      </c>
      <c r="X147" s="19">
        <f t="shared" ref="X147:X155" si="150">(W147*1*D147)+(W147*1.5*E147)+(W147*2*F147)+(W147*1*G147)</f>
        <v>4002.8999999999996</v>
      </c>
      <c r="Y147" s="19">
        <f>(W147*0*H147)+(W147*1*I147)</f>
        <v>0</v>
      </c>
      <c r="Z147" s="19">
        <f>(W147*1*J147)+L147</f>
        <v>0</v>
      </c>
      <c r="AA147" s="20">
        <f>(W147*1*K147)</f>
        <v>0</v>
      </c>
      <c r="AB147" s="20">
        <f t="shared" ref="AB147:AB155" si="151">(W147*1*N147)+(W147*1.5*O147)+(W147*2*P147)+(W147*1*Q147)</f>
        <v>4002.8999999999996</v>
      </c>
      <c r="AC147" s="21">
        <f>0-Y147-AA147</f>
        <v>0</v>
      </c>
      <c r="AD147" s="214">
        <f>SUM(AC147:AC155)</f>
        <v>-621.36</v>
      </c>
      <c r="AE147" s="21">
        <f t="shared" ref="AE147:AE155" si="152">AB147-(X147+Z147)</f>
        <v>0</v>
      </c>
      <c r="AF147" s="211">
        <f>SUM(AE147:AE155)</f>
        <v>35.014999999999873</v>
      </c>
      <c r="AG147" s="8"/>
    </row>
    <row r="148" spans="1:33" x14ac:dyDescent="0.45">
      <c r="A148" s="22">
        <f t="shared" si="82"/>
        <v>43996</v>
      </c>
      <c r="B148" s="15" t="s">
        <v>30</v>
      </c>
      <c r="C148" s="34"/>
      <c r="D148" s="13">
        <v>80</v>
      </c>
      <c r="E148" s="13">
        <v>1.25</v>
      </c>
      <c r="F148" s="13">
        <v>0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0">
        <v>0</v>
      </c>
      <c r="M148" s="34"/>
      <c r="N148" s="13">
        <v>80</v>
      </c>
      <c r="O148" s="13">
        <v>1.25</v>
      </c>
      <c r="P148" s="13">
        <v>0</v>
      </c>
      <c r="Q148" s="13">
        <v>0</v>
      </c>
      <c r="R148" s="34"/>
      <c r="S148" s="13">
        <f t="shared" si="148"/>
        <v>81.25</v>
      </c>
      <c r="T148" s="13">
        <f t="shared" si="149"/>
        <v>81.25</v>
      </c>
      <c r="U148" s="13">
        <f t="shared" si="139"/>
        <v>0</v>
      </c>
      <c r="V148" s="34"/>
      <c r="W148" s="10">
        <v>30.8</v>
      </c>
      <c r="X148" s="10">
        <f t="shared" si="150"/>
        <v>2521.75</v>
      </c>
      <c r="Y148" s="10">
        <f t="shared" ref="Y148:Y155" si="153">(W148*0*H148)+(W148*1*I148)</f>
        <v>0</v>
      </c>
      <c r="Z148" s="10">
        <f t="shared" ref="Z148:Z155" si="154">(W148*1*J148)+L148</f>
        <v>0</v>
      </c>
      <c r="AA148" s="14">
        <f t="shared" ref="AA148:AA155" si="155">(W148*1*K148)</f>
        <v>0</v>
      </c>
      <c r="AB148" s="14">
        <f t="shared" si="151"/>
        <v>2521.75</v>
      </c>
      <c r="AC148" s="11">
        <f t="shared" ref="AC148:AC155" si="156">0-Y148-AA148</f>
        <v>0</v>
      </c>
      <c r="AD148" s="215"/>
      <c r="AE148" s="11">
        <f t="shared" si="152"/>
        <v>0</v>
      </c>
      <c r="AF148" s="212"/>
      <c r="AG148" s="8"/>
    </row>
    <row r="149" spans="1:33" x14ac:dyDescent="0.45">
      <c r="A149" s="22">
        <f t="shared" ref="A149:A155" si="157">A148</f>
        <v>43996</v>
      </c>
      <c r="B149" s="15" t="s">
        <v>3</v>
      </c>
      <c r="C149" s="34"/>
      <c r="D149" s="13">
        <v>80</v>
      </c>
      <c r="E149" s="13">
        <v>31</v>
      </c>
      <c r="F149" s="13">
        <v>0</v>
      </c>
      <c r="G149" s="13">
        <v>0</v>
      </c>
      <c r="H149" s="13">
        <v>0</v>
      </c>
      <c r="I149" s="13">
        <v>0</v>
      </c>
      <c r="J149" s="13">
        <v>0</v>
      </c>
      <c r="K149" s="13">
        <v>0</v>
      </c>
      <c r="L149" s="10">
        <v>0</v>
      </c>
      <c r="M149" s="34"/>
      <c r="N149" s="13">
        <v>80</v>
      </c>
      <c r="O149" s="13">
        <v>31</v>
      </c>
      <c r="P149" s="13">
        <v>0</v>
      </c>
      <c r="Q149" s="13">
        <v>0</v>
      </c>
      <c r="R149" s="34"/>
      <c r="S149" s="13">
        <f t="shared" si="148"/>
        <v>111</v>
      </c>
      <c r="T149" s="13">
        <f t="shared" si="149"/>
        <v>111</v>
      </c>
      <c r="U149" s="13">
        <f t="shared" si="139"/>
        <v>0</v>
      </c>
      <c r="V149" s="34"/>
      <c r="W149" s="10">
        <v>28.5</v>
      </c>
      <c r="X149" s="10">
        <f t="shared" si="150"/>
        <v>3605.25</v>
      </c>
      <c r="Y149" s="10">
        <f t="shared" si="153"/>
        <v>0</v>
      </c>
      <c r="Z149" s="10">
        <f t="shared" si="154"/>
        <v>0</v>
      </c>
      <c r="AA149" s="14">
        <f t="shared" si="155"/>
        <v>0</v>
      </c>
      <c r="AB149" s="14">
        <f t="shared" si="151"/>
        <v>3605.25</v>
      </c>
      <c r="AC149" s="11">
        <f t="shared" si="156"/>
        <v>0</v>
      </c>
      <c r="AD149" s="215"/>
      <c r="AE149" s="11">
        <f t="shared" si="152"/>
        <v>0</v>
      </c>
      <c r="AF149" s="212"/>
      <c r="AG149" s="8"/>
    </row>
    <row r="150" spans="1:33" x14ac:dyDescent="0.45">
      <c r="A150" s="22">
        <f t="shared" si="157"/>
        <v>43996</v>
      </c>
      <c r="B150" s="15" t="s">
        <v>4</v>
      </c>
      <c r="C150" s="34"/>
      <c r="D150" s="13">
        <v>80</v>
      </c>
      <c r="E150" s="13">
        <v>6.5</v>
      </c>
      <c r="F150" s="13">
        <v>0</v>
      </c>
      <c r="G150" s="13">
        <v>0</v>
      </c>
      <c r="H150" s="13">
        <v>0</v>
      </c>
      <c r="I150" s="13">
        <v>0</v>
      </c>
      <c r="J150" s="13">
        <v>0</v>
      </c>
      <c r="K150" s="13">
        <v>0</v>
      </c>
      <c r="L150" s="10">
        <v>0</v>
      </c>
      <c r="M150" s="34"/>
      <c r="N150" s="13">
        <v>80</v>
      </c>
      <c r="O150" s="13">
        <v>6.5</v>
      </c>
      <c r="P150" s="13">
        <v>0</v>
      </c>
      <c r="Q150" s="13">
        <v>0</v>
      </c>
      <c r="R150" s="34"/>
      <c r="S150" s="13">
        <f t="shared" si="148"/>
        <v>86.5</v>
      </c>
      <c r="T150" s="13">
        <f t="shared" si="149"/>
        <v>86.5</v>
      </c>
      <c r="U150" s="13">
        <f>SUM(H150:K150)</f>
        <v>0</v>
      </c>
      <c r="V150" s="34"/>
      <c r="W150" s="10">
        <v>23</v>
      </c>
      <c r="X150" s="10">
        <f t="shared" si="150"/>
        <v>2064.25</v>
      </c>
      <c r="Y150" s="10">
        <f t="shared" si="153"/>
        <v>0</v>
      </c>
      <c r="Z150" s="10">
        <f t="shared" si="154"/>
        <v>0</v>
      </c>
      <c r="AA150" s="14">
        <f t="shared" si="155"/>
        <v>0</v>
      </c>
      <c r="AB150" s="14">
        <f t="shared" si="151"/>
        <v>2064.25</v>
      </c>
      <c r="AC150" s="11">
        <f t="shared" si="156"/>
        <v>0</v>
      </c>
      <c r="AD150" s="215"/>
      <c r="AE150" s="11">
        <f t="shared" si="152"/>
        <v>0</v>
      </c>
      <c r="AF150" s="212"/>
      <c r="AG150" s="8"/>
    </row>
    <row r="151" spans="1:33" x14ac:dyDescent="0.45">
      <c r="A151" s="22">
        <f t="shared" si="157"/>
        <v>43996</v>
      </c>
      <c r="B151" s="15" t="s">
        <v>5</v>
      </c>
      <c r="C151" s="34"/>
      <c r="D151" s="13">
        <v>80</v>
      </c>
      <c r="E151" s="13">
        <v>30.75</v>
      </c>
      <c r="F151" s="13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0</v>
      </c>
      <c r="L151" s="10">
        <v>0</v>
      </c>
      <c r="M151" s="34"/>
      <c r="N151" s="13">
        <v>80</v>
      </c>
      <c r="O151" s="13">
        <v>30.75</v>
      </c>
      <c r="P151" s="13">
        <v>0</v>
      </c>
      <c r="Q151" s="13">
        <v>0</v>
      </c>
      <c r="R151" s="34"/>
      <c r="S151" s="13">
        <f t="shared" si="148"/>
        <v>110.75</v>
      </c>
      <c r="T151" s="13">
        <f t="shared" si="149"/>
        <v>110.75</v>
      </c>
      <c r="U151" s="13">
        <f t="shared" ref="U151:U173" si="158">SUM(H151:K151)</f>
        <v>0</v>
      </c>
      <c r="V151" s="34"/>
      <c r="W151" s="10">
        <v>27.2</v>
      </c>
      <c r="X151" s="10">
        <f t="shared" si="150"/>
        <v>3430.6</v>
      </c>
      <c r="Y151" s="10">
        <v>621.36</v>
      </c>
      <c r="Z151" s="10">
        <f t="shared" si="154"/>
        <v>0</v>
      </c>
      <c r="AA151" s="14">
        <f t="shared" si="155"/>
        <v>0</v>
      </c>
      <c r="AB151" s="14">
        <f t="shared" si="151"/>
        <v>3430.6</v>
      </c>
      <c r="AC151" s="11">
        <f t="shared" si="156"/>
        <v>-621.36</v>
      </c>
      <c r="AD151" s="215"/>
      <c r="AE151" s="11">
        <f t="shared" si="152"/>
        <v>0</v>
      </c>
      <c r="AF151" s="212"/>
      <c r="AG151" s="8"/>
    </row>
    <row r="152" spans="1:33" x14ac:dyDescent="0.45">
      <c r="A152" s="22">
        <f t="shared" si="157"/>
        <v>43996</v>
      </c>
      <c r="B152" s="15" t="s">
        <v>6</v>
      </c>
      <c r="C152" s="34"/>
      <c r="D152" s="13">
        <v>40</v>
      </c>
      <c r="E152" s="13">
        <v>2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0">
        <v>0</v>
      </c>
      <c r="M152" s="34"/>
      <c r="N152" s="13">
        <v>40</v>
      </c>
      <c r="O152" s="13">
        <v>2</v>
      </c>
      <c r="P152" s="13">
        <v>0</v>
      </c>
      <c r="Q152" s="13">
        <v>0</v>
      </c>
      <c r="R152" s="34"/>
      <c r="S152" s="13">
        <f t="shared" si="148"/>
        <v>42</v>
      </c>
      <c r="T152" s="13">
        <f t="shared" si="149"/>
        <v>42</v>
      </c>
      <c r="U152" s="13">
        <f t="shared" si="158"/>
        <v>0</v>
      </c>
      <c r="V152" s="34"/>
      <c r="W152" s="10">
        <v>23</v>
      </c>
      <c r="X152" s="10">
        <f t="shared" si="150"/>
        <v>989</v>
      </c>
      <c r="Y152" s="10">
        <f t="shared" si="153"/>
        <v>0</v>
      </c>
      <c r="Z152" s="10">
        <f t="shared" si="154"/>
        <v>0</v>
      </c>
      <c r="AA152" s="14">
        <f t="shared" si="155"/>
        <v>0</v>
      </c>
      <c r="AB152" s="14">
        <f t="shared" si="151"/>
        <v>989</v>
      </c>
      <c r="AC152" s="11">
        <f t="shared" si="156"/>
        <v>0</v>
      </c>
      <c r="AD152" s="215"/>
      <c r="AE152" s="11">
        <f t="shared" si="152"/>
        <v>0</v>
      </c>
      <c r="AF152" s="212"/>
      <c r="AG152" s="8"/>
    </row>
    <row r="153" spans="1:33" x14ac:dyDescent="0.45">
      <c r="A153" s="22">
        <f t="shared" si="157"/>
        <v>43996</v>
      </c>
      <c r="B153" s="15" t="s">
        <v>8</v>
      </c>
      <c r="C153" s="34"/>
      <c r="D153" s="13">
        <v>96</v>
      </c>
      <c r="E153" s="13">
        <v>62.5</v>
      </c>
      <c r="F153" s="13">
        <v>0</v>
      </c>
      <c r="G153" s="13">
        <v>0</v>
      </c>
      <c r="H153" s="13">
        <v>0</v>
      </c>
      <c r="I153" s="13">
        <v>0</v>
      </c>
      <c r="J153" s="13">
        <v>0</v>
      </c>
      <c r="K153" s="13">
        <v>0</v>
      </c>
      <c r="L153" s="10">
        <v>0</v>
      </c>
      <c r="M153" s="34"/>
      <c r="N153" s="13">
        <v>95.5</v>
      </c>
      <c r="O153" s="13">
        <v>61.5</v>
      </c>
      <c r="P153" s="13">
        <v>1.5</v>
      </c>
      <c r="Q153" s="13">
        <v>0</v>
      </c>
      <c r="R153" s="34"/>
      <c r="S153" s="13">
        <f t="shared" si="148"/>
        <v>158.5</v>
      </c>
      <c r="T153" s="13">
        <f t="shared" si="149"/>
        <v>158.5</v>
      </c>
      <c r="U153" s="13">
        <f t="shared" si="158"/>
        <v>0</v>
      </c>
      <c r="V153" s="34"/>
      <c r="W153" s="10">
        <v>23</v>
      </c>
      <c r="X153" s="10">
        <f t="shared" si="150"/>
        <v>4364.25</v>
      </c>
      <c r="Y153" s="10">
        <f t="shared" si="153"/>
        <v>0</v>
      </c>
      <c r="Z153" s="10">
        <f t="shared" si="154"/>
        <v>0</v>
      </c>
      <c r="AA153" s="14">
        <f t="shared" si="155"/>
        <v>0</v>
      </c>
      <c r="AB153" s="14">
        <f t="shared" si="151"/>
        <v>4387.25</v>
      </c>
      <c r="AC153" s="11">
        <f t="shared" si="156"/>
        <v>0</v>
      </c>
      <c r="AD153" s="215"/>
      <c r="AE153" s="11">
        <f t="shared" si="152"/>
        <v>23</v>
      </c>
      <c r="AF153" s="212"/>
      <c r="AG153" s="8"/>
    </row>
    <row r="154" spans="1:33" x14ac:dyDescent="0.45">
      <c r="A154" s="22">
        <f t="shared" si="157"/>
        <v>43996</v>
      </c>
      <c r="B154" s="15" t="s">
        <v>9</v>
      </c>
      <c r="C154" s="34"/>
      <c r="D154" s="13">
        <v>80</v>
      </c>
      <c r="E154" s="13">
        <v>27</v>
      </c>
      <c r="F154" s="13">
        <v>0</v>
      </c>
      <c r="G154" s="13">
        <v>22</v>
      </c>
      <c r="H154" s="13">
        <v>0</v>
      </c>
      <c r="I154" s="13">
        <v>0</v>
      </c>
      <c r="J154" s="13">
        <v>0</v>
      </c>
      <c r="K154" s="13">
        <v>0</v>
      </c>
      <c r="L154" s="10">
        <v>0</v>
      </c>
      <c r="M154" s="34"/>
      <c r="N154" s="13">
        <v>80</v>
      </c>
      <c r="O154" s="13">
        <v>27.3</v>
      </c>
      <c r="P154" s="13">
        <v>0</v>
      </c>
      <c r="Q154" s="13">
        <v>22</v>
      </c>
      <c r="R154" s="34"/>
      <c r="S154" s="13">
        <f t="shared" si="148"/>
        <v>129</v>
      </c>
      <c r="T154" s="13">
        <f t="shared" si="149"/>
        <v>129.30000000000001</v>
      </c>
      <c r="U154" s="13">
        <f t="shared" si="158"/>
        <v>0</v>
      </c>
      <c r="V154" s="34"/>
      <c r="W154" s="10">
        <v>26.7</v>
      </c>
      <c r="X154" s="10">
        <f t="shared" si="150"/>
        <v>3804.75</v>
      </c>
      <c r="Y154" s="10">
        <f t="shared" si="153"/>
        <v>0</v>
      </c>
      <c r="Z154" s="10">
        <f t="shared" si="154"/>
        <v>0</v>
      </c>
      <c r="AA154" s="14">
        <f t="shared" si="155"/>
        <v>0</v>
      </c>
      <c r="AB154" s="14">
        <f t="shared" si="151"/>
        <v>3816.7649999999999</v>
      </c>
      <c r="AC154" s="11">
        <f t="shared" si="156"/>
        <v>0</v>
      </c>
      <c r="AD154" s="215"/>
      <c r="AE154" s="11">
        <f t="shared" si="152"/>
        <v>12.014999999999873</v>
      </c>
      <c r="AF154" s="212"/>
      <c r="AG154" s="8"/>
    </row>
    <row r="155" spans="1:33" ht="14.65" thickBot="1" x14ac:dyDescent="0.5">
      <c r="A155" s="23">
        <f t="shared" si="157"/>
        <v>43996</v>
      </c>
      <c r="B155" s="24" t="s">
        <v>31</v>
      </c>
      <c r="C155" s="35"/>
      <c r="D155" s="25">
        <v>80</v>
      </c>
      <c r="E155" s="25">
        <v>26</v>
      </c>
      <c r="F155" s="25">
        <v>0</v>
      </c>
      <c r="G155" s="25">
        <v>0</v>
      </c>
      <c r="H155" s="25">
        <v>0</v>
      </c>
      <c r="I155" s="25">
        <v>0</v>
      </c>
      <c r="J155" s="25">
        <v>0</v>
      </c>
      <c r="K155" s="25">
        <v>0</v>
      </c>
      <c r="L155" s="26">
        <v>0</v>
      </c>
      <c r="M155" s="35"/>
      <c r="N155" s="25">
        <v>80</v>
      </c>
      <c r="O155" s="25">
        <v>26</v>
      </c>
      <c r="P155" s="25">
        <v>0</v>
      </c>
      <c r="Q155" s="25">
        <v>0</v>
      </c>
      <c r="R155" s="35"/>
      <c r="S155" s="25">
        <f t="shared" si="148"/>
        <v>106</v>
      </c>
      <c r="T155" s="25">
        <f t="shared" si="149"/>
        <v>106</v>
      </c>
      <c r="U155" s="25">
        <f t="shared" si="158"/>
        <v>0</v>
      </c>
      <c r="V155" s="35"/>
      <c r="W155" s="26">
        <v>25.7</v>
      </c>
      <c r="X155" s="26">
        <f t="shared" si="150"/>
        <v>3058.3</v>
      </c>
      <c r="Y155" s="26">
        <f t="shared" si="153"/>
        <v>0</v>
      </c>
      <c r="Z155" s="26">
        <f t="shared" si="154"/>
        <v>0</v>
      </c>
      <c r="AA155" s="27">
        <f t="shared" si="155"/>
        <v>0</v>
      </c>
      <c r="AB155" s="27">
        <f t="shared" si="151"/>
        <v>3058.3</v>
      </c>
      <c r="AC155" s="12">
        <f t="shared" si="156"/>
        <v>0</v>
      </c>
      <c r="AD155" s="216"/>
      <c r="AE155" s="12">
        <f t="shared" si="152"/>
        <v>0</v>
      </c>
      <c r="AF155" s="213"/>
      <c r="AG155" s="8"/>
    </row>
    <row r="156" spans="1:33" x14ac:dyDescent="0.45">
      <c r="A156" s="16">
        <f>A155+14</f>
        <v>44010</v>
      </c>
      <c r="B156" s="17" t="s">
        <v>0</v>
      </c>
      <c r="C156" s="33"/>
      <c r="D156" s="18">
        <v>80</v>
      </c>
      <c r="E156" s="18">
        <v>25</v>
      </c>
      <c r="F156" s="18">
        <v>0</v>
      </c>
      <c r="G156" s="18">
        <v>0</v>
      </c>
      <c r="H156" s="18">
        <v>0</v>
      </c>
      <c r="I156" s="18">
        <v>0</v>
      </c>
      <c r="J156" s="18">
        <v>0</v>
      </c>
      <c r="K156" s="18">
        <v>0</v>
      </c>
      <c r="L156" s="19">
        <v>0</v>
      </c>
      <c r="M156" s="33"/>
      <c r="N156" s="18">
        <v>80</v>
      </c>
      <c r="O156" s="18">
        <v>25.25</v>
      </c>
      <c r="P156" s="18">
        <v>0</v>
      </c>
      <c r="Q156" s="18">
        <v>0</v>
      </c>
      <c r="R156" s="33"/>
      <c r="S156" s="36">
        <f t="shared" ref="S156:S164" si="159">SUM(D156:G156)</f>
        <v>105</v>
      </c>
      <c r="T156" s="36">
        <f t="shared" ref="T156:T164" si="160">SUM(N156:Q156)</f>
        <v>105.25</v>
      </c>
      <c r="U156" s="18">
        <f t="shared" si="158"/>
        <v>0</v>
      </c>
      <c r="V156" s="33"/>
      <c r="W156" s="19">
        <v>26.4</v>
      </c>
      <c r="X156" s="19">
        <f t="shared" ref="X156:X164" si="161">(W156*1*D156)+(W156*1.5*E156)+(W156*2*F156)+(W156*1*G156)</f>
        <v>3102</v>
      </c>
      <c r="Y156" s="19">
        <f>(W156*0*H156)+(W156*1*I156)</f>
        <v>0</v>
      </c>
      <c r="Z156" s="19">
        <f>(W156*1*J156)+L156</f>
        <v>0</v>
      </c>
      <c r="AA156" s="20">
        <f>(W156*1*K156)</f>
        <v>0</v>
      </c>
      <c r="AB156" s="20">
        <f t="shared" ref="AB156:AB164" si="162">(W156*1*N156)+(W156*1.5*O156)+(W156*2*P156)+(W156*1*Q156)</f>
        <v>3111.8999999999996</v>
      </c>
      <c r="AC156" s="21">
        <f>0-Y156-AA156</f>
        <v>0</v>
      </c>
      <c r="AD156" s="214">
        <f>SUM(AC156:AC164)</f>
        <v>-184</v>
      </c>
      <c r="AE156" s="21">
        <f t="shared" ref="AE156:AE164" si="163">AB156-(X156+Z156)</f>
        <v>9.8999999999996362</v>
      </c>
      <c r="AF156" s="211">
        <f>SUM(AE156:AE164)</f>
        <v>17</v>
      </c>
      <c r="AG156" s="8"/>
    </row>
    <row r="157" spans="1:33" x14ac:dyDescent="0.45">
      <c r="A157" s="22">
        <f t="shared" ref="A157:A220" si="164">A156</f>
        <v>44010</v>
      </c>
      <c r="B157" s="15" t="s">
        <v>30</v>
      </c>
      <c r="C157" s="34"/>
      <c r="D157" s="13">
        <v>80</v>
      </c>
      <c r="E157" s="13">
        <v>2.25</v>
      </c>
      <c r="F157" s="13">
        <v>0</v>
      </c>
      <c r="G157" s="13">
        <v>0</v>
      </c>
      <c r="H157" s="13">
        <v>0</v>
      </c>
      <c r="I157" s="13">
        <v>0</v>
      </c>
      <c r="J157" s="13">
        <v>0</v>
      </c>
      <c r="K157" s="13">
        <v>0</v>
      </c>
      <c r="L157" s="10">
        <v>0</v>
      </c>
      <c r="M157" s="34"/>
      <c r="N157" s="13">
        <v>80</v>
      </c>
      <c r="O157" s="13">
        <v>2.5</v>
      </c>
      <c r="P157" s="13">
        <v>0</v>
      </c>
      <c r="Q157" s="13">
        <v>0</v>
      </c>
      <c r="R157" s="34"/>
      <c r="S157" s="13">
        <f t="shared" si="159"/>
        <v>82.25</v>
      </c>
      <c r="T157" s="13">
        <f t="shared" si="160"/>
        <v>82.5</v>
      </c>
      <c r="U157" s="13">
        <f t="shared" si="158"/>
        <v>0</v>
      </c>
      <c r="V157" s="34"/>
      <c r="W157" s="10">
        <v>30.8</v>
      </c>
      <c r="X157" s="10">
        <f t="shared" si="161"/>
        <v>2567.9499999999998</v>
      </c>
      <c r="Y157" s="10">
        <f t="shared" ref="Y157:Y159" si="165">(W157*0*H157)+(W157*1*I157)</f>
        <v>0</v>
      </c>
      <c r="Z157" s="10">
        <f t="shared" ref="Z157:Z164" si="166">(W157*1*J157)+L157</f>
        <v>0</v>
      </c>
      <c r="AA157" s="14">
        <f t="shared" ref="AA157:AA164" si="167">(W157*1*K157)</f>
        <v>0</v>
      </c>
      <c r="AB157" s="14">
        <f t="shared" si="162"/>
        <v>2579.5</v>
      </c>
      <c r="AC157" s="11">
        <f t="shared" ref="AC157:AC164" si="168">0-Y157-AA157</f>
        <v>0</v>
      </c>
      <c r="AD157" s="215"/>
      <c r="AE157" s="11">
        <f t="shared" si="163"/>
        <v>11.550000000000182</v>
      </c>
      <c r="AF157" s="212"/>
      <c r="AG157" s="8"/>
    </row>
    <row r="158" spans="1:33" x14ac:dyDescent="0.45">
      <c r="A158" s="22">
        <f t="shared" si="164"/>
        <v>44010</v>
      </c>
      <c r="B158" s="15" t="s">
        <v>3</v>
      </c>
      <c r="C158" s="34"/>
      <c r="D158" s="13">
        <v>80</v>
      </c>
      <c r="E158" s="13">
        <v>18.75</v>
      </c>
      <c r="F158" s="13">
        <v>0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0">
        <v>0</v>
      </c>
      <c r="M158" s="34"/>
      <c r="N158" s="13">
        <v>80</v>
      </c>
      <c r="O158" s="13">
        <v>18.75</v>
      </c>
      <c r="P158" s="13">
        <v>0</v>
      </c>
      <c r="Q158" s="13">
        <v>0</v>
      </c>
      <c r="R158" s="34"/>
      <c r="S158" s="13">
        <f t="shared" si="159"/>
        <v>98.75</v>
      </c>
      <c r="T158" s="13">
        <f t="shared" si="160"/>
        <v>98.75</v>
      </c>
      <c r="U158" s="13">
        <f t="shared" si="158"/>
        <v>0</v>
      </c>
      <c r="V158" s="34"/>
      <c r="W158" s="10">
        <v>28.5</v>
      </c>
      <c r="X158" s="10">
        <f t="shared" si="161"/>
        <v>3081.5625</v>
      </c>
      <c r="Y158" s="10">
        <f t="shared" si="165"/>
        <v>0</v>
      </c>
      <c r="Z158" s="10">
        <f t="shared" si="166"/>
        <v>0</v>
      </c>
      <c r="AA158" s="14">
        <f t="shared" si="167"/>
        <v>0</v>
      </c>
      <c r="AB158" s="14">
        <f t="shared" si="162"/>
        <v>3081.5625</v>
      </c>
      <c r="AC158" s="11">
        <f t="shared" si="168"/>
        <v>0</v>
      </c>
      <c r="AD158" s="215"/>
      <c r="AE158" s="11">
        <f t="shared" si="163"/>
        <v>0</v>
      </c>
      <c r="AF158" s="212"/>
      <c r="AG158" s="8"/>
    </row>
    <row r="159" spans="1:33" x14ac:dyDescent="0.45">
      <c r="A159" s="22">
        <f t="shared" si="164"/>
        <v>44010</v>
      </c>
      <c r="B159" s="15" t="s">
        <v>4</v>
      </c>
      <c r="C159" s="34"/>
      <c r="D159" s="13">
        <v>77</v>
      </c>
      <c r="E159" s="13">
        <v>3.5</v>
      </c>
      <c r="F159" s="13">
        <v>0</v>
      </c>
      <c r="G159" s="13">
        <v>7</v>
      </c>
      <c r="H159" s="13">
        <v>0</v>
      </c>
      <c r="I159" s="13">
        <v>0</v>
      </c>
      <c r="J159" s="13">
        <v>0</v>
      </c>
      <c r="K159" s="13">
        <v>0</v>
      </c>
      <c r="L159" s="10">
        <v>0</v>
      </c>
      <c r="M159" s="34"/>
      <c r="N159" s="13">
        <v>84</v>
      </c>
      <c r="O159" s="13">
        <v>3.5</v>
      </c>
      <c r="P159" s="13">
        <v>0</v>
      </c>
      <c r="Q159" s="13">
        <v>0</v>
      </c>
      <c r="R159" s="34"/>
      <c r="S159" s="13">
        <f t="shared" si="159"/>
        <v>87.5</v>
      </c>
      <c r="T159" s="13">
        <f t="shared" si="160"/>
        <v>87.5</v>
      </c>
      <c r="U159" s="13">
        <f>SUM(H159:K159)</f>
        <v>0</v>
      </c>
      <c r="V159" s="34"/>
      <c r="W159" s="10">
        <v>23</v>
      </c>
      <c r="X159" s="10">
        <f t="shared" si="161"/>
        <v>2052.75</v>
      </c>
      <c r="Y159" s="10">
        <f t="shared" si="165"/>
        <v>0</v>
      </c>
      <c r="Z159" s="10">
        <f t="shared" si="166"/>
        <v>0</v>
      </c>
      <c r="AA159" s="14">
        <f t="shared" si="167"/>
        <v>0</v>
      </c>
      <c r="AB159" s="14">
        <f t="shared" si="162"/>
        <v>2052.75</v>
      </c>
      <c r="AC159" s="11">
        <f t="shared" si="168"/>
        <v>0</v>
      </c>
      <c r="AD159" s="215"/>
      <c r="AE159" s="11">
        <f t="shared" si="163"/>
        <v>0</v>
      </c>
      <c r="AF159" s="212"/>
      <c r="AG159" s="8"/>
    </row>
    <row r="160" spans="1:33" x14ac:dyDescent="0.45">
      <c r="A160" s="22">
        <f t="shared" si="164"/>
        <v>44010</v>
      </c>
      <c r="B160" s="15" t="s">
        <v>5</v>
      </c>
      <c r="C160" s="34"/>
      <c r="D160" s="13">
        <v>80</v>
      </c>
      <c r="E160" s="13">
        <v>13.25</v>
      </c>
      <c r="F160" s="13">
        <v>0</v>
      </c>
      <c r="G160" s="13">
        <v>0</v>
      </c>
      <c r="H160" s="13">
        <v>0</v>
      </c>
      <c r="I160" s="13">
        <v>0</v>
      </c>
      <c r="J160" s="13">
        <v>0</v>
      </c>
      <c r="K160" s="13">
        <v>0</v>
      </c>
      <c r="L160" s="10">
        <v>0</v>
      </c>
      <c r="M160" s="34"/>
      <c r="N160" s="13">
        <v>80</v>
      </c>
      <c r="O160" s="13">
        <v>13</v>
      </c>
      <c r="P160" s="13">
        <v>0</v>
      </c>
      <c r="Q160" s="13">
        <v>0</v>
      </c>
      <c r="R160" s="34"/>
      <c r="S160" s="13">
        <f t="shared" si="159"/>
        <v>93.25</v>
      </c>
      <c r="T160" s="13">
        <f t="shared" si="160"/>
        <v>93</v>
      </c>
      <c r="U160" s="13">
        <f t="shared" si="158"/>
        <v>0</v>
      </c>
      <c r="V160" s="34"/>
      <c r="W160" s="10">
        <v>27.2</v>
      </c>
      <c r="X160" s="10">
        <f t="shared" si="161"/>
        <v>2716.6</v>
      </c>
      <c r="Y160" s="10">
        <v>0</v>
      </c>
      <c r="Z160" s="10">
        <f t="shared" si="166"/>
        <v>0</v>
      </c>
      <c r="AA160" s="14">
        <f t="shared" si="167"/>
        <v>0</v>
      </c>
      <c r="AB160" s="14">
        <f t="shared" si="162"/>
        <v>2706.4</v>
      </c>
      <c r="AC160" s="11">
        <f t="shared" si="168"/>
        <v>0</v>
      </c>
      <c r="AD160" s="215"/>
      <c r="AE160" s="11">
        <f t="shared" si="163"/>
        <v>-10.199999999999818</v>
      </c>
      <c r="AF160" s="212"/>
      <c r="AG160" s="8"/>
    </row>
    <row r="161" spans="1:33" x14ac:dyDescent="0.45">
      <c r="A161" s="22">
        <f t="shared" si="164"/>
        <v>44010</v>
      </c>
      <c r="B161" s="15" t="s">
        <v>6</v>
      </c>
      <c r="C161" s="34"/>
      <c r="D161" s="13">
        <v>0</v>
      </c>
      <c r="E161" s="13">
        <v>0</v>
      </c>
      <c r="F161" s="13">
        <v>0</v>
      </c>
      <c r="G161" s="13">
        <v>12</v>
      </c>
      <c r="H161" s="13">
        <v>0</v>
      </c>
      <c r="I161" s="13">
        <v>0</v>
      </c>
      <c r="J161" s="13">
        <v>0</v>
      </c>
      <c r="K161" s="13">
        <v>8</v>
      </c>
      <c r="L161" s="10">
        <v>0</v>
      </c>
      <c r="M161" s="34"/>
      <c r="N161" s="13">
        <v>0</v>
      </c>
      <c r="O161" s="13">
        <v>0</v>
      </c>
      <c r="P161" s="13">
        <v>0</v>
      </c>
      <c r="Q161" s="13">
        <v>12</v>
      </c>
      <c r="R161" s="34"/>
      <c r="S161" s="13">
        <f t="shared" si="159"/>
        <v>12</v>
      </c>
      <c r="T161" s="13">
        <f t="shared" si="160"/>
        <v>12</v>
      </c>
      <c r="U161" s="13">
        <f t="shared" si="158"/>
        <v>8</v>
      </c>
      <c r="V161" s="34"/>
      <c r="W161" s="10">
        <v>23</v>
      </c>
      <c r="X161" s="10">
        <f t="shared" si="161"/>
        <v>276</v>
      </c>
      <c r="Y161" s="10">
        <f t="shared" ref="Y161:Y164" si="169">(W161*0*H161)+(W161*1*I161)</f>
        <v>0</v>
      </c>
      <c r="Z161" s="10">
        <f t="shared" si="166"/>
        <v>0</v>
      </c>
      <c r="AA161" s="14">
        <f t="shared" si="167"/>
        <v>184</v>
      </c>
      <c r="AB161" s="14">
        <f t="shared" si="162"/>
        <v>276</v>
      </c>
      <c r="AC161" s="11">
        <f t="shared" si="168"/>
        <v>-184</v>
      </c>
      <c r="AD161" s="215"/>
      <c r="AE161" s="11">
        <f t="shared" si="163"/>
        <v>0</v>
      </c>
      <c r="AF161" s="212"/>
      <c r="AG161" s="8"/>
    </row>
    <row r="162" spans="1:33" x14ac:dyDescent="0.45">
      <c r="A162" s="22">
        <f t="shared" si="164"/>
        <v>44010</v>
      </c>
      <c r="B162" s="15" t="s">
        <v>8</v>
      </c>
      <c r="C162" s="34"/>
      <c r="D162" s="13">
        <v>88</v>
      </c>
      <c r="E162" s="13">
        <v>63.5</v>
      </c>
      <c r="F162" s="13">
        <v>10</v>
      </c>
      <c r="G162" s="13">
        <v>0</v>
      </c>
      <c r="H162" s="13">
        <v>0</v>
      </c>
      <c r="I162" s="13">
        <v>0</v>
      </c>
      <c r="J162" s="13">
        <v>0</v>
      </c>
      <c r="K162" s="13">
        <v>0</v>
      </c>
      <c r="L162" s="10">
        <v>0</v>
      </c>
      <c r="M162" s="34"/>
      <c r="N162" s="13">
        <v>88</v>
      </c>
      <c r="O162" s="13">
        <v>63</v>
      </c>
      <c r="P162" s="13">
        <v>10.5</v>
      </c>
      <c r="Q162" s="13">
        <v>0</v>
      </c>
      <c r="R162" s="34"/>
      <c r="S162" s="13">
        <f t="shared" si="159"/>
        <v>161.5</v>
      </c>
      <c r="T162" s="13">
        <f t="shared" si="160"/>
        <v>161.5</v>
      </c>
      <c r="U162" s="13">
        <f t="shared" si="158"/>
        <v>0</v>
      </c>
      <c r="V162" s="34"/>
      <c r="W162" s="10">
        <v>23</v>
      </c>
      <c r="X162" s="10">
        <f t="shared" si="161"/>
        <v>4674.75</v>
      </c>
      <c r="Y162" s="10">
        <f t="shared" si="169"/>
        <v>0</v>
      </c>
      <c r="Z162" s="10">
        <f t="shared" si="166"/>
        <v>0</v>
      </c>
      <c r="AA162" s="14">
        <f t="shared" si="167"/>
        <v>0</v>
      </c>
      <c r="AB162" s="14">
        <f t="shared" si="162"/>
        <v>4680.5</v>
      </c>
      <c r="AC162" s="11">
        <f t="shared" si="168"/>
        <v>0</v>
      </c>
      <c r="AD162" s="215"/>
      <c r="AE162" s="11">
        <f t="shared" si="163"/>
        <v>5.75</v>
      </c>
      <c r="AF162" s="212"/>
      <c r="AG162" s="8"/>
    </row>
    <row r="163" spans="1:33" x14ac:dyDescent="0.45">
      <c r="A163" s="22">
        <f t="shared" si="164"/>
        <v>44010</v>
      </c>
      <c r="B163" s="15" t="s">
        <v>9</v>
      </c>
      <c r="C163" s="34"/>
      <c r="D163" s="13">
        <v>80</v>
      </c>
      <c r="E163" s="13">
        <v>28</v>
      </c>
      <c r="F163" s="13">
        <v>0</v>
      </c>
      <c r="G163" s="13">
        <v>22</v>
      </c>
      <c r="H163" s="13">
        <v>0</v>
      </c>
      <c r="I163" s="13">
        <v>0</v>
      </c>
      <c r="J163" s="13">
        <v>0</v>
      </c>
      <c r="K163" s="13">
        <v>0</v>
      </c>
      <c r="L163" s="10">
        <v>0</v>
      </c>
      <c r="M163" s="34"/>
      <c r="N163" s="13">
        <v>80</v>
      </c>
      <c r="O163" s="13">
        <v>28</v>
      </c>
      <c r="P163" s="13">
        <v>0</v>
      </c>
      <c r="Q163" s="13">
        <v>22</v>
      </c>
      <c r="R163" s="34"/>
      <c r="S163" s="13">
        <f t="shared" si="159"/>
        <v>130</v>
      </c>
      <c r="T163" s="13">
        <f t="shared" si="160"/>
        <v>130</v>
      </c>
      <c r="U163" s="13">
        <f t="shared" si="158"/>
        <v>0</v>
      </c>
      <c r="V163" s="34"/>
      <c r="W163" s="10">
        <v>26.7</v>
      </c>
      <c r="X163" s="10">
        <f t="shared" si="161"/>
        <v>3844.7999999999997</v>
      </c>
      <c r="Y163" s="10">
        <f t="shared" si="169"/>
        <v>0</v>
      </c>
      <c r="Z163" s="10">
        <f t="shared" si="166"/>
        <v>0</v>
      </c>
      <c r="AA163" s="14">
        <f t="shared" si="167"/>
        <v>0</v>
      </c>
      <c r="AB163" s="14">
        <f t="shared" si="162"/>
        <v>3844.7999999999997</v>
      </c>
      <c r="AC163" s="11">
        <f t="shared" si="168"/>
        <v>0</v>
      </c>
      <c r="AD163" s="215"/>
      <c r="AE163" s="11">
        <f t="shared" si="163"/>
        <v>0</v>
      </c>
      <c r="AF163" s="212"/>
      <c r="AG163" s="8"/>
    </row>
    <row r="164" spans="1:33" ht="14.65" thickBot="1" x14ac:dyDescent="0.5">
      <c r="A164" s="23">
        <f t="shared" si="164"/>
        <v>44010</v>
      </c>
      <c r="B164" s="24" t="s">
        <v>31</v>
      </c>
      <c r="C164" s="35"/>
      <c r="D164" s="25">
        <v>80</v>
      </c>
      <c r="E164" s="25">
        <v>19</v>
      </c>
      <c r="F164" s="25">
        <v>0</v>
      </c>
      <c r="G164" s="25">
        <v>0</v>
      </c>
      <c r="H164" s="25">
        <v>0</v>
      </c>
      <c r="I164" s="25">
        <v>0</v>
      </c>
      <c r="J164" s="25">
        <v>0</v>
      </c>
      <c r="K164" s="25">
        <v>0</v>
      </c>
      <c r="L164" s="26">
        <v>0</v>
      </c>
      <c r="M164" s="35"/>
      <c r="N164" s="25">
        <v>80</v>
      </c>
      <c r="O164" s="25">
        <v>19</v>
      </c>
      <c r="P164" s="25">
        <v>0</v>
      </c>
      <c r="Q164" s="25">
        <v>0</v>
      </c>
      <c r="R164" s="35"/>
      <c r="S164" s="25">
        <f t="shared" si="159"/>
        <v>99</v>
      </c>
      <c r="T164" s="25">
        <f t="shared" si="160"/>
        <v>99</v>
      </c>
      <c r="U164" s="25">
        <f t="shared" si="158"/>
        <v>0</v>
      </c>
      <c r="V164" s="35"/>
      <c r="W164" s="26">
        <v>25.7</v>
      </c>
      <c r="X164" s="26">
        <f t="shared" si="161"/>
        <v>2788.45</v>
      </c>
      <c r="Y164" s="26">
        <f t="shared" si="169"/>
        <v>0</v>
      </c>
      <c r="Z164" s="26">
        <f t="shared" si="166"/>
        <v>0</v>
      </c>
      <c r="AA164" s="27">
        <f t="shared" si="167"/>
        <v>0</v>
      </c>
      <c r="AB164" s="27">
        <f t="shared" si="162"/>
        <v>2788.45</v>
      </c>
      <c r="AC164" s="12">
        <f t="shared" si="168"/>
        <v>0</v>
      </c>
      <c r="AD164" s="216"/>
      <c r="AE164" s="12">
        <f t="shared" si="163"/>
        <v>0</v>
      </c>
      <c r="AF164" s="213"/>
      <c r="AG164" s="8"/>
    </row>
    <row r="165" spans="1:33" x14ac:dyDescent="0.45">
      <c r="A165" s="16">
        <f>A164+14</f>
        <v>44024</v>
      </c>
      <c r="B165" s="17" t="s">
        <v>0</v>
      </c>
      <c r="C165" s="33"/>
      <c r="D165" s="18">
        <v>72</v>
      </c>
      <c r="E165" s="18">
        <v>29.75</v>
      </c>
      <c r="F165" s="18">
        <v>0</v>
      </c>
      <c r="G165" s="18">
        <v>0</v>
      </c>
      <c r="H165" s="18">
        <v>0</v>
      </c>
      <c r="I165" s="18">
        <v>0</v>
      </c>
      <c r="J165" s="18">
        <v>8</v>
      </c>
      <c r="K165" s="18">
        <v>0</v>
      </c>
      <c r="L165" s="19">
        <v>0</v>
      </c>
      <c r="M165" s="33"/>
      <c r="N165" s="18">
        <v>72</v>
      </c>
      <c r="O165" s="18">
        <v>30</v>
      </c>
      <c r="P165" s="18">
        <v>0</v>
      </c>
      <c r="Q165" s="18">
        <v>0</v>
      </c>
      <c r="R165" s="33"/>
      <c r="S165" s="36">
        <f t="shared" ref="S165:S173" si="170">SUM(D165:G165)</f>
        <v>101.75</v>
      </c>
      <c r="T165" s="36">
        <f t="shared" ref="T165:T173" si="171">SUM(N165:Q165)</f>
        <v>102</v>
      </c>
      <c r="U165" s="18">
        <f t="shared" si="158"/>
        <v>8</v>
      </c>
      <c r="V165" s="33"/>
      <c r="W165" s="19">
        <v>26.4</v>
      </c>
      <c r="X165" s="19">
        <f t="shared" ref="X165:X173" si="172">(W165*1*D165)+(W165*1.5*E165)+(W165*2*F165)+(W165*1*G165)</f>
        <v>3078.8999999999996</v>
      </c>
      <c r="Y165" s="19">
        <f>(W165*0*H165)+(W165*1*I165)</f>
        <v>0</v>
      </c>
      <c r="Z165" s="19">
        <f>(W165*1*J165)+L165</f>
        <v>211.2</v>
      </c>
      <c r="AA165" s="20">
        <f>(W165*1*K165)</f>
        <v>0</v>
      </c>
      <c r="AB165" s="20">
        <f t="shared" ref="AB165:AB173" si="173">(W165*1*N165)+(W165*1.5*O165)+(W165*2*P165)+(W165*1*Q165)</f>
        <v>3088.7999999999997</v>
      </c>
      <c r="AC165" s="21">
        <f>0-Y165-AA165</f>
        <v>0</v>
      </c>
      <c r="AD165" s="214">
        <f>SUM(AC165:AC173)</f>
        <v>0</v>
      </c>
      <c r="AE165" s="21">
        <f t="shared" ref="AE165:AE173" si="174">AB165-(X165+Z165)</f>
        <v>-201.29999999999973</v>
      </c>
      <c r="AF165" s="211">
        <f>SUM(AE165:AE173)</f>
        <v>-1519.1249999999995</v>
      </c>
      <c r="AG165" s="8"/>
    </row>
    <row r="166" spans="1:33" x14ac:dyDescent="0.45">
      <c r="A166" s="22">
        <f t="shared" si="164"/>
        <v>44024</v>
      </c>
      <c r="B166" s="15" t="s">
        <v>30</v>
      </c>
      <c r="C166" s="34"/>
      <c r="D166" s="13">
        <v>72</v>
      </c>
      <c r="E166" s="13">
        <v>17.5</v>
      </c>
      <c r="F166" s="13">
        <v>5</v>
      </c>
      <c r="G166" s="13">
        <v>0</v>
      </c>
      <c r="H166" s="13">
        <v>0</v>
      </c>
      <c r="I166" s="13">
        <v>0</v>
      </c>
      <c r="J166" s="13">
        <v>8</v>
      </c>
      <c r="K166" s="13">
        <v>0</v>
      </c>
      <c r="L166" s="10">
        <v>0</v>
      </c>
      <c r="M166" s="34"/>
      <c r="N166" s="13">
        <v>72</v>
      </c>
      <c r="O166" s="13">
        <v>17.5</v>
      </c>
      <c r="P166" s="13">
        <v>5</v>
      </c>
      <c r="Q166" s="13">
        <v>0</v>
      </c>
      <c r="R166" s="34"/>
      <c r="S166" s="13">
        <f t="shared" si="170"/>
        <v>94.5</v>
      </c>
      <c r="T166" s="13">
        <f t="shared" si="171"/>
        <v>94.5</v>
      </c>
      <c r="U166" s="13">
        <f t="shared" si="158"/>
        <v>8</v>
      </c>
      <c r="V166" s="34"/>
      <c r="W166" s="10">
        <v>30.8</v>
      </c>
      <c r="X166" s="10">
        <f t="shared" si="172"/>
        <v>3334.1</v>
      </c>
      <c r="Y166" s="10">
        <f t="shared" ref="Y166:Y168" si="175">(W166*0*H166)+(W166*1*I166)</f>
        <v>0</v>
      </c>
      <c r="Z166" s="10">
        <f t="shared" ref="Z166:Z173" si="176">(W166*1*J166)+L166</f>
        <v>246.4</v>
      </c>
      <c r="AA166" s="14">
        <f t="shared" ref="AA166:AA173" si="177">(W166*1*K166)</f>
        <v>0</v>
      </c>
      <c r="AB166" s="14">
        <f t="shared" si="173"/>
        <v>3334.1</v>
      </c>
      <c r="AC166" s="11">
        <f t="shared" ref="AC166:AC173" si="178">0-Y166-AA166</f>
        <v>0</v>
      </c>
      <c r="AD166" s="215"/>
      <c r="AE166" s="11">
        <f t="shared" si="174"/>
        <v>-246.40000000000009</v>
      </c>
      <c r="AF166" s="212"/>
      <c r="AG166" s="8"/>
    </row>
    <row r="167" spans="1:33" x14ac:dyDescent="0.45">
      <c r="A167" s="22">
        <f t="shared" si="164"/>
        <v>44024</v>
      </c>
      <c r="B167" s="15" t="s">
        <v>3</v>
      </c>
      <c r="C167" s="34"/>
      <c r="D167" s="13">
        <v>72</v>
      </c>
      <c r="E167" s="13">
        <v>44.5</v>
      </c>
      <c r="F167" s="13">
        <v>8</v>
      </c>
      <c r="G167" s="13">
        <v>0</v>
      </c>
      <c r="H167" s="13">
        <v>0</v>
      </c>
      <c r="I167" s="13">
        <v>0</v>
      </c>
      <c r="J167" s="13">
        <v>8</v>
      </c>
      <c r="K167" s="13">
        <v>0</v>
      </c>
      <c r="L167" s="10">
        <v>0</v>
      </c>
      <c r="M167" s="34"/>
      <c r="N167" s="13">
        <v>72</v>
      </c>
      <c r="O167" s="13">
        <v>44.5</v>
      </c>
      <c r="P167" s="13">
        <v>8</v>
      </c>
      <c r="Q167" s="13">
        <v>0</v>
      </c>
      <c r="R167" s="34"/>
      <c r="S167" s="13">
        <f t="shared" si="170"/>
        <v>124.5</v>
      </c>
      <c r="T167" s="13">
        <f t="shared" si="171"/>
        <v>124.5</v>
      </c>
      <c r="U167" s="13">
        <f t="shared" si="158"/>
        <v>8</v>
      </c>
      <c r="V167" s="34"/>
      <c r="W167" s="10">
        <v>28.5</v>
      </c>
      <c r="X167" s="10">
        <f t="shared" si="172"/>
        <v>4410.375</v>
      </c>
      <c r="Y167" s="10">
        <f t="shared" si="175"/>
        <v>0</v>
      </c>
      <c r="Z167" s="10">
        <f t="shared" si="176"/>
        <v>228</v>
      </c>
      <c r="AA167" s="14">
        <f t="shared" si="177"/>
        <v>0</v>
      </c>
      <c r="AB167" s="14">
        <f t="shared" si="173"/>
        <v>4410.375</v>
      </c>
      <c r="AC167" s="11">
        <f t="shared" si="178"/>
        <v>0</v>
      </c>
      <c r="AD167" s="215"/>
      <c r="AE167" s="11">
        <f t="shared" si="174"/>
        <v>-228</v>
      </c>
      <c r="AF167" s="212"/>
      <c r="AG167" s="8"/>
    </row>
    <row r="168" spans="1:33" x14ac:dyDescent="0.45">
      <c r="A168" s="22">
        <f t="shared" si="164"/>
        <v>44024</v>
      </c>
      <c r="B168" s="15" t="s">
        <v>4</v>
      </c>
      <c r="C168" s="34"/>
      <c r="D168" s="13">
        <v>63.5</v>
      </c>
      <c r="E168" s="13">
        <v>15.5</v>
      </c>
      <c r="F168" s="13">
        <v>12</v>
      </c>
      <c r="G168" s="13">
        <v>21.25</v>
      </c>
      <c r="H168" s="13">
        <v>0</v>
      </c>
      <c r="I168" s="13">
        <v>0</v>
      </c>
      <c r="J168" s="13">
        <v>8</v>
      </c>
      <c r="K168" s="13">
        <v>0</v>
      </c>
      <c r="L168" s="10">
        <v>0</v>
      </c>
      <c r="M168" s="34"/>
      <c r="N168" s="13">
        <v>91</v>
      </c>
      <c r="O168" s="13">
        <v>9.25</v>
      </c>
      <c r="P168" s="13">
        <v>12</v>
      </c>
      <c r="Q168" s="13">
        <v>0</v>
      </c>
      <c r="R168" s="34"/>
      <c r="S168" s="13">
        <f t="shared" si="170"/>
        <v>112.25</v>
      </c>
      <c r="T168" s="13">
        <f t="shared" si="171"/>
        <v>112.25</v>
      </c>
      <c r="U168" s="13">
        <f>SUM(H168:K168)</f>
        <v>8</v>
      </c>
      <c r="V168" s="34"/>
      <c r="W168" s="10">
        <v>23</v>
      </c>
      <c r="X168" s="10">
        <f t="shared" si="172"/>
        <v>3036</v>
      </c>
      <c r="Y168" s="10">
        <f t="shared" si="175"/>
        <v>0</v>
      </c>
      <c r="Z168" s="10">
        <f t="shared" si="176"/>
        <v>184</v>
      </c>
      <c r="AA168" s="14">
        <f t="shared" si="177"/>
        <v>0</v>
      </c>
      <c r="AB168" s="14">
        <f t="shared" si="173"/>
        <v>2964.125</v>
      </c>
      <c r="AC168" s="11">
        <f t="shared" si="178"/>
        <v>0</v>
      </c>
      <c r="AD168" s="215"/>
      <c r="AE168" s="11">
        <f t="shared" si="174"/>
        <v>-255.875</v>
      </c>
      <c r="AF168" s="212"/>
      <c r="AG168" s="8"/>
    </row>
    <row r="169" spans="1:33" x14ac:dyDescent="0.45">
      <c r="A169" s="22">
        <f t="shared" si="164"/>
        <v>44024</v>
      </c>
      <c r="B169" s="15" t="s">
        <v>5</v>
      </c>
      <c r="C169" s="34"/>
      <c r="D169" s="13">
        <v>72</v>
      </c>
      <c r="E169" s="13">
        <v>21.5</v>
      </c>
      <c r="F169" s="13">
        <v>0</v>
      </c>
      <c r="G169" s="13">
        <v>0</v>
      </c>
      <c r="H169" s="13">
        <v>0</v>
      </c>
      <c r="I169" s="13">
        <v>0</v>
      </c>
      <c r="J169" s="13">
        <v>8</v>
      </c>
      <c r="K169" s="13">
        <v>0</v>
      </c>
      <c r="L169" s="10">
        <v>0</v>
      </c>
      <c r="M169" s="34"/>
      <c r="N169" s="13">
        <v>72</v>
      </c>
      <c r="O169" s="13">
        <v>21.5</v>
      </c>
      <c r="P169" s="13">
        <v>0</v>
      </c>
      <c r="Q169" s="13">
        <v>0</v>
      </c>
      <c r="R169" s="34"/>
      <c r="S169" s="13">
        <f t="shared" si="170"/>
        <v>93.5</v>
      </c>
      <c r="T169" s="13">
        <f t="shared" si="171"/>
        <v>93.5</v>
      </c>
      <c r="U169" s="13">
        <f t="shared" si="158"/>
        <v>8</v>
      </c>
      <c r="V169" s="34"/>
      <c r="W169" s="10">
        <v>27.2</v>
      </c>
      <c r="X169" s="10">
        <f t="shared" si="172"/>
        <v>2835.6</v>
      </c>
      <c r="Y169" s="10">
        <v>0</v>
      </c>
      <c r="Z169" s="10">
        <f t="shared" si="176"/>
        <v>217.6</v>
      </c>
      <c r="AA169" s="14">
        <f t="shared" si="177"/>
        <v>0</v>
      </c>
      <c r="AB169" s="14">
        <f t="shared" si="173"/>
        <v>2835.6</v>
      </c>
      <c r="AC169" s="11">
        <f t="shared" si="178"/>
        <v>0</v>
      </c>
      <c r="AD169" s="215"/>
      <c r="AE169" s="11">
        <f t="shared" si="174"/>
        <v>-217.59999999999991</v>
      </c>
      <c r="AF169" s="212"/>
      <c r="AG169" s="8"/>
    </row>
    <row r="170" spans="1:33" x14ac:dyDescent="0.45">
      <c r="A170" s="22">
        <f t="shared" si="164"/>
        <v>44024</v>
      </c>
      <c r="B170" s="15" t="s">
        <v>6</v>
      </c>
      <c r="C170" s="34"/>
      <c r="D170" s="13">
        <v>40</v>
      </c>
      <c r="E170" s="13">
        <v>16</v>
      </c>
      <c r="F170" s="13">
        <v>8</v>
      </c>
      <c r="G170" s="13">
        <v>12</v>
      </c>
      <c r="H170" s="13">
        <v>0</v>
      </c>
      <c r="I170" s="13">
        <v>0</v>
      </c>
      <c r="J170" s="13">
        <v>8</v>
      </c>
      <c r="K170" s="13">
        <v>0</v>
      </c>
      <c r="L170" s="10">
        <v>0</v>
      </c>
      <c r="M170" s="34"/>
      <c r="N170" s="13">
        <v>40</v>
      </c>
      <c r="O170" s="13">
        <v>8</v>
      </c>
      <c r="P170" s="13">
        <v>16</v>
      </c>
      <c r="Q170" s="13">
        <v>12</v>
      </c>
      <c r="R170" s="34"/>
      <c r="S170" s="13">
        <f t="shared" si="170"/>
        <v>76</v>
      </c>
      <c r="T170" s="13">
        <f t="shared" si="171"/>
        <v>76</v>
      </c>
      <c r="U170" s="13">
        <f t="shared" si="158"/>
        <v>8</v>
      </c>
      <c r="V170" s="34"/>
      <c r="W170" s="10">
        <v>23</v>
      </c>
      <c r="X170" s="10">
        <f t="shared" si="172"/>
        <v>2116</v>
      </c>
      <c r="Y170" s="10">
        <f t="shared" ref="Y170:Y173" si="179">(W170*0*H170)+(W170*1*I170)</f>
        <v>0</v>
      </c>
      <c r="Z170" s="10">
        <f t="shared" si="176"/>
        <v>184</v>
      </c>
      <c r="AA170" s="14">
        <f t="shared" si="177"/>
        <v>0</v>
      </c>
      <c r="AB170" s="14">
        <f t="shared" si="173"/>
        <v>2208</v>
      </c>
      <c r="AC170" s="11">
        <f t="shared" si="178"/>
        <v>0</v>
      </c>
      <c r="AD170" s="215"/>
      <c r="AE170" s="11">
        <f t="shared" si="174"/>
        <v>-92</v>
      </c>
      <c r="AF170" s="212"/>
      <c r="AG170" s="8"/>
    </row>
    <row r="171" spans="1:33" x14ac:dyDescent="0.45">
      <c r="A171" s="22">
        <f t="shared" si="164"/>
        <v>44024</v>
      </c>
      <c r="B171" s="15" t="s">
        <v>8</v>
      </c>
      <c r="C171" s="34"/>
      <c r="D171" s="13">
        <v>64</v>
      </c>
      <c r="E171" s="13">
        <v>4</v>
      </c>
      <c r="F171" s="13">
        <v>6.5</v>
      </c>
      <c r="G171" s="13">
        <v>20</v>
      </c>
      <c r="H171" s="13">
        <v>0</v>
      </c>
      <c r="I171" s="13">
        <v>0</v>
      </c>
      <c r="J171" s="13">
        <v>8</v>
      </c>
      <c r="K171" s="13">
        <v>0</v>
      </c>
      <c r="L171" s="10">
        <v>0</v>
      </c>
      <c r="M171" s="34"/>
      <c r="N171" s="13">
        <v>84</v>
      </c>
      <c r="O171" s="13">
        <v>4</v>
      </c>
      <c r="P171" s="13">
        <v>6.5</v>
      </c>
      <c r="Q171" s="13">
        <v>0</v>
      </c>
      <c r="R171" s="34"/>
      <c r="S171" s="13">
        <f t="shared" si="170"/>
        <v>94.5</v>
      </c>
      <c r="T171" s="13">
        <f t="shared" si="171"/>
        <v>94.5</v>
      </c>
      <c r="U171" s="13">
        <f t="shared" si="158"/>
        <v>8</v>
      </c>
      <c r="V171" s="34"/>
      <c r="W171" s="10">
        <v>23</v>
      </c>
      <c r="X171" s="10">
        <f t="shared" si="172"/>
        <v>2369</v>
      </c>
      <c r="Y171" s="10">
        <f t="shared" si="179"/>
        <v>0</v>
      </c>
      <c r="Z171" s="10">
        <f t="shared" si="176"/>
        <v>184</v>
      </c>
      <c r="AA171" s="14">
        <f t="shared" si="177"/>
        <v>0</v>
      </c>
      <c r="AB171" s="14">
        <f t="shared" si="173"/>
        <v>2369</v>
      </c>
      <c r="AC171" s="11">
        <f t="shared" si="178"/>
        <v>0</v>
      </c>
      <c r="AD171" s="215"/>
      <c r="AE171" s="11">
        <f t="shared" si="174"/>
        <v>-184</v>
      </c>
      <c r="AF171" s="212"/>
      <c r="AG171" s="8"/>
    </row>
    <row r="172" spans="1:33" x14ac:dyDescent="0.45">
      <c r="A172" s="22">
        <f t="shared" si="164"/>
        <v>44024</v>
      </c>
      <c r="B172" s="15" t="s">
        <v>9</v>
      </c>
      <c r="C172" s="34"/>
      <c r="D172" s="13">
        <v>72</v>
      </c>
      <c r="E172" s="13">
        <v>31</v>
      </c>
      <c r="F172" s="13">
        <v>0</v>
      </c>
      <c r="G172" s="13">
        <v>22</v>
      </c>
      <c r="H172" s="13">
        <v>0</v>
      </c>
      <c r="I172" s="13">
        <v>0</v>
      </c>
      <c r="J172" s="13">
        <v>8</v>
      </c>
      <c r="K172" s="13">
        <v>0</v>
      </c>
      <c r="L172" s="10">
        <v>0</v>
      </c>
      <c r="M172" s="34"/>
      <c r="N172" s="13">
        <v>72</v>
      </c>
      <c r="O172" s="13">
        <v>23</v>
      </c>
      <c r="P172" s="13">
        <v>8</v>
      </c>
      <c r="Q172" s="13">
        <v>22</v>
      </c>
      <c r="R172" s="34"/>
      <c r="S172" s="13">
        <f t="shared" si="170"/>
        <v>125</v>
      </c>
      <c r="T172" s="13">
        <f t="shared" si="171"/>
        <v>125</v>
      </c>
      <c r="U172" s="13">
        <f t="shared" si="158"/>
        <v>8</v>
      </c>
      <c r="V172" s="34"/>
      <c r="W172" s="10">
        <v>26.7</v>
      </c>
      <c r="X172" s="10">
        <f t="shared" si="172"/>
        <v>3751.35</v>
      </c>
      <c r="Y172" s="10">
        <f t="shared" si="179"/>
        <v>0</v>
      </c>
      <c r="Z172" s="10">
        <f t="shared" si="176"/>
        <v>213.6</v>
      </c>
      <c r="AA172" s="14">
        <f t="shared" si="177"/>
        <v>0</v>
      </c>
      <c r="AB172" s="14">
        <f t="shared" si="173"/>
        <v>3858.1499999999996</v>
      </c>
      <c r="AC172" s="11">
        <f t="shared" si="178"/>
        <v>0</v>
      </c>
      <c r="AD172" s="215"/>
      <c r="AE172" s="11">
        <f t="shared" si="174"/>
        <v>-106.80000000000018</v>
      </c>
      <c r="AF172" s="212"/>
      <c r="AG172" s="8"/>
    </row>
    <row r="173" spans="1:33" ht="14.65" thickBot="1" x14ac:dyDescent="0.5">
      <c r="A173" s="23">
        <f t="shared" si="164"/>
        <v>44024</v>
      </c>
      <c r="B173" s="24" t="s">
        <v>31</v>
      </c>
      <c r="C173" s="35"/>
      <c r="D173" s="25">
        <v>72</v>
      </c>
      <c r="E173" s="25">
        <v>35.25</v>
      </c>
      <c r="F173" s="25">
        <v>21.5</v>
      </c>
      <c r="G173" s="25">
        <v>12</v>
      </c>
      <c r="H173" s="25">
        <v>0</v>
      </c>
      <c r="I173" s="25">
        <v>0</v>
      </c>
      <c r="J173" s="25">
        <v>8</v>
      </c>
      <c r="K173" s="25">
        <v>0</v>
      </c>
      <c r="L173" s="26">
        <v>0</v>
      </c>
      <c r="M173" s="35"/>
      <c r="N173" s="25">
        <v>82.25</v>
      </c>
      <c r="O173" s="25">
        <v>22.75</v>
      </c>
      <c r="P173" s="25">
        <v>36</v>
      </c>
      <c r="Q173" s="25">
        <v>0</v>
      </c>
      <c r="R173" s="35"/>
      <c r="S173" s="25">
        <f t="shared" si="170"/>
        <v>140.75</v>
      </c>
      <c r="T173" s="25">
        <f t="shared" si="171"/>
        <v>141</v>
      </c>
      <c r="U173" s="25">
        <f t="shared" si="158"/>
        <v>8</v>
      </c>
      <c r="V173" s="35"/>
      <c r="W173" s="26">
        <v>25.7</v>
      </c>
      <c r="X173" s="26">
        <f t="shared" si="172"/>
        <v>4622.7874999999985</v>
      </c>
      <c r="Y173" s="26">
        <f t="shared" si="179"/>
        <v>0</v>
      </c>
      <c r="Z173" s="26">
        <f t="shared" si="176"/>
        <v>205.6</v>
      </c>
      <c r="AA173" s="27">
        <f t="shared" si="177"/>
        <v>0</v>
      </c>
      <c r="AB173" s="27">
        <f t="shared" si="173"/>
        <v>4841.2374999999993</v>
      </c>
      <c r="AC173" s="12">
        <f t="shared" si="178"/>
        <v>0</v>
      </c>
      <c r="AD173" s="216"/>
      <c r="AE173" s="12">
        <f t="shared" si="174"/>
        <v>12.850000000000364</v>
      </c>
      <c r="AF173" s="213"/>
      <c r="AG173" s="8"/>
    </row>
    <row r="174" spans="1:33" x14ac:dyDescent="0.45">
      <c r="A174" s="16">
        <f>A173+14</f>
        <v>44038</v>
      </c>
      <c r="B174" s="17" t="s">
        <v>0</v>
      </c>
      <c r="C174" s="33"/>
      <c r="D174" s="18">
        <v>80</v>
      </c>
      <c r="E174" s="18">
        <v>28.25</v>
      </c>
      <c r="F174" s="18">
        <v>0</v>
      </c>
      <c r="G174" s="18">
        <v>0</v>
      </c>
      <c r="H174" s="18">
        <v>0</v>
      </c>
      <c r="I174" s="18">
        <v>0</v>
      </c>
      <c r="J174" s="18">
        <v>0</v>
      </c>
      <c r="K174" s="18">
        <v>0</v>
      </c>
      <c r="L174" s="19">
        <v>0</v>
      </c>
      <c r="M174" s="33"/>
      <c r="N174" s="18">
        <v>80</v>
      </c>
      <c r="O174" s="18">
        <v>28.25</v>
      </c>
      <c r="P174" s="18">
        <v>0</v>
      </c>
      <c r="Q174" s="18">
        <v>0</v>
      </c>
      <c r="R174" s="33"/>
      <c r="S174" s="36">
        <f t="shared" ref="S174:S182" si="180">SUM(D174:G174)</f>
        <v>108.25</v>
      </c>
      <c r="T174" s="36">
        <f t="shared" ref="T174:T182" si="181">SUM(N174:Q174)</f>
        <v>108.25</v>
      </c>
      <c r="U174" s="18">
        <f t="shared" ref="U174:U176" si="182">SUM(H174:K174)</f>
        <v>0</v>
      </c>
      <c r="V174" s="33"/>
      <c r="W174" s="19">
        <v>26.4</v>
      </c>
      <c r="X174" s="19">
        <f t="shared" ref="X174:X182" si="183">(W174*1*D174)+(W174*1.5*E174)+(W174*2*F174)+(W174*1*G174)</f>
        <v>3230.7</v>
      </c>
      <c r="Y174" s="19">
        <f>(W174*0*H174)+(W174*1*I174)</f>
        <v>0</v>
      </c>
      <c r="Z174" s="19">
        <f>(W174*1*J174)+L174</f>
        <v>0</v>
      </c>
      <c r="AA174" s="20">
        <f>(W174*1*K174)</f>
        <v>0</v>
      </c>
      <c r="AB174" s="20">
        <f t="shared" ref="AB174:AB182" si="184">(W174*1*N174)+(W174*1.5*O174)+(W174*2*P174)+(W174*1*Q174)</f>
        <v>3230.7</v>
      </c>
      <c r="AC174" s="21">
        <f>0-Y174-AA174</f>
        <v>0</v>
      </c>
      <c r="AD174" s="214">
        <f>SUM(AC174:AC182)</f>
        <v>0</v>
      </c>
      <c r="AE174" s="21">
        <f t="shared" ref="AE174:AE182" si="185">AB174-(X174+Z174)</f>
        <v>0</v>
      </c>
      <c r="AF174" s="211">
        <f>SUM(AE174:AE182)</f>
        <v>140.6875</v>
      </c>
      <c r="AG174" s="8"/>
    </row>
    <row r="175" spans="1:33" x14ac:dyDescent="0.45">
      <c r="A175" s="22">
        <f t="shared" si="164"/>
        <v>44038</v>
      </c>
      <c r="B175" s="15" t="s">
        <v>30</v>
      </c>
      <c r="C175" s="34"/>
      <c r="D175" s="13">
        <v>80</v>
      </c>
      <c r="E175" s="13">
        <v>24.5</v>
      </c>
      <c r="F175" s="13">
        <v>0</v>
      </c>
      <c r="G175" s="13">
        <v>0</v>
      </c>
      <c r="H175" s="13">
        <v>0</v>
      </c>
      <c r="I175" s="13">
        <v>0</v>
      </c>
      <c r="J175" s="13">
        <v>0</v>
      </c>
      <c r="K175" s="13">
        <v>0</v>
      </c>
      <c r="L175" s="10">
        <v>0</v>
      </c>
      <c r="M175" s="34"/>
      <c r="N175" s="13">
        <v>80</v>
      </c>
      <c r="O175" s="13">
        <v>24.5</v>
      </c>
      <c r="P175" s="13">
        <v>0</v>
      </c>
      <c r="Q175" s="13">
        <v>0</v>
      </c>
      <c r="R175" s="34"/>
      <c r="S175" s="13">
        <f t="shared" si="180"/>
        <v>104.5</v>
      </c>
      <c r="T175" s="13">
        <f t="shared" si="181"/>
        <v>104.5</v>
      </c>
      <c r="U175" s="13">
        <f t="shared" si="182"/>
        <v>0</v>
      </c>
      <c r="V175" s="34"/>
      <c r="W175" s="10">
        <v>30.8</v>
      </c>
      <c r="X175" s="10">
        <f t="shared" si="183"/>
        <v>3595.9</v>
      </c>
      <c r="Y175" s="10">
        <f t="shared" ref="Y175:Y177" si="186">(W175*0*H175)+(W175*1*I175)</f>
        <v>0</v>
      </c>
      <c r="Z175" s="10">
        <f t="shared" ref="Z175:Z182" si="187">(W175*1*J175)+L175</f>
        <v>0</v>
      </c>
      <c r="AA175" s="14">
        <f t="shared" ref="AA175:AA182" si="188">(W175*1*K175)</f>
        <v>0</v>
      </c>
      <c r="AB175" s="14">
        <f t="shared" si="184"/>
        <v>3595.9</v>
      </c>
      <c r="AC175" s="11">
        <f t="shared" ref="AC175:AC182" si="189">0-Y175-AA175</f>
        <v>0</v>
      </c>
      <c r="AD175" s="215"/>
      <c r="AE175" s="11">
        <f t="shared" si="185"/>
        <v>0</v>
      </c>
      <c r="AF175" s="212"/>
      <c r="AG175" s="8"/>
    </row>
    <row r="176" spans="1:33" x14ac:dyDescent="0.45">
      <c r="A176" s="22">
        <f t="shared" si="164"/>
        <v>44038</v>
      </c>
      <c r="B176" s="15" t="s">
        <v>3</v>
      </c>
      <c r="C176" s="34"/>
      <c r="D176" s="13">
        <v>80</v>
      </c>
      <c r="E176" s="13">
        <v>49.5</v>
      </c>
      <c r="F176" s="13">
        <v>0</v>
      </c>
      <c r="G176" s="13">
        <v>0</v>
      </c>
      <c r="H176" s="13">
        <v>0</v>
      </c>
      <c r="I176" s="13">
        <v>0</v>
      </c>
      <c r="J176" s="13">
        <v>0</v>
      </c>
      <c r="K176" s="13">
        <v>0</v>
      </c>
      <c r="L176" s="10">
        <v>0</v>
      </c>
      <c r="M176" s="34"/>
      <c r="N176" s="13">
        <v>80</v>
      </c>
      <c r="O176" s="13">
        <v>42.25</v>
      </c>
      <c r="P176" s="13">
        <v>7.25</v>
      </c>
      <c r="Q176" s="13">
        <v>0</v>
      </c>
      <c r="R176" s="34"/>
      <c r="S176" s="13">
        <f t="shared" si="180"/>
        <v>129.5</v>
      </c>
      <c r="T176" s="13">
        <f t="shared" si="181"/>
        <v>129.5</v>
      </c>
      <c r="U176" s="13">
        <f t="shared" si="182"/>
        <v>0</v>
      </c>
      <c r="V176" s="34"/>
      <c r="W176" s="10">
        <v>28.5</v>
      </c>
      <c r="X176" s="10">
        <f>(W176*1*D176)+(W176*1.5*E176)+(W176*2*F176)+(W176*1*G176)</f>
        <v>4396.125</v>
      </c>
      <c r="Y176" s="10">
        <f t="shared" si="186"/>
        <v>0</v>
      </c>
      <c r="Z176" s="10">
        <f t="shared" si="187"/>
        <v>0</v>
      </c>
      <c r="AA176" s="14">
        <f t="shared" si="188"/>
        <v>0</v>
      </c>
      <c r="AB176" s="14">
        <f>(W176*1*N176)+(W176*1.5*O176)+(W176*2*P176)+(W176*1*Q176)</f>
        <v>4499.4375</v>
      </c>
      <c r="AC176" s="11">
        <f t="shared" si="189"/>
        <v>0</v>
      </c>
      <c r="AD176" s="215"/>
      <c r="AE176" s="11">
        <f t="shared" si="185"/>
        <v>103.3125</v>
      </c>
      <c r="AF176" s="212"/>
      <c r="AG176" s="8"/>
    </row>
    <row r="177" spans="1:33" x14ac:dyDescent="0.45">
      <c r="A177" s="22">
        <f t="shared" si="164"/>
        <v>44038</v>
      </c>
      <c r="B177" s="15" t="s">
        <v>4</v>
      </c>
      <c r="C177" s="34"/>
      <c r="D177" s="13">
        <v>80</v>
      </c>
      <c r="E177" s="13">
        <v>64</v>
      </c>
      <c r="F177" s="13">
        <v>24</v>
      </c>
      <c r="G177" s="13">
        <v>0</v>
      </c>
      <c r="H177" s="13">
        <v>0</v>
      </c>
      <c r="I177" s="13">
        <v>0</v>
      </c>
      <c r="J177" s="13">
        <v>0</v>
      </c>
      <c r="K177" s="13">
        <v>0</v>
      </c>
      <c r="L177" s="10">
        <v>0</v>
      </c>
      <c r="M177" s="34"/>
      <c r="N177" s="13">
        <v>80</v>
      </c>
      <c r="O177" s="13">
        <v>64</v>
      </c>
      <c r="P177" s="13">
        <v>24</v>
      </c>
      <c r="Q177" s="13">
        <v>0</v>
      </c>
      <c r="R177" s="34"/>
      <c r="S177" s="13">
        <f t="shared" si="180"/>
        <v>168</v>
      </c>
      <c r="T177" s="13">
        <f t="shared" si="181"/>
        <v>168</v>
      </c>
      <c r="U177" s="13">
        <f>SUM(H177:K177)</f>
        <v>0</v>
      </c>
      <c r="V177" s="34"/>
      <c r="W177" s="10">
        <v>23</v>
      </c>
      <c r="X177" s="10">
        <f t="shared" si="183"/>
        <v>5152</v>
      </c>
      <c r="Y177" s="10">
        <f t="shared" si="186"/>
        <v>0</v>
      </c>
      <c r="Z177" s="10">
        <f t="shared" si="187"/>
        <v>0</v>
      </c>
      <c r="AA177" s="14">
        <f t="shared" si="188"/>
        <v>0</v>
      </c>
      <c r="AB177" s="14">
        <f t="shared" si="184"/>
        <v>5152</v>
      </c>
      <c r="AC177" s="11">
        <f t="shared" si="189"/>
        <v>0</v>
      </c>
      <c r="AD177" s="215"/>
      <c r="AE177" s="11">
        <f t="shared" si="185"/>
        <v>0</v>
      </c>
      <c r="AF177" s="212"/>
      <c r="AG177" s="8"/>
    </row>
    <row r="178" spans="1:33" x14ac:dyDescent="0.45">
      <c r="A178" s="22">
        <f t="shared" si="164"/>
        <v>44038</v>
      </c>
      <c r="B178" s="15" t="s">
        <v>5</v>
      </c>
      <c r="C178" s="34"/>
      <c r="D178" s="13">
        <v>80</v>
      </c>
      <c r="E178" s="13">
        <v>29.75</v>
      </c>
      <c r="F178" s="13">
        <v>0</v>
      </c>
      <c r="G178" s="13">
        <v>0</v>
      </c>
      <c r="H178" s="13">
        <v>0</v>
      </c>
      <c r="I178" s="13">
        <v>0</v>
      </c>
      <c r="J178" s="13">
        <v>0</v>
      </c>
      <c r="K178" s="13">
        <v>0</v>
      </c>
      <c r="L178" s="10">
        <v>0</v>
      </c>
      <c r="M178" s="34"/>
      <c r="N178" s="13">
        <v>80</v>
      </c>
      <c r="O178" s="13">
        <v>29.75</v>
      </c>
      <c r="P178" s="13">
        <v>0</v>
      </c>
      <c r="Q178" s="13">
        <v>0</v>
      </c>
      <c r="R178" s="34"/>
      <c r="S178" s="13">
        <f t="shared" si="180"/>
        <v>109.75</v>
      </c>
      <c r="T178" s="13">
        <f t="shared" si="181"/>
        <v>109.75</v>
      </c>
      <c r="U178" s="13">
        <f t="shared" ref="U178:U182" si="190">SUM(H178:K178)</f>
        <v>0</v>
      </c>
      <c r="V178" s="34"/>
      <c r="W178" s="10">
        <v>27.2</v>
      </c>
      <c r="X178" s="10">
        <f t="shared" si="183"/>
        <v>3389.8</v>
      </c>
      <c r="Y178" s="10">
        <v>0</v>
      </c>
      <c r="Z178" s="10">
        <f t="shared" si="187"/>
        <v>0</v>
      </c>
      <c r="AA178" s="14">
        <f t="shared" si="188"/>
        <v>0</v>
      </c>
      <c r="AB178" s="14">
        <f t="shared" si="184"/>
        <v>3389.8</v>
      </c>
      <c r="AC178" s="11">
        <f t="shared" si="189"/>
        <v>0</v>
      </c>
      <c r="AD178" s="215"/>
      <c r="AE178" s="11">
        <f t="shared" si="185"/>
        <v>0</v>
      </c>
      <c r="AF178" s="212"/>
      <c r="AG178" s="8"/>
    </row>
    <row r="179" spans="1:33" x14ac:dyDescent="0.45">
      <c r="A179" s="22">
        <f t="shared" si="164"/>
        <v>44038</v>
      </c>
      <c r="B179" s="15" t="s">
        <v>6</v>
      </c>
      <c r="C179" s="34"/>
      <c r="D179" s="13">
        <v>78</v>
      </c>
      <c r="E179" s="13">
        <v>9.5</v>
      </c>
      <c r="F179" s="13">
        <v>0</v>
      </c>
      <c r="G179" s="13">
        <v>0</v>
      </c>
      <c r="H179" s="13">
        <v>0</v>
      </c>
      <c r="I179" s="13">
        <v>0</v>
      </c>
      <c r="J179" s="13">
        <v>0</v>
      </c>
      <c r="K179" s="13">
        <v>0</v>
      </c>
      <c r="L179" s="10">
        <v>0</v>
      </c>
      <c r="M179" s="34"/>
      <c r="N179" s="13">
        <v>78</v>
      </c>
      <c r="O179" s="13">
        <v>10</v>
      </c>
      <c r="P179" s="13">
        <v>0</v>
      </c>
      <c r="Q179" s="13">
        <v>0</v>
      </c>
      <c r="R179" s="34"/>
      <c r="S179" s="13">
        <f t="shared" si="180"/>
        <v>87.5</v>
      </c>
      <c r="T179" s="13">
        <f t="shared" si="181"/>
        <v>88</v>
      </c>
      <c r="U179" s="13">
        <f t="shared" si="190"/>
        <v>0</v>
      </c>
      <c r="V179" s="34"/>
      <c r="W179" s="10">
        <v>23</v>
      </c>
      <c r="X179" s="10">
        <f t="shared" si="183"/>
        <v>2121.75</v>
      </c>
      <c r="Y179" s="10">
        <f t="shared" ref="Y179:Y182" si="191">(W179*0*H179)+(W179*1*I179)</f>
        <v>0</v>
      </c>
      <c r="Z179" s="10">
        <f t="shared" si="187"/>
        <v>0</v>
      </c>
      <c r="AA179" s="14">
        <f t="shared" si="188"/>
        <v>0</v>
      </c>
      <c r="AB179" s="14">
        <f t="shared" si="184"/>
        <v>2139</v>
      </c>
      <c r="AC179" s="11">
        <f t="shared" si="189"/>
        <v>0</v>
      </c>
      <c r="AD179" s="215"/>
      <c r="AE179" s="11">
        <f t="shared" si="185"/>
        <v>17.25</v>
      </c>
      <c r="AF179" s="212"/>
      <c r="AG179" s="8"/>
    </row>
    <row r="180" spans="1:33" x14ac:dyDescent="0.45">
      <c r="A180" s="22">
        <f t="shared" si="164"/>
        <v>44038</v>
      </c>
      <c r="B180" s="15" t="s">
        <v>8</v>
      </c>
      <c r="C180" s="34"/>
      <c r="D180" s="13">
        <v>80</v>
      </c>
      <c r="E180" s="13">
        <v>29.75</v>
      </c>
      <c r="F180" s="13">
        <v>5.5</v>
      </c>
      <c r="G180" s="13">
        <v>0</v>
      </c>
      <c r="H180" s="13">
        <v>0</v>
      </c>
      <c r="I180" s="13">
        <v>0</v>
      </c>
      <c r="J180" s="13">
        <v>0</v>
      </c>
      <c r="K180" s="13">
        <v>0</v>
      </c>
      <c r="L180" s="10">
        <v>0</v>
      </c>
      <c r="M180" s="34"/>
      <c r="N180" s="13">
        <v>80</v>
      </c>
      <c r="O180" s="13">
        <v>29</v>
      </c>
      <c r="P180" s="13">
        <v>6.5</v>
      </c>
      <c r="Q180" s="13">
        <v>0</v>
      </c>
      <c r="R180" s="34"/>
      <c r="S180" s="13">
        <f t="shared" si="180"/>
        <v>115.25</v>
      </c>
      <c r="T180" s="13">
        <f t="shared" si="181"/>
        <v>115.5</v>
      </c>
      <c r="U180" s="13">
        <f t="shared" si="190"/>
        <v>0</v>
      </c>
      <c r="V180" s="34"/>
      <c r="W180" s="10">
        <v>23</v>
      </c>
      <c r="X180" s="10">
        <f t="shared" si="183"/>
        <v>3119.375</v>
      </c>
      <c r="Y180" s="10">
        <f t="shared" si="191"/>
        <v>0</v>
      </c>
      <c r="Z180" s="10">
        <f t="shared" si="187"/>
        <v>0</v>
      </c>
      <c r="AA180" s="14">
        <f t="shared" si="188"/>
        <v>0</v>
      </c>
      <c r="AB180" s="14">
        <f t="shared" si="184"/>
        <v>3139.5</v>
      </c>
      <c r="AC180" s="11">
        <f t="shared" si="189"/>
        <v>0</v>
      </c>
      <c r="AD180" s="215"/>
      <c r="AE180" s="11">
        <f t="shared" si="185"/>
        <v>20.125</v>
      </c>
      <c r="AF180" s="212"/>
      <c r="AG180" s="8"/>
    </row>
    <row r="181" spans="1:33" x14ac:dyDescent="0.45">
      <c r="A181" s="22">
        <f t="shared" si="164"/>
        <v>44038</v>
      </c>
      <c r="B181" s="15" t="s">
        <v>9</v>
      </c>
      <c r="C181" s="34"/>
      <c r="D181" s="13">
        <v>80</v>
      </c>
      <c r="E181" s="13">
        <v>28</v>
      </c>
      <c r="F181" s="13">
        <v>0</v>
      </c>
      <c r="G181" s="13">
        <v>22</v>
      </c>
      <c r="H181" s="13">
        <v>0</v>
      </c>
      <c r="I181" s="13">
        <v>0</v>
      </c>
      <c r="J181" s="13">
        <v>0</v>
      </c>
      <c r="K181" s="13">
        <v>0</v>
      </c>
      <c r="L181" s="10">
        <v>0</v>
      </c>
      <c r="M181" s="34"/>
      <c r="N181" s="13">
        <v>80</v>
      </c>
      <c r="O181" s="13">
        <v>28</v>
      </c>
      <c r="P181" s="13">
        <v>0</v>
      </c>
      <c r="Q181" s="13">
        <v>22</v>
      </c>
      <c r="R181" s="34"/>
      <c r="S181" s="13">
        <f t="shared" si="180"/>
        <v>130</v>
      </c>
      <c r="T181" s="13">
        <f t="shared" si="181"/>
        <v>130</v>
      </c>
      <c r="U181" s="13">
        <f t="shared" si="190"/>
        <v>0</v>
      </c>
      <c r="V181" s="34"/>
      <c r="W181" s="10">
        <v>26.7</v>
      </c>
      <c r="X181" s="10">
        <f t="shared" si="183"/>
        <v>3844.7999999999997</v>
      </c>
      <c r="Y181" s="10">
        <f t="shared" si="191"/>
        <v>0</v>
      </c>
      <c r="Z181" s="10">
        <f t="shared" si="187"/>
        <v>0</v>
      </c>
      <c r="AA181" s="14">
        <f t="shared" si="188"/>
        <v>0</v>
      </c>
      <c r="AB181" s="14">
        <f t="shared" si="184"/>
        <v>3844.7999999999997</v>
      </c>
      <c r="AC181" s="11">
        <f t="shared" si="189"/>
        <v>0</v>
      </c>
      <c r="AD181" s="215"/>
      <c r="AE181" s="11">
        <f t="shared" si="185"/>
        <v>0</v>
      </c>
      <c r="AF181" s="212"/>
      <c r="AG181" s="8"/>
    </row>
    <row r="182" spans="1:33" ht="14.65" thickBot="1" x14ac:dyDescent="0.5">
      <c r="A182" s="23">
        <f t="shared" si="164"/>
        <v>44038</v>
      </c>
      <c r="B182" s="24" t="s">
        <v>31</v>
      </c>
      <c r="C182" s="35"/>
      <c r="D182" s="25">
        <v>80</v>
      </c>
      <c r="E182" s="25">
        <v>41.25</v>
      </c>
      <c r="F182" s="25">
        <v>12</v>
      </c>
      <c r="G182" s="25">
        <v>2</v>
      </c>
      <c r="H182" s="25">
        <v>0</v>
      </c>
      <c r="I182" s="25">
        <v>0</v>
      </c>
      <c r="J182" s="25">
        <v>0</v>
      </c>
      <c r="K182" s="25">
        <v>0</v>
      </c>
      <c r="L182" s="26">
        <v>0</v>
      </c>
      <c r="M182" s="35"/>
      <c r="N182" s="25">
        <v>80</v>
      </c>
      <c r="O182" s="25">
        <v>41.25</v>
      </c>
      <c r="P182" s="25">
        <v>12</v>
      </c>
      <c r="Q182" s="25">
        <v>2</v>
      </c>
      <c r="R182" s="35"/>
      <c r="S182" s="25">
        <f t="shared" si="180"/>
        <v>135.25</v>
      </c>
      <c r="T182" s="25">
        <f t="shared" si="181"/>
        <v>135.25</v>
      </c>
      <c r="U182" s="25">
        <f t="shared" si="190"/>
        <v>0</v>
      </c>
      <c r="V182" s="35"/>
      <c r="W182" s="26">
        <v>25.7</v>
      </c>
      <c r="X182" s="26">
        <f t="shared" si="183"/>
        <v>4314.3874999999998</v>
      </c>
      <c r="Y182" s="26">
        <f t="shared" si="191"/>
        <v>0</v>
      </c>
      <c r="Z182" s="26">
        <f t="shared" si="187"/>
        <v>0</v>
      </c>
      <c r="AA182" s="27">
        <f t="shared" si="188"/>
        <v>0</v>
      </c>
      <c r="AB182" s="27">
        <f t="shared" si="184"/>
        <v>4314.3874999999998</v>
      </c>
      <c r="AC182" s="12">
        <f t="shared" si="189"/>
        <v>0</v>
      </c>
      <c r="AD182" s="216"/>
      <c r="AE182" s="12">
        <f t="shared" si="185"/>
        <v>0</v>
      </c>
      <c r="AF182" s="213"/>
      <c r="AG182" s="8"/>
    </row>
    <row r="183" spans="1:33" x14ac:dyDescent="0.45">
      <c r="A183" s="16">
        <f>A182+14</f>
        <v>44052</v>
      </c>
      <c r="B183" s="17" t="s">
        <v>0</v>
      </c>
      <c r="C183" s="33"/>
      <c r="D183" s="18">
        <v>78.75</v>
      </c>
      <c r="E183" s="18">
        <v>0</v>
      </c>
      <c r="F183" s="18">
        <v>0</v>
      </c>
      <c r="G183" s="18">
        <v>0</v>
      </c>
      <c r="H183" s="18">
        <v>0</v>
      </c>
      <c r="I183" s="18">
        <v>1.25</v>
      </c>
      <c r="J183" s="18">
        <v>0</v>
      </c>
      <c r="K183" s="18">
        <v>0</v>
      </c>
      <c r="L183" s="19">
        <v>0</v>
      </c>
      <c r="M183" s="33"/>
      <c r="N183" s="18">
        <v>72</v>
      </c>
      <c r="O183" s="18">
        <v>6.25</v>
      </c>
      <c r="P183" s="18">
        <v>0</v>
      </c>
      <c r="Q183" s="18">
        <v>0</v>
      </c>
      <c r="R183" s="33"/>
      <c r="S183" s="36">
        <f>SUM(D183:G183)</f>
        <v>78.75</v>
      </c>
      <c r="T183" s="36">
        <f t="shared" ref="T183:T191" si="192">SUM(N183:Q183)</f>
        <v>78.25</v>
      </c>
      <c r="U183" s="18">
        <f t="shared" ref="U183:U185" si="193">SUM(H183:K183)</f>
        <v>1.25</v>
      </c>
      <c r="V183" s="33"/>
      <c r="W183" s="19">
        <v>26.4</v>
      </c>
      <c r="X183" s="19">
        <f t="shared" ref="X183:X184" si="194">(W183*1*D183)+(W183*1.5*E183)+(W183*2*F183)+(W183*1*G183)</f>
        <v>2079</v>
      </c>
      <c r="Y183" s="19">
        <f>(W183*0*H183)+(W183*1*I183)</f>
        <v>33</v>
      </c>
      <c r="Z183" s="19">
        <f>(W183*1*J183)+L183</f>
        <v>0</v>
      </c>
      <c r="AA183" s="20">
        <f>(W183*1*K183)</f>
        <v>0</v>
      </c>
      <c r="AB183" s="20">
        <f t="shared" ref="AB183:AB184" si="195">(W183*1*N183)+(W183*1.5*O183)+(W183*2*P183)+(W183*1*Q183)</f>
        <v>2148.2999999999997</v>
      </c>
      <c r="AC183" s="21">
        <f>0-Y183-AA183</f>
        <v>-33</v>
      </c>
      <c r="AD183" s="214">
        <f>SUM(AC183:AC191)</f>
        <v>-33</v>
      </c>
      <c r="AE183" s="21">
        <f t="shared" ref="AE183:AE191" si="196">AB183-(X183+Z183)</f>
        <v>69.299999999999727</v>
      </c>
      <c r="AF183" s="211">
        <f>SUM(AE183:AE191)</f>
        <v>984.33249999999953</v>
      </c>
      <c r="AG183" s="8"/>
    </row>
    <row r="184" spans="1:33" x14ac:dyDescent="0.45">
      <c r="A184" s="22">
        <f t="shared" si="164"/>
        <v>44052</v>
      </c>
      <c r="B184" s="15" t="s">
        <v>30</v>
      </c>
      <c r="C184" s="34"/>
      <c r="D184" s="13">
        <v>76</v>
      </c>
      <c r="E184" s="13">
        <v>11</v>
      </c>
      <c r="F184" s="13">
        <v>0</v>
      </c>
      <c r="G184" s="13">
        <v>0</v>
      </c>
      <c r="H184" s="13">
        <v>0</v>
      </c>
      <c r="I184" s="13">
        <v>0</v>
      </c>
      <c r="J184" s="13">
        <v>0</v>
      </c>
      <c r="K184" s="13">
        <v>0</v>
      </c>
      <c r="L184" s="10">
        <v>0</v>
      </c>
      <c r="M184" s="34"/>
      <c r="N184" s="13">
        <v>72</v>
      </c>
      <c r="O184" s="13">
        <v>15</v>
      </c>
      <c r="P184" s="13">
        <v>0</v>
      </c>
      <c r="Q184" s="13">
        <v>0</v>
      </c>
      <c r="R184" s="34"/>
      <c r="S184" s="13">
        <f t="shared" ref="S184:S191" si="197">SUM(D184:G184)</f>
        <v>87</v>
      </c>
      <c r="T184" s="13">
        <f t="shared" si="192"/>
        <v>87</v>
      </c>
      <c r="U184" s="13">
        <f t="shared" si="193"/>
        <v>0</v>
      </c>
      <c r="V184" s="34"/>
      <c r="W184" s="10">
        <v>30.8</v>
      </c>
      <c r="X184" s="10">
        <f t="shared" si="194"/>
        <v>2849</v>
      </c>
      <c r="Y184" s="10">
        <f t="shared" ref="Y184:Y186" si="198">(W184*0*H184)+(W184*1*I184)</f>
        <v>0</v>
      </c>
      <c r="Z184" s="10">
        <f t="shared" ref="Z184:Z191" si="199">(W184*1*J184)+L184</f>
        <v>0</v>
      </c>
      <c r="AA184" s="14">
        <f t="shared" ref="AA184:AA191" si="200">(W184*1*K184)</f>
        <v>0</v>
      </c>
      <c r="AB184" s="14">
        <f t="shared" si="195"/>
        <v>2910.6</v>
      </c>
      <c r="AC184" s="11">
        <f t="shared" ref="AC184:AC191" si="201">0-Y184-AA184</f>
        <v>0</v>
      </c>
      <c r="AD184" s="215"/>
      <c r="AE184" s="11">
        <f t="shared" si="196"/>
        <v>61.599999999999909</v>
      </c>
      <c r="AF184" s="212"/>
      <c r="AG184" s="8"/>
    </row>
    <row r="185" spans="1:33" x14ac:dyDescent="0.45">
      <c r="A185" s="22">
        <f t="shared" si="164"/>
        <v>44052</v>
      </c>
      <c r="B185" s="15" t="s">
        <v>3</v>
      </c>
      <c r="C185" s="34"/>
      <c r="D185" s="13">
        <v>80</v>
      </c>
      <c r="E185" s="13">
        <v>57</v>
      </c>
      <c r="F185" s="13">
        <v>24</v>
      </c>
      <c r="G185" s="13">
        <v>1.5</v>
      </c>
      <c r="H185" s="13">
        <v>0</v>
      </c>
      <c r="I185" s="13">
        <v>0</v>
      </c>
      <c r="J185" s="13">
        <v>0</v>
      </c>
      <c r="K185" s="13">
        <v>0</v>
      </c>
      <c r="L185" s="10">
        <v>0</v>
      </c>
      <c r="M185" s="34"/>
      <c r="N185" s="13">
        <v>72</v>
      </c>
      <c r="O185" s="13">
        <v>52.25</v>
      </c>
      <c r="P185" s="13">
        <v>37</v>
      </c>
      <c r="Q185" s="13">
        <v>1.5</v>
      </c>
      <c r="R185" s="34"/>
      <c r="S185" s="13">
        <f t="shared" si="197"/>
        <v>162.5</v>
      </c>
      <c r="T185" s="13">
        <f t="shared" si="192"/>
        <v>162.75</v>
      </c>
      <c r="U185" s="13">
        <f t="shared" si="193"/>
        <v>0</v>
      </c>
      <c r="V185" s="34"/>
      <c r="W185" s="10">
        <v>28.5</v>
      </c>
      <c r="X185" s="10">
        <f>(W185*1*D185)+(W185*1.5*E185)+(W185*2*F185)+(W185*1*G185)</f>
        <v>6127.5</v>
      </c>
      <c r="Y185" s="10">
        <f t="shared" si="198"/>
        <v>0</v>
      </c>
      <c r="Z185" s="10">
        <f t="shared" si="199"/>
        <v>0</v>
      </c>
      <c r="AA185" s="14">
        <f t="shared" si="200"/>
        <v>0</v>
      </c>
      <c r="AB185" s="14">
        <f>(W185*1*N185)+(W185*1.5*O185)+(W185*2*P185)+(W185*1*Q185)</f>
        <v>6437.4375</v>
      </c>
      <c r="AC185" s="11">
        <f t="shared" si="201"/>
        <v>0</v>
      </c>
      <c r="AD185" s="215"/>
      <c r="AE185" s="11">
        <f t="shared" si="196"/>
        <v>309.9375</v>
      </c>
      <c r="AF185" s="212"/>
      <c r="AG185" s="8"/>
    </row>
    <row r="186" spans="1:33" x14ac:dyDescent="0.45">
      <c r="A186" s="22">
        <f t="shared" si="164"/>
        <v>44052</v>
      </c>
      <c r="B186" s="15" t="s">
        <v>4</v>
      </c>
      <c r="C186" s="34"/>
      <c r="D186" s="13">
        <v>80</v>
      </c>
      <c r="E186" s="13">
        <v>69</v>
      </c>
      <c r="F186" s="13">
        <v>23</v>
      </c>
      <c r="G186" s="13">
        <v>0</v>
      </c>
      <c r="H186" s="13">
        <v>0</v>
      </c>
      <c r="I186" s="13">
        <v>0</v>
      </c>
      <c r="J186" s="13">
        <v>0</v>
      </c>
      <c r="K186" s="13">
        <v>0</v>
      </c>
      <c r="L186" s="10">
        <v>0</v>
      </c>
      <c r="M186" s="34"/>
      <c r="N186" s="13">
        <v>72</v>
      </c>
      <c r="O186" s="13">
        <v>60</v>
      </c>
      <c r="P186" s="13">
        <v>40</v>
      </c>
      <c r="Q186" s="13">
        <v>0</v>
      </c>
      <c r="R186" s="34"/>
      <c r="S186" s="13">
        <f t="shared" si="197"/>
        <v>172</v>
      </c>
      <c r="T186" s="13">
        <f t="shared" si="192"/>
        <v>172</v>
      </c>
      <c r="U186" s="13">
        <f>SUM(H186:K186)</f>
        <v>0</v>
      </c>
      <c r="V186" s="34"/>
      <c r="W186" s="10">
        <v>23</v>
      </c>
      <c r="X186" s="10">
        <f t="shared" ref="X186:X193" si="202">(W186*1*D186)+(W186*1.5*E186)+(W186*2*F186)+(W186*1*G186)</f>
        <v>5278.5</v>
      </c>
      <c r="Y186" s="10">
        <f t="shared" si="198"/>
        <v>0</v>
      </c>
      <c r="Z186" s="10">
        <f t="shared" si="199"/>
        <v>0</v>
      </c>
      <c r="AA186" s="14">
        <f t="shared" si="200"/>
        <v>0</v>
      </c>
      <c r="AB186" s="14">
        <f t="shared" ref="AB186:AB193" si="203">(W186*1*N186)+(W186*1.5*O186)+(W186*2*P186)+(W186*1*Q186)</f>
        <v>5566</v>
      </c>
      <c r="AC186" s="11">
        <f t="shared" si="201"/>
        <v>0</v>
      </c>
      <c r="AD186" s="215"/>
      <c r="AE186" s="11">
        <f t="shared" si="196"/>
        <v>287.5</v>
      </c>
      <c r="AF186" s="212"/>
      <c r="AG186" s="8"/>
    </row>
    <row r="187" spans="1:33" x14ac:dyDescent="0.45">
      <c r="A187" s="22">
        <f t="shared" si="164"/>
        <v>44052</v>
      </c>
      <c r="B187" s="15" t="s">
        <v>5</v>
      </c>
      <c r="C187" s="34"/>
      <c r="D187" s="13">
        <v>80</v>
      </c>
      <c r="E187" s="13">
        <v>14.5</v>
      </c>
      <c r="F187" s="13">
        <v>0</v>
      </c>
      <c r="G187" s="13">
        <v>0</v>
      </c>
      <c r="H187" s="13">
        <v>0</v>
      </c>
      <c r="I187" s="13">
        <v>0</v>
      </c>
      <c r="J187" s="13">
        <v>0</v>
      </c>
      <c r="K187" s="13">
        <v>0</v>
      </c>
      <c r="L187" s="10">
        <v>0</v>
      </c>
      <c r="M187" s="34"/>
      <c r="N187" s="13">
        <v>72</v>
      </c>
      <c r="O187" s="13">
        <v>21.5</v>
      </c>
      <c r="P187" s="13">
        <v>1</v>
      </c>
      <c r="Q187" s="13">
        <v>0</v>
      </c>
      <c r="R187" s="34"/>
      <c r="S187" s="13">
        <f t="shared" si="197"/>
        <v>94.5</v>
      </c>
      <c r="T187" s="13">
        <f t="shared" si="192"/>
        <v>94.5</v>
      </c>
      <c r="U187" s="13">
        <f t="shared" ref="U187:U191" si="204">SUM(H187:K187)</f>
        <v>0</v>
      </c>
      <c r="V187" s="34"/>
      <c r="W187" s="10">
        <v>27.2</v>
      </c>
      <c r="X187" s="10">
        <f t="shared" si="202"/>
        <v>2767.6</v>
      </c>
      <c r="Y187" s="10">
        <v>0</v>
      </c>
      <c r="Z187" s="10">
        <f t="shared" si="199"/>
        <v>0</v>
      </c>
      <c r="AA187" s="14">
        <f t="shared" si="200"/>
        <v>0</v>
      </c>
      <c r="AB187" s="14">
        <f t="shared" si="203"/>
        <v>2890</v>
      </c>
      <c r="AC187" s="11">
        <f t="shared" si="201"/>
        <v>0</v>
      </c>
      <c r="AD187" s="215"/>
      <c r="AE187" s="11">
        <f t="shared" si="196"/>
        <v>122.40000000000009</v>
      </c>
      <c r="AF187" s="212"/>
      <c r="AG187" s="8"/>
    </row>
    <row r="188" spans="1:33" x14ac:dyDescent="0.45">
      <c r="A188" s="22">
        <f t="shared" si="164"/>
        <v>44052</v>
      </c>
      <c r="B188" s="15" t="s">
        <v>6</v>
      </c>
      <c r="C188" s="34"/>
      <c r="D188" s="13">
        <v>76</v>
      </c>
      <c r="E188" s="13">
        <v>12.5</v>
      </c>
      <c r="F188" s="13">
        <v>0</v>
      </c>
      <c r="G188" s="13">
        <v>0</v>
      </c>
      <c r="H188" s="13">
        <v>0</v>
      </c>
      <c r="I188" s="13">
        <v>0</v>
      </c>
      <c r="J188" s="13">
        <v>0</v>
      </c>
      <c r="K188" s="13">
        <v>0</v>
      </c>
      <c r="L188" s="10">
        <v>0</v>
      </c>
      <c r="M188" s="34"/>
      <c r="N188" s="13">
        <v>72</v>
      </c>
      <c r="O188" s="13">
        <v>16.5</v>
      </c>
      <c r="P188" s="13">
        <v>0</v>
      </c>
      <c r="Q188" s="13">
        <v>0</v>
      </c>
      <c r="R188" s="34"/>
      <c r="S188" s="13">
        <f t="shared" si="197"/>
        <v>88.5</v>
      </c>
      <c r="T188" s="13">
        <f t="shared" si="192"/>
        <v>88.5</v>
      </c>
      <c r="U188" s="13">
        <f t="shared" si="204"/>
        <v>0</v>
      </c>
      <c r="V188" s="34"/>
      <c r="W188" s="10">
        <v>23</v>
      </c>
      <c r="X188" s="10">
        <f t="shared" si="202"/>
        <v>2179.25</v>
      </c>
      <c r="Y188" s="10">
        <f t="shared" ref="Y188:Y191" si="205">(W188*0*H188)+(W188*1*I188)</f>
        <v>0</v>
      </c>
      <c r="Z188" s="10">
        <f t="shared" si="199"/>
        <v>0</v>
      </c>
      <c r="AA188" s="14">
        <f t="shared" si="200"/>
        <v>0</v>
      </c>
      <c r="AB188" s="14">
        <f t="shared" si="203"/>
        <v>2225.25</v>
      </c>
      <c r="AC188" s="11">
        <f t="shared" si="201"/>
        <v>0</v>
      </c>
      <c r="AD188" s="215"/>
      <c r="AE188" s="11">
        <f t="shared" si="196"/>
        <v>46</v>
      </c>
      <c r="AF188" s="212"/>
      <c r="AG188" s="8"/>
    </row>
    <row r="189" spans="1:33" x14ac:dyDescent="0.45">
      <c r="A189" s="22">
        <f t="shared" si="164"/>
        <v>44052</v>
      </c>
      <c r="B189" s="15" t="s">
        <v>8</v>
      </c>
      <c r="C189" s="34"/>
      <c r="D189" s="13">
        <v>73</v>
      </c>
      <c r="E189" s="13">
        <v>7</v>
      </c>
      <c r="F189" s="13">
        <v>0</v>
      </c>
      <c r="G189" s="13">
        <v>0</v>
      </c>
      <c r="H189" s="13">
        <v>0</v>
      </c>
      <c r="I189" s="13">
        <v>0</v>
      </c>
      <c r="J189" s="13">
        <v>0</v>
      </c>
      <c r="K189" s="13">
        <v>0</v>
      </c>
      <c r="L189" s="10">
        <v>0</v>
      </c>
      <c r="M189" s="34"/>
      <c r="N189" s="13">
        <v>72</v>
      </c>
      <c r="O189" s="13">
        <v>8</v>
      </c>
      <c r="P189" s="13">
        <v>0</v>
      </c>
      <c r="Q189" s="13">
        <v>0</v>
      </c>
      <c r="R189" s="34"/>
      <c r="S189" s="13">
        <f t="shared" si="197"/>
        <v>80</v>
      </c>
      <c r="T189" s="13">
        <f t="shared" si="192"/>
        <v>80</v>
      </c>
      <c r="U189" s="13">
        <f t="shared" si="204"/>
        <v>0</v>
      </c>
      <c r="V189" s="34"/>
      <c r="W189" s="10">
        <v>23</v>
      </c>
      <c r="X189" s="10">
        <f t="shared" si="202"/>
        <v>1920.5</v>
      </c>
      <c r="Y189" s="10">
        <f t="shared" si="205"/>
        <v>0</v>
      </c>
      <c r="Z189" s="10">
        <f t="shared" si="199"/>
        <v>0</v>
      </c>
      <c r="AA189" s="14">
        <f t="shared" si="200"/>
        <v>0</v>
      </c>
      <c r="AB189" s="14">
        <f t="shared" si="203"/>
        <v>1932</v>
      </c>
      <c r="AC189" s="11">
        <f t="shared" si="201"/>
        <v>0</v>
      </c>
      <c r="AD189" s="215"/>
      <c r="AE189" s="11">
        <f t="shared" si="196"/>
        <v>11.5</v>
      </c>
      <c r="AF189" s="212"/>
      <c r="AG189" s="8"/>
    </row>
    <row r="190" spans="1:33" x14ac:dyDescent="0.45">
      <c r="A190" s="22">
        <f t="shared" si="164"/>
        <v>44052</v>
      </c>
      <c r="B190" s="15" t="s">
        <v>9</v>
      </c>
      <c r="C190" s="34"/>
      <c r="D190" s="13">
        <v>80</v>
      </c>
      <c r="E190" s="13">
        <v>20</v>
      </c>
      <c r="F190" s="13">
        <v>0</v>
      </c>
      <c r="G190" s="13">
        <v>22</v>
      </c>
      <c r="H190" s="13">
        <v>0</v>
      </c>
      <c r="I190" s="13">
        <v>0</v>
      </c>
      <c r="J190" s="13">
        <v>0</v>
      </c>
      <c r="K190" s="13">
        <v>0</v>
      </c>
      <c r="L190" s="10">
        <v>0</v>
      </c>
      <c r="M190" s="34"/>
      <c r="N190" s="13">
        <v>80</v>
      </c>
      <c r="O190" s="13">
        <v>21.9</v>
      </c>
      <c r="P190" s="13">
        <v>0</v>
      </c>
      <c r="Q190" s="13">
        <v>22</v>
      </c>
      <c r="R190" s="34"/>
      <c r="S190" s="13">
        <f t="shared" si="197"/>
        <v>122</v>
      </c>
      <c r="T190" s="13">
        <f t="shared" si="192"/>
        <v>123.9</v>
      </c>
      <c r="U190" s="13">
        <f t="shared" si="204"/>
        <v>0</v>
      </c>
      <c r="V190" s="34"/>
      <c r="W190" s="10">
        <v>26.7</v>
      </c>
      <c r="X190" s="10">
        <f t="shared" si="202"/>
        <v>3524.4</v>
      </c>
      <c r="Y190" s="10">
        <f t="shared" si="205"/>
        <v>0</v>
      </c>
      <c r="Z190" s="10">
        <f t="shared" si="199"/>
        <v>0</v>
      </c>
      <c r="AA190" s="14">
        <f t="shared" si="200"/>
        <v>0</v>
      </c>
      <c r="AB190" s="14">
        <f t="shared" si="203"/>
        <v>3600.4949999999999</v>
      </c>
      <c r="AC190" s="11">
        <f t="shared" si="201"/>
        <v>0</v>
      </c>
      <c r="AD190" s="215"/>
      <c r="AE190" s="11">
        <f t="shared" si="196"/>
        <v>76.0949999999998</v>
      </c>
      <c r="AF190" s="212"/>
      <c r="AG190" s="8"/>
    </row>
    <row r="191" spans="1:33" ht="14.65" thickBot="1" x14ac:dyDescent="0.5">
      <c r="A191" s="23">
        <f t="shared" si="164"/>
        <v>44052</v>
      </c>
      <c r="B191" s="24" t="s">
        <v>31</v>
      </c>
      <c r="C191" s="35"/>
      <c r="D191" s="25">
        <v>70.5</v>
      </c>
      <c r="E191" s="25">
        <v>0</v>
      </c>
      <c r="F191" s="25">
        <v>0</v>
      </c>
      <c r="G191" s="25">
        <v>2</v>
      </c>
      <c r="H191" s="25">
        <v>0</v>
      </c>
      <c r="I191" s="25">
        <v>0</v>
      </c>
      <c r="J191" s="25">
        <v>0</v>
      </c>
      <c r="K191" s="25">
        <v>0</v>
      </c>
      <c r="L191" s="26">
        <v>0</v>
      </c>
      <c r="M191" s="35"/>
      <c r="N191" s="25">
        <v>72.5</v>
      </c>
      <c r="O191" s="25">
        <v>0</v>
      </c>
      <c r="P191" s="25">
        <v>0</v>
      </c>
      <c r="Q191" s="25">
        <v>0</v>
      </c>
      <c r="R191" s="35"/>
      <c r="S191" s="25">
        <f t="shared" si="197"/>
        <v>72.5</v>
      </c>
      <c r="T191" s="25">
        <f t="shared" si="192"/>
        <v>72.5</v>
      </c>
      <c r="U191" s="25">
        <f t="shared" si="204"/>
        <v>0</v>
      </c>
      <c r="V191" s="35"/>
      <c r="W191" s="26">
        <v>25.7</v>
      </c>
      <c r="X191" s="26">
        <f t="shared" si="202"/>
        <v>1863.25</v>
      </c>
      <c r="Y191" s="26">
        <f t="shared" si="205"/>
        <v>0</v>
      </c>
      <c r="Z191" s="26">
        <f t="shared" si="199"/>
        <v>0</v>
      </c>
      <c r="AA191" s="27">
        <f t="shared" si="200"/>
        <v>0</v>
      </c>
      <c r="AB191" s="27">
        <f t="shared" si="203"/>
        <v>1863.25</v>
      </c>
      <c r="AC191" s="12">
        <f t="shared" si="201"/>
        <v>0</v>
      </c>
      <c r="AD191" s="216"/>
      <c r="AE191" s="12">
        <f t="shared" si="196"/>
        <v>0</v>
      </c>
      <c r="AF191" s="213"/>
      <c r="AG191" s="8"/>
    </row>
    <row r="192" spans="1:33" x14ac:dyDescent="0.45">
      <c r="A192" s="16">
        <f>A191+14</f>
        <v>44066</v>
      </c>
      <c r="B192" s="17" t="s">
        <v>0</v>
      </c>
      <c r="C192" s="33"/>
      <c r="D192" s="18">
        <v>80</v>
      </c>
      <c r="E192" s="18">
        <v>12</v>
      </c>
      <c r="F192" s="18">
        <v>0</v>
      </c>
      <c r="G192" s="18">
        <v>0</v>
      </c>
      <c r="H192" s="18">
        <v>0</v>
      </c>
      <c r="I192" s="18">
        <v>0</v>
      </c>
      <c r="J192" s="18">
        <v>0</v>
      </c>
      <c r="K192" s="18">
        <v>0</v>
      </c>
      <c r="L192" s="19">
        <v>0</v>
      </c>
      <c r="M192" s="33"/>
      <c r="N192" s="18">
        <v>80</v>
      </c>
      <c r="O192" s="18">
        <v>13</v>
      </c>
      <c r="P192" s="18">
        <v>0</v>
      </c>
      <c r="Q192" s="18">
        <v>0</v>
      </c>
      <c r="R192" s="33"/>
      <c r="S192" s="36">
        <f>SUM(D192:G192)</f>
        <v>92</v>
      </c>
      <c r="T192" s="36">
        <f t="shared" ref="T192:T200" si="206">SUM(N192:Q192)</f>
        <v>93</v>
      </c>
      <c r="U192" s="18">
        <f t="shared" ref="U192:U194" si="207">SUM(H192:K192)</f>
        <v>0</v>
      </c>
      <c r="V192" s="33"/>
      <c r="W192" s="19">
        <v>26.4</v>
      </c>
      <c r="X192" s="19">
        <f t="shared" si="202"/>
        <v>2587.1999999999998</v>
      </c>
      <c r="Y192" s="19">
        <f>(W192*0*H192)+(W192*1*I192)</f>
        <v>0</v>
      </c>
      <c r="Z192" s="19">
        <f>(W192*1*J192)+L192</f>
        <v>0</v>
      </c>
      <c r="AA192" s="20">
        <f>(W192*1*K192)</f>
        <v>0</v>
      </c>
      <c r="AB192" s="20">
        <f t="shared" si="203"/>
        <v>2626.8</v>
      </c>
      <c r="AC192" s="21">
        <f>0-Y192-AA192</f>
        <v>0</v>
      </c>
      <c r="AD192" s="214">
        <f>SUM(AC192:AC200)</f>
        <v>-1205.9046000000001</v>
      </c>
      <c r="AE192" s="21">
        <f t="shared" ref="AE192:AE200" si="208">AB192-(X192+Z192)</f>
        <v>39.600000000000364</v>
      </c>
      <c r="AF192" s="211">
        <f>SUM(AE192:AE200)</f>
        <v>136.74000000000069</v>
      </c>
      <c r="AG192" s="8"/>
    </row>
    <row r="193" spans="1:33" x14ac:dyDescent="0.45">
      <c r="A193" s="22">
        <f t="shared" si="164"/>
        <v>44066</v>
      </c>
      <c r="B193" s="15" t="s">
        <v>30</v>
      </c>
      <c r="C193" s="34"/>
      <c r="D193" s="13">
        <v>80</v>
      </c>
      <c r="E193" s="13">
        <v>13.5</v>
      </c>
      <c r="F193" s="13">
        <v>0</v>
      </c>
      <c r="G193" s="13">
        <v>0</v>
      </c>
      <c r="H193" s="13">
        <v>0</v>
      </c>
      <c r="I193" s="13">
        <v>0</v>
      </c>
      <c r="J193" s="13">
        <v>0</v>
      </c>
      <c r="K193" s="13">
        <v>0</v>
      </c>
      <c r="L193" s="10">
        <v>0</v>
      </c>
      <c r="M193" s="34"/>
      <c r="N193" s="13">
        <v>80</v>
      </c>
      <c r="O193" s="13">
        <v>13.5</v>
      </c>
      <c r="P193" s="13">
        <v>0</v>
      </c>
      <c r="Q193" s="13">
        <v>0</v>
      </c>
      <c r="R193" s="34"/>
      <c r="S193" s="13">
        <f t="shared" ref="S193:S200" si="209">SUM(D193:G193)</f>
        <v>93.5</v>
      </c>
      <c r="T193" s="13">
        <f t="shared" si="206"/>
        <v>93.5</v>
      </c>
      <c r="U193" s="13">
        <f t="shared" si="207"/>
        <v>0</v>
      </c>
      <c r="V193" s="34"/>
      <c r="W193" s="10">
        <v>30.8</v>
      </c>
      <c r="X193" s="10">
        <f t="shared" si="202"/>
        <v>3087.7</v>
      </c>
      <c r="Y193" s="10">
        <f t="shared" ref="Y193:Y195" si="210">(W193*0*H193)+(W193*1*I193)</f>
        <v>0</v>
      </c>
      <c r="Z193" s="10">
        <f t="shared" ref="Z193:Z200" si="211">(W193*1*J193)+L193</f>
        <v>0</v>
      </c>
      <c r="AA193" s="14">
        <f t="shared" ref="AA193:AA200" si="212">(W193*1*K193)</f>
        <v>0</v>
      </c>
      <c r="AB193" s="14">
        <f t="shared" si="203"/>
        <v>3087.7</v>
      </c>
      <c r="AC193" s="11">
        <f t="shared" ref="AC193:AC200" si="213">0-Y193-AA193</f>
        <v>0</v>
      </c>
      <c r="AD193" s="215"/>
      <c r="AE193" s="11">
        <f t="shared" si="208"/>
        <v>0</v>
      </c>
      <c r="AF193" s="212"/>
      <c r="AG193" s="8"/>
    </row>
    <row r="194" spans="1:33" x14ac:dyDescent="0.45">
      <c r="A194" s="22">
        <f t="shared" si="164"/>
        <v>44066</v>
      </c>
      <c r="B194" s="15" t="s">
        <v>3</v>
      </c>
      <c r="C194" s="34"/>
      <c r="D194" s="13">
        <v>80</v>
      </c>
      <c r="E194" s="13">
        <v>22</v>
      </c>
      <c r="F194" s="13">
        <v>0</v>
      </c>
      <c r="G194" s="13">
        <v>1.5</v>
      </c>
      <c r="H194" s="13">
        <v>0</v>
      </c>
      <c r="I194" s="13">
        <v>4.3029999999999999</v>
      </c>
      <c r="J194" s="13">
        <v>0</v>
      </c>
      <c r="K194" s="13">
        <v>0</v>
      </c>
      <c r="L194" s="10">
        <v>0</v>
      </c>
      <c r="M194" s="34"/>
      <c r="N194" s="13">
        <v>80</v>
      </c>
      <c r="O194" s="13">
        <v>22</v>
      </c>
      <c r="P194" s="13">
        <v>0</v>
      </c>
      <c r="Q194" s="13">
        <v>1.5</v>
      </c>
      <c r="R194" s="34"/>
      <c r="S194" s="13">
        <f t="shared" si="209"/>
        <v>103.5</v>
      </c>
      <c r="T194" s="13">
        <f t="shared" si="206"/>
        <v>103.5</v>
      </c>
      <c r="U194" s="13">
        <f t="shared" si="207"/>
        <v>4.3029999999999999</v>
      </c>
      <c r="V194" s="34"/>
      <c r="W194" s="10">
        <v>28.5</v>
      </c>
      <c r="X194" s="10">
        <f>(W194*1*D194)+(W194*1.5*E194)+(W194*2*F194)+(W194*1*G194)</f>
        <v>3263.25</v>
      </c>
      <c r="Y194" s="10">
        <f t="shared" si="210"/>
        <v>122.63549999999999</v>
      </c>
      <c r="Z194" s="10">
        <f t="shared" si="211"/>
        <v>0</v>
      </c>
      <c r="AA194" s="14">
        <f t="shared" si="212"/>
        <v>0</v>
      </c>
      <c r="AB194" s="14">
        <f>(W194*1*N194)+(W194*1.5*O194)+(W194*2*P194)+(W194*1*Q194)</f>
        <v>3263.25</v>
      </c>
      <c r="AC194" s="11">
        <f t="shared" si="213"/>
        <v>-122.63549999999999</v>
      </c>
      <c r="AD194" s="215"/>
      <c r="AE194" s="11">
        <f t="shared" si="208"/>
        <v>0</v>
      </c>
      <c r="AF194" s="212"/>
      <c r="AG194" s="8"/>
    </row>
    <row r="195" spans="1:33" x14ac:dyDescent="0.45">
      <c r="A195" s="22">
        <f t="shared" si="164"/>
        <v>44066</v>
      </c>
      <c r="B195" s="15" t="s">
        <v>4</v>
      </c>
      <c r="C195" s="34"/>
      <c r="D195" s="13">
        <v>80</v>
      </c>
      <c r="E195" s="13">
        <v>56</v>
      </c>
      <c r="F195" s="13">
        <v>12</v>
      </c>
      <c r="G195" s="13">
        <v>0</v>
      </c>
      <c r="H195" s="13">
        <v>0</v>
      </c>
      <c r="I195" s="13">
        <v>16.7</v>
      </c>
      <c r="J195" s="13">
        <v>0</v>
      </c>
      <c r="K195" s="13">
        <v>0</v>
      </c>
      <c r="L195" s="10">
        <v>0</v>
      </c>
      <c r="M195" s="34"/>
      <c r="N195" s="13">
        <v>80</v>
      </c>
      <c r="O195" s="13">
        <v>52</v>
      </c>
      <c r="P195" s="13">
        <v>16</v>
      </c>
      <c r="Q195" s="13">
        <v>0</v>
      </c>
      <c r="R195" s="34"/>
      <c r="S195" s="13">
        <f t="shared" si="209"/>
        <v>148</v>
      </c>
      <c r="T195" s="13">
        <f t="shared" si="206"/>
        <v>148</v>
      </c>
      <c r="U195" s="13">
        <f>SUM(H195:K195)</f>
        <v>16.7</v>
      </c>
      <c r="V195" s="34"/>
      <c r="W195" s="10">
        <v>23</v>
      </c>
      <c r="X195" s="10">
        <f t="shared" ref="X195:X202" si="214">(W195*1*D195)+(W195*1.5*E195)+(W195*2*F195)+(W195*1*G195)</f>
        <v>4324</v>
      </c>
      <c r="Y195" s="10">
        <f t="shared" si="210"/>
        <v>384.09999999999997</v>
      </c>
      <c r="Z195" s="10">
        <f t="shared" si="211"/>
        <v>0</v>
      </c>
      <c r="AA195" s="14">
        <f t="shared" si="212"/>
        <v>0</v>
      </c>
      <c r="AB195" s="14">
        <f t="shared" ref="AB195:AB202" si="215">(W195*1*N195)+(W195*1.5*O195)+(W195*2*P195)+(W195*1*Q195)</f>
        <v>4370</v>
      </c>
      <c r="AC195" s="11">
        <f t="shared" si="213"/>
        <v>-384.09999999999997</v>
      </c>
      <c r="AD195" s="215"/>
      <c r="AE195" s="11">
        <f t="shared" si="208"/>
        <v>46</v>
      </c>
      <c r="AF195" s="212"/>
      <c r="AG195" s="8"/>
    </row>
    <row r="196" spans="1:33" x14ac:dyDescent="0.45">
      <c r="A196" s="22">
        <f t="shared" si="164"/>
        <v>44066</v>
      </c>
      <c r="B196" s="15" t="s">
        <v>5</v>
      </c>
      <c r="C196" s="34"/>
      <c r="D196" s="13">
        <v>80</v>
      </c>
      <c r="E196" s="13">
        <v>29.25</v>
      </c>
      <c r="F196" s="13">
        <v>0</v>
      </c>
      <c r="G196" s="13">
        <v>0</v>
      </c>
      <c r="H196" s="13">
        <v>0</v>
      </c>
      <c r="I196" s="13">
        <v>12.807</v>
      </c>
      <c r="J196" s="13">
        <v>0</v>
      </c>
      <c r="K196" s="13">
        <v>0</v>
      </c>
      <c r="L196" s="10">
        <v>0</v>
      </c>
      <c r="M196" s="34"/>
      <c r="N196" s="13">
        <v>80</v>
      </c>
      <c r="O196" s="13">
        <v>29.25</v>
      </c>
      <c r="P196" s="13">
        <v>0</v>
      </c>
      <c r="Q196" s="13">
        <v>0</v>
      </c>
      <c r="R196" s="34"/>
      <c r="S196" s="13">
        <f t="shared" si="209"/>
        <v>109.25</v>
      </c>
      <c r="T196" s="13">
        <f t="shared" si="206"/>
        <v>109.25</v>
      </c>
      <c r="U196" s="13">
        <f t="shared" ref="U196:U200" si="216">SUM(H196:K196)</f>
        <v>12.807</v>
      </c>
      <c r="V196" s="34"/>
      <c r="W196" s="10">
        <v>27.2</v>
      </c>
      <c r="X196" s="10">
        <f t="shared" si="214"/>
        <v>3369.3999999999996</v>
      </c>
      <c r="Y196" s="10">
        <f t="shared" ref="Y196:Y200" si="217">(W196*0*H196)+(W196*1*I196)</f>
        <v>348.35039999999998</v>
      </c>
      <c r="Z196" s="10">
        <f t="shared" si="211"/>
        <v>0</v>
      </c>
      <c r="AA196" s="14">
        <f t="shared" si="212"/>
        <v>0</v>
      </c>
      <c r="AB196" s="14">
        <f t="shared" si="215"/>
        <v>3369.3999999999996</v>
      </c>
      <c r="AC196" s="11">
        <f t="shared" si="213"/>
        <v>-348.35039999999998</v>
      </c>
      <c r="AD196" s="215"/>
      <c r="AE196" s="11">
        <f t="shared" si="208"/>
        <v>0</v>
      </c>
      <c r="AF196" s="212"/>
      <c r="AG196" s="8"/>
    </row>
    <row r="197" spans="1:33" x14ac:dyDescent="0.45">
      <c r="A197" s="22">
        <f t="shared" si="164"/>
        <v>44066</v>
      </c>
      <c r="B197" s="15" t="s">
        <v>6</v>
      </c>
      <c r="C197" s="34"/>
      <c r="D197" s="13">
        <v>80</v>
      </c>
      <c r="E197" s="13">
        <v>11.5</v>
      </c>
      <c r="F197" s="13">
        <v>0</v>
      </c>
      <c r="G197" s="13">
        <v>0</v>
      </c>
      <c r="H197" s="13">
        <v>0</v>
      </c>
      <c r="I197" s="13">
        <v>0</v>
      </c>
      <c r="J197" s="13">
        <v>0</v>
      </c>
      <c r="K197" s="13">
        <v>0</v>
      </c>
      <c r="L197" s="10">
        <v>0</v>
      </c>
      <c r="M197" s="34"/>
      <c r="N197" s="13">
        <v>80</v>
      </c>
      <c r="O197" s="13">
        <v>11.5</v>
      </c>
      <c r="P197" s="13">
        <v>0</v>
      </c>
      <c r="Q197" s="13">
        <v>0</v>
      </c>
      <c r="R197" s="34"/>
      <c r="S197" s="13">
        <f t="shared" si="209"/>
        <v>91.5</v>
      </c>
      <c r="T197" s="13">
        <f t="shared" si="206"/>
        <v>91.5</v>
      </c>
      <c r="U197" s="13">
        <f t="shared" si="216"/>
        <v>0</v>
      </c>
      <c r="V197" s="34"/>
      <c r="W197" s="10">
        <v>23</v>
      </c>
      <c r="X197" s="10">
        <f t="shared" si="214"/>
        <v>2236.75</v>
      </c>
      <c r="Y197" s="10">
        <f t="shared" si="217"/>
        <v>0</v>
      </c>
      <c r="Z197" s="10">
        <f t="shared" si="211"/>
        <v>0</v>
      </c>
      <c r="AA197" s="14">
        <f t="shared" si="212"/>
        <v>0</v>
      </c>
      <c r="AB197" s="14">
        <f t="shared" si="215"/>
        <v>2236.75</v>
      </c>
      <c r="AC197" s="11">
        <f t="shared" si="213"/>
        <v>0</v>
      </c>
      <c r="AD197" s="215"/>
      <c r="AE197" s="11">
        <f t="shared" si="208"/>
        <v>0</v>
      </c>
      <c r="AF197" s="212"/>
      <c r="AG197" s="8"/>
    </row>
    <row r="198" spans="1:33" x14ac:dyDescent="0.45">
      <c r="A198" s="22">
        <f t="shared" si="164"/>
        <v>44066</v>
      </c>
      <c r="B198" s="15" t="s">
        <v>8</v>
      </c>
      <c r="C198" s="34"/>
      <c r="D198" s="13">
        <v>80</v>
      </c>
      <c r="E198" s="13">
        <v>19.75</v>
      </c>
      <c r="F198" s="13">
        <v>12</v>
      </c>
      <c r="G198" s="13">
        <v>9.75</v>
      </c>
      <c r="H198" s="13">
        <v>0</v>
      </c>
      <c r="I198" s="13">
        <v>8</v>
      </c>
      <c r="J198" s="13">
        <v>0</v>
      </c>
      <c r="K198" s="13">
        <v>0</v>
      </c>
      <c r="L198" s="10">
        <v>0</v>
      </c>
      <c r="M198" s="34"/>
      <c r="N198" s="13">
        <v>80</v>
      </c>
      <c r="O198" s="13">
        <v>19.25</v>
      </c>
      <c r="P198" s="13">
        <v>12.5</v>
      </c>
      <c r="Q198" s="13">
        <v>9.75</v>
      </c>
      <c r="R198" s="34"/>
      <c r="S198" s="13">
        <f t="shared" si="209"/>
        <v>121.5</v>
      </c>
      <c r="T198" s="13">
        <f t="shared" si="206"/>
        <v>121.5</v>
      </c>
      <c r="U198" s="13">
        <f t="shared" si="216"/>
        <v>8</v>
      </c>
      <c r="V198" s="34"/>
      <c r="W198" s="10">
        <v>23</v>
      </c>
      <c r="X198" s="10">
        <f t="shared" si="214"/>
        <v>3297.625</v>
      </c>
      <c r="Y198" s="10">
        <f t="shared" si="217"/>
        <v>184</v>
      </c>
      <c r="Z198" s="10">
        <f t="shared" si="211"/>
        <v>0</v>
      </c>
      <c r="AA198" s="14">
        <f t="shared" si="212"/>
        <v>0</v>
      </c>
      <c r="AB198" s="14">
        <f t="shared" si="215"/>
        <v>3303.375</v>
      </c>
      <c r="AC198" s="11">
        <f t="shared" si="213"/>
        <v>-184</v>
      </c>
      <c r="AD198" s="215"/>
      <c r="AE198" s="11">
        <f t="shared" si="208"/>
        <v>5.75</v>
      </c>
      <c r="AF198" s="212"/>
      <c r="AG198" s="8"/>
    </row>
    <row r="199" spans="1:33" x14ac:dyDescent="0.45">
      <c r="A199" s="22">
        <f t="shared" si="164"/>
        <v>44066</v>
      </c>
      <c r="B199" s="15" t="s">
        <v>9</v>
      </c>
      <c r="C199" s="34"/>
      <c r="D199" s="13">
        <v>80</v>
      </c>
      <c r="E199" s="13">
        <v>9.5</v>
      </c>
      <c r="F199" s="13">
        <v>0</v>
      </c>
      <c r="G199" s="13">
        <v>12</v>
      </c>
      <c r="H199" s="13">
        <v>0</v>
      </c>
      <c r="I199" s="13">
        <v>0</v>
      </c>
      <c r="J199" s="13">
        <v>0</v>
      </c>
      <c r="K199" s="13">
        <v>0</v>
      </c>
      <c r="L199" s="10">
        <v>0</v>
      </c>
      <c r="M199" s="34"/>
      <c r="N199" s="13">
        <v>80.2</v>
      </c>
      <c r="O199" s="13">
        <v>10.5</v>
      </c>
      <c r="P199" s="13">
        <v>0</v>
      </c>
      <c r="Q199" s="13">
        <v>12</v>
      </c>
      <c r="R199" s="34"/>
      <c r="S199" s="13">
        <f t="shared" si="209"/>
        <v>101.5</v>
      </c>
      <c r="T199" s="13">
        <f t="shared" si="206"/>
        <v>102.7</v>
      </c>
      <c r="U199" s="13">
        <f t="shared" si="216"/>
        <v>0</v>
      </c>
      <c r="V199" s="34"/>
      <c r="W199" s="10">
        <v>26.7</v>
      </c>
      <c r="X199" s="10">
        <f t="shared" si="214"/>
        <v>2836.875</v>
      </c>
      <c r="Y199" s="10">
        <f t="shared" si="217"/>
        <v>0</v>
      </c>
      <c r="Z199" s="10">
        <f t="shared" si="211"/>
        <v>0</v>
      </c>
      <c r="AA199" s="14">
        <f t="shared" si="212"/>
        <v>0</v>
      </c>
      <c r="AB199" s="14">
        <f t="shared" si="215"/>
        <v>2882.2650000000003</v>
      </c>
      <c r="AC199" s="11">
        <f t="shared" si="213"/>
        <v>0</v>
      </c>
      <c r="AD199" s="215"/>
      <c r="AE199" s="11">
        <f t="shared" si="208"/>
        <v>45.390000000000327</v>
      </c>
      <c r="AF199" s="212"/>
      <c r="AG199" s="8"/>
    </row>
    <row r="200" spans="1:33" ht="14.65" thickBot="1" x14ac:dyDescent="0.5">
      <c r="A200" s="23">
        <f t="shared" si="164"/>
        <v>44066</v>
      </c>
      <c r="B200" s="24" t="s">
        <v>31</v>
      </c>
      <c r="C200" s="35"/>
      <c r="D200" s="25">
        <v>80</v>
      </c>
      <c r="E200" s="25">
        <v>10.25</v>
      </c>
      <c r="F200" s="25">
        <v>0</v>
      </c>
      <c r="G200" s="25">
        <v>0</v>
      </c>
      <c r="H200" s="25">
        <v>0</v>
      </c>
      <c r="I200" s="25">
        <v>6.4909999999999997</v>
      </c>
      <c r="J200" s="25">
        <v>0</v>
      </c>
      <c r="K200" s="25">
        <v>0</v>
      </c>
      <c r="L200" s="26">
        <v>0</v>
      </c>
      <c r="M200" s="35"/>
      <c r="N200" s="25">
        <v>80</v>
      </c>
      <c r="O200" s="25">
        <v>10.25</v>
      </c>
      <c r="P200" s="25">
        <v>0</v>
      </c>
      <c r="Q200" s="25">
        <v>0</v>
      </c>
      <c r="R200" s="35"/>
      <c r="S200" s="25">
        <f t="shared" si="209"/>
        <v>90.25</v>
      </c>
      <c r="T200" s="25">
        <f t="shared" si="206"/>
        <v>90.25</v>
      </c>
      <c r="U200" s="25">
        <f t="shared" si="216"/>
        <v>6.4909999999999997</v>
      </c>
      <c r="V200" s="35"/>
      <c r="W200" s="26">
        <v>25.7</v>
      </c>
      <c r="X200" s="26">
        <f t="shared" si="214"/>
        <v>2451.1374999999998</v>
      </c>
      <c r="Y200" s="26">
        <f t="shared" si="217"/>
        <v>166.81869999999998</v>
      </c>
      <c r="Z200" s="26">
        <f t="shared" si="211"/>
        <v>0</v>
      </c>
      <c r="AA200" s="27">
        <f t="shared" si="212"/>
        <v>0</v>
      </c>
      <c r="AB200" s="27">
        <f t="shared" si="215"/>
        <v>2451.1374999999998</v>
      </c>
      <c r="AC200" s="12">
        <f t="shared" si="213"/>
        <v>-166.81869999999998</v>
      </c>
      <c r="AD200" s="216"/>
      <c r="AE200" s="12">
        <f t="shared" si="208"/>
        <v>0</v>
      </c>
      <c r="AF200" s="213"/>
      <c r="AG200" s="8"/>
    </row>
    <row r="201" spans="1:33" x14ac:dyDescent="0.45">
      <c r="A201" s="16">
        <f>A200+14</f>
        <v>44080</v>
      </c>
      <c r="B201" s="17" t="s">
        <v>0</v>
      </c>
      <c r="C201" s="33"/>
      <c r="D201" s="18">
        <v>80</v>
      </c>
      <c r="E201" s="18">
        <v>26</v>
      </c>
      <c r="F201" s="18">
        <v>6</v>
      </c>
      <c r="G201" s="18">
        <v>0</v>
      </c>
      <c r="H201" s="18">
        <v>0</v>
      </c>
      <c r="I201" s="18">
        <v>0</v>
      </c>
      <c r="J201" s="18">
        <v>0</v>
      </c>
      <c r="K201" s="18">
        <v>0</v>
      </c>
      <c r="L201" s="19">
        <v>0</v>
      </c>
      <c r="M201" s="33"/>
      <c r="N201" s="18">
        <v>80</v>
      </c>
      <c r="O201" s="18">
        <v>26</v>
      </c>
      <c r="P201" s="18">
        <v>6</v>
      </c>
      <c r="Q201" s="18">
        <v>0</v>
      </c>
      <c r="R201" s="33"/>
      <c r="S201" s="36">
        <f>SUM(D201:G201)</f>
        <v>112</v>
      </c>
      <c r="T201" s="36">
        <f t="shared" ref="T201:T209" si="218">SUM(N201:Q201)</f>
        <v>112</v>
      </c>
      <c r="U201" s="18">
        <f t="shared" ref="U201:U203" si="219">SUM(H201:K201)</f>
        <v>0</v>
      </c>
      <c r="V201" s="33"/>
      <c r="W201" s="19">
        <v>26.4</v>
      </c>
      <c r="X201" s="19">
        <f t="shared" si="214"/>
        <v>3458.3999999999996</v>
      </c>
      <c r="Y201" s="19">
        <f>(W201*0*H201)+(W201*1*I201)</f>
        <v>0</v>
      </c>
      <c r="Z201" s="19">
        <f>(W201*1*J201)+L201</f>
        <v>0</v>
      </c>
      <c r="AA201" s="20">
        <f>(W201*1*K201)</f>
        <v>0</v>
      </c>
      <c r="AB201" s="20">
        <f t="shared" si="215"/>
        <v>3458.3999999999996</v>
      </c>
      <c r="AC201" s="21">
        <f>0-Y201-AA201</f>
        <v>0</v>
      </c>
      <c r="AD201" s="214">
        <f>SUM(AC201:AC209)</f>
        <v>-714.07</v>
      </c>
      <c r="AE201" s="21">
        <f t="shared" ref="AE201:AE209" si="220">AB201-(X201+Z201)</f>
        <v>0</v>
      </c>
      <c r="AF201" s="211">
        <f>SUM(AE201:AE209)</f>
        <v>22.324999999999363</v>
      </c>
      <c r="AG201" s="8"/>
    </row>
    <row r="202" spans="1:33" x14ac:dyDescent="0.45">
      <c r="A202" s="22">
        <f t="shared" si="164"/>
        <v>44080</v>
      </c>
      <c r="B202" s="15" t="s">
        <v>30</v>
      </c>
      <c r="C202" s="34"/>
      <c r="D202" s="13">
        <v>80</v>
      </c>
      <c r="E202" s="13">
        <v>6.75</v>
      </c>
      <c r="F202" s="13">
        <v>0</v>
      </c>
      <c r="G202" s="13">
        <v>0</v>
      </c>
      <c r="H202" s="13">
        <v>0</v>
      </c>
      <c r="I202" s="13">
        <v>0</v>
      </c>
      <c r="J202" s="13">
        <v>0</v>
      </c>
      <c r="K202" s="13">
        <v>0</v>
      </c>
      <c r="L202" s="10">
        <v>0</v>
      </c>
      <c r="M202" s="34"/>
      <c r="N202" s="13">
        <v>80</v>
      </c>
      <c r="O202" s="13">
        <v>6.75</v>
      </c>
      <c r="P202" s="13">
        <v>0</v>
      </c>
      <c r="Q202" s="13">
        <v>0</v>
      </c>
      <c r="R202" s="34"/>
      <c r="S202" s="13">
        <f t="shared" ref="S202:S209" si="221">SUM(D202:G202)</f>
        <v>86.75</v>
      </c>
      <c r="T202" s="13">
        <f t="shared" si="218"/>
        <v>86.75</v>
      </c>
      <c r="U202" s="13">
        <f t="shared" si="219"/>
        <v>0</v>
      </c>
      <c r="V202" s="34"/>
      <c r="W202" s="10">
        <v>30.8</v>
      </c>
      <c r="X202" s="10">
        <f t="shared" si="214"/>
        <v>2775.85</v>
      </c>
      <c r="Y202" s="10">
        <f t="shared" ref="Y202:Y209" si="222">(W202*0*H202)+(W202*1*I202)</f>
        <v>0</v>
      </c>
      <c r="Z202" s="10">
        <f t="shared" ref="Z202:Z209" si="223">(W202*1*J202)+L202</f>
        <v>0</v>
      </c>
      <c r="AA202" s="14">
        <f t="shared" ref="AA202:AA209" si="224">(W202*1*K202)</f>
        <v>0</v>
      </c>
      <c r="AB202" s="14">
        <f t="shared" si="215"/>
        <v>2775.85</v>
      </c>
      <c r="AC202" s="11">
        <f t="shared" ref="AC202:AC209" si="225">0-Y202-AA202</f>
        <v>0</v>
      </c>
      <c r="AD202" s="215"/>
      <c r="AE202" s="11">
        <f t="shared" si="220"/>
        <v>0</v>
      </c>
      <c r="AF202" s="212"/>
      <c r="AG202" s="8"/>
    </row>
    <row r="203" spans="1:33" x14ac:dyDescent="0.45">
      <c r="A203" s="22">
        <f t="shared" si="164"/>
        <v>44080</v>
      </c>
      <c r="B203" s="15" t="s">
        <v>3</v>
      </c>
      <c r="C203" s="34"/>
      <c r="D203" s="13">
        <v>80</v>
      </c>
      <c r="E203" s="13">
        <v>21.5</v>
      </c>
      <c r="F203" s="13">
        <v>0</v>
      </c>
      <c r="G203" s="13">
        <v>0</v>
      </c>
      <c r="H203" s="13">
        <v>0</v>
      </c>
      <c r="I203" s="13">
        <f>114.29/W203</f>
        <v>4.0101754385964918</v>
      </c>
      <c r="J203" s="13">
        <v>0</v>
      </c>
      <c r="K203" s="13">
        <v>0</v>
      </c>
      <c r="L203" s="10">
        <v>0</v>
      </c>
      <c r="M203" s="34"/>
      <c r="N203" s="13">
        <v>80</v>
      </c>
      <c r="O203" s="13">
        <v>21.5</v>
      </c>
      <c r="P203" s="13">
        <v>0</v>
      </c>
      <c r="Q203" s="13">
        <v>0</v>
      </c>
      <c r="R203" s="34"/>
      <c r="S203" s="13">
        <f t="shared" si="221"/>
        <v>101.5</v>
      </c>
      <c r="T203" s="13">
        <f t="shared" si="218"/>
        <v>101.5</v>
      </c>
      <c r="U203" s="13">
        <f t="shared" si="219"/>
        <v>4.0101754385964918</v>
      </c>
      <c r="V203" s="34"/>
      <c r="W203" s="10">
        <v>28.5</v>
      </c>
      <c r="X203" s="10">
        <f>(W203*1*D203)+(W203*1.5*E203)+(W203*2*F203)+(W203*1*G203)</f>
        <v>3199.125</v>
      </c>
      <c r="Y203" s="10">
        <f t="shared" si="222"/>
        <v>114.29000000000002</v>
      </c>
      <c r="Z203" s="10">
        <f t="shared" si="223"/>
        <v>0</v>
      </c>
      <c r="AA203" s="14">
        <f t="shared" si="224"/>
        <v>0</v>
      </c>
      <c r="AB203" s="14">
        <f>(W203*1*N203)+(W203*1.5*O203)+(W203*2*P203)+(W203*1*Q203)</f>
        <v>3199.125</v>
      </c>
      <c r="AC203" s="11">
        <f t="shared" si="225"/>
        <v>-114.29000000000002</v>
      </c>
      <c r="AD203" s="215"/>
      <c r="AE203" s="11">
        <f t="shared" si="220"/>
        <v>0</v>
      </c>
      <c r="AF203" s="212"/>
      <c r="AG203" s="8"/>
    </row>
    <row r="204" spans="1:33" x14ac:dyDescent="0.45">
      <c r="A204" s="22">
        <f t="shared" si="164"/>
        <v>44080</v>
      </c>
      <c r="B204" s="15" t="s">
        <v>4</v>
      </c>
      <c r="C204" s="34"/>
      <c r="D204" s="13">
        <v>80</v>
      </c>
      <c r="E204" s="13">
        <v>66.5</v>
      </c>
      <c r="F204" s="13">
        <v>20</v>
      </c>
      <c r="G204" s="13">
        <v>0</v>
      </c>
      <c r="H204" s="13">
        <v>0</v>
      </c>
      <c r="I204" s="13">
        <f>202.17/W204</f>
        <v>8.7899999999999991</v>
      </c>
      <c r="J204" s="13">
        <v>0</v>
      </c>
      <c r="K204" s="13">
        <v>0</v>
      </c>
      <c r="L204" s="10">
        <v>0</v>
      </c>
      <c r="M204" s="34"/>
      <c r="N204" s="13">
        <v>80</v>
      </c>
      <c r="O204" s="13">
        <v>64</v>
      </c>
      <c r="P204" s="13">
        <v>22.5</v>
      </c>
      <c r="Q204" s="13">
        <v>0</v>
      </c>
      <c r="R204" s="34"/>
      <c r="S204" s="13">
        <f t="shared" si="221"/>
        <v>166.5</v>
      </c>
      <c r="T204" s="13">
        <f t="shared" si="218"/>
        <v>166.5</v>
      </c>
      <c r="U204" s="13">
        <f>SUM(H204:K204)</f>
        <v>8.7899999999999991</v>
      </c>
      <c r="V204" s="34"/>
      <c r="W204" s="10">
        <v>23</v>
      </c>
      <c r="X204" s="10">
        <f t="shared" ref="X204:X211" si="226">(W204*1*D204)+(W204*1.5*E204)+(W204*2*F204)+(W204*1*G204)</f>
        <v>5054.25</v>
      </c>
      <c r="Y204" s="10">
        <f t="shared" si="222"/>
        <v>202.17</v>
      </c>
      <c r="Z204" s="10">
        <f t="shared" si="223"/>
        <v>0</v>
      </c>
      <c r="AA204" s="14">
        <f t="shared" si="224"/>
        <v>0</v>
      </c>
      <c r="AB204" s="14">
        <f t="shared" ref="AB204:AB211" si="227">(W204*1*N204)+(W204*1.5*O204)+(W204*2*P204)+(W204*1*Q204)</f>
        <v>5083</v>
      </c>
      <c r="AC204" s="11">
        <f t="shared" si="225"/>
        <v>-202.17</v>
      </c>
      <c r="AD204" s="215"/>
      <c r="AE204" s="11">
        <f t="shared" si="220"/>
        <v>28.75</v>
      </c>
      <c r="AF204" s="212"/>
      <c r="AG204" s="8"/>
    </row>
    <row r="205" spans="1:33" x14ac:dyDescent="0.45">
      <c r="A205" s="22">
        <f t="shared" si="164"/>
        <v>44080</v>
      </c>
      <c r="B205" s="15" t="s">
        <v>5</v>
      </c>
      <c r="C205" s="34"/>
      <c r="D205" s="13">
        <v>80</v>
      </c>
      <c r="E205" s="13">
        <v>27.25</v>
      </c>
      <c r="F205" s="13">
        <v>0</v>
      </c>
      <c r="G205" s="13">
        <v>0</v>
      </c>
      <c r="H205" s="13">
        <v>0</v>
      </c>
      <c r="I205" s="13">
        <f>187.33/W205</f>
        <v>6.887132352941177</v>
      </c>
      <c r="J205" s="13">
        <v>0</v>
      </c>
      <c r="K205" s="13">
        <v>0</v>
      </c>
      <c r="L205" s="10">
        <v>0</v>
      </c>
      <c r="M205" s="34"/>
      <c r="N205" s="13">
        <v>80</v>
      </c>
      <c r="O205" s="13">
        <v>27.25</v>
      </c>
      <c r="P205" s="13">
        <v>0</v>
      </c>
      <c r="Q205" s="13">
        <v>0</v>
      </c>
      <c r="R205" s="34"/>
      <c r="S205" s="13">
        <f t="shared" si="221"/>
        <v>107.25</v>
      </c>
      <c r="T205" s="13">
        <f t="shared" si="218"/>
        <v>107.25</v>
      </c>
      <c r="U205" s="13">
        <f t="shared" ref="U205:U209" si="228">SUM(H205:K205)</f>
        <v>6.887132352941177</v>
      </c>
      <c r="V205" s="34"/>
      <c r="W205" s="10">
        <v>27.2</v>
      </c>
      <c r="X205" s="10">
        <f t="shared" si="226"/>
        <v>3287.8</v>
      </c>
      <c r="Y205" s="10">
        <f t="shared" si="222"/>
        <v>187.33</v>
      </c>
      <c r="Z205" s="10">
        <f t="shared" si="223"/>
        <v>0</v>
      </c>
      <c r="AA205" s="14">
        <f t="shared" si="224"/>
        <v>0</v>
      </c>
      <c r="AB205" s="14">
        <f t="shared" si="227"/>
        <v>3287.8</v>
      </c>
      <c r="AC205" s="11">
        <f t="shared" si="225"/>
        <v>-187.33</v>
      </c>
      <c r="AD205" s="215"/>
      <c r="AE205" s="11">
        <f t="shared" si="220"/>
        <v>0</v>
      </c>
      <c r="AF205" s="212"/>
      <c r="AG205" s="8"/>
    </row>
    <row r="206" spans="1:33" x14ac:dyDescent="0.45">
      <c r="A206" s="22">
        <f t="shared" si="164"/>
        <v>44080</v>
      </c>
      <c r="B206" s="15" t="s">
        <v>6</v>
      </c>
      <c r="C206" s="34"/>
      <c r="D206" s="13">
        <v>80</v>
      </c>
      <c r="E206" s="13">
        <v>27</v>
      </c>
      <c r="F206" s="13">
        <v>8</v>
      </c>
      <c r="G206" s="13">
        <v>0</v>
      </c>
      <c r="H206" s="13">
        <v>0</v>
      </c>
      <c r="I206" s="13">
        <v>0</v>
      </c>
      <c r="J206" s="13">
        <v>0</v>
      </c>
      <c r="K206" s="13">
        <v>0</v>
      </c>
      <c r="L206" s="10">
        <v>0</v>
      </c>
      <c r="M206" s="34"/>
      <c r="N206" s="13">
        <v>80</v>
      </c>
      <c r="O206" s="13">
        <v>27</v>
      </c>
      <c r="P206" s="13">
        <v>8</v>
      </c>
      <c r="Q206" s="13">
        <v>0</v>
      </c>
      <c r="R206" s="34"/>
      <c r="S206" s="13">
        <f t="shared" si="221"/>
        <v>115</v>
      </c>
      <c r="T206" s="13">
        <f t="shared" si="218"/>
        <v>115</v>
      </c>
      <c r="U206" s="13">
        <f t="shared" si="228"/>
        <v>0</v>
      </c>
      <c r="V206" s="34"/>
      <c r="W206" s="10">
        <v>23</v>
      </c>
      <c r="X206" s="10">
        <f t="shared" si="226"/>
        <v>3139.5</v>
      </c>
      <c r="Y206" s="10">
        <f t="shared" si="222"/>
        <v>0</v>
      </c>
      <c r="Z206" s="10">
        <f t="shared" si="223"/>
        <v>0</v>
      </c>
      <c r="AA206" s="14">
        <f t="shared" si="224"/>
        <v>0</v>
      </c>
      <c r="AB206" s="14">
        <f t="shared" si="227"/>
        <v>3139.5</v>
      </c>
      <c r="AC206" s="11">
        <f t="shared" si="225"/>
        <v>0</v>
      </c>
      <c r="AD206" s="215"/>
      <c r="AE206" s="11">
        <f t="shared" si="220"/>
        <v>0</v>
      </c>
      <c r="AF206" s="212"/>
      <c r="AG206" s="8"/>
    </row>
    <row r="207" spans="1:33" x14ac:dyDescent="0.45">
      <c r="A207" s="22">
        <f t="shared" si="164"/>
        <v>44080</v>
      </c>
      <c r="B207" s="15" t="s">
        <v>8</v>
      </c>
      <c r="C207" s="34"/>
      <c r="D207" s="13">
        <v>80</v>
      </c>
      <c r="E207" s="13">
        <v>19.5</v>
      </c>
      <c r="F207" s="13">
        <v>8</v>
      </c>
      <c r="G207" s="13">
        <v>0</v>
      </c>
      <c r="H207" s="13">
        <v>0</v>
      </c>
      <c r="I207" s="13">
        <v>0</v>
      </c>
      <c r="J207" s="13">
        <v>0</v>
      </c>
      <c r="K207" s="13">
        <v>0</v>
      </c>
      <c r="L207" s="10">
        <v>0</v>
      </c>
      <c r="M207" s="34"/>
      <c r="N207" s="13">
        <v>80</v>
      </c>
      <c r="O207" s="13">
        <v>19.5</v>
      </c>
      <c r="P207" s="13">
        <v>8</v>
      </c>
      <c r="Q207" s="13">
        <v>0</v>
      </c>
      <c r="R207" s="34"/>
      <c r="S207" s="13">
        <f t="shared" si="221"/>
        <v>107.5</v>
      </c>
      <c r="T207" s="13">
        <f t="shared" si="218"/>
        <v>107.5</v>
      </c>
      <c r="U207" s="13">
        <f t="shared" si="228"/>
        <v>0</v>
      </c>
      <c r="V207" s="34"/>
      <c r="W207" s="10">
        <v>23</v>
      </c>
      <c r="X207" s="10">
        <f t="shared" si="226"/>
        <v>2880.75</v>
      </c>
      <c r="Y207" s="10">
        <f t="shared" si="222"/>
        <v>0</v>
      </c>
      <c r="Z207" s="10">
        <f t="shared" si="223"/>
        <v>0</v>
      </c>
      <c r="AA207" s="14">
        <f t="shared" si="224"/>
        <v>0</v>
      </c>
      <c r="AB207" s="14">
        <f t="shared" si="227"/>
        <v>2880.75</v>
      </c>
      <c r="AC207" s="11">
        <f t="shared" si="225"/>
        <v>0</v>
      </c>
      <c r="AD207" s="215"/>
      <c r="AE207" s="11">
        <f t="shared" si="220"/>
        <v>0</v>
      </c>
      <c r="AF207" s="212"/>
      <c r="AG207" s="8"/>
    </row>
    <row r="208" spans="1:33" x14ac:dyDescent="0.45">
      <c r="A208" s="22">
        <f t="shared" si="164"/>
        <v>44080</v>
      </c>
      <c r="B208" s="15" t="s">
        <v>9</v>
      </c>
      <c r="C208" s="34"/>
      <c r="D208" s="13">
        <v>80</v>
      </c>
      <c r="E208" s="13">
        <v>11</v>
      </c>
      <c r="F208" s="13">
        <v>0</v>
      </c>
      <c r="G208" s="13">
        <v>0</v>
      </c>
      <c r="H208" s="13">
        <v>0</v>
      </c>
      <c r="I208" s="13">
        <f>86.97/W208</f>
        <v>3.2573033707865169</v>
      </c>
      <c r="J208" s="13">
        <v>0</v>
      </c>
      <c r="K208" s="13">
        <v>0</v>
      </c>
      <c r="L208" s="10">
        <v>0</v>
      </c>
      <c r="M208" s="34"/>
      <c r="N208" s="13">
        <v>80</v>
      </c>
      <c r="O208" s="13">
        <v>11</v>
      </c>
      <c r="P208" s="13">
        <v>0</v>
      </c>
      <c r="Q208" s="13">
        <v>0</v>
      </c>
      <c r="R208" s="34"/>
      <c r="S208" s="13">
        <f t="shared" si="221"/>
        <v>91</v>
      </c>
      <c r="T208" s="13">
        <f t="shared" si="218"/>
        <v>91</v>
      </c>
      <c r="U208" s="13">
        <f t="shared" si="228"/>
        <v>3.2573033707865169</v>
      </c>
      <c r="V208" s="34"/>
      <c r="W208" s="10">
        <v>26.7</v>
      </c>
      <c r="X208" s="10">
        <f t="shared" si="226"/>
        <v>2576.5500000000002</v>
      </c>
      <c r="Y208" s="10">
        <f t="shared" si="222"/>
        <v>86.97</v>
      </c>
      <c r="Z208" s="10">
        <f t="shared" si="223"/>
        <v>0</v>
      </c>
      <c r="AA208" s="14">
        <f t="shared" si="224"/>
        <v>0</v>
      </c>
      <c r="AB208" s="14">
        <f t="shared" si="227"/>
        <v>2576.5500000000002</v>
      </c>
      <c r="AC208" s="11">
        <f t="shared" si="225"/>
        <v>-86.97</v>
      </c>
      <c r="AD208" s="215"/>
      <c r="AE208" s="11">
        <f t="shared" si="220"/>
        <v>0</v>
      </c>
      <c r="AF208" s="212"/>
      <c r="AG208" s="8"/>
    </row>
    <row r="209" spans="1:33" ht="14.65" thickBot="1" x14ac:dyDescent="0.5">
      <c r="A209" s="23">
        <f t="shared" si="164"/>
        <v>44080</v>
      </c>
      <c r="B209" s="24" t="s">
        <v>31</v>
      </c>
      <c r="C209" s="35"/>
      <c r="D209" s="25">
        <v>80</v>
      </c>
      <c r="E209" s="25">
        <v>7.5</v>
      </c>
      <c r="F209" s="25">
        <v>12</v>
      </c>
      <c r="G209" s="25">
        <v>7.5</v>
      </c>
      <c r="H209" s="25">
        <v>0</v>
      </c>
      <c r="I209" s="25">
        <f>123.31/W209</f>
        <v>4.798054474708171</v>
      </c>
      <c r="J209" s="25">
        <v>0</v>
      </c>
      <c r="K209" s="25">
        <v>0</v>
      </c>
      <c r="L209" s="26">
        <v>0</v>
      </c>
      <c r="M209" s="35"/>
      <c r="N209" s="25">
        <v>80</v>
      </c>
      <c r="O209" s="25">
        <v>7</v>
      </c>
      <c r="P209" s="25">
        <v>12</v>
      </c>
      <c r="Q209" s="25">
        <v>8</v>
      </c>
      <c r="R209" s="35"/>
      <c r="S209" s="25">
        <f t="shared" si="221"/>
        <v>107</v>
      </c>
      <c r="T209" s="25">
        <f t="shared" si="218"/>
        <v>107</v>
      </c>
      <c r="U209" s="25">
        <f t="shared" si="228"/>
        <v>4.798054474708171</v>
      </c>
      <c r="V209" s="35"/>
      <c r="W209" s="26">
        <v>25.7</v>
      </c>
      <c r="X209" s="26">
        <f t="shared" si="226"/>
        <v>3154.6750000000002</v>
      </c>
      <c r="Y209" s="26">
        <f t="shared" si="222"/>
        <v>123.30999999999999</v>
      </c>
      <c r="Z209" s="26">
        <f t="shared" si="223"/>
        <v>0</v>
      </c>
      <c r="AA209" s="27">
        <f t="shared" si="224"/>
        <v>0</v>
      </c>
      <c r="AB209" s="27">
        <f t="shared" si="227"/>
        <v>3148.2499999999995</v>
      </c>
      <c r="AC209" s="12">
        <f t="shared" si="225"/>
        <v>-123.30999999999999</v>
      </c>
      <c r="AD209" s="216"/>
      <c r="AE209" s="12">
        <f t="shared" si="220"/>
        <v>-6.4250000000006366</v>
      </c>
      <c r="AF209" s="213"/>
      <c r="AG209" s="8"/>
    </row>
    <row r="210" spans="1:33" x14ac:dyDescent="0.45">
      <c r="A210" s="16">
        <f>A209+14</f>
        <v>44094</v>
      </c>
      <c r="B210" s="17" t="s">
        <v>0</v>
      </c>
      <c r="C210" s="33"/>
      <c r="D210" s="18">
        <v>72</v>
      </c>
      <c r="E210" s="41">
        <v>8</v>
      </c>
      <c r="F210" s="18">
        <v>0</v>
      </c>
      <c r="G210" s="18">
        <v>0</v>
      </c>
      <c r="H210" s="18">
        <v>0</v>
      </c>
      <c r="I210" s="18">
        <v>0</v>
      </c>
      <c r="J210" s="18">
        <v>8</v>
      </c>
      <c r="K210" s="18">
        <v>0</v>
      </c>
      <c r="L210" s="19">
        <v>0</v>
      </c>
      <c r="M210" s="33"/>
      <c r="N210" s="18">
        <v>72</v>
      </c>
      <c r="O210" s="18">
        <v>8</v>
      </c>
      <c r="P210" s="18">
        <v>0</v>
      </c>
      <c r="Q210" s="18">
        <v>0</v>
      </c>
      <c r="R210" s="33"/>
      <c r="S210" s="36">
        <f>SUM(D210:G210)</f>
        <v>80</v>
      </c>
      <c r="T210" s="36">
        <f t="shared" ref="T210:T218" si="229">SUM(N210:Q210)</f>
        <v>80</v>
      </c>
      <c r="U210" s="18">
        <f t="shared" ref="U210:U212" si="230">SUM(H210:K210)</f>
        <v>8</v>
      </c>
      <c r="V210" s="33"/>
      <c r="W210" s="19">
        <v>26.4</v>
      </c>
      <c r="X210" s="19">
        <f t="shared" si="226"/>
        <v>2217.6</v>
      </c>
      <c r="Y210" s="19">
        <f>(W210*0*H210)+(W210*1*I210)</f>
        <v>0</v>
      </c>
      <c r="Z210" s="19">
        <f>(W210*1*J210)+L210</f>
        <v>211.2</v>
      </c>
      <c r="AA210" s="20">
        <f>(W210*1*K210)</f>
        <v>0</v>
      </c>
      <c r="AB210" s="20">
        <f t="shared" si="227"/>
        <v>2217.6</v>
      </c>
      <c r="AC210" s="21">
        <f>0-Y210-AA210</f>
        <v>0</v>
      </c>
      <c r="AD210" s="214">
        <f>SUM(AC210:AC218)</f>
        <v>-46</v>
      </c>
      <c r="AE210" s="21">
        <f t="shared" ref="AE210:AE218" si="231">AB210-(X210+Z210)</f>
        <v>-211.19999999999982</v>
      </c>
      <c r="AF210" s="211">
        <f>SUM(AE210:AE218)</f>
        <v>-1337.8875000000016</v>
      </c>
      <c r="AG210" s="8"/>
    </row>
    <row r="211" spans="1:33" x14ac:dyDescent="0.45">
      <c r="A211" s="22">
        <f t="shared" si="164"/>
        <v>44094</v>
      </c>
      <c r="B211" s="15" t="s">
        <v>30</v>
      </c>
      <c r="C211" s="34"/>
      <c r="D211" s="13">
        <v>72</v>
      </c>
      <c r="E211" s="13">
        <v>12.75</v>
      </c>
      <c r="F211" s="13">
        <v>0</v>
      </c>
      <c r="G211" s="13">
        <v>0</v>
      </c>
      <c r="H211" s="13">
        <v>0</v>
      </c>
      <c r="I211" s="13">
        <v>0</v>
      </c>
      <c r="J211" s="13">
        <v>8</v>
      </c>
      <c r="K211" s="13">
        <v>0</v>
      </c>
      <c r="L211" s="10">
        <v>0</v>
      </c>
      <c r="M211" s="34"/>
      <c r="N211" s="13">
        <v>72</v>
      </c>
      <c r="O211" s="13">
        <v>13</v>
      </c>
      <c r="P211" s="13">
        <v>0</v>
      </c>
      <c r="Q211" s="13">
        <v>0</v>
      </c>
      <c r="R211" s="34"/>
      <c r="S211" s="13">
        <f t="shared" ref="S211:S218" si="232">SUM(D211:G211)</f>
        <v>84.75</v>
      </c>
      <c r="T211" s="13">
        <f t="shared" si="229"/>
        <v>85</v>
      </c>
      <c r="U211" s="13">
        <f t="shared" si="230"/>
        <v>8</v>
      </c>
      <c r="V211" s="34"/>
      <c r="W211" s="10">
        <v>30.8</v>
      </c>
      <c r="X211" s="10">
        <f t="shared" si="226"/>
        <v>2806.65</v>
      </c>
      <c r="Y211" s="10">
        <f t="shared" ref="Y211:Y218" si="233">(W211*0*H211)+(W211*1*I211)</f>
        <v>0</v>
      </c>
      <c r="Z211" s="10">
        <f t="shared" ref="Z211:Z218" si="234">(W211*1*J211)+L211</f>
        <v>246.4</v>
      </c>
      <c r="AA211" s="14">
        <f t="shared" ref="AA211:AA218" si="235">(W211*1*K211)</f>
        <v>0</v>
      </c>
      <c r="AB211" s="14">
        <f t="shared" si="227"/>
        <v>2818.2</v>
      </c>
      <c r="AC211" s="11">
        <f t="shared" ref="AC211:AC218" si="236">0-Y211-AA211</f>
        <v>0</v>
      </c>
      <c r="AD211" s="215"/>
      <c r="AE211" s="11">
        <f t="shared" si="231"/>
        <v>-234.85000000000036</v>
      </c>
      <c r="AF211" s="212"/>
      <c r="AG211" s="8"/>
    </row>
    <row r="212" spans="1:33" x14ac:dyDescent="0.45">
      <c r="A212" s="22">
        <f t="shared" si="164"/>
        <v>44094</v>
      </c>
      <c r="B212" s="15" t="s">
        <v>3</v>
      </c>
      <c r="C212" s="34"/>
      <c r="D212" s="13">
        <v>66</v>
      </c>
      <c r="E212" s="13">
        <v>7</v>
      </c>
      <c r="F212" s="13">
        <v>0</v>
      </c>
      <c r="G212" s="13">
        <v>0</v>
      </c>
      <c r="H212" s="13">
        <v>0</v>
      </c>
      <c r="I212" s="13">
        <v>0</v>
      </c>
      <c r="J212" s="13">
        <v>8</v>
      </c>
      <c r="K212" s="13">
        <v>0</v>
      </c>
      <c r="L212" s="10">
        <v>0</v>
      </c>
      <c r="M212" s="34"/>
      <c r="N212" s="13">
        <v>66</v>
      </c>
      <c r="O212" s="13">
        <v>7</v>
      </c>
      <c r="P212" s="13">
        <v>0</v>
      </c>
      <c r="Q212" s="13">
        <v>0</v>
      </c>
      <c r="R212" s="34"/>
      <c r="S212" s="13">
        <f t="shared" si="232"/>
        <v>73</v>
      </c>
      <c r="T212" s="13">
        <f t="shared" si="229"/>
        <v>73</v>
      </c>
      <c r="U212" s="13">
        <f t="shared" si="230"/>
        <v>8</v>
      </c>
      <c r="V212" s="34"/>
      <c r="W212" s="10">
        <v>28.5</v>
      </c>
      <c r="X212" s="10">
        <f>(W212*1*D212)+(W212*1.5*E212)+(W212*2*F212)+(W212*1*G212)</f>
        <v>2180.25</v>
      </c>
      <c r="Y212" s="10">
        <f t="shared" si="233"/>
        <v>0</v>
      </c>
      <c r="Z212" s="10">
        <f t="shared" si="234"/>
        <v>228</v>
      </c>
      <c r="AA212" s="14">
        <f t="shared" si="235"/>
        <v>0</v>
      </c>
      <c r="AB212" s="14">
        <f>(W212*1*N212)+(W212*1.5*O212)+(W212*2*P212)+(W212*1*Q212)</f>
        <v>2180.25</v>
      </c>
      <c r="AC212" s="11">
        <f t="shared" si="236"/>
        <v>0</v>
      </c>
      <c r="AD212" s="215"/>
      <c r="AE212" s="11">
        <f t="shared" si="231"/>
        <v>-228</v>
      </c>
      <c r="AF212" s="212"/>
      <c r="AG212" s="8"/>
    </row>
    <row r="213" spans="1:33" x14ac:dyDescent="0.45">
      <c r="A213" s="22">
        <f t="shared" si="164"/>
        <v>44094</v>
      </c>
      <c r="B213" s="15" t="s">
        <v>4</v>
      </c>
      <c r="C213" s="34"/>
      <c r="D213" s="43">
        <v>72</v>
      </c>
      <c r="E213" s="43">
        <v>12</v>
      </c>
      <c r="F213" s="43">
        <v>0</v>
      </c>
      <c r="G213" s="43">
        <v>8.5</v>
      </c>
      <c r="H213" s="43">
        <v>0</v>
      </c>
      <c r="I213" s="43">
        <v>0</v>
      </c>
      <c r="J213" s="43">
        <v>8</v>
      </c>
      <c r="K213" s="43">
        <v>0</v>
      </c>
      <c r="L213" s="10">
        <v>0</v>
      </c>
      <c r="M213" s="34"/>
      <c r="N213" s="13">
        <v>80.5</v>
      </c>
      <c r="O213" s="13">
        <v>0</v>
      </c>
      <c r="P213" s="13">
        <v>13</v>
      </c>
      <c r="Q213" s="13">
        <v>0</v>
      </c>
      <c r="R213" s="34"/>
      <c r="S213" s="13">
        <f t="shared" si="232"/>
        <v>92.5</v>
      </c>
      <c r="T213" s="13">
        <f t="shared" si="229"/>
        <v>93.5</v>
      </c>
      <c r="U213" s="13">
        <f>SUM(H213:K213)</f>
        <v>8</v>
      </c>
      <c r="V213" s="34"/>
      <c r="W213" s="10">
        <v>23</v>
      </c>
      <c r="X213" s="10">
        <f t="shared" ref="X213:X220" si="237">(W213*1*D213)+(W213*1.5*E213)+(W213*2*F213)+(W213*1*G213)</f>
        <v>2265.5</v>
      </c>
      <c r="Y213" s="10">
        <f t="shared" si="233"/>
        <v>0</v>
      </c>
      <c r="Z213" s="10">
        <f t="shared" si="234"/>
        <v>184</v>
      </c>
      <c r="AA213" s="14">
        <f t="shared" si="235"/>
        <v>0</v>
      </c>
      <c r="AB213" s="14">
        <f t="shared" ref="AB213:AB220" si="238">(W213*1*N213)+(W213*1.5*O213)+(W213*2*P213)+(W213*1*Q213)</f>
        <v>2449.5</v>
      </c>
      <c r="AC213" s="11">
        <f t="shared" si="236"/>
        <v>0</v>
      </c>
      <c r="AD213" s="215"/>
      <c r="AE213" s="11">
        <f t="shared" si="231"/>
        <v>0</v>
      </c>
      <c r="AF213" s="212"/>
      <c r="AG213" s="8"/>
    </row>
    <row r="214" spans="1:33" x14ac:dyDescent="0.45">
      <c r="A214" s="22">
        <f t="shared" si="164"/>
        <v>44094</v>
      </c>
      <c r="B214" s="15" t="s">
        <v>5</v>
      </c>
      <c r="C214" s="34"/>
      <c r="D214" s="43">
        <v>72</v>
      </c>
      <c r="E214" s="43">
        <v>9.5</v>
      </c>
      <c r="F214" s="13">
        <v>0</v>
      </c>
      <c r="G214" s="13">
        <v>0</v>
      </c>
      <c r="H214" s="13">
        <v>0</v>
      </c>
      <c r="I214" s="13">
        <v>0</v>
      </c>
      <c r="J214" s="13">
        <v>8</v>
      </c>
      <c r="K214" s="13">
        <v>0</v>
      </c>
      <c r="L214" s="10">
        <v>0</v>
      </c>
      <c r="M214" s="34"/>
      <c r="N214" s="13">
        <v>72</v>
      </c>
      <c r="O214" s="13">
        <v>9.5</v>
      </c>
      <c r="P214" s="13">
        <v>0</v>
      </c>
      <c r="Q214" s="13">
        <v>0</v>
      </c>
      <c r="R214" s="34"/>
      <c r="S214" s="13">
        <f t="shared" si="232"/>
        <v>81.5</v>
      </c>
      <c r="T214" s="13">
        <f t="shared" si="229"/>
        <v>81.5</v>
      </c>
      <c r="U214" s="13">
        <f t="shared" ref="U214:U218" si="239">SUM(H214:K214)</f>
        <v>8</v>
      </c>
      <c r="V214" s="34"/>
      <c r="W214" s="10">
        <v>27.2</v>
      </c>
      <c r="X214" s="10">
        <f t="shared" si="237"/>
        <v>2346</v>
      </c>
      <c r="Y214" s="10">
        <f t="shared" si="233"/>
        <v>0</v>
      </c>
      <c r="Z214" s="10">
        <f t="shared" si="234"/>
        <v>217.6</v>
      </c>
      <c r="AA214" s="14">
        <f t="shared" si="235"/>
        <v>0</v>
      </c>
      <c r="AB214" s="14">
        <f t="shared" si="238"/>
        <v>2346</v>
      </c>
      <c r="AC214" s="11">
        <f t="shared" si="236"/>
        <v>0</v>
      </c>
      <c r="AD214" s="215"/>
      <c r="AE214" s="11">
        <f t="shared" si="231"/>
        <v>-217.59999999999991</v>
      </c>
      <c r="AF214" s="212"/>
      <c r="AG214" s="8"/>
    </row>
    <row r="215" spans="1:33" x14ac:dyDescent="0.45">
      <c r="A215" s="22">
        <f t="shared" si="164"/>
        <v>44094</v>
      </c>
      <c r="B215" s="15" t="s">
        <v>6</v>
      </c>
      <c r="C215" s="34"/>
      <c r="D215" s="13">
        <v>72</v>
      </c>
      <c r="E215" s="13">
        <v>14.75</v>
      </c>
      <c r="F215" s="13">
        <v>0</v>
      </c>
      <c r="G215" s="13">
        <v>0</v>
      </c>
      <c r="H215" s="13">
        <v>0</v>
      </c>
      <c r="I215" s="13">
        <v>0</v>
      </c>
      <c r="J215" s="13">
        <v>8</v>
      </c>
      <c r="K215" s="13">
        <v>0</v>
      </c>
      <c r="L215" s="10">
        <v>0</v>
      </c>
      <c r="M215" s="34"/>
      <c r="N215" s="13">
        <v>72</v>
      </c>
      <c r="O215" s="13">
        <v>14.75</v>
      </c>
      <c r="P215" s="13">
        <v>0</v>
      </c>
      <c r="Q215" s="13">
        <v>0</v>
      </c>
      <c r="R215" s="34"/>
      <c r="S215" s="13">
        <f t="shared" si="232"/>
        <v>86.75</v>
      </c>
      <c r="T215" s="13">
        <f t="shared" si="229"/>
        <v>86.75</v>
      </c>
      <c r="U215" s="13">
        <f t="shared" si="239"/>
        <v>8</v>
      </c>
      <c r="V215" s="34"/>
      <c r="W215" s="10">
        <v>23</v>
      </c>
      <c r="X215" s="10">
        <f t="shared" si="237"/>
        <v>2164.875</v>
      </c>
      <c r="Y215" s="10">
        <f t="shared" si="233"/>
        <v>0</v>
      </c>
      <c r="Z215" s="10">
        <f t="shared" si="234"/>
        <v>184</v>
      </c>
      <c r="AA215" s="14">
        <f t="shared" si="235"/>
        <v>0</v>
      </c>
      <c r="AB215" s="14">
        <f t="shared" si="238"/>
        <v>2164.875</v>
      </c>
      <c r="AC215" s="11">
        <f t="shared" si="236"/>
        <v>0</v>
      </c>
      <c r="AD215" s="215"/>
      <c r="AE215" s="11">
        <f t="shared" si="231"/>
        <v>-184</v>
      </c>
      <c r="AF215" s="212"/>
      <c r="AG215" s="8"/>
    </row>
    <row r="216" spans="1:33" x14ac:dyDescent="0.45">
      <c r="A216" s="22">
        <f t="shared" si="164"/>
        <v>44094</v>
      </c>
      <c r="B216" s="15" t="s">
        <v>8</v>
      </c>
      <c r="C216" s="34"/>
      <c r="D216" s="13">
        <v>66.75</v>
      </c>
      <c r="E216" s="13">
        <v>7.5</v>
      </c>
      <c r="F216" s="13">
        <v>0</v>
      </c>
      <c r="G216" s="13">
        <v>8.25</v>
      </c>
      <c r="H216" s="13">
        <v>0</v>
      </c>
      <c r="I216" s="13">
        <v>0</v>
      </c>
      <c r="J216" s="13">
        <v>8</v>
      </c>
      <c r="K216" s="13">
        <v>2</v>
      </c>
      <c r="L216" s="10">
        <v>0</v>
      </c>
      <c r="M216" s="34"/>
      <c r="N216" s="13">
        <v>77</v>
      </c>
      <c r="O216" s="13">
        <v>6.5</v>
      </c>
      <c r="P216" s="13">
        <v>0</v>
      </c>
      <c r="Q216" s="13">
        <v>0</v>
      </c>
      <c r="R216" s="34"/>
      <c r="S216" s="13">
        <f t="shared" si="232"/>
        <v>82.5</v>
      </c>
      <c r="T216" s="13">
        <f t="shared" si="229"/>
        <v>83.5</v>
      </c>
      <c r="U216" s="13">
        <f t="shared" si="239"/>
        <v>10</v>
      </c>
      <c r="V216" s="34"/>
      <c r="W216" s="10">
        <v>23</v>
      </c>
      <c r="X216" s="10">
        <f t="shared" si="237"/>
        <v>1983.75</v>
      </c>
      <c r="Y216" s="10">
        <f t="shared" si="233"/>
        <v>0</v>
      </c>
      <c r="Z216" s="10">
        <f t="shared" si="234"/>
        <v>184</v>
      </c>
      <c r="AA216" s="14">
        <f t="shared" si="235"/>
        <v>46</v>
      </c>
      <c r="AB216" s="14">
        <f t="shared" si="238"/>
        <v>1995.25</v>
      </c>
      <c r="AC216" s="11">
        <f t="shared" si="236"/>
        <v>-46</v>
      </c>
      <c r="AD216" s="215"/>
      <c r="AE216" s="11">
        <f t="shared" si="231"/>
        <v>-172.5</v>
      </c>
      <c r="AF216" s="212"/>
      <c r="AG216" s="8"/>
    </row>
    <row r="217" spans="1:33" x14ac:dyDescent="0.45">
      <c r="A217" s="22">
        <f t="shared" si="164"/>
        <v>44094</v>
      </c>
      <c r="B217" s="15" t="s">
        <v>9</v>
      </c>
      <c r="C217" s="34"/>
      <c r="D217" s="13">
        <v>72</v>
      </c>
      <c r="E217" s="13">
        <v>38</v>
      </c>
      <c r="F217" s="13">
        <v>10</v>
      </c>
      <c r="G217" s="13">
        <v>12</v>
      </c>
      <c r="H217" s="13">
        <v>0</v>
      </c>
      <c r="I217" s="13">
        <v>0</v>
      </c>
      <c r="J217" s="13">
        <v>8</v>
      </c>
      <c r="K217" s="13">
        <v>0</v>
      </c>
      <c r="L217" s="10">
        <v>0</v>
      </c>
      <c r="M217" s="34"/>
      <c r="N217" s="13">
        <v>72</v>
      </c>
      <c r="O217" s="13">
        <v>28</v>
      </c>
      <c r="P217" s="13">
        <v>20</v>
      </c>
      <c r="Q217" s="13">
        <v>12</v>
      </c>
      <c r="R217" s="34"/>
      <c r="S217" s="13">
        <f t="shared" si="232"/>
        <v>132</v>
      </c>
      <c r="T217" s="13">
        <f t="shared" si="229"/>
        <v>132</v>
      </c>
      <c r="U217" s="13">
        <f t="shared" si="239"/>
        <v>8</v>
      </c>
      <c r="V217" s="34"/>
      <c r="W217" s="10">
        <v>26.7</v>
      </c>
      <c r="X217" s="10">
        <f t="shared" si="237"/>
        <v>4298.7</v>
      </c>
      <c r="Y217" s="10">
        <f t="shared" si="233"/>
        <v>0</v>
      </c>
      <c r="Z217" s="10">
        <f t="shared" si="234"/>
        <v>213.6</v>
      </c>
      <c r="AA217" s="14">
        <f t="shared" si="235"/>
        <v>0</v>
      </c>
      <c r="AB217" s="14">
        <f t="shared" si="238"/>
        <v>4432.1999999999989</v>
      </c>
      <c r="AC217" s="11">
        <f t="shared" si="236"/>
        <v>0</v>
      </c>
      <c r="AD217" s="215"/>
      <c r="AE217" s="11">
        <f t="shared" si="231"/>
        <v>-80.100000000001273</v>
      </c>
      <c r="AF217" s="212"/>
      <c r="AG217" s="8"/>
    </row>
    <row r="218" spans="1:33" ht="14.65" thickBot="1" x14ac:dyDescent="0.5">
      <c r="A218" s="23">
        <f t="shared" si="164"/>
        <v>44094</v>
      </c>
      <c r="B218" s="24" t="s">
        <v>31</v>
      </c>
      <c r="C218" s="35"/>
      <c r="D218" s="42">
        <v>71.75</v>
      </c>
      <c r="E218" s="25">
        <v>15</v>
      </c>
      <c r="F218" s="25">
        <v>0</v>
      </c>
      <c r="G218" s="25">
        <v>2</v>
      </c>
      <c r="H218" s="25">
        <v>0</v>
      </c>
      <c r="I218" s="25">
        <v>0</v>
      </c>
      <c r="J218" s="25">
        <v>8</v>
      </c>
      <c r="K218" s="25">
        <v>0</v>
      </c>
      <c r="L218" s="26">
        <v>0</v>
      </c>
      <c r="M218" s="35"/>
      <c r="N218" s="25">
        <v>72</v>
      </c>
      <c r="O218" s="25">
        <v>5.25</v>
      </c>
      <c r="P218" s="25">
        <v>12</v>
      </c>
      <c r="Q218" s="25">
        <v>0</v>
      </c>
      <c r="R218" s="35"/>
      <c r="S218" s="25">
        <f t="shared" si="232"/>
        <v>88.75</v>
      </c>
      <c r="T218" s="25">
        <f t="shared" si="229"/>
        <v>89.25</v>
      </c>
      <c r="U218" s="25">
        <f t="shared" si="239"/>
        <v>8</v>
      </c>
      <c r="V218" s="35"/>
      <c r="W218" s="26">
        <v>25.7</v>
      </c>
      <c r="X218" s="26">
        <f t="shared" si="237"/>
        <v>2473.625</v>
      </c>
      <c r="Y218" s="26">
        <f t="shared" si="233"/>
        <v>0</v>
      </c>
      <c r="Z218" s="26">
        <f t="shared" si="234"/>
        <v>205.6</v>
      </c>
      <c r="AA218" s="27">
        <f t="shared" si="235"/>
        <v>0</v>
      </c>
      <c r="AB218" s="27">
        <f t="shared" si="238"/>
        <v>2669.5874999999996</v>
      </c>
      <c r="AC218" s="12">
        <f t="shared" si="236"/>
        <v>0</v>
      </c>
      <c r="AD218" s="216"/>
      <c r="AE218" s="12">
        <f t="shared" si="231"/>
        <v>-9.6375000000002728</v>
      </c>
      <c r="AF218" s="213"/>
      <c r="AG218" s="8"/>
    </row>
    <row r="219" spans="1:33" x14ac:dyDescent="0.45">
      <c r="A219" s="16">
        <f>A218+14</f>
        <v>44108</v>
      </c>
      <c r="B219" s="17" t="s">
        <v>0</v>
      </c>
      <c r="C219" s="33"/>
      <c r="D219" s="18">
        <v>80</v>
      </c>
      <c r="E219" s="18">
        <v>13.75</v>
      </c>
      <c r="F219" s="18">
        <v>0</v>
      </c>
      <c r="G219" s="18">
        <v>0</v>
      </c>
      <c r="H219" s="18">
        <v>0</v>
      </c>
      <c r="I219" s="18">
        <v>0</v>
      </c>
      <c r="J219" s="18">
        <v>0</v>
      </c>
      <c r="K219" s="18">
        <v>0</v>
      </c>
      <c r="L219" s="44">
        <v>0</v>
      </c>
      <c r="M219" s="33"/>
      <c r="N219" s="18">
        <v>80</v>
      </c>
      <c r="O219" s="18">
        <v>13.75</v>
      </c>
      <c r="P219" s="18">
        <v>0</v>
      </c>
      <c r="Q219" s="18">
        <v>0</v>
      </c>
      <c r="R219" s="33"/>
      <c r="S219" s="36">
        <f>SUM(D219:G219)</f>
        <v>93.75</v>
      </c>
      <c r="T219" s="36">
        <f t="shared" ref="T219:T227" si="240">SUM(N219:Q219)</f>
        <v>93.75</v>
      </c>
      <c r="U219" s="18">
        <f t="shared" ref="U219:U221" si="241">SUM(H219:K219)</f>
        <v>0</v>
      </c>
      <c r="V219" s="33"/>
      <c r="W219" s="19">
        <v>26.4</v>
      </c>
      <c r="X219" s="19">
        <f t="shared" si="237"/>
        <v>2656.5</v>
      </c>
      <c r="Y219" s="19">
        <f>(W219*0*H219)+(W219*1*I219)</f>
        <v>0</v>
      </c>
      <c r="Z219" s="19">
        <f>(W219*1*J219)+L219</f>
        <v>0</v>
      </c>
      <c r="AA219" s="20">
        <f>(W219*1*K219)</f>
        <v>0</v>
      </c>
      <c r="AB219" s="20">
        <f t="shared" si="238"/>
        <v>2656.5</v>
      </c>
      <c r="AC219" s="21">
        <f>0-Y219-AA219</f>
        <v>0</v>
      </c>
      <c r="AD219" s="214">
        <f>SUM(AC219:AC227)</f>
        <v>-184</v>
      </c>
      <c r="AE219" s="21">
        <f t="shared" ref="AE219:AE227" si="242">AB219-(X219+Z219)</f>
        <v>0</v>
      </c>
      <c r="AF219" s="211">
        <f>SUM(AE219:AE227)</f>
        <v>30</v>
      </c>
      <c r="AG219" s="8"/>
    </row>
    <row r="220" spans="1:33" x14ac:dyDescent="0.45">
      <c r="A220" s="22">
        <f t="shared" si="164"/>
        <v>44108</v>
      </c>
      <c r="B220" s="15" t="s">
        <v>30</v>
      </c>
      <c r="C220" s="34"/>
      <c r="D220" s="13">
        <v>80</v>
      </c>
      <c r="E220" s="13">
        <v>8</v>
      </c>
      <c r="F220" s="13">
        <v>0</v>
      </c>
      <c r="G220" s="13">
        <v>0</v>
      </c>
      <c r="H220" s="13">
        <v>0</v>
      </c>
      <c r="I220" s="13">
        <v>0</v>
      </c>
      <c r="J220" s="13">
        <v>0</v>
      </c>
      <c r="K220" s="13">
        <v>0</v>
      </c>
      <c r="L220" s="45">
        <v>0</v>
      </c>
      <c r="M220" s="34"/>
      <c r="N220" s="13">
        <v>80</v>
      </c>
      <c r="O220" s="13">
        <v>8</v>
      </c>
      <c r="P220" s="13">
        <v>0</v>
      </c>
      <c r="Q220" s="13">
        <v>0</v>
      </c>
      <c r="R220" s="34"/>
      <c r="S220" s="13">
        <f t="shared" ref="S220:S227" si="243">SUM(D220:G220)</f>
        <v>88</v>
      </c>
      <c r="T220" s="13">
        <f t="shared" si="240"/>
        <v>88</v>
      </c>
      <c r="U220" s="13">
        <f t="shared" si="241"/>
        <v>0</v>
      </c>
      <c r="V220" s="34"/>
      <c r="W220" s="10">
        <v>30.8</v>
      </c>
      <c r="X220" s="10">
        <f t="shared" si="237"/>
        <v>2833.6</v>
      </c>
      <c r="Y220" s="10">
        <f t="shared" ref="Y220:Y227" si="244">(W220*0*H220)+(W220*1*I220)</f>
        <v>0</v>
      </c>
      <c r="Z220" s="10">
        <f t="shared" ref="Z220:Z227" si="245">(W220*1*J220)+L220</f>
        <v>0</v>
      </c>
      <c r="AA220" s="14">
        <f t="shared" ref="AA220:AA227" si="246">(W220*1*K220)</f>
        <v>0</v>
      </c>
      <c r="AB220" s="14">
        <f t="shared" si="238"/>
        <v>2833.6</v>
      </c>
      <c r="AC220" s="11">
        <f t="shared" ref="AC220:AC227" si="247">0-Y220-AA220</f>
        <v>0</v>
      </c>
      <c r="AD220" s="215"/>
      <c r="AE220" s="11">
        <f t="shared" si="242"/>
        <v>0</v>
      </c>
      <c r="AF220" s="212"/>
      <c r="AG220" s="8"/>
    </row>
    <row r="221" spans="1:33" x14ac:dyDescent="0.45">
      <c r="A221" s="22">
        <f t="shared" ref="A221:A227" si="248">A220</f>
        <v>44108</v>
      </c>
      <c r="B221" s="15" t="s">
        <v>3</v>
      </c>
      <c r="C221" s="34"/>
      <c r="D221" s="13">
        <v>80</v>
      </c>
      <c r="E221" s="13">
        <v>28.75</v>
      </c>
      <c r="F221" s="13">
        <v>12</v>
      </c>
      <c r="G221" s="13">
        <v>0</v>
      </c>
      <c r="H221" s="13">
        <v>0</v>
      </c>
      <c r="I221" s="13">
        <v>0</v>
      </c>
      <c r="J221" s="13">
        <v>0</v>
      </c>
      <c r="K221" s="13">
        <v>0</v>
      </c>
      <c r="L221" s="45">
        <v>0</v>
      </c>
      <c r="M221" s="34"/>
      <c r="N221" s="13">
        <v>80</v>
      </c>
      <c r="O221" s="13">
        <v>28.25</v>
      </c>
      <c r="P221" s="13">
        <v>12.75</v>
      </c>
      <c r="Q221" s="13">
        <v>0</v>
      </c>
      <c r="R221" s="34"/>
      <c r="S221" s="13">
        <f t="shared" si="243"/>
        <v>120.75</v>
      </c>
      <c r="T221" s="13">
        <f t="shared" si="240"/>
        <v>121</v>
      </c>
      <c r="U221" s="13">
        <f t="shared" si="241"/>
        <v>0</v>
      </c>
      <c r="V221" s="34"/>
      <c r="W221" s="10">
        <v>28.5</v>
      </c>
      <c r="X221" s="10">
        <f>(W221*1*D221)+(W221*1.5*E221)+(W221*2*F221)+(W221*1*G221)</f>
        <v>4193.0625</v>
      </c>
      <c r="Y221" s="10">
        <f t="shared" si="244"/>
        <v>0</v>
      </c>
      <c r="Z221" s="10">
        <f t="shared" si="245"/>
        <v>0</v>
      </c>
      <c r="AA221" s="14">
        <f t="shared" si="246"/>
        <v>0</v>
      </c>
      <c r="AB221" s="14">
        <f>(W221*1*N221)+(W221*1.5*O221)+(W221*2*P221)+(W221*1*Q221)</f>
        <v>4214.4375</v>
      </c>
      <c r="AC221" s="11">
        <f t="shared" si="247"/>
        <v>0</v>
      </c>
      <c r="AD221" s="215"/>
      <c r="AE221" s="11">
        <f t="shared" si="242"/>
        <v>21.375</v>
      </c>
      <c r="AF221" s="212"/>
      <c r="AG221" s="8"/>
    </row>
    <row r="222" spans="1:33" x14ac:dyDescent="0.45">
      <c r="A222" s="22">
        <f t="shared" si="248"/>
        <v>44108</v>
      </c>
      <c r="B222" s="15" t="s">
        <v>4</v>
      </c>
      <c r="C222" s="34"/>
      <c r="D222" s="13">
        <v>80</v>
      </c>
      <c r="E222" s="13">
        <v>1.25</v>
      </c>
      <c r="F222" s="13">
        <v>0</v>
      </c>
      <c r="G222" s="13">
        <v>0</v>
      </c>
      <c r="H222" s="13">
        <v>0</v>
      </c>
      <c r="I222" s="13">
        <v>0</v>
      </c>
      <c r="J222" s="13">
        <v>0</v>
      </c>
      <c r="K222" s="13">
        <v>0</v>
      </c>
      <c r="L222" s="45">
        <v>0</v>
      </c>
      <c r="M222" s="34"/>
      <c r="N222" s="13">
        <v>80</v>
      </c>
      <c r="O222" s="13">
        <v>1.25</v>
      </c>
      <c r="P222" s="13">
        <v>0</v>
      </c>
      <c r="Q222" s="13">
        <v>0</v>
      </c>
      <c r="R222" s="34"/>
      <c r="S222" s="13">
        <f t="shared" si="243"/>
        <v>81.25</v>
      </c>
      <c r="T222" s="13">
        <f t="shared" si="240"/>
        <v>81.25</v>
      </c>
      <c r="U222" s="13">
        <f>SUM(H222:K222)</f>
        <v>0</v>
      </c>
      <c r="V222" s="34"/>
      <c r="W222" s="10">
        <v>23</v>
      </c>
      <c r="X222" s="10">
        <f t="shared" ref="X222:X229" si="249">(W222*1*D222)+(W222*1.5*E222)+(W222*2*F222)+(W222*1*G222)</f>
        <v>1883.125</v>
      </c>
      <c r="Y222" s="10">
        <f t="shared" si="244"/>
        <v>0</v>
      </c>
      <c r="Z222" s="10">
        <f t="shared" si="245"/>
        <v>0</v>
      </c>
      <c r="AA222" s="14">
        <f t="shared" si="246"/>
        <v>0</v>
      </c>
      <c r="AB222" s="14">
        <f t="shared" ref="AB222:AB229" si="250">(W222*1*N222)+(W222*1.5*O222)+(W222*2*P222)+(W222*1*Q222)</f>
        <v>1883.125</v>
      </c>
      <c r="AC222" s="11">
        <f t="shared" si="247"/>
        <v>0</v>
      </c>
      <c r="AD222" s="215"/>
      <c r="AE222" s="11">
        <f t="shared" si="242"/>
        <v>0</v>
      </c>
      <c r="AF222" s="212"/>
      <c r="AG222" s="8"/>
    </row>
    <row r="223" spans="1:33" x14ac:dyDescent="0.45">
      <c r="A223" s="22">
        <f t="shared" si="248"/>
        <v>44108</v>
      </c>
      <c r="B223" s="15" t="s">
        <v>5</v>
      </c>
      <c r="C223" s="34"/>
      <c r="D223" s="13">
        <v>80</v>
      </c>
      <c r="E223" s="13">
        <v>9</v>
      </c>
      <c r="F223" s="13">
        <v>0</v>
      </c>
      <c r="G223" s="13">
        <v>0</v>
      </c>
      <c r="H223" s="13">
        <v>0</v>
      </c>
      <c r="I223" s="13">
        <v>0</v>
      </c>
      <c r="J223" s="13">
        <v>0</v>
      </c>
      <c r="K223" s="13">
        <v>0</v>
      </c>
      <c r="L223" s="45">
        <v>0</v>
      </c>
      <c r="M223" s="34"/>
      <c r="N223" s="13">
        <v>80</v>
      </c>
      <c r="O223" s="13">
        <v>9</v>
      </c>
      <c r="P223" s="13">
        <v>0</v>
      </c>
      <c r="Q223" s="13">
        <v>0</v>
      </c>
      <c r="R223" s="34"/>
      <c r="S223" s="13">
        <f t="shared" si="243"/>
        <v>89</v>
      </c>
      <c r="T223" s="13">
        <f t="shared" si="240"/>
        <v>89</v>
      </c>
      <c r="U223" s="13">
        <f t="shared" ref="U223:U227" si="251">SUM(H223:K223)</f>
        <v>0</v>
      </c>
      <c r="V223" s="34"/>
      <c r="W223" s="10">
        <v>27.2</v>
      </c>
      <c r="X223" s="10">
        <f t="shared" si="249"/>
        <v>2543.1999999999998</v>
      </c>
      <c r="Y223" s="10">
        <f t="shared" si="244"/>
        <v>0</v>
      </c>
      <c r="Z223" s="10">
        <f t="shared" si="245"/>
        <v>0</v>
      </c>
      <c r="AA223" s="14">
        <f t="shared" si="246"/>
        <v>0</v>
      </c>
      <c r="AB223" s="14">
        <f t="shared" si="250"/>
        <v>2543.1999999999998</v>
      </c>
      <c r="AC223" s="11">
        <f t="shared" si="247"/>
        <v>0</v>
      </c>
      <c r="AD223" s="215"/>
      <c r="AE223" s="11">
        <f t="shared" si="242"/>
        <v>0</v>
      </c>
      <c r="AF223" s="212"/>
      <c r="AG223" s="8"/>
    </row>
    <row r="224" spans="1:33" x14ac:dyDescent="0.45">
      <c r="A224" s="22">
        <f t="shared" si="248"/>
        <v>44108</v>
      </c>
      <c r="B224" s="15" t="s">
        <v>6</v>
      </c>
      <c r="C224" s="34"/>
      <c r="D224" s="13">
        <v>80</v>
      </c>
      <c r="E224" s="13">
        <v>3.5</v>
      </c>
      <c r="F224" s="13">
        <v>0</v>
      </c>
      <c r="G224" s="13">
        <v>0</v>
      </c>
      <c r="H224" s="13">
        <v>0</v>
      </c>
      <c r="I224" s="13">
        <v>8</v>
      </c>
      <c r="J224" s="13">
        <v>0</v>
      </c>
      <c r="K224" s="13">
        <v>0</v>
      </c>
      <c r="L224" s="45">
        <v>0</v>
      </c>
      <c r="M224" s="34"/>
      <c r="N224" s="13">
        <v>80</v>
      </c>
      <c r="O224" s="13">
        <v>3.5</v>
      </c>
      <c r="P224" s="13">
        <v>0</v>
      </c>
      <c r="Q224" s="13">
        <v>0</v>
      </c>
      <c r="R224" s="34"/>
      <c r="S224" s="13">
        <f t="shared" si="243"/>
        <v>83.5</v>
      </c>
      <c r="T224" s="13">
        <f t="shared" si="240"/>
        <v>83.5</v>
      </c>
      <c r="U224" s="13">
        <f t="shared" si="251"/>
        <v>8</v>
      </c>
      <c r="V224" s="34"/>
      <c r="W224" s="10">
        <v>23</v>
      </c>
      <c r="X224" s="10">
        <f t="shared" si="249"/>
        <v>1960.75</v>
      </c>
      <c r="Y224" s="10">
        <f t="shared" si="244"/>
        <v>184</v>
      </c>
      <c r="Z224" s="10">
        <f t="shared" si="245"/>
        <v>0</v>
      </c>
      <c r="AA224" s="14">
        <f t="shared" si="246"/>
        <v>0</v>
      </c>
      <c r="AB224" s="14">
        <f t="shared" si="250"/>
        <v>1960.75</v>
      </c>
      <c r="AC224" s="11">
        <f t="shared" si="247"/>
        <v>-184</v>
      </c>
      <c r="AD224" s="215"/>
      <c r="AE224" s="11">
        <f t="shared" si="242"/>
        <v>0</v>
      </c>
      <c r="AF224" s="212"/>
      <c r="AG224" s="8"/>
    </row>
    <row r="225" spans="1:33" x14ac:dyDescent="0.45">
      <c r="A225" s="22">
        <f t="shared" si="248"/>
        <v>44108</v>
      </c>
      <c r="B225" s="15" t="s">
        <v>8</v>
      </c>
      <c r="C225" s="34"/>
      <c r="D225" s="13">
        <v>80</v>
      </c>
      <c r="E225" s="13">
        <v>7.25</v>
      </c>
      <c r="F225" s="13">
        <v>12</v>
      </c>
      <c r="G225" s="13">
        <v>0.75</v>
      </c>
      <c r="H225" s="13">
        <v>0</v>
      </c>
      <c r="I225" s="13">
        <v>0</v>
      </c>
      <c r="J225" s="13">
        <v>0</v>
      </c>
      <c r="K225" s="13">
        <v>0</v>
      </c>
      <c r="L225" s="45">
        <v>0</v>
      </c>
      <c r="M225" s="34"/>
      <c r="N225" s="13">
        <v>80</v>
      </c>
      <c r="O225" s="13">
        <v>8</v>
      </c>
      <c r="P225" s="13">
        <v>12</v>
      </c>
      <c r="Q225" s="13">
        <v>0</v>
      </c>
      <c r="R225" s="34"/>
      <c r="S225" s="13">
        <f t="shared" si="243"/>
        <v>100</v>
      </c>
      <c r="T225" s="13">
        <f t="shared" si="240"/>
        <v>100</v>
      </c>
      <c r="U225" s="13">
        <f t="shared" si="251"/>
        <v>0</v>
      </c>
      <c r="V225" s="34"/>
      <c r="W225" s="10">
        <v>23</v>
      </c>
      <c r="X225" s="10">
        <f t="shared" si="249"/>
        <v>2659.375</v>
      </c>
      <c r="Y225" s="10">
        <f t="shared" si="244"/>
        <v>0</v>
      </c>
      <c r="Z225" s="10">
        <f t="shared" si="245"/>
        <v>0</v>
      </c>
      <c r="AA225" s="14">
        <f t="shared" si="246"/>
        <v>0</v>
      </c>
      <c r="AB225" s="14">
        <f t="shared" si="250"/>
        <v>2668</v>
      </c>
      <c r="AC225" s="11">
        <f t="shared" si="247"/>
        <v>0</v>
      </c>
      <c r="AD225" s="215"/>
      <c r="AE225" s="11">
        <f t="shared" si="242"/>
        <v>8.625</v>
      </c>
      <c r="AF225" s="212"/>
      <c r="AG225" s="8"/>
    </row>
    <row r="226" spans="1:33" x14ac:dyDescent="0.45">
      <c r="A226" s="22">
        <f t="shared" si="248"/>
        <v>44108</v>
      </c>
      <c r="B226" s="15" t="s">
        <v>9</v>
      </c>
      <c r="C226" s="34"/>
      <c r="D226" s="13">
        <v>80</v>
      </c>
      <c r="E226" s="13">
        <v>28</v>
      </c>
      <c r="F226" s="13">
        <v>16</v>
      </c>
      <c r="G226" s="13">
        <v>14</v>
      </c>
      <c r="H226" s="13">
        <v>0</v>
      </c>
      <c r="I226" s="13">
        <v>0</v>
      </c>
      <c r="J226" s="13">
        <v>0</v>
      </c>
      <c r="K226" s="13">
        <v>0</v>
      </c>
      <c r="L226" s="45">
        <v>0</v>
      </c>
      <c r="M226" s="34"/>
      <c r="N226" s="13">
        <v>80</v>
      </c>
      <c r="O226" s="13">
        <v>28</v>
      </c>
      <c r="P226" s="13">
        <v>16</v>
      </c>
      <c r="Q226" s="13">
        <v>14</v>
      </c>
      <c r="R226" s="34"/>
      <c r="S226" s="13">
        <f t="shared" si="243"/>
        <v>138</v>
      </c>
      <c r="T226" s="13">
        <f t="shared" si="240"/>
        <v>138</v>
      </c>
      <c r="U226" s="13">
        <f t="shared" si="251"/>
        <v>0</v>
      </c>
      <c r="V226" s="34"/>
      <c r="W226" s="10">
        <v>26.7</v>
      </c>
      <c r="X226" s="10">
        <f t="shared" si="249"/>
        <v>4485.5999999999995</v>
      </c>
      <c r="Y226" s="10">
        <f t="shared" si="244"/>
        <v>0</v>
      </c>
      <c r="Z226" s="10">
        <f t="shared" si="245"/>
        <v>0</v>
      </c>
      <c r="AA226" s="14">
        <f t="shared" si="246"/>
        <v>0</v>
      </c>
      <c r="AB226" s="14">
        <f t="shared" si="250"/>
        <v>4485.5999999999995</v>
      </c>
      <c r="AC226" s="11">
        <f t="shared" si="247"/>
        <v>0</v>
      </c>
      <c r="AD226" s="215"/>
      <c r="AE226" s="11">
        <f t="shared" si="242"/>
        <v>0</v>
      </c>
      <c r="AF226" s="212"/>
      <c r="AG226" s="8"/>
    </row>
    <row r="227" spans="1:33" ht="14.65" thickBot="1" x14ac:dyDescent="0.5">
      <c r="A227" s="23">
        <f t="shared" si="248"/>
        <v>44108</v>
      </c>
      <c r="B227" s="24" t="s">
        <v>31</v>
      </c>
      <c r="C227" s="35"/>
      <c r="D227" s="25">
        <v>80</v>
      </c>
      <c r="E227" s="25">
        <v>2</v>
      </c>
      <c r="F227" s="25">
        <v>0</v>
      </c>
      <c r="G227" s="25">
        <v>0</v>
      </c>
      <c r="H227" s="25">
        <v>0</v>
      </c>
      <c r="I227" s="25">
        <v>0</v>
      </c>
      <c r="J227" s="25">
        <v>0</v>
      </c>
      <c r="K227" s="25">
        <v>0</v>
      </c>
      <c r="L227" s="46">
        <v>0</v>
      </c>
      <c r="M227" s="35"/>
      <c r="N227" s="25">
        <v>80</v>
      </c>
      <c r="O227" s="25">
        <v>2</v>
      </c>
      <c r="P227" s="25">
        <v>0</v>
      </c>
      <c r="Q227" s="25">
        <v>0</v>
      </c>
      <c r="R227" s="35"/>
      <c r="S227" s="25">
        <f t="shared" si="243"/>
        <v>82</v>
      </c>
      <c r="T227" s="25">
        <f t="shared" si="240"/>
        <v>82</v>
      </c>
      <c r="U227" s="25">
        <f t="shared" si="251"/>
        <v>0</v>
      </c>
      <c r="V227" s="35"/>
      <c r="W227" s="26">
        <v>25.7</v>
      </c>
      <c r="X227" s="26">
        <f t="shared" si="249"/>
        <v>2133.1</v>
      </c>
      <c r="Y227" s="26">
        <f t="shared" si="244"/>
        <v>0</v>
      </c>
      <c r="Z227" s="26">
        <f t="shared" si="245"/>
        <v>0</v>
      </c>
      <c r="AA227" s="27">
        <f t="shared" si="246"/>
        <v>0</v>
      </c>
      <c r="AB227" s="27">
        <f t="shared" si="250"/>
        <v>2133.1</v>
      </c>
      <c r="AC227" s="12">
        <f t="shared" si="247"/>
        <v>0</v>
      </c>
      <c r="AD227" s="216"/>
      <c r="AE227" s="12">
        <f t="shared" si="242"/>
        <v>0</v>
      </c>
      <c r="AF227" s="213"/>
      <c r="AG227" s="8"/>
    </row>
    <row r="228" spans="1:33" x14ac:dyDescent="0.45">
      <c r="A228" s="16">
        <f>A227+14</f>
        <v>44122</v>
      </c>
      <c r="B228" s="17" t="s">
        <v>0</v>
      </c>
      <c r="C228" s="33"/>
      <c r="D228" s="18">
        <v>72</v>
      </c>
      <c r="E228" s="18">
        <v>16</v>
      </c>
      <c r="F228" s="18">
        <v>0</v>
      </c>
      <c r="G228" s="18">
        <v>0</v>
      </c>
      <c r="H228" s="18">
        <v>0</v>
      </c>
      <c r="I228" s="18">
        <v>0</v>
      </c>
      <c r="J228" s="18">
        <v>8</v>
      </c>
      <c r="K228" s="18">
        <v>0</v>
      </c>
      <c r="L228" s="44">
        <v>0</v>
      </c>
      <c r="M228" s="33"/>
      <c r="N228" s="18">
        <v>72</v>
      </c>
      <c r="O228" s="18">
        <v>16</v>
      </c>
      <c r="P228" s="18">
        <v>0</v>
      </c>
      <c r="Q228" s="18">
        <v>0</v>
      </c>
      <c r="R228" s="33"/>
      <c r="S228" s="36">
        <f>SUM(D228:G228)</f>
        <v>88</v>
      </c>
      <c r="T228" s="36">
        <f t="shared" ref="T228:T236" si="252">SUM(N228:Q228)</f>
        <v>88</v>
      </c>
      <c r="U228" s="18">
        <f t="shared" ref="U228:U230" si="253">SUM(H228:K228)</f>
        <v>8</v>
      </c>
      <c r="V228" s="33"/>
      <c r="W228" s="19">
        <v>26.4</v>
      </c>
      <c r="X228" s="19">
        <f t="shared" si="249"/>
        <v>2534.3999999999996</v>
      </c>
      <c r="Y228" s="19">
        <f>(W228*0*H228)+(W228*1*I228)</f>
        <v>0</v>
      </c>
      <c r="Z228" s="19">
        <f>(W228*1*J228)+L228</f>
        <v>211.2</v>
      </c>
      <c r="AA228" s="20">
        <f>(W228*1*K228)</f>
        <v>0</v>
      </c>
      <c r="AB228" s="20">
        <f t="shared" si="250"/>
        <v>2534.3999999999996</v>
      </c>
      <c r="AC228" s="21">
        <f>0-Y228-AA228</f>
        <v>0</v>
      </c>
      <c r="AD228" s="214">
        <f>SUM(AC228:AC236)</f>
        <v>-854.4</v>
      </c>
      <c r="AE228" s="21">
        <f t="shared" ref="AE228:AE236" si="254">AB228-(X228+Z228)</f>
        <v>-211.19999999999982</v>
      </c>
      <c r="AF228" s="211">
        <f>SUM(AE228:AE236)</f>
        <v>-1509.1999999999994</v>
      </c>
      <c r="AG228" s="8"/>
    </row>
    <row r="229" spans="1:33" x14ac:dyDescent="0.45">
      <c r="A229" s="22">
        <f t="shared" ref="A229:A254" si="255">A228</f>
        <v>44122</v>
      </c>
      <c r="B229" s="15" t="s">
        <v>30</v>
      </c>
      <c r="C229" s="34"/>
      <c r="D229" s="13">
        <v>72</v>
      </c>
      <c r="E229" s="13">
        <v>2</v>
      </c>
      <c r="F229" s="13">
        <v>0</v>
      </c>
      <c r="G229" s="13">
        <v>0</v>
      </c>
      <c r="H229" s="13">
        <v>0</v>
      </c>
      <c r="I229" s="13">
        <v>0</v>
      </c>
      <c r="J229" s="13">
        <v>8</v>
      </c>
      <c r="K229" s="13">
        <v>0</v>
      </c>
      <c r="L229" s="45">
        <v>0</v>
      </c>
      <c r="M229" s="34"/>
      <c r="N229" s="13">
        <v>72</v>
      </c>
      <c r="O229" s="13">
        <v>2</v>
      </c>
      <c r="P229" s="13">
        <v>0</v>
      </c>
      <c r="Q229" s="13">
        <v>0</v>
      </c>
      <c r="R229" s="34"/>
      <c r="S229" s="13">
        <f t="shared" ref="S229:S236" si="256">SUM(D229:G229)</f>
        <v>74</v>
      </c>
      <c r="T229" s="13">
        <f t="shared" si="252"/>
        <v>74</v>
      </c>
      <c r="U229" s="13">
        <f t="shared" si="253"/>
        <v>8</v>
      </c>
      <c r="V229" s="34"/>
      <c r="W229" s="10">
        <v>30.8</v>
      </c>
      <c r="X229" s="10">
        <f t="shared" si="249"/>
        <v>2310</v>
      </c>
      <c r="Y229" s="10">
        <f t="shared" ref="Y229:Y236" si="257">(W229*0*H229)+(W229*1*I229)</f>
        <v>0</v>
      </c>
      <c r="Z229" s="10">
        <f t="shared" ref="Z229:Z236" si="258">(W229*1*J229)+L229</f>
        <v>246.4</v>
      </c>
      <c r="AA229" s="14">
        <f t="shared" ref="AA229:AA236" si="259">(W229*1*K229)</f>
        <v>0</v>
      </c>
      <c r="AB229" s="14">
        <f t="shared" si="250"/>
        <v>2310</v>
      </c>
      <c r="AC229" s="11">
        <f t="shared" ref="AC229:AC236" si="260">0-Y229-AA229</f>
        <v>0</v>
      </c>
      <c r="AD229" s="215"/>
      <c r="AE229" s="11">
        <f t="shared" si="254"/>
        <v>-246.40000000000009</v>
      </c>
      <c r="AF229" s="212"/>
      <c r="AG229" s="8"/>
    </row>
    <row r="230" spans="1:33" x14ac:dyDescent="0.45">
      <c r="A230" s="22">
        <f t="shared" si="255"/>
        <v>44122</v>
      </c>
      <c r="B230" s="15" t="s">
        <v>3</v>
      </c>
      <c r="C230" s="34"/>
      <c r="D230" s="13">
        <v>72</v>
      </c>
      <c r="E230" s="13">
        <v>48</v>
      </c>
      <c r="F230" s="13">
        <v>12</v>
      </c>
      <c r="G230" s="13">
        <v>0</v>
      </c>
      <c r="H230" s="13">
        <v>0</v>
      </c>
      <c r="I230" s="13">
        <v>0</v>
      </c>
      <c r="J230" s="13">
        <v>8</v>
      </c>
      <c r="K230" s="13">
        <v>0</v>
      </c>
      <c r="L230" s="45">
        <v>0</v>
      </c>
      <c r="M230" s="34"/>
      <c r="N230" s="13">
        <v>72</v>
      </c>
      <c r="O230" s="13">
        <v>36</v>
      </c>
      <c r="P230" s="13">
        <v>24</v>
      </c>
      <c r="Q230" s="13">
        <v>0</v>
      </c>
      <c r="R230" s="34"/>
      <c r="S230" s="13">
        <f t="shared" si="256"/>
        <v>132</v>
      </c>
      <c r="T230" s="13">
        <f t="shared" si="252"/>
        <v>132</v>
      </c>
      <c r="U230" s="13">
        <f t="shared" si="253"/>
        <v>8</v>
      </c>
      <c r="V230" s="34"/>
      <c r="W230" s="10">
        <v>28.5</v>
      </c>
      <c r="X230" s="10">
        <f>(W230*1*D230)+(W230*1.5*E230)+(W230*2*F230)+(W230*1*G230)</f>
        <v>4788</v>
      </c>
      <c r="Y230" s="10">
        <f t="shared" si="257"/>
        <v>0</v>
      </c>
      <c r="Z230" s="10">
        <f t="shared" si="258"/>
        <v>228</v>
      </c>
      <c r="AA230" s="14">
        <f t="shared" si="259"/>
        <v>0</v>
      </c>
      <c r="AB230" s="14">
        <f>(W230*1*N230)+(W230*1.5*O230)+(W230*2*P230)+(W230*1*Q230)</f>
        <v>4959</v>
      </c>
      <c r="AC230" s="11">
        <f t="shared" si="260"/>
        <v>0</v>
      </c>
      <c r="AD230" s="215"/>
      <c r="AE230" s="11">
        <f t="shared" si="254"/>
        <v>-57</v>
      </c>
      <c r="AF230" s="212"/>
      <c r="AG230" s="8"/>
    </row>
    <row r="231" spans="1:33" x14ac:dyDescent="0.45">
      <c r="A231" s="22">
        <f t="shared" si="255"/>
        <v>44122</v>
      </c>
      <c r="B231" s="15" t="s">
        <v>4</v>
      </c>
      <c r="C231" s="34"/>
      <c r="D231" s="13">
        <v>72</v>
      </c>
      <c r="E231" s="13">
        <v>3</v>
      </c>
      <c r="F231" s="13">
        <v>0</v>
      </c>
      <c r="G231" s="13">
        <v>0</v>
      </c>
      <c r="H231" s="13">
        <v>0</v>
      </c>
      <c r="I231" s="13">
        <v>0</v>
      </c>
      <c r="J231" s="13">
        <v>8</v>
      </c>
      <c r="K231" s="13">
        <v>0</v>
      </c>
      <c r="L231" s="45">
        <v>0</v>
      </c>
      <c r="M231" s="34"/>
      <c r="N231" s="13">
        <v>72</v>
      </c>
      <c r="O231" s="13">
        <v>3</v>
      </c>
      <c r="P231" s="13">
        <v>0</v>
      </c>
      <c r="Q231" s="13">
        <v>0</v>
      </c>
      <c r="R231" s="34"/>
      <c r="S231" s="13">
        <f t="shared" si="256"/>
        <v>75</v>
      </c>
      <c r="T231" s="13">
        <f t="shared" si="252"/>
        <v>75</v>
      </c>
      <c r="U231" s="13">
        <f>SUM(H231:K231)</f>
        <v>8</v>
      </c>
      <c r="V231" s="34"/>
      <c r="W231" s="10">
        <v>23</v>
      </c>
      <c r="X231" s="10">
        <f t="shared" ref="X231:X238" si="261">(W231*1*D231)+(W231*1.5*E231)+(W231*2*F231)+(W231*1*G231)</f>
        <v>1759.5</v>
      </c>
      <c r="Y231" s="10">
        <f t="shared" si="257"/>
        <v>0</v>
      </c>
      <c r="Z231" s="10">
        <f t="shared" si="258"/>
        <v>184</v>
      </c>
      <c r="AA231" s="14">
        <f t="shared" si="259"/>
        <v>0</v>
      </c>
      <c r="AB231" s="14">
        <f t="shared" ref="AB231:AB238" si="262">(W231*1*N231)+(W231*1.5*O231)+(W231*2*P231)+(W231*1*Q231)</f>
        <v>1759.5</v>
      </c>
      <c r="AC231" s="11">
        <f t="shared" si="260"/>
        <v>0</v>
      </c>
      <c r="AD231" s="215"/>
      <c r="AE231" s="11">
        <f t="shared" si="254"/>
        <v>-184</v>
      </c>
      <c r="AF231" s="212"/>
      <c r="AG231" s="8"/>
    </row>
    <row r="232" spans="1:33" x14ac:dyDescent="0.45">
      <c r="A232" s="22">
        <f t="shared" si="255"/>
        <v>44122</v>
      </c>
      <c r="B232" s="15" t="s">
        <v>5</v>
      </c>
      <c r="C232" s="34"/>
      <c r="D232" s="13">
        <v>72</v>
      </c>
      <c r="E232" s="13">
        <v>8.75</v>
      </c>
      <c r="F232" s="13">
        <v>0</v>
      </c>
      <c r="G232" s="13">
        <v>0</v>
      </c>
      <c r="H232" s="13">
        <v>0</v>
      </c>
      <c r="I232" s="13">
        <v>0</v>
      </c>
      <c r="J232" s="13">
        <v>8</v>
      </c>
      <c r="K232" s="13">
        <v>0</v>
      </c>
      <c r="L232" s="45">
        <v>0</v>
      </c>
      <c r="M232" s="34"/>
      <c r="N232" s="13">
        <v>72</v>
      </c>
      <c r="O232" s="13">
        <v>9</v>
      </c>
      <c r="P232" s="13">
        <v>0</v>
      </c>
      <c r="Q232" s="13">
        <v>0</v>
      </c>
      <c r="R232" s="34"/>
      <c r="S232" s="13">
        <f t="shared" si="256"/>
        <v>80.75</v>
      </c>
      <c r="T232" s="13">
        <f t="shared" si="252"/>
        <v>81</v>
      </c>
      <c r="U232" s="13">
        <f t="shared" ref="U232:U236" si="263">SUM(H232:K232)</f>
        <v>8</v>
      </c>
      <c r="V232" s="34"/>
      <c r="W232" s="10">
        <v>27.2</v>
      </c>
      <c r="X232" s="10">
        <f t="shared" si="261"/>
        <v>2315.3999999999996</v>
      </c>
      <c r="Y232" s="10">
        <f t="shared" si="257"/>
        <v>0</v>
      </c>
      <c r="Z232" s="10">
        <f t="shared" si="258"/>
        <v>217.6</v>
      </c>
      <c r="AA232" s="14">
        <f t="shared" si="259"/>
        <v>0</v>
      </c>
      <c r="AB232" s="14">
        <f t="shared" si="262"/>
        <v>2325.6</v>
      </c>
      <c r="AC232" s="11">
        <f t="shared" si="260"/>
        <v>0</v>
      </c>
      <c r="AD232" s="215"/>
      <c r="AE232" s="11">
        <f t="shared" si="254"/>
        <v>-207.39999999999964</v>
      </c>
      <c r="AF232" s="212"/>
      <c r="AG232" s="8"/>
    </row>
    <row r="233" spans="1:33" x14ac:dyDescent="0.45">
      <c r="A233" s="22">
        <f t="shared" si="255"/>
        <v>44122</v>
      </c>
      <c r="B233" s="15" t="s">
        <v>6</v>
      </c>
      <c r="C233" s="34"/>
      <c r="D233" s="13">
        <v>68</v>
      </c>
      <c r="E233" s="13">
        <v>15</v>
      </c>
      <c r="F233" s="13">
        <v>0</v>
      </c>
      <c r="G233" s="13">
        <v>0</v>
      </c>
      <c r="H233" s="13">
        <v>0</v>
      </c>
      <c r="I233" s="13">
        <v>0</v>
      </c>
      <c r="J233" s="13">
        <v>8</v>
      </c>
      <c r="K233" s="13">
        <v>0</v>
      </c>
      <c r="L233" s="45">
        <v>0</v>
      </c>
      <c r="M233" s="34"/>
      <c r="N233" s="13">
        <v>68</v>
      </c>
      <c r="O233" s="13">
        <v>15</v>
      </c>
      <c r="P233" s="13">
        <v>0</v>
      </c>
      <c r="Q233" s="13">
        <v>0</v>
      </c>
      <c r="R233" s="34"/>
      <c r="S233" s="13">
        <f t="shared" si="256"/>
        <v>83</v>
      </c>
      <c r="T233" s="13">
        <f t="shared" si="252"/>
        <v>83</v>
      </c>
      <c r="U233" s="13">
        <f t="shared" si="263"/>
        <v>8</v>
      </c>
      <c r="V233" s="34"/>
      <c r="W233" s="10">
        <v>23</v>
      </c>
      <c r="X233" s="10">
        <f t="shared" si="261"/>
        <v>2081.5</v>
      </c>
      <c r="Y233" s="10">
        <f t="shared" si="257"/>
        <v>0</v>
      </c>
      <c r="Z233" s="10">
        <f t="shared" si="258"/>
        <v>184</v>
      </c>
      <c r="AA233" s="14">
        <f t="shared" si="259"/>
        <v>0</v>
      </c>
      <c r="AB233" s="14">
        <f t="shared" si="262"/>
        <v>2081.5</v>
      </c>
      <c r="AC233" s="11">
        <f t="shared" si="260"/>
        <v>0</v>
      </c>
      <c r="AD233" s="215"/>
      <c r="AE233" s="11">
        <f t="shared" si="254"/>
        <v>-184</v>
      </c>
      <c r="AF233" s="212"/>
      <c r="AG233" s="8"/>
    </row>
    <row r="234" spans="1:33" x14ac:dyDescent="0.45">
      <c r="A234" s="22">
        <f t="shared" si="255"/>
        <v>44122</v>
      </c>
      <c r="B234" s="15" t="s">
        <v>8</v>
      </c>
      <c r="C234" s="34"/>
      <c r="D234" s="13">
        <v>40</v>
      </c>
      <c r="E234" s="13">
        <v>8</v>
      </c>
      <c r="F234" s="13">
        <v>0</v>
      </c>
      <c r="G234" s="13">
        <v>0.75</v>
      </c>
      <c r="H234" s="13">
        <v>0</v>
      </c>
      <c r="I234" s="13">
        <v>0</v>
      </c>
      <c r="J234" s="13">
        <v>0</v>
      </c>
      <c r="K234" s="13">
        <v>0</v>
      </c>
      <c r="L234" s="45">
        <v>0</v>
      </c>
      <c r="M234" s="34"/>
      <c r="N234" s="13">
        <v>40</v>
      </c>
      <c r="O234" s="13">
        <v>8</v>
      </c>
      <c r="P234" s="13">
        <v>0</v>
      </c>
      <c r="Q234" s="13">
        <v>0.75</v>
      </c>
      <c r="R234" s="34"/>
      <c r="S234" s="13">
        <f t="shared" si="256"/>
        <v>48.75</v>
      </c>
      <c r="T234" s="13">
        <f t="shared" si="252"/>
        <v>48.75</v>
      </c>
      <c r="U234" s="13">
        <f t="shared" si="263"/>
        <v>0</v>
      </c>
      <c r="V234" s="34"/>
      <c r="W234" s="10">
        <v>23</v>
      </c>
      <c r="X234" s="10">
        <f t="shared" si="261"/>
        <v>1213.25</v>
      </c>
      <c r="Y234" s="10">
        <f t="shared" si="257"/>
        <v>0</v>
      </c>
      <c r="Z234" s="10">
        <f t="shared" si="258"/>
        <v>0</v>
      </c>
      <c r="AA234" s="14">
        <f t="shared" si="259"/>
        <v>0</v>
      </c>
      <c r="AB234" s="14">
        <f t="shared" si="262"/>
        <v>1213.25</v>
      </c>
      <c r="AC234" s="11">
        <f t="shared" si="260"/>
        <v>0</v>
      </c>
      <c r="AD234" s="215"/>
      <c r="AE234" s="11">
        <f t="shared" si="254"/>
        <v>0</v>
      </c>
      <c r="AF234" s="212"/>
      <c r="AG234" s="8"/>
    </row>
    <row r="235" spans="1:33" x14ac:dyDescent="0.45">
      <c r="A235" s="22">
        <f t="shared" si="255"/>
        <v>44122</v>
      </c>
      <c r="B235" s="15" t="s">
        <v>9</v>
      </c>
      <c r="C235" s="34"/>
      <c r="D235" s="13">
        <v>40</v>
      </c>
      <c r="E235" s="13">
        <v>6</v>
      </c>
      <c r="F235" s="13">
        <v>0</v>
      </c>
      <c r="G235" s="13">
        <v>5</v>
      </c>
      <c r="H235" s="13">
        <v>0</v>
      </c>
      <c r="I235" s="13">
        <v>32</v>
      </c>
      <c r="J235" s="13">
        <v>8</v>
      </c>
      <c r="K235" s="13">
        <v>0</v>
      </c>
      <c r="L235" s="45">
        <v>0</v>
      </c>
      <c r="M235" s="34"/>
      <c r="N235" s="13">
        <v>40</v>
      </c>
      <c r="O235" s="13">
        <v>6</v>
      </c>
      <c r="P235" s="13">
        <v>0</v>
      </c>
      <c r="Q235" s="13">
        <v>5</v>
      </c>
      <c r="R235" s="34"/>
      <c r="S235" s="13">
        <f t="shared" si="256"/>
        <v>51</v>
      </c>
      <c r="T235" s="13">
        <f t="shared" si="252"/>
        <v>51</v>
      </c>
      <c r="U235" s="13">
        <f t="shared" si="263"/>
        <v>40</v>
      </c>
      <c r="V235" s="34"/>
      <c r="W235" s="10">
        <v>26.7</v>
      </c>
      <c r="X235" s="10">
        <f t="shared" si="261"/>
        <v>1441.8</v>
      </c>
      <c r="Y235" s="10">
        <f t="shared" si="257"/>
        <v>854.4</v>
      </c>
      <c r="Z235" s="10">
        <f t="shared" si="258"/>
        <v>213.6</v>
      </c>
      <c r="AA235" s="14">
        <f t="shared" si="259"/>
        <v>0</v>
      </c>
      <c r="AB235" s="14">
        <f t="shared" si="262"/>
        <v>1441.8</v>
      </c>
      <c r="AC235" s="11">
        <f t="shared" si="260"/>
        <v>-854.4</v>
      </c>
      <c r="AD235" s="215"/>
      <c r="AE235" s="11">
        <f t="shared" si="254"/>
        <v>-213.59999999999991</v>
      </c>
      <c r="AF235" s="212"/>
      <c r="AG235" s="8"/>
    </row>
    <row r="236" spans="1:33" ht="14.65" thickBot="1" x14ac:dyDescent="0.5">
      <c r="A236" s="23">
        <f t="shared" si="255"/>
        <v>44122</v>
      </c>
      <c r="B236" s="24" t="s">
        <v>31</v>
      </c>
      <c r="C236" s="35"/>
      <c r="D236" s="25">
        <v>72</v>
      </c>
      <c r="E236" s="25">
        <v>3.5</v>
      </c>
      <c r="F236" s="25">
        <v>0</v>
      </c>
      <c r="G236" s="25">
        <v>0</v>
      </c>
      <c r="H236" s="25">
        <v>0</v>
      </c>
      <c r="I236" s="25">
        <v>0</v>
      </c>
      <c r="J236" s="25">
        <v>8</v>
      </c>
      <c r="K236" s="25">
        <v>0</v>
      </c>
      <c r="L236" s="46">
        <v>0</v>
      </c>
      <c r="M236" s="35"/>
      <c r="N236" s="25">
        <v>72</v>
      </c>
      <c r="O236" s="25">
        <v>3.5</v>
      </c>
      <c r="P236" s="25">
        <v>0</v>
      </c>
      <c r="Q236" s="25">
        <v>0</v>
      </c>
      <c r="R236" s="35"/>
      <c r="S236" s="25">
        <f t="shared" si="256"/>
        <v>75.5</v>
      </c>
      <c r="T236" s="25">
        <f t="shared" si="252"/>
        <v>75.5</v>
      </c>
      <c r="U236" s="25">
        <f t="shared" si="263"/>
        <v>8</v>
      </c>
      <c r="V236" s="35"/>
      <c r="W236" s="26">
        <v>25.7</v>
      </c>
      <c r="X236" s="26">
        <f t="shared" si="261"/>
        <v>1985.3249999999998</v>
      </c>
      <c r="Y236" s="26">
        <f t="shared" si="257"/>
        <v>0</v>
      </c>
      <c r="Z236" s="26">
        <f t="shared" si="258"/>
        <v>205.6</v>
      </c>
      <c r="AA236" s="27">
        <f t="shared" si="259"/>
        <v>0</v>
      </c>
      <c r="AB236" s="27">
        <f t="shared" si="262"/>
        <v>1985.3249999999998</v>
      </c>
      <c r="AC236" s="12">
        <f t="shared" si="260"/>
        <v>0</v>
      </c>
      <c r="AD236" s="216"/>
      <c r="AE236" s="12">
        <f t="shared" si="254"/>
        <v>-205.59999999999991</v>
      </c>
      <c r="AF236" s="213"/>
      <c r="AG236" s="8"/>
    </row>
    <row r="237" spans="1:33" x14ac:dyDescent="0.45">
      <c r="A237" s="16">
        <f>A236+14</f>
        <v>44136</v>
      </c>
      <c r="B237" s="17" t="s">
        <v>0</v>
      </c>
      <c r="C237" s="47">
        <f>80*W237</f>
        <v>2112</v>
      </c>
      <c r="D237" s="18">
        <v>80</v>
      </c>
      <c r="E237" s="18">
        <v>18.25</v>
      </c>
      <c r="F237" s="18">
        <v>0</v>
      </c>
      <c r="G237" s="18">
        <v>0</v>
      </c>
      <c r="H237" s="18">
        <v>0</v>
      </c>
      <c r="I237" s="18">
        <v>0</v>
      </c>
      <c r="J237" s="18">
        <v>0</v>
      </c>
      <c r="K237" s="18">
        <v>0</v>
      </c>
      <c r="L237" s="44">
        <v>0</v>
      </c>
      <c r="M237" s="33"/>
      <c r="N237" s="18">
        <v>80</v>
      </c>
      <c r="O237" s="18">
        <v>18.25</v>
      </c>
      <c r="P237" s="18">
        <v>0</v>
      </c>
      <c r="Q237" s="18">
        <v>0</v>
      </c>
      <c r="R237" s="33"/>
      <c r="S237" s="36">
        <f>SUM(D237:G237)</f>
        <v>98.25</v>
      </c>
      <c r="T237" s="36">
        <f t="shared" ref="T237:T245" si="264">SUM(N237:Q237)</f>
        <v>98.25</v>
      </c>
      <c r="U237" s="18">
        <f t="shared" ref="U237:U239" si="265">SUM(H237:K237)</f>
        <v>0</v>
      </c>
      <c r="V237" s="33"/>
      <c r="W237" s="19">
        <v>26.4</v>
      </c>
      <c r="X237" s="19">
        <f t="shared" si="261"/>
        <v>2834.7</v>
      </c>
      <c r="Y237" s="19">
        <f>(W237*0*H237)+(W237*1*I237)</f>
        <v>0</v>
      </c>
      <c r="Z237" s="19">
        <f>(W237*1*J237)+L237</f>
        <v>0</v>
      </c>
      <c r="AA237" s="20">
        <f>(W237*1*K237)</f>
        <v>0</v>
      </c>
      <c r="AB237" s="20">
        <f t="shared" si="262"/>
        <v>2834.7</v>
      </c>
      <c r="AC237" s="21">
        <f>0-Y237-AA237</f>
        <v>0</v>
      </c>
      <c r="AD237" s="214">
        <f>SUM(AC237:AC245)</f>
        <v>-4076.4479000000001</v>
      </c>
      <c r="AE237" s="21">
        <f t="shared" ref="AE237:AE245" si="266">AB237-(X237+Z237)</f>
        <v>0</v>
      </c>
      <c r="AF237" s="211">
        <f>SUM(AE237:AE245)</f>
        <v>0</v>
      </c>
      <c r="AG237" s="8"/>
    </row>
    <row r="238" spans="1:33" x14ac:dyDescent="0.45">
      <c r="A238" s="22">
        <f t="shared" si="255"/>
        <v>44136</v>
      </c>
      <c r="B238" s="15" t="s">
        <v>30</v>
      </c>
      <c r="C238" s="48">
        <f>120*W238</f>
        <v>3696</v>
      </c>
      <c r="D238" s="13">
        <v>80</v>
      </c>
      <c r="E238" s="13">
        <v>10.5</v>
      </c>
      <c r="F238" s="13">
        <v>0</v>
      </c>
      <c r="G238" s="13">
        <v>0</v>
      </c>
      <c r="H238" s="13">
        <v>0</v>
      </c>
      <c r="I238" s="13">
        <v>0</v>
      </c>
      <c r="J238" s="13">
        <v>0</v>
      </c>
      <c r="K238" s="13">
        <v>0</v>
      </c>
      <c r="L238" s="45">
        <v>0</v>
      </c>
      <c r="M238" s="34"/>
      <c r="N238" s="13">
        <v>80</v>
      </c>
      <c r="O238" s="13">
        <v>10.5</v>
      </c>
      <c r="P238" s="13">
        <v>0</v>
      </c>
      <c r="Q238" s="13">
        <v>0</v>
      </c>
      <c r="R238" s="34"/>
      <c r="S238" s="13">
        <f t="shared" ref="S238:S245" si="267">SUM(D238:G238)</f>
        <v>90.5</v>
      </c>
      <c r="T238" s="13">
        <f t="shared" si="264"/>
        <v>90.5</v>
      </c>
      <c r="U238" s="13">
        <f t="shared" si="265"/>
        <v>0</v>
      </c>
      <c r="V238" s="34"/>
      <c r="W238" s="10">
        <v>30.8</v>
      </c>
      <c r="X238" s="10">
        <f t="shared" si="261"/>
        <v>2949.1</v>
      </c>
      <c r="Y238" s="10">
        <f t="shared" ref="Y238:Y245" si="268">(W238*0*H238)+(W238*1*I238)</f>
        <v>0</v>
      </c>
      <c r="Z238" s="10">
        <f t="shared" ref="Z238:Z245" si="269">(W238*1*J238)+L238</f>
        <v>0</v>
      </c>
      <c r="AA238" s="14">
        <f t="shared" ref="AA238:AA245" si="270">(W238*1*K238)</f>
        <v>0</v>
      </c>
      <c r="AB238" s="14">
        <f t="shared" si="262"/>
        <v>2949.1</v>
      </c>
      <c r="AC238" s="11">
        <f t="shared" ref="AC238:AC245" si="271">0-Y238-AA238</f>
        <v>0</v>
      </c>
      <c r="AD238" s="215"/>
      <c r="AE238" s="11">
        <f t="shared" si="266"/>
        <v>0</v>
      </c>
      <c r="AF238" s="212"/>
      <c r="AG238" s="8"/>
    </row>
    <row r="239" spans="1:33" x14ac:dyDescent="0.45">
      <c r="A239" s="22">
        <f t="shared" si="255"/>
        <v>44136</v>
      </c>
      <c r="B239" s="15" t="s">
        <v>3</v>
      </c>
      <c r="C239" s="48">
        <f>80*W239</f>
        <v>2280</v>
      </c>
      <c r="D239" s="13">
        <v>80</v>
      </c>
      <c r="E239" s="13">
        <v>38</v>
      </c>
      <c r="F239" s="13">
        <v>12</v>
      </c>
      <c r="G239" s="13">
        <v>1</v>
      </c>
      <c r="H239" s="13">
        <v>0</v>
      </c>
      <c r="I239" s="13">
        <f>594.65/W239</f>
        <v>20.864912280701752</v>
      </c>
      <c r="J239" s="13">
        <v>0</v>
      </c>
      <c r="K239" s="13">
        <v>0</v>
      </c>
      <c r="L239" s="45">
        <v>0</v>
      </c>
      <c r="M239" s="34"/>
      <c r="N239" s="13">
        <v>80</v>
      </c>
      <c r="O239" s="13">
        <v>38</v>
      </c>
      <c r="P239" s="13">
        <v>12</v>
      </c>
      <c r="Q239" s="13">
        <v>1</v>
      </c>
      <c r="R239" s="34"/>
      <c r="S239" s="13">
        <f t="shared" si="267"/>
        <v>131</v>
      </c>
      <c r="T239" s="13">
        <f t="shared" si="264"/>
        <v>131</v>
      </c>
      <c r="U239" s="13">
        <f t="shared" si="265"/>
        <v>20.864912280701752</v>
      </c>
      <c r="V239" s="34"/>
      <c r="W239" s="10">
        <v>28.5</v>
      </c>
      <c r="X239" s="10">
        <f>(W239*1*D239)+(W239*1.5*E239)+(W239*2*F239)+(W239*1*G239)</f>
        <v>4617</v>
      </c>
      <c r="Y239" s="10">
        <f t="shared" si="268"/>
        <v>594.65</v>
      </c>
      <c r="Z239" s="10">
        <f t="shared" si="269"/>
        <v>0</v>
      </c>
      <c r="AA239" s="14">
        <f t="shared" si="270"/>
        <v>0</v>
      </c>
      <c r="AB239" s="14">
        <f>(W239*1*N239)+(W239*1.5*O239)+(W239*2*P239)+(W239*1*Q239)</f>
        <v>4617</v>
      </c>
      <c r="AC239" s="11">
        <f t="shared" si="271"/>
        <v>-594.65</v>
      </c>
      <c r="AD239" s="215"/>
      <c r="AE239" s="11">
        <f t="shared" si="266"/>
        <v>0</v>
      </c>
      <c r="AF239" s="212"/>
      <c r="AG239" s="8"/>
    </row>
    <row r="240" spans="1:33" x14ac:dyDescent="0.45">
      <c r="A240" s="22">
        <f t="shared" si="255"/>
        <v>44136</v>
      </c>
      <c r="B240" s="15" t="s">
        <v>4</v>
      </c>
      <c r="C240" s="48">
        <f>80*W240</f>
        <v>1840</v>
      </c>
      <c r="D240" s="13">
        <v>80</v>
      </c>
      <c r="E240" s="13">
        <v>9.25</v>
      </c>
      <c r="F240" s="13">
        <v>2</v>
      </c>
      <c r="G240" s="13">
        <v>0</v>
      </c>
      <c r="H240" s="13">
        <v>0</v>
      </c>
      <c r="I240" s="13">
        <f>341.1/W240</f>
        <v>14.830434782608696</v>
      </c>
      <c r="J240" s="13">
        <v>0</v>
      </c>
      <c r="K240" s="13">
        <v>0</v>
      </c>
      <c r="L240" s="45">
        <v>0</v>
      </c>
      <c r="M240" s="34"/>
      <c r="N240" s="13">
        <v>80</v>
      </c>
      <c r="O240" s="13">
        <v>9.25</v>
      </c>
      <c r="P240" s="13">
        <v>2</v>
      </c>
      <c r="Q240" s="13">
        <v>0</v>
      </c>
      <c r="R240" s="34"/>
      <c r="S240" s="13">
        <f t="shared" si="267"/>
        <v>91.25</v>
      </c>
      <c r="T240" s="13">
        <f t="shared" si="264"/>
        <v>91.25</v>
      </c>
      <c r="U240" s="13">
        <f>SUM(H240:K240)</f>
        <v>14.830434782608696</v>
      </c>
      <c r="V240" s="34"/>
      <c r="W240" s="10">
        <v>23</v>
      </c>
      <c r="X240" s="10">
        <f t="shared" ref="X240:X247" si="272">(W240*1*D240)+(W240*1.5*E240)+(W240*2*F240)+(W240*1*G240)</f>
        <v>2251.125</v>
      </c>
      <c r="Y240" s="10">
        <f t="shared" si="268"/>
        <v>341.1</v>
      </c>
      <c r="Z240" s="10">
        <f t="shared" si="269"/>
        <v>0</v>
      </c>
      <c r="AA240" s="14">
        <f t="shared" si="270"/>
        <v>0</v>
      </c>
      <c r="AB240" s="14">
        <f t="shared" ref="AB240:AB247" si="273">(W240*1*N240)+(W240*1.5*O240)+(W240*2*P240)+(W240*1*Q240)</f>
        <v>2251.125</v>
      </c>
      <c r="AC240" s="11">
        <f t="shared" si="271"/>
        <v>-341.1</v>
      </c>
      <c r="AD240" s="215"/>
      <c r="AE240" s="11">
        <f t="shared" si="266"/>
        <v>0</v>
      </c>
      <c r="AF240" s="212"/>
      <c r="AG240" s="8"/>
    </row>
    <row r="241" spans="1:33" x14ac:dyDescent="0.45">
      <c r="A241" s="22">
        <f t="shared" si="255"/>
        <v>44136</v>
      </c>
      <c r="B241" s="15" t="s">
        <v>5</v>
      </c>
      <c r="C241" s="48">
        <f>120*W241</f>
        <v>3264</v>
      </c>
      <c r="D241" s="13">
        <v>80</v>
      </c>
      <c r="E241" s="13">
        <v>15.5</v>
      </c>
      <c r="F241" s="13">
        <v>0</v>
      </c>
      <c r="G241" s="13">
        <v>0</v>
      </c>
      <c r="H241" s="13">
        <v>0</v>
      </c>
      <c r="I241" s="13">
        <f>587.15/27.2</f>
        <v>21.586397058823529</v>
      </c>
      <c r="J241" s="13">
        <v>0</v>
      </c>
      <c r="K241" s="13">
        <v>0</v>
      </c>
      <c r="L241" s="45">
        <v>0</v>
      </c>
      <c r="M241" s="34"/>
      <c r="N241" s="13">
        <v>80</v>
      </c>
      <c r="O241" s="13">
        <v>15.5</v>
      </c>
      <c r="P241" s="13">
        <v>0</v>
      </c>
      <c r="Q241" s="13">
        <v>0</v>
      </c>
      <c r="R241" s="34"/>
      <c r="S241" s="13">
        <f t="shared" si="267"/>
        <v>95.5</v>
      </c>
      <c r="T241" s="13">
        <f t="shared" si="264"/>
        <v>95.5</v>
      </c>
      <c r="U241" s="13">
        <f t="shared" ref="U241:U245" si="274">SUM(H241:K241)</f>
        <v>21.586397058823529</v>
      </c>
      <c r="V241" s="34"/>
      <c r="W241" s="10">
        <v>27.2</v>
      </c>
      <c r="X241" s="10">
        <f t="shared" si="272"/>
        <v>2808.4</v>
      </c>
      <c r="Y241" s="10">
        <f t="shared" si="268"/>
        <v>587.15</v>
      </c>
      <c r="Z241" s="10">
        <f t="shared" si="269"/>
        <v>0</v>
      </c>
      <c r="AA241" s="14">
        <f t="shared" si="270"/>
        <v>0</v>
      </c>
      <c r="AB241" s="14">
        <f t="shared" si="273"/>
        <v>2808.4</v>
      </c>
      <c r="AC241" s="11">
        <f t="shared" si="271"/>
        <v>-587.15</v>
      </c>
      <c r="AD241" s="215"/>
      <c r="AE241" s="11">
        <f t="shared" si="266"/>
        <v>0</v>
      </c>
      <c r="AF241" s="212"/>
      <c r="AG241" s="8"/>
    </row>
    <row r="242" spans="1:33" x14ac:dyDescent="0.45">
      <c r="A242" s="22">
        <f t="shared" si="255"/>
        <v>44136</v>
      </c>
      <c r="B242" s="15" t="s">
        <v>6</v>
      </c>
      <c r="C242" s="48">
        <f>80*W242</f>
        <v>1840</v>
      </c>
      <c r="D242" s="13">
        <v>80</v>
      </c>
      <c r="E242" s="13">
        <v>22.5</v>
      </c>
      <c r="F242" s="13">
        <v>0</v>
      </c>
      <c r="G242" s="13">
        <v>0</v>
      </c>
      <c r="H242" s="13">
        <v>0</v>
      </c>
      <c r="I242" s="13">
        <v>0</v>
      </c>
      <c r="J242" s="13">
        <v>0</v>
      </c>
      <c r="K242" s="13">
        <v>0</v>
      </c>
      <c r="L242" s="45">
        <v>0</v>
      </c>
      <c r="M242" s="34"/>
      <c r="N242" s="13">
        <v>80</v>
      </c>
      <c r="O242" s="13">
        <v>22.5</v>
      </c>
      <c r="P242" s="13">
        <v>0</v>
      </c>
      <c r="Q242" s="13">
        <v>0</v>
      </c>
      <c r="R242" s="34"/>
      <c r="S242" s="13">
        <f t="shared" si="267"/>
        <v>102.5</v>
      </c>
      <c r="T242" s="13">
        <f t="shared" si="264"/>
        <v>102.5</v>
      </c>
      <c r="U242" s="13">
        <f t="shared" si="274"/>
        <v>0</v>
      </c>
      <c r="V242" s="34"/>
      <c r="W242" s="10">
        <v>23</v>
      </c>
      <c r="X242" s="10">
        <f t="shared" si="272"/>
        <v>2616.25</v>
      </c>
      <c r="Y242" s="10">
        <f t="shared" si="268"/>
        <v>0</v>
      </c>
      <c r="Z242" s="10">
        <f t="shared" si="269"/>
        <v>0</v>
      </c>
      <c r="AA242" s="14">
        <f t="shared" si="270"/>
        <v>0</v>
      </c>
      <c r="AB242" s="14">
        <f t="shared" si="273"/>
        <v>2616.25</v>
      </c>
      <c r="AC242" s="11">
        <f t="shared" si="271"/>
        <v>0</v>
      </c>
      <c r="AD242" s="215"/>
      <c r="AE242" s="11">
        <f t="shared" si="266"/>
        <v>0</v>
      </c>
      <c r="AF242" s="212"/>
      <c r="AG242" s="8"/>
    </row>
    <row r="243" spans="1:33" x14ac:dyDescent="0.45">
      <c r="A243" s="22">
        <f t="shared" si="255"/>
        <v>44136</v>
      </c>
      <c r="B243" s="15" t="s">
        <v>8</v>
      </c>
      <c r="C243" s="48"/>
      <c r="D243" s="13">
        <v>0</v>
      </c>
      <c r="E243" s="13">
        <v>0</v>
      </c>
      <c r="F243" s="13">
        <v>0</v>
      </c>
      <c r="G243" s="13">
        <v>0</v>
      </c>
      <c r="H243" s="13">
        <v>0</v>
      </c>
      <c r="I243" s="13">
        <v>0</v>
      </c>
      <c r="J243" s="13">
        <v>0</v>
      </c>
      <c r="K243" s="13">
        <v>0</v>
      </c>
      <c r="L243" s="45">
        <v>0</v>
      </c>
      <c r="M243" s="34"/>
      <c r="N243" s="13">
        <v>0</v>
      </c>
      <c r="O243" s="13">
        <v>0</v>
      </c>
      <c r="P243" s="13">
        <v>0</v>
      </c>
      <c r="Q243" s="13">
        <v>0</v>
      </c>
      <c r="R243" s="34"/>
      <c r="S243" s="13">
        <f t="shared" si="267"/>
        <v>0</v>
      </c>
      <c r="T243" s="13">
        <f t="shared" si="264"/>
        <v>0</v>
      </c>
      <c r="U243" s="13">
        <f t="shared" si="274"/>
        <v>0</v>
      </c>
      <c r="V243" s="34"/>
      <c r="W243" s="10">
        <v>23</v>
      </c>
      <c r="X243" s="10">
        <f t="shared" si="272"/>
        <v>0</v>
      </c>
      <c r="Y243" s="10">
        <f t="shared" si="268"/>
        <v>0</v>
      </c>
      <c r="Z243" s="10">
        <f t="shared" si="269"/>
        <v>0</v>
      </c>
      <c r="AA243" s="14">
        <f t="shared" si="270"/>
        <v>0</v>
      </c>
      <c r="AB243" s="14">
        <f t="shared" si="273"/>
        <v>0</v>
      </c>
      <c r="AC243" s="11">
        <f t="shared" si="271"/>
        <v>0</v>
      </c>
      <c r="AD243" s="215"/>
      <c r="AE243" s="11">
        <f t="shared" si="266"/>
        <v>0</v>
      </c>
      <c r="AF243" s="212"/>
      <c r="AG243" s="8"/>
    </row>
    <row r="244" spans="1:33" x14ac:dyDescent="0.45">
      <c r="A244" s="22">
        <f t="shared" si="255"/>
        <v>44136</v>
      </c>
      <c r="B244" s="15" t="s">
        <v>9</v>
      </c>
      <c r="C244" s="48">
        <f>120*W244</f>
        <v>3204</v>
      </c>
      <c r="D244" s="13">
        <v>0</v>
      </c>
      <c r="E244" s="13">
        <v>0</v>
      </c>
      <c r="F244" s="13">
        <v>0</v>
      </c>
      <c r="G244" s="13">
        <v>0</v>
      </c>
      <c r="H244" s="13">
        <v>0</v>
      </c>
      <c r="I244" s="13">
        <v>80</v>
      </c>
      <c r="J244" s="13">
        <v>0</v>
      </c>
      <c r="K244" s="13">
        <v>0</v>
      </c>
      <c r="L244" s="45">
        <v>0</v>
      </c>
      <c r="M244" s="34"/>
      <c r="N244" s="13">
        <v>0</v>
      </c>
      <c r="O244" s="13">
        <v>0</v>
      </c>
      <c r="P244" s="13">
        <v>0</v>
      </c>
      <c r="Q244" s="13">
        <v>0</v>
      </c>
      <c r="R244" s="34"/>
      <c r="S244" s="13">
        <f t="shared" si="267"/>
        <v>0</v>
      </c>
      <c r="T244" s="13">
        <f t="shared" si="264"/>
        <v>0</v>
      </c>
      <c r="U244" s="13">
        <f t="shared" si="274"/>
        <v>80</v>
      </c>
      <c r="V244" s="34"/>
      <c r="W244" s="10">
        <v>26.7</v>
      </c>
      <c r="X244" s="10">
        <f t="shared" si="272"/>
        <v>0</v>
      </c>
      <c r="Y244" s="10">
        <f>(W244*0*H244)+(W244*1*I244)</f>
        <v>2136</v>
      </c>
      <c r="Z244" s="10">
        <f t="shared" si="269"/>
        <v>0</v>
      </c>
      <c r="AA244" s="14">
        <f t="shared" si="270"/>
        <v>0</v>
      </c>
      <c r="AB244" s="14">
        <f t="shared" si="273"/>
        <v>0</v>
      </c>
      <c r="AC244" s="11">
        <f t="shared" si="271"/>
        <v>-2136</v>
      </c>
      <c r="AD244" s="215"/>
      <c r="AE244" s="11">
        <f t="shared" si="266"/>
        <v>0</v>
      </c>
      <c r="AF244" s="212"/>
      <c r="AG244" s="8"/>
    </row>
    <row r="245" spans="1:33" ht="14.65" thickBot="1" x14ac:dyDescent="0.5">
      <c r="A245" s="23">
        <f t="shared" si="255"/>
        <v>44136</v>
      </c>
      <c r="B245" s="24" t="s">
        <v>31</v>
      </c>
      <c r="C245" s="49">
        <f>80*W245</f>
        <v>2056</v>
      </c>
      <c r="D245" s="25">
        <v>80</v>
      </c>
      <c r="E245" s="25">
        <v>23.25</v>
      </c>
      <c r="F245" s="25">
        <v>13.5</v>
      </c>
      <c r="G245" s="25">
        <v>3</v>
      </c>
      <c r="H245" s="25">
        <v>0</v>
      </c>
      <c r="I245" s="25">
        <v>16.247</v>
      </c>
      <c r="J245" s="25">
        <v>0</v>
      </c>
      <c r="K245" s="25">
        <v>0</v>
      </c>
      <c r="L245" s="46">
        <v>0</v>
      </c>
      <c r="M245" s="35"/>
      <c r="N245" s="25">
        <v>80</v>
      </c>
      <c r="O245" s="25">
        <v>23.25</v>
      </c>
      <c r="P245" s="25">
        <v>13.5</v>
      </c>
      <c r="Q245" s="25">
        <v>3</v>
      </c>
      <c r="R245" s="35"/>
      <c r="S245" s="25">
        <f t="shared" si="267"/>
        <v>119.75</v>
      </c>
      <c r="T245" s="25">
        <f t="shared" si="264"/>
        <v>119.75</v>
      </c>
      <c r="U245" s="25">
        <f t="shared" si="274"/>
        <v>16.247</v>
      </c>
      <c r="V245" s="35"/>
      <c r="W245" s="26">
        <v>25.7</v>
      </c>
      <c r="X245" s="26">
        <f t="shared" si="272"/>
        <v>3723.2874999999999</v>
      </c>
      <c r="Y245" s="26">
        <f t="shared" si="268"/>
        <v>417.54789999999997</v>
      </c>
      <c r="Z245" s="26">
        <f t="shared" si="269"/>
        <v>0</v>
      </c>
      <c r="AA245" s="27">
        <f t="shared" si="270"/>
        <v>0</v>
      </c>
      <c r="AB245" s="27">
        <f t="shared" si="273"/>
        <v>3723.2874999999999</v>
      </c>
      <c r="AC245" s="12">
        <f t="shared" si="271"/>
        <v>-417.54789999999997</v>
      </c>
      <c r="AD245" s="216"/>
      <c r="AE245" s="12">
        <f t="shared" si="266"/>
        <v>0</v>
      </c>
      <c r="AF245" s="213"/>
      <c r="AG245" s="8"/>
    </row>
    <row r="246" spans="1:33" x14ac:dyDescent="0.45">
      <c r="A246" s="16">
        <f>A245+14</f>
        <v>44150</v>
      </c>
      <c r="B246" s="17" t="s">
        <v>0</v>
      </c>
      <c r="C246" s="47">
        <f>80*W246</f>
        <v>2112</v>
      </c>
      <c r="D246" s="18">
        <v>57</v>
      </c>
      <c r="E246" s="18">
        <v>7</v>
      </c>
      <c r="F246" s="18">
        <v>0</v>
      </c>
      <c r="G246" s="18">
        <v>0</v>
      </c>
      <c r="H246" s="18">
        <v>0</v>
      </c>
      <c r="I246" s="18">
        <v>23</v>
      </c>
      <c r="J246" s="18">
        <v>0</v>
      </c>
      <c r="K246" s="18">
        <v>0</v>
      </c>
      <c r="L246" s="44">
        <v>0</v>
      </c>
      <c r="M246" s="33"/>
      <c r="N246" s="18">
        <v>57</v>
      </c>
      <c r="O246" s="18">
        <v>7</v>
      </c>
      <c r="P246" s="18">
        <v>0</v>
      </c>
      <c r="Q246" s="18">
        <v>0</v>
      </c>
      <c r="R246" s="33"/>
      <c r="S246" s="36">
        <f>SUM(D246:G246)</f>
        <v>64</v>
      </c>
      <c r="T246" s="36">
        <f t="shared" ref="T246:T255" si="275">SUM(N246:Q246)</f>
        <v>64</v>
      </c>
      <c r="U246" s="18">
        <f t="shared" ref="U246:U248" si="276">SUM(H246:K246)</f>
        <v>23</v>
      </c>
      <c r="V246" s="33"/>
      <c r="W246" s="19">
        <v>26.4</v>
      </c>
      <c r="X246" s="19">
        <f t="shared" si="272"/>
        <v>1782</v>
      </c>
      <c r="Y246" s="19">
        <f>(W246*0*H246)+(W246*1*I246)</f>
        <v>607.19999999999993</v>
      </c>
      <c r="Z246" s="19">
        <f>(W246*1*J246)+L246</f>
        <v>0</v>
      </c>
      <c r="AA246" s="20">
        <f>(W246*1*K246)</f>
        <v>0</v>
      </c>
      <c r="AB246" s="20">
        <f t="shared" si="273"/>
        <v>1782</v>
      </c>
      <c r="AC246" s="21">
        <f>0-Y246-AA246</f>
        <v>-607.19999999999993</v>
      </c>
      <c r="AD246" s="214">
        <f>SUM(AC246:AC255)</f>
        <v>-5113.6000000000004</v>
      </c>
      <c r="AE246" s="21">
        <f t="shared" ref="AE246:AE255" si="277">AB246-(X246+Z246)</f>
        <v>0</v>
      </c>
      <c r="AF246" s="211">
        <f>SUM(AE246:AE255)</f>
        <v>31.575000000000273</v>
      </c>
      <c r="AG246" s="8"/>
    </row>
    <row r="247" spans="1:33" x14ac:dyDescent="0.45">
      <c r="A247" s="22">
        <f t="shared" si="255"/>
        <v>44150</v>
      </c>
      <c r="B247" s="15" t="s">
        <v>30</v>
      </c>
      <c r="C247" s="48">
        <f>120*W247</f>
        <v>3696</v>
      </c>
      <c r="D247" s="13">
        <v>72</v>
      </c>
      <c r="E247" s="13">
        <v>2.5</v>
      </c>
      <c r="F247" s="13">
        <v>0</v>
      </c>
      <c r="G247" s="13">
        <v>0</v>
      </c>
      <c r="H247" s="13">
        <v>0</v>
      </c>
      <c r="I247" s="13">
        <v>8</v>
      </c>
      <c r="J247" s="13">
        <v>0</v>
      </c>
      <c r="K247" s="13">
        <v>0</v>
      </c>
      <c r="L247" s="45">
        <v>0</v>
      </c>
      <c r="M247" s="34"/>
      <c r="N247" s="13">
        <v>72</v>
      </c>
      <c r="O247" s="13">
        <v>2.5</v>
      </c>
      <c r="P247" s="13">
        <v>0</v>
      </c>
      <c r="Q247" s="13">
        <v>0</v>
      </c>
      <c r="R247" s="34"/>
      <c r="S247" s="13">
        <f t="shared" ref="S247:S255" si="278">SUM(D247:G247)</f>
        <v>74.5</v>
      </c>
      <c r="T247" s="13">
        <f t="shared" si="275"/>
        <v>74.5</v>
      </c>
      <c r="U247" s="13">
        <f t="shared" si="276"/>
        <v>8</v>
      </c>
      <c r="V247" s="34"/>
      <c r="W247" s="10">
        <v>30.8</v>
      </c>
      <c r="X247" s="10">
        <f t="shared" si="272"/>
        <v>2333.1</v>
      </c>
      <c r="Y247" s="10">
        <f t="shared" ref="Y247:Y251" si="279">(W247*0*H247)+(W247*1*I247)</f>
        <v>246.4</v>
      </c>
      <c r="Z247" s="10">
        <f t="shared" ref="Z247:Z255" si="280">(W247*1*J247)+L247</f>
        <v>0</v>
      </c>
      <c r="AA247" s="14">
        <f t="shared" ref="AA247:AA255" si="281">(W247*1*K247)</f>
        <v>0</v>
      </c>
      <c r="AB247" s="14">
        <f t="shared" si="273"/>
        <v>2333.1</v>
      </c>
      <c r="AC247" s="11">
        <f t="shared" ref="AC247:AC255" si="282">0-Y247-AA247</f>
        <v>-246.4</v>
      </c>
      <c r="AD247" s="215"/>
      <c r="AE247" s="11">
        <f t="shared" si="277"/>
        <v>0</v>
      </c>
      <c r="AF247" s="212"/>
      <c r="AG247" s="8"/>
    </row>
    <row r="248" spans="1:33" x14ac:dyDescent="0.45">
      <c r="A248" s="22">
        <f t="shared" si="255"/>
        <v>44150</v>
      </c>
      <c r="B248" s="15" t="s">
        <v>3</v>
      </c>
      <c r="C248" s="48">
        <f>80*W248</f>
        <v>2280</v>
      </c>
      <c r="D248" s="13">
        <v>76.5</v>
      </c>
      <c r="E248" s="13">
        <v>6.5</v>
      </c>
      <c r="F248" s="13">
        <v>0</v>
      </c>
      <c r="G248" s="13">
        <v>1</v>
      </c>
      <c r="H248" s="13">
        <v>0</v>
      </c>
      <c r="I248" s="13">
        <v>0</v>
      </c>
      <c r="J248" s="13">
        <v>0</v>
      </c>
      <c r="K248" s="13">
        <v>0</v>
      </c>
      <c r="L248" s="45">
        <v>0</v>
      </c>
      <c r="M248" s="34"/>
      <c r="N248" s="13">
        <v>78.25</v>
      </c>
      <c r="O248" s="13">
        <v>6.5</v>
      </c>
      <c r="P248" s="13">
        <v>0</v>
      </c>
      <c r="Q248" s="13">
        <v>0</v>
      </c>
      <c r="R248" s="34"/>
      <c r="S248" s="13">
        <f t="shared" si="278"/>
        <v>84</v>
      </c>
      <c r="T248" s="13">
        <f t="shared" si="275"/>
        <v>84.75</v>
      </c>
      <c r="U248" s="13">
        <f t="shared" si="276"/>
        <v>0</v>
      </c>
      <c r="V248" s="34"/>
      <c r="W248" s="10">
        <v>28.5</v>
      </c>
      <c r="X248" s="10">
        <f>(W248*1*D248)+(W248*1.5*E248)+(W248*2*F248)+(W248*1*G248)</f>
        <v>2486.625</v>
      </c>
      <c r="Y248" s="10">
        <f t="shared" si="279"/>
        <v>0</v>
      </c>
      <c r="Z248" s="10">
        <f t="shared" si="280"/>
        <v>0</v>
      </c>
      <c r="AA248" s="14">
        <f t="shared" si="281"/>
        <v>0</v>
      </c>
      <c r="AB248" s="14">
        <f>(W248*1*N248)+(W248*1.5*O248)+(W248*2*P248)+(W248*1*Q248)</f>
        <v>2508</v>
      </c>
      <c r="AC248" s="11">
        <f t="shared" si="282"/>
        <v>0</v>
      </c>
      <c r="AD248" s="215"/>
      <c r="AE248" s="11">
        <f t="shared" si="277"/>
        <v>21.375</v>
      </c>
      <c r="AF248" s="212"/>
      <c r="AG248" s="8"/>
    </row>
    <row r="249" spans="1:33" x14ac:dyDescent="0.45">
      <c r="A249" s="22">
        <f t="shared" si="255"/>
        <v>44150</v>
      </c>
      <c r="B249" s="15" t="s">
        <v>4</v>
      </c>
      <c r="C249" s="48">
        <f>80*W249</f>
        <v>1840</v>
      </c>
      <c r="D249" s="13">
        <v>80</v>
      </c>
      <c r="E249" s="13">
        <v>11.75</v>
      </c>
      <c r="F249" s="13">
        <v>0</v>
      </c>
      <c r="G249" s="13">
        <v>0</v>
      </c>
      <c r="H249" s="13">
        <v>0</v>
      </c>
      <c r="I249" s="13">
        <v>0</v>
      </c>
      <c r="J249" s="13">
        <v>0</v>
      </c>
      <c r="K249" s="13">
        <v>0</v>
      </c>
      <c r="L249" s="45">
        <v>0</v>
      </c>
      <c r="M249" s="34"/>
      <c r="N249" s="13">
        <v>80</v>
      </c>
      <c r="O249" s="13">
        <v>11.75</v>
      </c>
      <c r="P249" s="13">
        <v>0</v>
      </c>
      <c r="Q249" s="13">
        <v>0</v>
      </c>
      <c r="R249" s="34"/>
      <c r="S249" s="13">
        <f t="shared" si="278"/>
        <v>91.75</v>
      </c>
      <c r="T249" s="13">
        <f t="shared" si="275"/>
        <v>91.75</v>
      </c>
      <c r="U249" s="13">
        <f>SUM(H249:K249)</f>
        <v>0</v>
      </c>
      <c r="V249" s="34"/>
      <c r="W249" s="10">
        <v>23</v>
      </c>
      <c r="X249" s="10">
        <f t="shared" ref="X249:X257" si="283">(W249*1*D249)+(W249*1.5*E249)+(W249*2*F249)+(W249*1*G249)</f>
        <v>2245.375</v>
      </c>
      <c r="Y249" s="10">
        <f t="shared" si="279"/>
        <v>0</v>
      </c>
      <c r="Z249" s="10">
        <f t="shared" si="280"/>
        <v>0</v>
      </c>
      <c r="AA249" s="14">
        <f t="shared" si="281"/>
        <v>0</v>
      </c>
      <c r="AB249" s="14">
        <f t="shared" ref="AB249:AB257" si="284">(W249*1*N249)+(W249*1.5*O249)+(W249*2*P249)+(W249*1*Q249)</f>
        <v>2245.375</v>
      </c>
      <c r="AC249" s="11">
        <f t="shared" si="282"/>
        <v>0</v>
      </c>
      <c r="AD249" s="215"/>
      <c r="AE249" s="11">
        <f t="shared" si="277"/>
        <v>0</v>
      </c>
      <c r="AF249" s="212"/>
      <c r="AG249" s="8"/>
    </row>
    <row r="250" spans="1:33" x14ac:dyDescent="0.45">
      <c r="A250" s="22">
        <f t="shared" si="255"/>
        <v>44150</v>
      </c>
      <c r="B250" s="15" t="s">
        <v>5</v>
      </c>
      <c r="C250" s="48">
        <f>120*W250</f>
        <v>3264</v>
      </c>
      <c r="D250" s="13">
        <v>80</v>
      </c>
      <c r="E250" s="13">
        <v>12.75</v>
      </c>
      <c r="F250" s="13">
        <v>0</v>
      </c>
      <c r="G250" s="13">
        <v>0</v>
      </c>
      <c r="H250" s="13">
        <v>0</v>
      </c>
      <c r="I250" s="13">
        <v>0</v>
      </c>
      <c r="J250" s="13">
        <v>0</v>
      </c>
      <c r="K250" s="13">
        <v>0</v>
      </c>
      <c r="L250" s="45">
        <v>0</v>
      </c>
      <c r="M250" s="34"/>
      <c r="N250" s="13">
        <v>80</v>
      </c>
      <c r="O250" s="13">
        <v>13</v>
      </c>
      <c r="P250" s="13">
        <v>0</v>
      </c>
      <c r="Q250" s="13">
        <v>0</v>
      </c>
      <c r="R250" s="34"/>
      <c r="S250" s="13">
        <f t="shared" si="278"/>
        <v>92.75</v>
      </c>
      <c r="T250" s="13">
        <f t="shared" si="275"/>
        <v>93</v>
      </c>
      <c r="U250" s="13">
        <f t="shared" ref="U250:U255" si="285">SUM(H250:K250)</f>
        <v>0</v>
      </c>
      <c r="V250" s="34"/>
      <c r="W250" s="10">
        <v>27.2</v>
      </c>
      <c r="X250" s="10">
        <f t="shared" si="283"/>
        <v>2696.2</v>
      </c>
      <c r="Y250" s="10">
        <f t="shared" si="279"/>
        <v>0</v>
      </c>
      <c r="Z250" s="10">
        <f t="shared" si="280"/>
        <v>0</v>
      </c>
      <c r="AA250" s="14">
        <f t="shared" si="281"/>
        <v>0</v>
      </c>
      <c r="AB250" s="14">
        <f t="shared" si="284"/>
        <v>2706.4</v>
      </c>
      <c r="AC250" s="11">
        <f t="shared" si="282"/>
        <v>0</v>
      </c>
      <c r="AD250" s="215"/>
      <c r="AE250" s="11">
        <f t="shared" si="277"/>
        <v>10.200000000000273</v>
      </c>
      <c r="AF250" s="212"/>
      <c r="AG250" s="8"/>
    </row>
    <row r="251" spans="1:33" x14ac:dyDescent="0.45">
      <c r="A251" s="22">
        <f t="shared" si="255"/>
        <v>44150</v>
      </c>
      <c r="B251" s="15" t="s">
        <v>6</v>
      </c>
      <c r="C251" s="48">
        <f>80*W251</f>
        <v>1840</v>
      </c>
      <c r="D251" s="13">
        <v>39</v>
      </c>
      <c r="E251" s="13">
        <v>0</v>
      </c>
      <c r="F251" s="13">
        <v>0</v>
      </c>
      <c r="G251" s="13">
        <v>0</v>
      </c>
      <c r="H251" s="13">
        <v>0</v>
      </c>
      <c r="I251" s="13">
        <v>60</v>
      </c>
      <c r="J251" s="13">
        <v>0</v>
      </c>
      <c r="K251" s="13">
        <v>0</v>
      </c>
      <c r="L251" s="45">
        <v>0</v>
      </c>
      <c r="M251" s="34"/>
      <c r="N251" s="13">
        <v>39</v>
      </c>
      <c r="O251" s="13">
        <v>0</v>
      </c>
      <c r="P251" s="13">
        <v>0</v>
      </c>
      <c r="Q251" s="13">
        <v>0</v>
      </c>
      <c r="R251" s="34"/>
      <c r="S251" s="13">
        <f t="shared" si="278"/>
        <v>39</v>
      </c>
      <c r="T251" s="13">
        <f t="shared" si="275"/>
        <v>39</v>
      </c>
      <c r="U251" s="13">
        <f t="shared" si="285"/>
        <v>60</v>
      </c>
      <c r="V251" s="34"/>
      <c r="W251" s="10">
        <v>23</v>
      </c>
      <c r="X251" s="10">
        <f t="shared" si="283"/>
        <v>897</v>
      </c>
      <c r="Y251" s="10">
        <f t="shared" si="279"/>
        <v>1380</v>
      </c>
      <c r="Z251" s="10">
        <f t="shared" si="280"/>
        <v>0</v>
      </c>
      <c r="AA251" s="14">
        <f t="shared" si="281"/>
        <v>0</v>
      </c>
      <c r="AB251" s="14">
        <f t="shared" si="284"/>
        <v>897</v>
      </c>
      <c r="AC251" s="11">
        <f t="shared" si="282"/>
        <v>-1380</v>
      </c>
      <c r="AD251" s="215"/>
      <c r="AE251" s="11">
        <f t="shared" si="277"/>
        <v>0</v>
      </c>
      <c r="AF251" s="212"/>
      <c r="AG251" s="8"/>
    </row>
    <row r="252" spans="1:33" x14ac:dyDescent="0.45">
      <c r="A252" s="22">
        <f t="shared" si="255"/>
        <v>44150</v>
      </c>
      <c r="B252" s="15" t="s">
        <v>9</v>
      </c>
      <c r="C252" s="48">
        <f>120*W252</f>
        <v>3204</v>
      </c>
      <c r="D252" s="13">
        <v>80</v>
      </c>
      <c r="E252" s="13">
        <v>13</v>
      </c>
      <c r="F252" s="13">
        <v>8</v>
      </c>
      <c r="G252" s="13">
        <v>12</v>
      </c>
      <c r="H252" s="13">
        <v>0</v>
      </c>
      <c r="I252" s="13">
        <v>0</v>
      </c>
      <c r="J252" s="13">
        <v>0</v>
      </c>
      <c r="K252" s="13">
        <v>0</v>
      </c>
      <c r="L252" s="45">
        <v>0</v>
      </c>
      <c r="M252" s="34"/>
      <c r="N252" s="13">
        <v>80</v>
      </c>
      <c r="O252" s="13">
        <v>13</v>
      </c>
      <c r="P252" s="13">
        <v>8</v>
      </c>
      <c r="Q252" s="13">
        <v>12</v>
      </c>
      <c r="R252" s="34"/>
      <c r="S252" s="13">
        <f t="shared" si="278"/>
        <v>113</v>
      </c>
      <c r="T252" s="13">
        <f t="shared" si="275"/>
        <v>113</v>
      </c>
      <c r="U252" s="13">
        <f t="shared" si="285"/>
        <v>0</v>
      </c>
      <c r="V252" s="34"/>
      <c r="W252" s="10">
        <v>26.7</v>
      </c>
      <c r="X252" s="10">
        <f t="shared" si="283"/>
        <v>3404.25</v>
      </c>
      <c r="Y252" s="10">
        <f>(W252*0*H252)+(W252*1*I252)</f>
        <v>0</v>
      </c>
      <c r="Z252" s="10">
        <f t="shared" si="280"/>
        <v>0</v>
      </c>
      <c r="AA252" s="14">
        <f t="shared" si="281"/>
        <v>0</v>
      </c>
      <c r="AB252" s="14">
        <f t="shared" si="284"/>
        <v>3404.25</v>
      </c>
      <c r="AC252" s="11">
        <f t="shared" si="282"/>
        <v>0</v>
      </c>
      <c r="AD252" s="215"/>
      <c r="AE252" s="11">
        <f t="shared" si="277"/>
        <v>0</v>
      </c>
      <c r="AF252" s="212"/>
      <c r="AG252" s="8"/>
    </row>
    <row r="253" spans="1:33" x14ac:dyDescent="0.45">
      <c r="A253" s="22">
        <f t="shared" si="255"/>
        <v>44150</v>
      </c>
      <c r="B253" s="50" t="s">
        <v>31</v>
      </c>
      <c r="C253" s="48">
        <f>80*W253</f>
        <v>2056</v>
      </c>
      <c r="D253" s="51">
        <v>80</v>
      </c>
      <c r="E253" s="51">
        <v>8.25</v>
      </c>
      <c r="F253" s="51">
        <v>0</v>
      </c>
      <c r="G253" s="51">
        <v>2</v>
      </c>
      <c r="H253" s="51">
        <v>0</v>
      </c>
      <c r="I253" s="51">
        <v>0</v>
      </c>
      <c r="J253" s="51">
        <v>0</v>
      </c>
      <c r="K253" s="51">
        <v>0</v>
      </c>
      <c r="L253" s="52">
        <v>0</v>
      </c>
      <c r="M253" s="34"/>
      <c r="N253" s="51">
        <v>82</v>
      </c>
      <c r="O253" s="51">
        <v>8.25</v>
      </c>
      <c r="P253" s="51">
        <v>0</v>
      </c>
      <c r="Q253" s="51">
        <v>0</v>
      </c>
      <c r="R253" s="34"/>
      <c r="S253" s="51">
        <f t="shared" ref="S253" si="286">SUM(D253:G253)</f>
        <v>90.25</v>
      </c>
      <c r="T253" s="51">
        <f t="shared" ref="T253" si="287">SUM(N253:Q253)</f>
        <v>90.25</v>
      </c>
      <c r="U253" s="51">
        <f t="shared" ref="U253" si="288">SUM(H253:K253)</f>
        <v>0</v>
      </c>
      <c r="V253" s="34"/>
      <c r="W253" s="53">
        <v>25.7</v>
      </c>
      <c r="X253" s="53">
        <f t="shared" ref="X253" si="289">(W253*1*D253)+(W253*1.5*E253)+(W253*2*F253)+(W253*1*G253)</f>
        <v>2425.4375</v>
      </c>
      <c r="Y253" s="53">
        <f t="shared" ref="Y253" si="290">(W253*0*H253)+(W253*1*I253)</f>
        <v>0</v>
      </c>
      <c r="Z253" s="53">
        <f t="shared" ref="Z253" si="291">(W253*1*J253)+L253</f>
        <v>0</v>
      </c>
      <c r="AA253" s="54">
        <f t="shared" ref="AA253" si="292">(W253*1*K253)</f>
        <v>0</v>
      </c>
      <c r="AB253" s="54">
        <f t="shared" ref="AB253" si="293">(W253*1*N253)+(W253*1.5*O253)+(W253*2*P253)+(W253*1*Q253)</f>
        <v>2425.4375</v>
      </c>
      <c r="AC253" s="55">
        <f t="shared" ref="AC253" si="294">0-Y253-AA253</f>
        <v>0</v>
      </c>
      <c r="AD253" s="217"/>
      <c r="AE253" s="55">
        <f t="shared" ref="AE253" si="295">AB253-(X253+Z253)</f>
        <v>0</v>
      </c>
      <c r="AF253" s="212"/>
      <c r="AG253" s="8"/>
    </row>
    <row r="254" spans="1:33" x14ac:dyDescent="0.45">
      <c r="A254" s="22">
        <f t="shared" si="255"/>
        <v>44150</v>
      </c>
      <c r="B254" s="50" t="s">
        <v>51</v>
      </c>
      <c r="C254" s="48">
        <v>0</v>
      </c>
      <c r="D254" s="51">
        <v>0</v>
      </c>
      <c r="E254" s="51">
        <v>0</v>
      </c>
      <c r="F254" s="51">
        <v>0</v>
      </c>
      <c r="G254" s="51">
        <v>0</v>
      </c>
      <c r="H254" s="51">
        <v>0</v>
      </c>
      <c r="I254" s="51">
        <v>0</v>
      </c>
      <c r="J254" s="51">
        <v>0</v>
      </c>
      <c r="K254" s="51">
        <v>80</v>
      </c>
      <c r="L254" s="52">
        <v>0</v>
      </c>
      <c r="M254" s="34"/>
      <c r="N254" s="51">
        <v>0</v>
      </c>
      <c r="O254" s="51">
        <v>0</v>
      </c>
      <c r="P254" s="51">
        <v>0</v>
      </c>
      <c r="Q254" s="51">
        <v>0</v>
      </c>
      <c r="R254" s="34"/>
      <c r="S254" s="51">
        <f t="shared" ref="S254" si="296">SUM(D254:G254)</f>
        <v>0</v>
      </c>
      <c r="T254" s="51">
        <f t="shared" ref="T254" si="297">SUM(N254:Q254)</f>
        <v>0</v>
      </c>
      <c r="U254" s="51">
        <f t="shared" ref="U254" si="298">SUM(H254:K254)</f>
        <v>80</v>
      </c>
      <c r="V254" s="34"/>
      <c r="W254" s="53">
        <v>18</v>
      </c>
      <c r="X254" s="53">
        <f t="shared" ref="X254" si="299">(W254*1*D254)+(W254*1.5*E254)+(W254*2*F254)+(W254*1*G254)</f>
        <v>0</v>
      </c>
      <c r="Y254" s="53">
        <f t="shared" ref="Y254" si="300">(W254*0*H254)+(W254*1*I254)</f>
        <v>0</v>
      </c>
      <c r="Z254" s="53">
        <f t="shared" ref="Z254" si="301">(W254*1*J254)+L254</f>
        <v>0</v>
      </c>
      <c r="AA254" s="54">
        <f t="shared" ref="AA254" si="302">(W254*1*K254)</f>
        <v>1440</v>
      </c>
      <c r="AB254" s="54">
        <f t="shared" ref="AB254" si="303">(W254*1*N254)+(W254*1.5*O254)+(W254*2*P254)+(W254*1*Q254)</f>
        <v>0</v>
      </c>
      <c r="AC254" s="55">
        <f t="shared" ref="AC254" si="304">0-Y254-AA254</f>
        <v>-1440</v>
      </c>
      <c r="AD254" s="217"/>
      <c r="AE254" s="55">
        <f t="shared" ref="AE254" si="305">AB254-(X254+Z254)</f>
        <v>0</v>
      </c>
      <c r="AF254" s="212"/>
      <c r="AG254" s="8"/>
    </row>
    <row r="255" spans="1:33" ht="14.65" thickBot="1" x14ac:dyDescent="0.5">
      <c r="A255" s="23">
        <f>A254</f>
        <v>44150</v>
      </c>
      <c r="B255" s="24" t="s">
        <v>52</v>
      </c>
      <c r="C255" s="49">
        <v>0</v>
      </c>
      <c r="D255" s="25">
        <v>0</v>
      </c>
      <c r="E255" s="25">
        <v>0</v>
      </c>
      <c r="F255" s="25">
        <v>0</v>
      </c>
      <c r="G255" s="25">
        <v>0</v>
      </c>
      <c r="H255" s="25">
        <v>0</v>
      </c>
      <c r="I255" s="25">
        <v>0</v>
      </c>
      <c r="J255" s="25">
        <v>0</v>
      </c>
      <c r="K255" s="25">
        <v>80</v>
      </c>
      <c r="L255" s="46">
        <v>0</v>
      </c>
      <c r="M255" s="35"/>
      <c r="N255" s="25">
        <v>0</v>
      </c>
      <c r="O255" s="25">
        <v>0</v>
      </c>
      <c r="P255" s="25">
        <v>0</v>
      </c>
      <c r="Q255" s="25">
        <v>0</v>
      </c>
      <c r="R255" s="35"/>
      <c r="S255" s="25">
        <f t="shared" si="278"/>
        <v>0</v>
      </c>
      <c r="T255" s="25">
        <f t="shared" si="275"/>
        <v>0</v>
      </c>
      <c r="U255" s="25">
        <f t="shared" si="285"/>
        <v>80</v>
      </c>
      <c r="V255" s="35"/>
      <c r="W255" s="26">
        <v>18</v>
      </c>
      <c r="X255" s="26">
        <f t="shared" si="283"/>
        <v>0</v>
      </c>
      <c r="Y255" s="26">
        <f t="shared" ref="Y255" si="306">(W255*0*H255)+(W255*1*I255)</f>
        <v>0</v>
      </c>
      <c r="Z255" s="26">
        <f t="shared" si="280"/>
        <v>0</v>
      </c>
      <c r="AA255" s="27">
        <f t="shared" si="281"/>
        <v>1440</v>
      </c>
      <c r="AB255" s="27">
        <f t="shared" si="284"/>
        <v>0</v>
      </c>
      <c r="AC255" s="12">
        <f t="shared" si="282"/>
        <v>-1440</v>
      </c>
      <c r="AD255" s="216"/>
      <c r="AE255" s="12">
        <f t="shared" si="277"/>
        <v>0</v>
      </c>
      <c r="AF255" s="213"/>
      <c r="AG255" s="8"/>
    </row>
    <row r="256" spans="1:33" x14ac:dyDescent="0.45">
      <c r="A256" s="16">
        <f>A255+14</f>
        <v>44164</v>
      </c>
      <c r="B256" s="17" t="s">
        <v>0</v>
      </c>
      <c r="C256" s="47">
        <f>80*W256</f>
        <v>2112</v>
      </c>
      <c r="D256" s="18">
        <v>0</v>
      </c>
      <c r="E256" s="18">
        <v>0</v>
      </c>
      <c r="F256" s="18">
        <v>0</v>
      </c>
      <c r="G256" s="18">
        <v>0</v>
      </c>
      <c r="H256" s="18">
        <v>0</v>
      </c>
      <c r="I256" s="18">
        <v>80</v>
      </c>
      <c r="J256" s="18">
        <v>0</v>
      </c>
      <c r="K256" s="18">
        <v>0</v>
      </c>
      <c r="L256" s="44">
        <v>0</v>
      </c>
      <c r="M256" s="33"/>
      <c r="N256" s="18">
        <v>0</v>
      </c>
      <c r="O256" s="18">
        <v>0</v>
      </c>
      <c r="P256" s="18">
        <v>0</v>
      </c>
      <c r="Q256" s="18">
        <v>0</v>
      </c>
      <c r="R256" s="33"/>
      <c r="S256" s="36">
        <f>SUM(D256:G256)</f>
        <v>0</v>
      </c>
      <c r="T256" s="36">
        <f t="shared" ref="T256:T263" si="307">SUM(N256:Q256)</f>
        <v>0</v>
      </c>
      <c r="U256" s="18">
        <f t="shared" ref="U256:U258" si="308">SUM(H256:K256)</f>
        <v>80</v>
      </c>
      <c r="V256" s="33"/>
      <c r="W256" s="19">
        <v>26.4</v>
      </c>
      <c r="X256" s="19">
        <f t="shared" si="283"/>
        <v>0</v>
      </c>
      <c r="Y256" s="19">
        <f>(W256*0*H256)+(W256*1*I256)</f>
        <v>2112</v>
      </c>
      <c r="Z256" s="19">
        <f>(W256*1*J256)+L256</f>
        <v>0</v>
      </c>
      <c r="AA256" s="20">
        <f>(W256*1*K256)</f>
        <v>0</v>
      </c>
      <c r="AB256" s="20">
        <f t="shared" si="284"/>
        <v>0</v>
      </c>
      <c r="AC256" s="21">
        <f>0-Y256-AA256</f>
        <v>-2112</v>
      </c>
      <c r="AD256" s="214">
        <f>SUM(AC256:AC265)</f>
        <v>-5078</v>
      </c>
      <c r="AE256" s="21">
        <f t="shared" ref="AE256:AE265" si="309">AB256-(X256+Z256)</f>
        <v>0</v>
      </c>
      <c r="AF256" s="211">
        <f>SUM(AE256:AE265)</f>
        <v>144.22499999999991</v>
      </c>
      <c r="AG256" s="8"/>
    </row>
    <row r="257" spans="1:33" x14ac:dyDescent="0.45">
      <c r="A257" s="22">
        <f t="shared" ref="A257:A264" si="310">A256</f>
        <v>44164</v>
      </c>
      <c r="B257" s="15" t="s">
        <v>30</v>
      </c>
      <c r="C257" s="48">
        <f>120*W257</f>
        <v>3696</v>
      </c>
      <c r="D257" s="13">
        <v>80</v>
      </c>
      <c r="E257" s="13">
        <v>32.5</v>
      </c>
      <c r="F257" s="13">
        <v>12</v>
      </c>
      <c r="G257" s="13">
        <v>12</v>
      </c>
      <c r="H257" s="13">
        <v>0</v>
      </c>
      <c r="I257" s="13">
        <v>0</v>
      </c>
      <c r="J257" s="13">
        <v>0</v>
      </c>
      <c r="K257" s="13">
        <v>0</v>
      </c>
      <c r="L257" s="45">
        <v>0</v>
      </c>
      <c r="M257" s="34"/>
      <c r="N257" s="13">
        <v>80</v>
      </c>
      <c r="O257" s="13">
        <v>32.5</v>
      </c>
      <c r="P257" s="13">
        <v>12</v>
      </c>
      <c r="Q257" s="13">
        <v>12</v>
      </c>
      <c r="R257" s="34"/>
      <c r="S257" s="13">
        <f t="shared" ref="S257:S262" si="311">SUM(D257:G257)</f>
        <v>136.5</v>
      </c>
      <c r="T257" s="13">
        <f t="shared" si="307"/>
        <v>136.5</v>
      </c>
      <c r="U257" s="13">
        <f t="shared" si="308"/>
        <v>0</v>
      </c>
      <c r="V257" s="34"/>
      <c r="W257" s="10">
        <v>30.8</v>
      </c>
      <c r="X257" s="10">
        <f t="shared" si="283"/>
        <v>5074.3</v>
      </c>
      <c r="Y257" s="10">
        <f t="shared" ref="Y257:Y261" si="312">(W257*0*H257)+(W257*1*I257)</f>
        <v>0</v>
      </c>
      <c r="Z257" s="10">
        <f t="shared" ref="Z257:Z265" si="313">(W257*1*J257)+L257</f>
        <v>0</v>
      </c>
      <c r="AA257" s="14">
        <f t="shared" ref="AA257:AA265" si="314">(W257*1*K257)</f>
        <v>0</v>
      </c>
      <c r="AB257" s="14">
        <f t="shared" si="284"/>
        <v>5074.3</v>
      </c>
      <c r="AC257" s="11">
        <f t="shared" ref="AC257:AC265" si="315">0-Y257-AA257</f>
        <v>0</v>
      </c>
      <c r="AD257" s="215"/>
      <c r="AE257" s="11">
        <f t="shared" si="309"/>
        <v>0</v>
      </c>
      <c r="AF257" s="212"/>
      <c r="AG257" s="8"/>
    </row>
    <row r="258" spans="1:33" x14ac:dyDescent="0.45">
      <c r="A258" s="22">
        <f t="shared" si="310"/>
        <v>44164</v>
      </c>
      <c r="B258" s="15" t="s">
        <v>3</v>
      </c>
      <c r="C258" s="48">
        <f>80*W258</f>
        <v>2280</v>
      </c>
      <c r="D258" s="13">
        <v>80</v>
      </c>
      <c r="E258" s="13">
        <v>19</v>
      </c>
      <c r="F258" s="13">
        <v>0</v>
      </c>
      <c r="G258" s="13">
        <v>0</v>
      </c>
      <c r="H258" s="13">
        <v>0</v>
      </c>
      <c r="I258" s="13">
        <v>0</v>
      </c>
      <c r="J258" s="13">
        <v>0</v>
      </c>
      <c r="K258" s="13">
        <v>0</v>
      </c>
      <c r="L258" s="45">
        <v>0</v>
      </c>
      <c r="M258" s="34"/>
      <c r="N258" s="13">
        <v>80</v>
      </c>
      <c r="O258" s="13">
        <v>19</v>
      </c>
      <c r="P258" s="13">
        <v>0</v>
      </c>
      <c r="Q258" s="13">
        <v>0</v>
      </c>
      <c r="R258" s="34"/>
      <c r="S258" s="13">
        <f t="shared" si="311"/>
        <v>99</v>
      </c>
      <c r="T258" s="13">
        <f t="shared" si="307"/>
        <v>99</v>
      </c>
      <c r="U258" s="13">
        <f t="shared" si="308"/>
        <v>0</v>
      </c>
      <c r="V258" s="34"/>
      <c r="W258" s="10">
        <v>28.5</v>
      </c>
      <c r="X258" s="10">
        <f>(W258*1*D258)+(W258*1.5*E258)+(W258*2*F258)+(W258*1*G258)</f>
        <v>3092.25</v>
      </c>
      <c r="Y258" s="10">
        <f t="shared" si="312"/>
        <v>0</v>
      </c>
      <c r="Z258" s="10">
        <f t="shared" si="313"/>
        <v>0</v>
      </c>
      <c r="AA258" s="14">
        <f t="shared" si="314"/>
        <v>0</v>
      </c>
      <c r="AB258" s="14">
        <f>(W258*1*N258)+(W258*1.5*O258)+(W258*2*P258)+(W258*1*Q258)</f>
        <v>3092.25</v>
      </c>
      <c r="AC258" s="11">
        <f t="shared" si="315"/>
        <v>0</v>
      </c>
      <c r="AD258" s="215"/>
      <c r="AE258" s="11">
        <f t="shared" si="309"/>
        <v>0</v>
      </c>
      <c r="AF258" s="212"/>
      <c r="AG258" s="8"/>
    </row>
    <row r="259" spans="1:33" x14ac:dyDescent="0.45">
      <c r="A259" s="22">
        <f t="shared" si="310"/>
        <v>44164</v>
      </c>
      <c r="B259" s="15" t="s">
        <v>4</v>
      </c>
      <c r="C259" s="48">
        <f>80*W259</f>
        <v>1840</v>
      </c>
      <c r="D259" s="13">
        <v>80</v>
      </c>
      <c r="E259" s="13">
        <v>22.25</v>
      </c>
      <c r="F259" s="13">
        <v>0</v>
      </c>
      <c r="G259" s="13">
        <v>0</v>
      </c>
      <c r="H259" s="13">
        <v>0</v>
      </c>
      <c r="I259" s="13">
        <v>0</v>
      </c>
      <c r="J259" s="13">
        <v>0</v>
      </c>
      <c r="K259" s="13">
        <v>0</v>
      </c>
      <c r="L259" s="45">
        <v>0</v>
      </c>
      <c r="M259" s="34"/>
      <c r="N259" s="13">
        <v>80</v>
      </c>
      <c r="O259" s="13">
        <v>22</v>
      </c>
      <c r="P259" s="13">
        <v>0</v>
      </c>
      <c r="Q259" s="13">
        <v>0</v>
      </c>
      <c r="R259" s="34"/>
      <c r="S259" s="13">
        <f t="shared" si="311"/>
        <v>102.25</v>
      </c>
      <c r="T259" s="13">
        <f t="shared" si="307"/>
        <v>102</v>
      </c>
      <c r="U259" s="13">
        <f>SUM(H259:K259)</f>
        <v>0</v>
      </c>
      <c r="V259" s="34"/>
      <c r="W259" s="10">
        <v>23</v>
      </c>
      <c r="X259" s="10">
        <f t="shared" ref="X259:X267" si="316">(W259*1*D259)+(W259*1.5*E259)+(W259*2*F259)+(W259*1*G259)</f>
        <v>2607.625</v>
      </c>
      <c r="Y259" s="10">
        <f t="shared" si="312"/>
        <v>0</v>
      </c>
      <c r="Z259" s="10">
        <f t="shared" si="313"/>
        <v>0</v>
      </c>
      <c r="AA259" s="14">
        <f t="shared" si="314"/>
        <v>0</v>
      </c>
      <c r="AB259" s="14">
        <f t="shared" ref="AB259:AB267" si="317">(W259*1*N259)+(W259*1.5*O259)+(W259*2*P259)+(W259*1*Q259)</f>
        <v>2599</v>
      </c>
      <c r="AC259" s="11">
        <f t="shared" si="315"/>
        <v>0</v>
      </c>
      <c r="AD259" s="215"/>
      <c r="AE259" s="11">
        <f t="shared" si="309"/>
        <v>-8.625</v>
      </c>
      <c r="AF259" s="212"/>
      <c r="AG259" s="8"/>
    </row>
    <row r="260" spans="1:33" x14ac:dyDescent="0.45">
      <c r="A260" s="22">
        <f t="shared" si="310"/>
        <v>44164</v>
      </c>
      <c r="B260" s="15" t="s">
        <v>5</v>
      </c>
      <c r="C260" s="48">
        <f>120*W260</f>
        <v>3264</v>
      </c>
      <c r="D260" s="13">
        <v>80</v>
      </c>
      <c r="E260" s="13">
        <v>22</v>
      </c>
      <c r="F260" s="13">
        <v>0</v>
      </c>
      <c r="G260" s="13">
        <v>0</v>
      </c>
      <c r="H260" s="13">
        <v>0</v>
      </c>
      <c r="I260" s="13">
        <v>0</v>
      </c>
      <c r="J260" s="13">
        <v>0</v>
      </c>
      <c r="K260" s="13">
        <v>0</v>
      </c>
      <c r="L260" s="45">
        <v>0</v>
      </c>
      <c r="M260" s="34"/>
      <c r="N260" s="13">
        <v>80</v>
      </c>
      <c r="O260" s="13">
        <v>22</v>
      </c>
      <c r="P260" s="13">
        <v>0</v>
      </c>
      <c r="Q260" s="13">
        <v>0</v>
      </c>
      <c r="R260" s="34"/>
      <c r="S260" s="13">
        <f t="shared" si="311"/>
        <v>102</v>
      </c>
      <c r="T260" s="13">
        <f t="shared" si="307"/>
        <v>102</v>
      </c>
      <c r="U260" s="13">
        <f t="shared" ref="U260:U262" si="318">SUM(H260:K260)</f>
        <v>0</v>
      </c>
      <c r="V260" s="34"/>
      <c r="W260" s="10">
        <v>27.2</v>
      </c>
      <c r="X260" s="10">
        <f t="shared" si="316"/>
        <v>3073.6</v>
      </c>
      <c r="Y260" s="10">
        <f t="shared" si="312"/>
        <v>0</v>
      </c>
      <c r="Z260" s="10">
        <f t="shared" si="313"/>
        <v>0</v>
      </c>
      <c r="AA260" s="14">
        <f t="shared" si="314"/>
        <v>0</v>
      </c>
      <c r="AB260" s="14">
        <f t="shared" si="317"/>
        <v>3073.6</v>
      </c>
      <c r="AC260" s="11">
        <f t="shared" si="315"/>
        <v>0</v>
      </c>
      <c r="AD260" s="215"/>
      <c r="AE260" s="11">
        <f t="shared" si="309"/>
        <v>0</v>
      </c>
      <c r="AF260" s="212"/>
      <c r="AG260" s="8"/>
    </row>
    <row r="261" spans="1:33" x14ac:dyDescent="0.45">
      <c r="A261" s="22">
        <f t="shared" si="310"/>
        <v>44164</v>
      </c>
      <c r="B261" s="15" t="s">
        <v>6</v>
      </c>
      <c r="C261" s="48">
        <f>80*W261</f>
        <v>1840</v>
      </c>
      <c r="D261" s="13">
        <v>75.5</v>
      </c>
      <c r="E261" s="13">
        <v>5.25</v>
      </c>
      <c r="F261" s="13">
        <v>0</v>
      </c>
      <c r="G261" s="13">
        <v>0</v>
      </c>
      <c r="H261" s="13">
        <v>0</v>
      </c>
      <c r="I261" s="13">
        <v>10</v>
      </c>
      <c r="J261" s="13">
        <v>0</v>
      </c>
      <c r="K261" s="13">
        <v>0</v>
      </c>
      <c r="L261" s="45">
        <v>0</v>
      </c>
      <c r="M261" s="34"/>
      <c r="N261" s="13">
        <v>76</v>
      </c>
      <c r="O261" s="13">
        <v>5.25</v>
      </c>
      <c r="P261" s="13">
        <v>0</v>
      </c>
      <c r="Q261" s="13">
        <v>0</v>
      </c>
      <c r="R261" s="34"/>
      <c r="S261" s="13">
        <f t="shared" si="311"/>
        <v>80.75</v>
      </c>
      <c r="T261" s="13">
        <f t="shared" si="307"/>
        <v>81.25</v>
      </c>
      <c r="U261" s="13">
        <f t="shared" si="318"/>
        <v>10</v>
      </c>
      <c r="V261" s="34"/>
      <c r="W261" s="10">
        <v>23</v>
      </c>
      <c r="X261" s="10">
        <f t="shared" si="316"/>
        <v>1917.625</v>
      </c>
      <c r="Y261" s="10">
        <f t="shared" si="312"/>
        <v>230</v>
      </c>
      <c r="Z261" s="10">
        <f t="shared" si="313"/>
        <v>0</v>
      </c>
      <c r="AA261" s="14">
        <f t="shared" si="314"/>
        <v>0</v>
      </c>
      <c r="AB261" s="14">
        <f t="shared" si="317"/>
        <v>1929.125</v>
      </c>
      <c r="AC261" s="11">
        <f t="shared" si="315"/>
        <v>-230</v>
      </c>
      <c r="AD261" s="215"/>
      <c r="AE261" s="11">
        <f t="shared" si="309"/>
        <v>11.5</v>
      </c>
      <c r="AF261" s="212"/>
      <c r="AG261" s="8"/>
    </row>
    <row r="262" spans="1:33" x14ac:dyDescent="0.45">
      <c r="A262" s="22">
        <f>A261</f>
        <v>44164</v>
      </c>
      <c r="B262" s="15" t="s">
        <v>9</v>
      </c>
      <c r="C262" s="48">
        <f>120*W262</f>
        <v>3204</v>
      </c>
      <c r="D262" s="13">
        <v>72</v>
      </c>
      <c r="E262" s="13">
        <v>0</v>
      </c>
      <c r="F262" s="13">
        <v>8</v>
      </c>
      <c r="G262" s="13">
        <v>10</v>
      </c>
      <c r="H262" s="13">
        <v>0</v>
      </c>
      <c r="I262" s="13">
        <v>0</v>
      </c>
      <c r="J262" s="13">
        <v>0</v>
      </c>
      <c r="K262" s="13">
        <v>0</v>
      </c>
      <c r="L262" s="45">
        <v>0</v>
      </c>
      <c r="M262" s="34"/>
      <c r="N262" s="13">
        <v>72</v>
      </c>
      <c r="O262" s="13">
        <v>0</v>
      </c>
      <c r="P262" s="13">
        <v>8</v>
      </c>
      <c r="Q262" s="13">
        <v>10</v>
      </c>
      <c r="R262" s="34"/>
      <c r="S262" s="13">
        <f t="shared" si="311"/>
        <v>90</v>
      </c>
      <c r="T262" s="13">
        <f t="shared" si="307"/>
        <v>90</v>
      </c>
      <c r="U262" s="13">
        <f t="shared" si="318"/>
        <v>0</v>
      </c>
      <c r="V262" s="34"/>
      <c r="W262" s="10">
        <v>26.7</v>
      </c>
      <c r="X262" s="10">
        <f t="shared" si="316"/>
        <v>2616.6</v>
      </c>
      <c r="Y262" s="10">
        <f>(W262*0*H262)+(W262*1*I262)</f>
        <v>0</v>
      </c>
      <c r="Z262" s="10">
        <f t="shared" si="313"/>
        <v>0</v>
      </c>
      <c r="AA262" s="14">
        <f t="shared" si="314"/>
        <v>0</v>
      </c>
      <c r="AB262" s="14">
        <f t="shared" si="317"/>
        <v>2616.6</v>
      </c>
      <c r="AC262" s="11">
        <f t="shared" si="315"/>
        <v>0</v>
      </c>
      <c r="AD262" s="215"/>
      <c r="AE262" s="11">
        <f t="shared" si="309"/>
        <v>0</v>
      </c>
      <c r="AF262" s="212"/>
      <c r="AG262" s="8"/>
    </row>
    <row r="263" spans="1:33" x14ac:dyDescent="0.45">
      <c r="A263" s="22">
        <f t="shared" si="310"/>
        <v>44164</v>
      </c>
      <c r="B263" s="50" t="s">
        <v>31</v>
      </c>
      <c r="C263" s="48">
        <f>80*W263</f>
        <v>2056</v>
      </c>
      <c r="D263" s="51">
        <v>80</v>
      </c>
      <c r="E263" s="51">
        <v>38</v>
      </c>
      <c r="F263" s="51">
        <v>0</v>
      </c>
      <c r="G263" s="51">
        <v>8.5</v>
      </c>
      <c r="H263" s="51">
        <v>0</v>
      </c>
      <c r="I263" s="51">
        <v>0</v>
      </c>
      <c r="J263" s="51">
        <v>0</v>
      </c>
      <c r="K263" s="51">
        <v>0</v>
      </c>
      <c r="L263" s="52">
        <v>0</v>
      </c>
      <c r="M263" s="34"/>
      <c r="N263" s="51">
        <v>80</v>
      </c>
      <c r="O263" s="51">
        <v>38</v>
      </c>
      <c r="P263" s="51">
        <v>5.5</v>
      </c>
      <c r="Q263" s="51">
        <v>3</v>
      </c>
      <c r="R263" s="34"/>
      <c r="S263" s="51">
        <f t="shared" ref="S263" si="319">SUM(D263:G263)</f>
        <v>126.5</v>
      </c>
      <c r="T263" s="51">
        <f t="shared" si="307"/>
        <v>126.5</v>
      </c>
      <c r="U263" s="51">
        <f t="shared" ref="U263" si="320">SUM(H263:K263)</f>
        <v>0</v>
      </c>
      <c r="V263" s="34"/>
      <c r="W263" s="53">
        <v>25.7</v>
      </c>
      <c r="X263" s="53">
        <f t="shared" si="316"/>
        <v>3739.3499999999995</v>
      </c>
      <c r="Y263" s="53">
        <f t="shared" ref="Y263:Y265" si="321">(W263*0*H263)+(W263*1*I263)</f>
        <v>0</v>
      </c>
      <c r="Z263" s="53">
        <f t="shared" si="313"/>
        <v>0</v>
      </c>
      <c r="AA263" s="54">
        <f t="shared" si="314"/>
        <v>0</v>
      </c>
      <c r="AB263" s="54">
        <f t="shared" si="317"/>
        <v>3880.6999999999994</v>
      </c>
      <c r="AC263" s="55">
        <f t="shared" si="315"/>
        <v>0</v>
      </c>
      <c r="AD263" s="217"/>
      <c r="AE263" s="55">
        <f t="shared" si="309"/>
        <v>141.34999999999991</v>
      </c>
      <c r="AF263" s="212"/>
      <c r="AG263" s="8"/>
    </row>
    <row r="264" spans="1:33" x14ac:dyDescent="0.45">
      <c r="A264" s="22">
        <f t="shared" si="310"/>
        <v>44164</v>
      </c>
      <c r="B264" s="50" t="s">
        <v>51</v>
      </c>
      <c r="C264" s="48">
        <v>0</v>
      </c>
      <c r="D264" s="51">
        <v>0</v>
      </c>
      <c r="E264" s="51">
        <v>0</v>
      </c>
      <c r="F264" s="51">
        <v>0</v>
      </c>
      <c r="G264" s="51">
        <v>0</v>
      </c>
      <c r="H264" s="51">
        <v>0</v>
      </c>
      <c r="I264" s="51">
        <v>0</v>
      </c>
      <c r="J264" s="51">
        <v>0</v>
      </c>
      <c r="K264" s="51">
        <v>72</v>
      </c>
      <c r="L264" s="52">
        <v>0</v>
      </c>
      <c r="M264" s="34"/>
      <c r="N264" s="51">
        <v>0</v>
      </c>
      <c r="O264" s="51">
        <v>0</v>
      </c>
      <c r="P264" s="51">
        <v>0</v>
      </c>
      <c r="Q264" s="51">
        <v>0</v>
      </c>
      <c r="R264" s="34"/>
      <c r="S264" s="51">
        <f t="shared" ref="S264:S265" si="322">SUM(D264:G264)</f>
        <v>0</v>
      </c>
      <c r="T264" s="51">
        <f t="shared" ref="T264" si="323">SUM(N264:Q264)</f>
        <v>0</v>
      </c>
      <c r="U264" s="51">
        <f t="shared" ref="U264" si="324">SUM(H264:K264)</f>
        <v>72</v>
      </c>
      <c r="V264" s="34"/>
      <c r="W264" s="53">
        <v>18</v>
      </c>
      <c r="X264" s="53">
        <f t="shared" si="316"/>
        <v>0</v>
      </c>
      <c r="Y264" s="53">
        <f t="shared" si="321"/>
        <v>0</v>
      </c>
      <c r="Z264" s="53">
        <f t="shared" si="313"/>
        <v>0</v>
      </c>
      <c r="AA264" s="54">
        <f t="shared" si="314"/>
        <v>1296</v>
      </c>
      <c r="AB264" s="54">
        <f t="shared" si="317"/>
        <v>0</v>
      </c>
      <c r="AC264" s="55">
        <f t="shared" si="315"/>
        <v>-1296</v>
      </c>
      <c r="AD264" s="217"/>
      <c r="AE264" s="55">
        <f t="shared" si="309"/>
        <v>0</v>
      </c>
      <c r="AF264" s="212"/>
      <c r="AG264" s="8"/>
    </row>
    <row r="265" spans="1:33" ht="14.65" thickBot="1" x14ac:dyDescent="0.5">
      <c r="A265" s="23">
        <f>A264</f>
        <v>44164</v>
      </c>
      <c r="B265" s="24" t="s">
        <v>52</v>
      </c>
      <c r="C265" s="49">
        <v>0</v>
      </c>
      <c r="D265" s="25">
        <v>0</v>
      </c>
      <c r="E265" s="25">
        <v>0</v>
      </c>
      <c r="F265" s="25">
        <v>0</v>
      </c>
      <c r="G265" s="25">
        <v>0</v>
      </c>
      <c r="H265" s="25">
        <v>0</v>
      </c>
      <c r="I265" s="25">
        <v>0</v>
      </c>
      <c r="J265" s="25">
        <v>0</v>
      </c>
      <c r="K265" s="25">
        <v>80</v>
      </c>
      <c r="L265" s="46">
        <v>0</v>
      </c>
      <c r="M265" s="35"/>
      <c r="N265" s="25">
        <v>0</v>
      </c>
      <c r="O265" s="25">
        <v>0</v>
      </c>
      <c r="P265" s="25">
        <v>0</v>
      </c>
      <c r="Q265" s="25">
        <v>0</v>
      </c>
      <c r="R265" s="35"/>
      <c r="S265" s="25">
        <f t="shared" si="322"/>
        <v>0</v>
      </c>
      <c r="T265" s="25">
        <f t="shared" ref="T265:T274" si="325">SUM(N265:Q265)</f>
        <v>0</v>
      </c>
      <c r="U265" s="25">
        <f t="shared" ref="U265:U268" si="326">SUM(H265:K265)</f>
        <v>80</v>
      </c>
      <c r="V265" s="35"/>
      <c r="W265" s="26">
        <v>18</v>
      </c>
      <c r="X265" s="26">
        <f t="shared" si="316"/>
        <v>0</v>
      </c>
      <c r="Y265" s="26">
        <f t="shared" si="321"/>
        <v>0</v>
      </c>
      <c r="Z265" s="26">
        <f t="shared" si="313"/>
        <v>0</v>
      </c>
      <c r="AA265" s="27">
        <f t="shared" si="314"/>
        <v>1440</v>
      </c>
      <c r="AB265" s="27">
        <f t="shared" si="317"/>
        <v>0</v>
      </c>
      <c r="AC265" s="12">
        <f t="shared" si="315"/>
        <v>-1440</v>
      </c>
      <c r="AD265" s="216"/>
      <c r="AE265" s="12">
        <f t="shared" si="309"/>
        <v>0</v>
      </c>
      <c r="AF265" s="213"/>
      <c r="AG265" s="8"/>
    </row>
    <row r="266" spans="1:33" x14ac:dyDescent="0.45">
      <c r="A266" s="16">
        <f>A265+14</f>
        <v>44178</v>
      </c>
      <c r="B266" s="17" t="s">
        <v>0</v>
      </c>
      <c r="C266" s="47">
        <f>80*W266</f>
        <v>2112</v>
      </c>
      <c r="D266" s="18">
        <v>80</v>
      </c>
      <c r="E266" s="18">
        <v>12.25</v>
      </c>
      <c r="F266" s="18">
        <v>0</v>
      </c>
      <c r="G266" s="18">
        <v>0</v>
      </c>
      <c r="H266" s="18">
        <v>0</v>
      </c>
      <c r="I266" s="18">
        <v>0</v>
      </c>
      <c r="J266" s="18">
        <v>0</v>
      </c>
      <c r="K266" s="18">
        <v>0</v>
      </c>
      <c r="L266" s="44">
        <v>1000</v>
      </c>
      <c r="M266" s="33"/>
      <c r="N266" s="18">
        <v>80</v>
      </c>
      <c r="O266" s="18">
        <v>13.25</v>
      </c>
      <c r="P266" s="18">
        <v>0</v>
      </c>
      <c r="Q266" s="18">
        <v>0</v>
      </c>
      <c r="R266" s="33"/>
      <c r="S266" s="36">
        <f>SUM(D266:G266)</f>
        <v>92.25</v>
      </c>
      <c r="T266" s="36">
        <f t="shared" si="325"/>
        <v>93.25</v>
      </c>
      <c r="U266" s="18">
        <f t="shared" si="326"/>
        <v>0</v>
      </c>
      <c r="V266" s="33"/>
      <c r="W266" s="19">
        <v>26.4</v>
      </c>
      <c r="X266" s="19">
        <f t="shared" si="316"/>
        <v>2597.1</v>
      </c>
      <c r="Y266" s="19">
        <f>(W266*0*H266)+(W266*1*I266)</f>
        <v>0</v>
      </c>
      <c r="Z266" s="19">
        <f>(W266*1*J266)+L266</f>
        <v>1000</v>
      </c>
      <c r="AA266" s="20">
        <f>(W266*1*K266)</f>
        <v>0</v>
      </c>
      <c r="AB266" s="20">
        <f t="shared" si="317"/>
        <v>2636.7</v>
      </c>
      <c r="AC266" s="21">
        <f>0-Y266-AA266</f>
        <v>0</v>
      </c>
      <c r="AD266" s="214">
        <f>SUM(AC266:AC275)</f>
        <v>-1224</v>
      </c>
      <c r="AE266" s="21">
        <f t="shared" ref="AE266:AE272" si="327">AB266-(X266+Z266)</f>
        <v>-960.40000000000009</v>
      </c>
      <c r="AF266" s="211">
        <f>SUM(AE266:AE275)</f>
        <v>-8441.125</v>
      </c>
      <c r="AG266" s="8"/>
    </row>
    <row r="267" spans="1:33" x14ac:dyDescent="0.45">
      <c r="A267" s="22">
        <f t="shared" ref="A267:A274" si="328">A266</f>
        <v>44178</v>
      </c>
      <c r="B267" s="15" t="s">
        <v>30</v>
      </c>
      <c r="C267" s="48">
        <f>120*W267</f>
        <v>3696</v>
      </c>
      <c r="D267" s="13">
        <v>77</v>
      </c>
      <c r="E267" s="13">
        <v>12</v>
      </c>
      <c r="F267" s="13">
        <v>0</v>
      </c>
      <c r="G267" s="13">
        <v>13</v>
      </c>
      <c r="H267" s="13">
        <v>0</v>
      </c>
      <c r="I267" s="13">
        <v>0</v>
      </c>
      <c r="J267" s="13">
        <v>0</v>
      </c>
      <c r="K267" s="13">
        <v>0</v>
      </c>
      <c r="L267" s="45">
        <v>1000</v>
      </c>
      <c r="M267" s="34"/>
      <c r="N267" s="13">
        <v>80</v>
      </c>
      <c r="O267" s="13">
        <v>12</v>
      </c>
      <c r="P267" s="13">
        <v>0</v>
      </c>
      <c r="Q267" s="13">
        <v>10</v>
      </c>
      <c r="R267" s="34"/>
      <c r="S267" s="13">
        <f t="shared" ref="S267:S272" si="329">SUM(D267:G267)</f>
        <v>102</v>
      </c>
      <c r="T267" s="13">
        <f t="shared" si="325"/>
        <v>102</v>
      </c>
      <c r="U267" s="13">
        <f t="shared" si="326"/>
        <v>0</v>
      </c>
      <c r="V267" s="34"/>
      <c r="W267" s="10">
        <v>30.8</v>
      </c>
      <c r="X267" s="10">
        <f t="shared" si="316"/>
        <v>3326.4</v>
      </c>
      <c r="Y267" s="10">
        <f t="shared" ref="Y267:Y271" si="330">(W267*0*H267)+(W267*1*I267)</f>
        <v>0</v>
      </c>
      <c r="Z267" s="10">
        <f t="shared" ref="Z267:Z275" si="331">(W267*1*J267)+L267</f>
        <v>1000</v>
      </c>
      <c r="AA267" s="14">
        <f t="shared" ref="AA267:AA275" si="332">(W267*1*K267)</f>
        <v>0</v>
      </c>
      <c r="AB267" s="14">
        <f t="shared" si="317"/>
        <v>3326.4</v>
      </c>
      <c r="AC267" s="11">
        <f t="shared" ref="AC267:AC275" si="333">0-Y267-AA267</f>
        <v>0</v>
      </c>
      <c r="AD267" s="215"/>
      <c r="AE267" s="11">
        <f t="shared" si="327"/>
        <v>-999.99999999999955</v>
      </c>
      <c r="AF267" s="212"/>
      <c r="AG267" s="8"/>
    </row>
    <row r="268" spans="1:33" x14ac:dyDescent="0.45">
      <c r="A268" s="22">
        <f t="shared" si="328"/>
        <v>44178</v>
      </c>
      <c r="B268" s="15" t="s">
        <v>3</v>
      </c>
      <c r="C268" s="48">
        <f>80*W268</f>
        <v>2280</v>
      </c>
      <c r="D268" s="13">
        <v>80</v>
      </c>
      <c r="E268" s="13">
        <v>4.75</v>
      </c>
      <c r="F268" s="13">
        <v>0</v>
      </c>
      <c r="G268" s="13">
        <v>0</v>
      </c>
      <c r="H268" s="13">
        <v>0</v>
      </c>
      <c r="I268" s="13">
        <v>0</v>
      </c>
      <c r="J268" s="13">
        <v>0</v>
      </c>
      <c r="K268" s="13">
        <v>0</v>
      </c>
      <c r="L268" s="45">
        <v>1000</v>
      </c>
      <c r="M268" s="34"/>
      <c r="N268" s="13">
        <v>80</v>
      </c>
      <c r="O268" s="13">
        <v>4.75</v>
      </c>
      <c r="P268" s="13">
        <v>0</v>
      </c>
      <c r="Q268" s="13">
        <v>0</v>
      </c>
      <c r="R268" s="34"/>
      <c r="S268" s="13">
        <f t="shared" si="329"/>
        <v>84.75</v>
      </c>
      <c r="T268" s="13">
        <f t="shared" si="325"/>
        <v>84.75</v>
      </c>
      <c r="U268" s="13">
        <f t="shared" si="326"/>
        <v>0</v>
      </c>
      <c r="V268" s="34"/>
      <c r="W268" s="10">
        <v>28.5</v>
      </c>
      <c r="X268" s="10">
        <f>(W268*1*D268)+(W268*1.5*E268)+(W268*2*F268)+(W268*1*G268)</f>
        <v>2483.0625</v>
      </c>
      <c r="Y268" s="10">
        <f t="shared" si="330"/>
        <v>0</v>
      </c>
      <c r="Z268" s="10">
        <f t="shared" si="331"/>
        <v>1000</v>
      </c>
      <c r="AA268" s="14">
        <f t="shared" si="332"/>
        <v>0</v>
      </c>
      <c r="AB268" s="14">
        <f>(W268*1*N268)+(W268*1.5*O268)+(W268*2*P268)+(W268*1*Q268)</f>
        <v>2483.0625</v>
      </c>
      <c r="AC268" s="11">
        <f t="shared" si="333"/>
        <v>0</v>
      </c>
      <c r="AD268" s="215"/>
      <c r="AE268" s="11">
        <f t="shared" si="327"/>
        <v>-1000</v>
      </c>
      <c r="AF268" s="212"/>
      <c r="AG268" s="8"/>
    </row>
    <row r="269" spans="1:33" x14ac:dyDescent="0.45">
      <c r="A269" s="22">
        <f t="shared" si="328"/>
        <v>44178</v>
      </c>
      <c r="B269" s="15" t="s">
        <v>4</v>
      </c>
      <c r="C269" s="48">
        <f>80*W269</f>
        <v>1840</v>
      </c>
      <c r="D269" s="13">
        <v>80</v>
      </c>
      <c r="E269" s="13">
        <v>22.5</v>
      </c>
      <c r="F269" s="13">
        <v>0</v>
      </c>
      <c r="G269" s="13">
        <v>0</v>
      </c>
      <c r="H269" s="13">
        <v>0</v>
      </c>
      <c r="I269" s="13">
        <v>0</v>
      </c>
      <c r="J269" s="13">
        <v>0</v>
      </c>
      <c r="K269" s="13">
        <v>0</v>
      </c>
      <c r="L269" s="45">
        <v>1000</v>
      </c>
      <c r="M269" s="34"/>
      <c r="N269" s="13">
        <v>80</v>
      </c>
      <c r="O269" s="13">
        <v>22.5</v>
      </c>
      <c r="P269" s="13">
        <v>0</v>
      </c>
      <c r="Q269" s="13">
        <v>0</v>
      </c>
      <c r="R269" s="34"/>
      <c r="S269" s="13">
        <f t="shared" si="329"/>
        <v>102.5</v>
      </c>
      <c r="T269" s="13">
        <f t="shared" si="325"/>
        <v>102.5</v>
      </c>
      <c r="U269" s="13">
        <f>SUM(H269:K269)</f>
        <v>0</v>
      </c>
      <c r="V269" s="34"/>
      <c r="W269" s="10">
        <v>23</v>
      </c>
      <c r="X269" s="10">
        <f t="shared" ref="X269:X277" si="334">(W269*1*D269)+(W269*1.5*E269)+(W269*2*F269)+(W269*1*G269)</f>
        <v>2616.25</v>
      </c>
      <c r="Y269" s="10">
        <f t="shared" si="330"/>
        <v>0</v>
      </c>
      <c r="Z269" s="10">
        <f t="shared" si="331"/>
        <v>1000</v>
      </c>
      <c r="AA269" s="14">
        <f t="shared" si="332"/>
        <v>0</v>
      </c>
      <c r="AB269" s="14">
        <f t="shared" ref="AB269:AB277" si="335">(W269*1*N269)+(W269*1.5*O269)+(W269*2*P269)+(W269*1*Q269)</f>
        <v>2616.25</v>
      </c>
      <c r="AC269" s="11">
        <f t="shared" si="333"/>
        <v>0</v>
      </c>
      <c r="AD269" s="215"/>
      <c r="AE269" s="11">
        <f t="shared" si="327"/>
        <v>-1000</v>
      </c>
      <c r="AF269" s="212"/>
      <c r="AG269" s="8"/>
    </row>
    <row r="270" spans="1:33" x14ac:dyDescent="0.45">
      <c r="A270" s="22">
        <f t="shared" si="328"/>
        <v>44178</v>
      </c>
      <c r="B270" s="15" t="s">
        <v>5</v>
      </c>
      <c r="C270" s="48">
        <f>120*W270</f>
        <v>3264</v>
      </c>
      <c r="D270" s="13">
        <v>80</v>
      </c>
      <c r="E270" s="13">
        <v>17.25</v>
      </c>
      <c r="F270" s="13">
        <v>0</v>
      </c>
      <c r="G270" s="13">
        <v>0</v>
      </c>
      <c r="H270" s="13">
        <v>0</v>
      </c>
      <c r="I270" s="13">
        <v>0</v>
      </c>
      <c r="J270" s="13">
        <v>0</v>
      </c>
      <c r="K270" s="13">
        <v>0</v>
      </c>
      <c r="L270" s="45">
        <v>1000</v>
      </c>
      <c r="M270" s="34"/>
      <c r="N270" s="13">
        <v>80</v>
      </c>
      <c r="O270" s="13">
        <v>17.25</v>
      </c>
      <c r="P270" s="13">
        <v>0</v>
      </c>
      <c r="Q270" s="13">
        <v>0</v>
      </c>
      <c r="R270" s="34"/>
      <c r="S270" s="13">
        <f t="shared" si="329"/>
        <v>97.25</v>
      </c>
      <c r="T270" s="13">
        <f t="shared" si="325"/>
        <v>97.25</v>
      </c>
      <c r="U270" s="13">
        <f t="shared" ref="U270:U272" si="336">SUM(H270:K270)</f>
        <v>0</v>
      </c>
      <c r="V270" s="34"/>
      <c r="W270" s="10">
        <v>27.2</v>
      </c>
      <c r="X270" s="10">
        <f t="shared" si="334"/>
        <v>2879.8</v>
      </c>
      <c r="Y270" s="10">
        <f t="shared" si="330"/>
        <v>0</v>
      </c>
      <c r="Z270" s="10">
        <f t="shared" si="331"/>
        <v>1000</v>
      </c>
      <c r="AA270" s="14">
        <f t="shared" si="332"/>
        <v>0</v>
      </c>
      <c r="AB270" s="14">
        <f t="shared" si="335"/>
        <v>2879.8</v>
      </c>
      <c r="AC270" s="11">
        <f t="shared" si="333"/>
        <v>0</v>
      </c>
      <c r="AD270" s="215"/>
      <c r="AE270" s="11">
        <f t="shared" si="327"/>
        <v>-1000</v>
      </c>
      <c r="AF270" s="212"/>
      <c r="AG270" s="8"/>
    </row>
    <row r="271" spans="1:33" x14ac:dyDescent="0.45">
      <c r="A271" s="22">
        <f t="shared" si="328"/>
        <v>44178</v>
      </c>
      <c r="B271" s="15" t="s">
        <v>6</v>
      </c>
      <c r="C271" s="48">
        <f>80*W271</f>
        <v>1840</v>
      </c>
      <c r="D271" s="13">
        <v>80</v>
      </c>
      <c r="E271" s="13">
        <v>14.25</v>
      </c>
      <c r="F271" s="13">
        <v>0</v>
      </c>
      <c r="G271" s="13">
        <v>0</v>
      </c>
      <c r="H271" s="13">
        <v>0</v>
      </c>
      <c r="I271" s="13">
        <v>0</v>
      </c>
      <c r="J271" s="13">
        <v>0</v>
      </c>
      <c r="K271" s="13">
        <v>0</v>
      </c>
      <c r="L271" s="45">
        <v>1000</v>
      </c>
      <c r="M271" s="34"/>
      <c r="N271" s="13">
        <v>80</v>
      </c>
      <c r="O271" s="13">
        <v>14.25</v>
      </c>
      <c r="P271" s="13">
        <v>0</v>
      </c>
      <c r="Q271" s="13">
        <v>0</v>
      </c>
      <c r="R271" s="34"/>
      <c r="S271" s="13">
        <f t="shared" si="329"/>
        <v>94.25</v>
      </c>
      <c r="T271" s="13">
        <f t="shared" si="325"/>
        <v>94.25</v>
      </c>
      <c r="U271" s="13">
        <f t="shared" si="336"/>
        <v>0</v>
      </c>
      <c r="V271" s="34"/>
      <c r="W271" s="10">
        <v>23</v>
      </c>
      <c r="X271" s="10">
        <f t="shared" si="334"/>
        <v>2331.625</v>
      </c>
      <c r="Y271" s="10">
        <f t="shared" si="330"/>
        <v>0</v>
      </c>
      <c r="Z271" s="10">
        <f t="shared" si="331"/>
        <v>1000</v>
      </c>
      <c r="AA271" s="14">
        <f t="shared" si="332"/>
        <v>0</v>
      </c>
      <c r="AB271" s="14">
        <f t="shared" si="335"/>
        <v>2331.625</v>
      </c>
      <c r="AC271" s="11">
        <f t="shared" si="333"/>
        <v>0</v>
      </c>
      <c r="AD271" s="215"/>
      <c r="AE271" s="11">
        <f t="shared" si="327"/>
        <v>-1000</v>
      </c>
      <c r="AF271" s="212"/>
      <c r="AG271" s="8"/>
    </row>
    <row r="272" spans="1:33" x14ac:dyDescent="0.45">
      <c r="A272" s="22">
        <f>A271</f>
        <v>44178</v>
      </c>
      <c r="B272" s="15" t="s">
        <v>9</v>
      </c>
      <c r="C272" s="48">
        <f>120*W272</f>
        <v>3204</v>
      </c>
      <c r="D272" s="13">
        <v>80</v>
      </c>
      <c r="E272" s="13">
        <v>19.5</v>
      </c>
      <c r="F272" s="13">
        <v>0</v>
      </c>
      <c r="G272" s="13">
        <v>11</v>
      </c>
      <c r="H272" s="13">
        <v>0</v>
      </c>
      <c r="I272" s="13">
        <v>0</v>
      </c>
      <c r="J272" s="13">
        <v>0</v>
      </c>
      <c r="K272" s="13">
        <v>0</v>
      </c>
      <c r="L272" s="45">
        <v>1000</v>
      </c>
      <c r="M272" s="34"/>
      <c r="N272" s="13">
        <v>80</v>
      </c>
      <c r="O272" s="13">
        <v>19.5</v>
      </c>
      <c r="P272" s="13">
        <v>0</v>
      </c>
      <c r="Q272" s="13">
        <v>11</v>
      </c>
      <c r="R272" s="34"/>
      <c r="S272" s="13">
        <f t="shared" si="329"/>
        <v>110.5</v>
      </c>
      <c r="T272" s="13">
        <f t="shared" si="325"/>
        <v>110.5</v>
      </c>
      <c r="U272" s="13">
        <f t="shared" si="336"/>
        <v>0</v>
      </c>
      <c r="V272" s="34"/>
      <c r="W272" s="10">
        <v>26.7</v>
      </c>
      <c r="X272" s="10">
        <f t="shared" si="334"/>
        <v>3210.6749999999997</v>
      </c>
      <c r="Y272" s="10">
        <f>(W272*0*H272)+(W272*1*I272)</f>
        <v>0</v>
      </c>
      <c r="Z272" s="10">
        <f t="shared" si="331"/>
        <v>1000</v>
      </c>
      <c r="AA272" s="14">
        <f t="shared" si="332"/>
        <v>0</v>
      </c>
      <c r="AB272" s="14">
        <f t="shared" si="335"/>
        <v>3210.6749999999997</v>
      </c>
      <c r="AC272" s="11">
        <f t="shared" si="333"/>
        <v>0</v>
      </c>
      <c r="AD272" s="215"/>
      <c r="AE272" s="11">
        <f t="shared" si="327"/>
        <v>-999.99999999999955</v>
      </c>
      <c r="AF272" s="212"/>
      <c r="AG272" s="8"/>
    </row>
    <row r="273" spans="1:33" x14ac:dyDescent="0.45">
      <c r="A273" s="22">
        <f t="shared" si="328"/>
        <v>44178</v>
      </c>
      <c r="B273" s="50" t="s">
        <v>31</v>
      </c>
      <c r="C273" s="48">
        <f>80*W273</f>
        <v>2056</v>
      </c>
      <c r="D273" s="51">
        <v>80</v>
      </c>
      <c r="E273" s="51">
        <v>37</v>
      </c>
      <c r="F273" s="51">
        <v>12</v>
      </c>
      <c r="G273" s="51">
        <v>2</v>
      </c>
      <c r="H273" s="51">
        <v>0</v>
      </c>
      <c r="I273" s="51">
        <v>0</v>
      </c>
      <c r="J273" s="51">
        <v>0</v>
      </c>
      <c r="K273" s="51">
        <v>0</v>
      </c>
      <c r="L273" s="52">
        <v>1000</v>
      </c>
      <c r="M273" s="34"/>
      <c r="N273" s="51">
        <v>80</v>
      </c>
      <c r="O273" s="51">
        <v>37.5</v>
      </c>
      <c r="P273" s="51">
        <v>12</v>
      </c>
      <c r="Q273" s="51">
        <v>2</v>
      </c>
      <c r="R273" s="34"/>
      <c r="S273" s="51">
        <f t="shared" ref="S273" si="337">SUM(D273:G273)</f>
        <v>131</v>
      </c>
      <c r="T273" s="51">
        <f t="shared" si="325"/>
        <v>131.5</v>
      </c>
      <c r="U273" s="51">
        <f t="shared" ref="U273" si="338">SUM(H273:K273)</f>
        <v>0</v>
      </c>
      <c r="V273" s="34"/>
      <c r="W273" s="53">
        <v>25.7</v>
      </c>
      <c r="X273" s="53">
        <f t="shared" si="334"/>
        <v>4150.5499999999993</v>
      </c>
      <c r="Y273" s="53">
        <f t="shared" ref="Y273:Y275" si="339">(W273*0*H273)+(W273*1*I273)</f>
        <v>0</v>
      </c>
      <c r="Z273" s="53">
        <f t="shared" si="331"/>
        <v>1000</v>
      </c>
      <c r="AA273" s="54">
        <f t="shared" si="332"/>
        <v>0</v>
      </c>
      <c r="AB273" s="54">
        <f t="shared" si="335"/>
        <v>4169.8249999999998</v>
      </c>
      <c r="AC273" s="55">
        <f t="shared" si="333"/>
        <v>0</v>
      </c>
      <c r="AD273" s="217"/>
      <c r="AE273" s="55">
        <f>AB273-(X273+Z273)</f>
        <v>-980.72499999999945</v>
      </c>
      <c r="AF273" s="212"/>
      <c r="AG273" s="8"/>
    </row>
    <row r="274" spans="1:33" x14ac:dyDescent="0.45">
      <c r="A274" s="22">
        <f t="shared" si="328"/>
        <v>44178</v>
      </c>
      <c r="B274" s="50" t="s">
        <v>51</v>
      </c>
      <c r="C274" s="48">
        <v>0</v>
      </c>
      <c r="D274" s="51">
        <v>47</v>
      </c>
      <c r="E274" s="51">
        <v>15</v>
      </c>
      <c r="F274" s="51">
        <v>9</v>
      </c>
      <c r="G274" s="51">
        <v>17</v>
      </c>
      <c r="H274" s="51">
        <v>0</v>
      </c>
      <c r="I274" s="51">
        <v>0</v>
      </c>
      <c r="J274" s="51">
        <v>0</v>
      </c>
      <c r="K274" s="51">
        <v>34</v>
      </c>
      <c r="L274" s="52">
        <v>250</v>
      </c>
      <c r="M274" s="34"/>
      <c r="N274" s="51">
        <v>47</v>
      </c>
      <c r="O274" s="51">
        <v>15</v>
      </c>
      <c r="P274" s="51">
        <v>9</v>
      </c>
      <c r="Q274" s="51">
        <v>17</v>
      </c>
      <c r="R274" s="34"/>
      <c r="S274" s="51">
        <f t="shared" ref="S274:S275" si="340">SUM(D274:G274)</f>
        <v>88</v>
      </c>
      <c r="T274" s="51">
        <f t="shared" si="325"/>
        <v>88</v>
      </c>
      <c r="U274" s="51">
        <f t="shared" ref="U274:U275" si="341">SUM(H274:K274)</f>
        <v>34</v>
      </c>
      <c r="V274" s="34"/>
      <c r="W274" s="53">
        <v>18</v>
      </c>
      <c r="X274" s="53">
        <f t="shared" si="334"/>
        <v>1881</v>
      </c>
      <c r="Y274" s="53">
        <f t="shared" si="339"/>
        <v>0</v>
      </c>
      <c r="Z274" s="53">
        <f t="shared" si="331"/>
        <v>250</v>
      </c>
      <c r="AA274" s="54">
        <f t="shared" si="332"/>
        <v>612</v>
      </c>
      <c r="AB274" s="54">
        <f t="shared" si="335"/>
        <v>1881</v>
      </c>
      <c r="AC274" s="55">
        <f t="shared" si="333"/>
        <v>-612</v>
      </c>
      <c r="AD274" s="217"/>
      <c r="AE274" s="55">
        <f>AB274-(X274+Z274)</f>
        <v>-250</v>
      </c>
      <c r="AF274" s="212"/>
      <c r="AG274" s="8"/>
    </row>
    <row r="275" spans="1:33" ht="14.65" thickBot="1" x14ac:dyDescent="0.5">
      <c r="A275" s="23">
        <f>A274</f>
        <v>44178</v>
      </c>
      <c r="B275" s="24" t="s">
        <v>52</v>
      </c>
      <c r="C275" s="49">
        <v>0</v>
      </c>
      <c r="D275" s="25">
        <v>52</v>
      </c>
      <c r="E275" s="25">
        <v>16</v>
      </c>
      <c r="F275" s="25">
        <v>9</v>
      </c>
      <c r="G275" s="25">
        <v>21</v>
      </c>
      <c r="H275" s="25">
        <v>0</v>
      </c>
      <c r="I275" s="25">
        <v>0</v>
      </c>
      <c r="J275" s="25">
        <v>0</v>
      </c>
      <c r="K275" s="25">
        <v>34</v>
      </c>
      <c r="L275" s="46">
        <v>250</v>
      </c>
      <c r="M275" s="35"/>
      <c r="N275" s="25">
        <v>52</v>
      </c>
      <c r="O275" s="25">
        <v>16</v>
      </c>
      <c r="P275" s="25">
        <v>9</v>
      </c>
      <c r="Q275" s="25">
        <v>21</v>
      </c>
      <c r="R275" s="35"/>
      <c r="S275" s="25">
        <f t="shared" si="340"/>
        <v>98</v>
      </c>
      <c r="T275" s="25">
        <f t="shared" ref="T275" si="342">SUM(N275:Q275)</f>
        <v>98</v>
      </c>
      <c r="U275" s="25">
        <f t="shared" si="341"/>
        <v>34</v>
      </c>
      <c r="V275" s="35"/>
      <c r="W275" s="26">
        <v>18</v>
      </c>
      <c r="X275" s="26">
        <f t="shared" si="334"/>
        <v>2070</v>
      </c>
      <c r="Y275" s="26">
        <f t="shared" si="339"/>
        <v>0</v>
      </c>
      <c r="Z275" s="26">
        <f t="shared" si="331"/>
        <v>250</v>
      </c>
      <c r="AA275" s="27">
        <f t="shared" si="332"/>
        <v>612</v>
      </c>
      <c r="AB275" s="27">
        <f t="shared" si="335"/>
        <v>2070</v>
      </c>
      <c r="AC275" s="12">
        <f t="shared" si="333"/>
        <v>-612</v>
      </c>
      <c r="AD275" s="216"/>
      <c r="AE275" s="12">
        <f>AB275-(X275+Z275)</f>
        <v>-250</v>
      </c>
      <c r="AF275" s="213"/>
      <c r="AG275" s="8"/>
    </row>
    <row r="276" spans="1:33" x14ac:dyDescent="0.45">
      <c r="A276" s="16">
        <f>A275+14</f>
        <v>44192</v>
      </c>
      <c r="B276" s="17" t="s">
        <v>0</v>
      </c>
      <c r="C276" s="47">
        <f>80*W276</f>
        <v>2112</v>
      </c>
      <c r="D276" s="18">
        <v>66</v>
      </c>
      <c r="E276" s="18">
        <v>8</v>
      </c>
      <c r="F276" s="18">
        <v>0</v>
      </c>
      <c r="G276" s="18">
        <v>0</v>
      </c>
      <c r="H276" s="18">
        <v>0</v>
      </c>
      <c r="I276" s="18">
        <v>0</v>
      </c>
      <c r="J276" s="18">
        <v>8</v>
      </c>
      <c r="K276" s="18">
        <v>0</v>
      </c>
      <c r="L276" s="44">
        <v>0</v>
      </c>
      <c r="M276" s="33"/>
      <c r="N276" s="18">
        <v>64</v>
      </c>
      <c r="O276" s="18">
        <v>8</v>
      </c>
      <c r="P276" s="18">
        <v>0</v>
      </c>
      <c r="Q276" s="18">
        <v>0</v>
      </c>
      <c r="R276" s="33"/>
      <c r="S276" s="36">
        <f>SUM(D276:G276)</f>
        <v>74</v>
      </c>
      <c r="T276" s="36">
        <f t="shared" ref="T276:T284" si="343">SUM(N276:Q276)</f>
        <v>72</v>
      </c>
      <c r="U276" s="18">
        <f t="shared" ref="U276:U278" si="344">SUM(H276:K276)</f>
        <v>8</v>
      </c>
      <c r="V276" s="33"/>
      <c r="W276" s="19">
        <v>26.4</v>
      </c>
      <c r="X276" s="19">
        <f t="shared" si="334"/>
        <v>2059.1999999999998</v>
      </c>
      <c r="Y276" s="19">
        <f>(W276*0*H276)+(W276*1*I276)</f>
        <v>0</v>
      </c>
      <c r="Z276" s="19">
        <f>(W276*1*J276)+L276</f>
        <v>211.2</v>
      </c>
      <c r="AA276" s="20">
        <f>(W276*1*K276)</f>
        <v>0</v>
      </c>
      <c r="AB276" s="20">
        <f t="shared" si="335"/>
        <v>2006.3999999999999</v>
      </c>
      <c r="AC276" s="21">
        <f>0-Y276-AA276</f>
        <v>0</v>
      </c>
      <c r="AD276" s="214">
        <f>SUM(AC276:AC285)</f>
        <v>-1558.4</v>
      </c>
      <c r="AE276" s="21">
        <f t="shared" ref="AE276:AE282" si="345">AB276-(X276+Z276)</f>
        <v>-263.99999999999977</v>
      </c>
      <c r="AF276" s="211">
        <f>SUM(AE276:AE285)</f>
        <v>-1800.25</v>
      </c>
      <c r="AG276" s="8"/>
    </row>
    <row r="277" spans="1:33" x14ac:dyDescent="0.45">
      <c r="A277" s="22">
        <f t="shared" ref="A277:A284" si="346">A276</f>
        <v>44192</v>
      </c>
      <c r="B277" s="15" t="s">
        <v>30</v>
      </c>
      <c r="C277" s="48">
        <f>120*W277</f>
        <v>3696</v>
      </c>
      <c r="D277" s="13">
        <v>62</v>
      </c>
      <c r="E277" s="13">
        <v>2.25</v>
      </c>
      <c r="F277" s="13">
        <v>0</v>
      </c>
      <c r="G277" s="13">
        <v>0</v>
      </c>
      <c r="H277" s="13">
        <v>0</v>
      </c>
      <c r="I277" s="13">
        <v>8</v>
      </c>
      <c r="J277" s="13">
        <v>8</v>
      </c>
      <c r="K277" s="13">
        <v>0</v>
      </c>
      <c r="L277" s="45">
        <v>0</v>
      </c>
      <c r="M277" s="34"/>
      <c r="N277" s="13">
        <v>62.25</v>
      </c>
      <c r="O277" s="13">
        <v>2.25</v>
      </c>
      <c r="P277" s="13">
        <v>0</v>
      </c>
      <c r="Q277" s="13">
        <v>0</v>
      </c>
      <c r="R277" s="34"/>
      <c r="S277" s="13">
        <f t="shared" ref="S277:S282" si="347">SUM(D277:G277)</f>
        <v>64.25</v>
      </c>
      <c r="T277" s="13">
        <f t="shared" si="343"/>
        <v>64.5</v>
      </c>
      <c r="U277" s="13">
        <f t="shared" si="344"/>
        <v>16</v>
      </c>
      <c r="V277" s="34"/>
      <c r="W277" s="10">
        <v>30.8</v>
      </c>
      <c r="X277" s="10">
        <f t="shared" si="334"/>
        <v>2013.5500000000002</v>
      </c>
      <c r="Y277" s="10">
        <f t="shared" ref="Y277:Y281" si="348">(W277*0*H277)+(W277*1*I277)</f>
        <v>246.4</v>
      </c>
      <c r="Z277" s="10">
        <f t="shared" ref="Z277:Z285" si="349">(W277*1*J277)+L277</f>
        <v>246.4</v>
      </c>
      <c r="AA277" s="14">
        <f t="shared" ref="AA277:AA285" si="350">(W277*1*K277)</f>
        <v>0</v>
      </c>
      <c r="AB277" s="14">
        <f t="shared" si="335"/>
        <v>2021.25</v>
      </c>
      <c r="AC277" s="11">
        <f t="shared" ref="AC277:AC285" si="351">0-Y277-AA277</f>
        <v>-246.4</v>
      </c>
      <c r="AD277" s="215"/>
      <c r="AE277" s="11">
        <f t="shared" si="345"/>
        <v>-238.70000000000027</v>
      </c>
      <c r="AF277" s="212"/>
      <c r="AG277" s="8"/>
    </row>
    <row r="278" spans="1:33" x14ac:dyDescent="0.45">
      <c r="A278" s="22">
        <f t="shared" si="346"/>
        <v>44192</v>
      </c>
      <c r="B278" s="15" t="s">
        <v>3</v>
      </c>
      <c r="C278" s="48">
        <f>80*W278</f>
        <v>2280</v>
      </c>
      <c r="D278" s="13">
        <v>67</v>
      </c>
      <c r="E278" s="13">
        <v>0</v>
      </c>
      <c r="F278" s="13">
        <v>0</v>
      </c>
      <c r="G278" s="13">
        <v>0</v>
      </c>
      <c r="H278" s="13">
        <v>0</v>
      </c>
      <c r="I278" s="13">
        <v>0</v>
      </c>
      <c r="J278" s="13">
        <v>8</v>
      </c>
      <c r="K278" s="13">
        <v>0</v>
      </c>
      <c r="L278" s="45">
        <v>0</v>
      </c>
      <c r="M278" s="34"/>
      <c r="N278" s="13">
        <v>64</v>
      </c>
      <c r="O278" s="13">
        <v>3</v>
      </c>
      <c r="P278" s="13">
        <v>0</v>
      </c>
      <c r="Q278" s="13">
        <v>0</v>
      </c>
      <c r="R278" s="34"/>
      <c r="S278" s="13">
        <f t="shared" si="347"/>
        <v>67</v>
      </c>
      <c r="T278" s="13">
        <f t="shared" si="343"/>
        <v>67</v>
      </c>
      <c r="U278" s="13">
        <f t="shared" si="344"/>
        <v>8</v>
      </c>
      <c r="V278" s="34"/>
      <c r="W278" s="10">
        <v>28.5</v>
      </c>
      <c r="X278" s="10">
        <f>(W278*1*D278)+(W278*1.5*E278)+(W278*2*F278)+(W278*1*G278)</f>
        <v>1909.5</v>
      </c>
      <c r="Y278" s="10">
        <f t="shared" si="348"/>
        <v>0</v>
      </c>
      <c r="Z278" s="10">
        <f t="shared" si="349"/>
        <v>228</v>
      </c>
      <c r="AA278" s="14">
        <f t="shared" si="350"/>
        <v>0</v>
      </c>
      <c r="AB278" s="14">
        <f>(W278*1*N278)+(W278*1.5*O278)+(W278*2*P278)+(W278*1*Q278)</f>
        <v>1952.25</v>
      </c>
      <c r="AC278" s="11">
        <f t="shared" si="351"/>
        <v>0</v>
      </c>
      <c r="AD278" s="215"/>
      <c r="AE278" s="11">
        <f t="shared" si="345"/>
        <v>-185.25</v>
      </c>
      <c r="AF278" s="212"/>
      <c r="AG278" s="8"/>
    </row>
    <row r="279" spans="1:33" x14ac:dyDescent="0.45">
      <c r="A279" s="22">
        <f t="shared" si="346"/>
        <v>44192</v>
      </c>
      <c r="B279" s="15" t="s">
        <v>4</v>
      </c>
      <c r="C279" s="48">
        <f>80*W279</f>
        <v>1840</v>
      </c>
      <c r="D279" s="13">
        <v>40</v>
      </c>
      <c r="E279" s="13">
        <v>9</v>
      </c>
      <c r="F279" s="13">
        <v>0</v>
      </c>
      <c r="G279" s="13">
        <v>0</v>
      </c>
      <c r="H279" s="13">
        <v>0</v>
      </c>
      <c r="I279" s="13">
        <v>32</v>
      </c>
      <c r="J279" s="13">
        <v>8</v>
      </c>
      <c r="K279" s="13">
        <v>0</v>
      </c>
      <c r="L279" s="45">
        <v>0</v>
      </c>
      <c r="M279" s="34"/>
      <c r="N279" s="13">
        <v>40</v>
      </c>
      <c r="O279" s="13">
        <v>9</v>
      </c>
      <c r="P279" s="13">
        <v>0</v>
      </c>
      <c r="Q279" s="13">
        <v>0</v>
      </c>
      <c r="R279" s="34"/>
      <c r="S279" s="13">
        <f t="shared" si="347"/>
        <v>49</v>
      </c>
      <c r="T279" s="13">
        <f t="shared" si="343"/>
        <v>49</v>
      </c>
      <c r="U279" s="13">
        <f>SUM(H279:K279)</f>
        <v>40</v>
      </c>
      <c r="V279" s="34"/>
      <c r="W279" s="10">
        <v>23</v>
      </c>
      <c r="X279" s="10">
        <f t="shared" ref="X279:X287" si="352">(W279*1*D279)+(W279*1.5*E279)+(W279*2*F279)+(W279*1*G279)</f>
        <v>1230.5</v>
      </c>
      <c r="Y279" s="10">
        <f t="shared" si="348"/>
        <v>736</v>
      </c>
      <c r="Z279" s="10">
        <f t="shared" si="349"/>
        <v>184</v>
      </c>
      <c r="AA279" s="14">
        <f t="shared" si="350"/>
        <v>0</v>
      </c>
      <c r="AB279" s="14">
        <f t="shared" ref="AB279:AB287" si="353">(W279*1*N279)+(W279*1.5*O279)+(W279*2*P279)+(W279*1*Q279)</f>
        <v>1230.5</v>
      </c>
      <c r="AC279" s="11">
        <f t="shared" si="351"/>
        <v>-736</v>
      </c>
      <c r="AD279" s="215"/>
      <c r="AE279" s="11">
        <f t="shared" si="345"/>
        <v>-184</v>
      </c>
      <c r="AF279" s="212"/>
      <c r="AG279" s="8"/>
    </row>
    <row r="280" spans="1:33" x14ac:dyDescent="0.45">
      <c r="A280" s="22">
        <f t="shared" si="346"/>
        <v>44192</v>
      </c>
      <c r="B280" s="15" t="s">
        <v>5</v>
      </c>
      <c r="C280" s="48">
        <f>120*W280</f>
        <v>3264</v>
      </c>
      <c r="D280" s="13">
        <v>67</v>
      </c>
      <c r="E280" s="13">
        <v>11</v>
      </c>
      <c r="F280" s="13">
        <v>0</v>
      </c>
      <c r="G280" s="13">
        <v>0</v>
      </c>
      <c r="H280" s="13">
        <v>0</v>
      </c>
      <c r="I280" s="13">
        <v>0</v>
      </c>
      <c r="J280" s="13">
        <v>8</v>
      </c>
      <c r="K280" s="13">
        <v>0</v>
      </c>
      <c r="L280" s="45">
        <v>0</v>
      </c>
      <c r="M280" s="34"/>
      <c r="N280" s="13">
        <v>64</v>
      </c>
      <c r="O280" s="13">
        <v>14.25</v>
      </c>
      <c r="P280" s="13">
        <v>0</v>
      </c>
      <c r="Q280" s="13">
        <v>0</v>
      </c>
      <c r="R280" s="34"/>
      <c r="S280" s="13">
        <f t="shared" si="347"/>
        <v>78</v>
      </c>
      <c r="T280" s="13">
        <f t="shared" si="343"/>
        <v>78.25</v>
      </c>
      <c r="U280" s="13">
        <f t="shared" ref="U280:U282" si="354">SUM(H280:K280)</f>
        <v>8</v>
      </c>
      <c r="V280" s="34"/>
      <c r="W280" s="10">
        <v>27.2</v>
      </c>
      <c r="X280" s="10">
        <f t="shared" si="352"/>
        <v>2271.1999999999998</v>
      </c>
      <c r="Y280" s="10">
        <f t="shared" si="348"/>
        <v>0</v>
      </c>
      <c r="Z280" s="10">
        <f t="shared" si="349"/>
        <v>217.6</v>
      </c>
      <c r="AA280" s="14">
        <f t="shared" si="350"/>
        <v>0</v>
      </c>
      <c r="AB280" s="14">
        <f t="shared" si="353"/>
        <v>2322.1999999999998</v>
      </c>
      <c r="AC280" s="11">
        <f t="shared" si="351"/>
        <v>0</v>
      </c>
      <c r="AD280" s="215"/>
      <c r="AE280" s="11">
        <f t="shared" si="345"/>
        <v>-166.59999999999991</v>
      </c>
      <c r="AF280" s="212"/>
      <c r="AG280" s="8"/>
    </row>
    <row r="281" spans="1:33" x14ac:dyDescent="0.45">
      <c r="A281" s="22">
        <f t="shared" si="346"/>
        <v>44192</v>
      </c>
      <c r="B281" s="15" t="s">
        <v>6</v>
      </c>
      <c r="C281" s="48">
        <f>80*W281</f>
        <v>1840</v>
      </c>
      <c r="D281" s="13">
        <v>68</v>
      </c>
      <c r="E281" s="13">
        <v>18.5</v>
      </c>
      <c r="F281" s="13">
        <v>0</v>
      </c>
      <c r="G281" s="13">
        <v>0</v>
      </c>
      <c r="H281" s="13">
        <v>0</v>
      </c>
      <c r="I281" s="13">
        <v>0</v>
      </c>
      <c r="J281" s="13">
        <v>8</v>
      </c>
      <c r="K281" s="13">
        <v>0</v>
      </c>
      <c r="L281" s="45">
        <v>0</v>
      </c>
      <c r="M281" s="34"/>
      <c r="N281" s="13">
        <v>64</v>
      </c>
      <c r="O281" s="13">
        <v>23</v>
      </c>
      <c r="P281" s="13">
        <v>0</v>
      </c>
      <c r="Q281" s="13">
        <v>0</v>
      </c>
      <c r="R281" s="34"/>
      <c r="S281" s="13">
        <f t="shared" si="347"/>
        <v>86.5</v>
      </c>
      <c r="T281" s="13">
        <f t="shared" si="343"/>
        <v>87</v>
      </c>
      <c r="U281" s="13">
        <f t="shared" si="354"/>
        <v>8</v>
      </c>
      <c r="V281" s="34"/>
      <c r="W281" s="10">
        <v>23</v>
      </c>
      <c r="X281" s="10">
        <f t="shared" si="352"/>
        <v>2202.25</v>
      </c>
      <c r="Y281" s="10">
        <f t="shared" si="348"/>
        <v>0</v>
      </c>
      <c r="Z281" s="10">
        <f t="shared" si="349"/>
        <v>184</v>
      </c>
      <c r="AA281" s="14">
        <f t="shared" si="350"/>
        <v>0</v>
      </c>
      <c r="AB281" s="14">
        <f t="shared" si="353"/>
        <v>2265.5</v>
      </c>
      <c r="AC281" s="11">
        <f t="shared" si="351"/>
        <v>0</v>
      </c>
      <c r="AD281" s="215"/>
      <c r="AE281" s="11">
        <f t="shared" si="345"/>
        <v>-120.75</v>
      </c>
      <c r="AF281" s="212"/>
      <c r="AG281" s="8"/>
    </row>
    <row r="282" spans="1:33" x14ac:dyDescent="0.45">
      <c r="A282" s="22">
        <f>A281</f>
        <v>44192</v>
      </c>
      <c r="B282" s="15" t="s">
        <v>9</v>
      </c>
      <c r="C282" s="48">
        <f>120*W282</f>
        <v>3204</v>
      </c>
      <c r="D282" s="13">
        <v>68</v>
      </c>
      <c r="E282" s="13">
        <v>18</v>
      </c>
      <c r="F282" s="13">
        <v>8</v>
      </c>
      <c r="G282" s="13">
        <v>8</v>
      </c>
      <c r="H282" s="13">
        <v>0</v>
      </c>
      <c r="I282" s="13">
        <v>0</v>
      </c>
      <c r="J282" s="13">
        <v>8</v>
      </c>
      <c r="K282" s="13">
        <v>0</v>
      </c>
      <c r="L282" s="45">
        <v>0</v>
      </c>
      <c r="M282" s="34"/>
      <c r="N282" s="13">
        <v>68</v>
      </c>
      <c r="O282" s="13">
        <v>18</v>
      </c>
      <c r="P282" s="13">
        <v>8</v>
      </c>
      <c r="Q282" s="13">
        <v>10</v>
      </c>
      <c r="R282" s="34"/>
      <c r="S282" s="13">
        <f t="shared" si="347"/>
        <v>102</v>
      </c>
      <c r="T282" s="13">
        <f t="shared" si="343"/>
        <v>104</v>
      </c>
      <c r="U282" s="13">
        <f t="shared" si="354"/>
        <v>8</v>
      </c>
      <c r="V282" s="34"/>
      <c r="W282" s="10">
        <v>26.7</v>
      </c>
      <c r="X282" s="10">
        <f t="shared" si="352"/>
        <v>3177.2999999999997</v>
      </c>
      <c r="Y282" s="10">
        <f>(W282*0*H282)+(W282*1*I282)</f>
        <v>0</v>
      </c>
      <c r="Z282" s="10">
        <f t="shared" si="349"/>
        <v>213.6</v>
      </c>
      <c r="AA282" s="14">
        <f t="shared" si="350"/>
        <v>0</v>
      </c>
      <c r="AB282" s="14">
        <f t="shared" si="353"/>
        <v>3230.7</v>
      </c>
      <c r="AC282" s="11">
        <f t="shared" si="351"/>
        <v>0</v>
      </c>
      <c r="AD282" s="215"/>
      <c r="AE282" s="11">
        <f t="shared" si="345"/>
        <v>-160.19999999999982</v>
      </c>
      <c r="AF282" s="212"/>
      <c r="AG282" s="8"/>
    </row>
    <row r="283" spans="1:33" x14ac:dyDescent="0.45">
      <c r="A283" s="22">
        <f t="shared" si="346"/>
        <v>44192</v>
      </c>
      <c r="B283" s="50" t="s">
        <v>31</v>
      </c>
      <c r="C283" s="48">
        <f>80*W283</f>
        <v>2056</v>
      </c>
      <c r="D283" s="51">
        <v>65</v>
      </c>
      <c r="E283" s="51">
        <v>6</v>
      </c>
      <c r="F283" s="51">
        <v>0</v>
      </c>
      <c r="G283" s="51">
        <v>0</v>
      </c>
      <c r="H283" s="51">
        <v>0</v>
      </c>
      <c r="I283" s="51">
        <v>0</v>
      </c>
      <c r="J283" s="51">
        <v>8</v>
      </c>
      <c r="K283" s="51">
        <v>0</v>
      </c>
      <c r="L283" s="52">
        <v>0</v>
      </c>
      <c r="M283" s="34"/>
      <c r="N283" s="51">
        <v>64</v>
      </c>
      <c r="O283" s="51">
        <v>7</v>
      </c>
      <c r="P283" s="51">
        <v>0</v>
      </c>
      <c r="Q283" s="51">
        <v>0</v>
      </c>
      <c r="R283" s="34"/>
      <c r="S283" s="51">
        <f t="shared" ref="S283" si="355">SUM(D283:G283)</f>
        <v>71</v>
      </c>
      <c r="T283" s="51">
        <f t="shared" si="343"/>
        <v>71</v>
      </c>
      <c r="U283" s="51">
        <f t="shared" ref="U283" si="356">SUM(H283:K283)</f>
        <v>8</v>
      </c>
      <c r="V283" s="34"/>
      <c r="W283" s="53">
        <v>25.7</v>
      </c>
      <c r="X283" s="53">
        <f t="shared" si="352"/>
        <v>1901.8</v>
      </c>
      <c r="Y283" s="53">
        <f t="shared" ref="Y283:Y285" si="357">(W283*0*H283)+(W283*1*I283)</f>
        <v>0</v>
      </c>
      <c r="Z283" s="53">
        <f t="shared" si="349"/>
        <v>205.6</v>
      </c>
      <c r="AA283" s="54">
        <f t="shared" si="350"/>
        <v>0</v>
      </c>
      <c r="AB283" s="54">
        <f t="shared" si="353"/>
        <v>1914.6499999999999</v>
      </c>
      <c r="AC283" s="55">
        <f t="shared" si="351"/>
        <v>0</v>
      </c>
      <c r="AD283" s="217"/>
      <c r="AE283" s="55">
        <f>AB283-(X283+Z283)</f>
        <v>-192.75000000000023</v>
      </c>
      <c r="AF283" s="212"/>
      <c r="AG283" s="8"/>
    </row>
    <row r="284" spans="1:33" x14ac:dyDescent="0.45">
      <c r="A284" s="22">
        <f t="shared" si="346"/>
        <v>44192</v>
      </c>
      <c r="B284" s="50" t="s">
        <v>51</v>
      </c>
      <c r="C284" s="48">
        <v>0</v>
      </c>
      <c r="D284" s="51">
        <v>49</v>
      </c>
      <c r="E284" s="51">
        <v>14</v>
      </c>
      <c r="F284" s="51">
        <v>9</v>
      </c>
      <c r="G284" s="51">
        <v>14</v>
      </c>
      <c r="H284" s="51">
        <v>0</v>
      </c>
      <c r="I284" s="51">
        <v>0</v>
      </c>
      <c r="J284" s="51">
        <v>8</v>
      </c>
      <c r="K284" s="51">
        <v>16</v>
      </c>
      <c r="L284" s="52">
        <v>0</v>
      </c>
      <c r="M284" s="34"/>
      <c r="N284" s="51">
        <v>49</v>
      </c>
      <c r="O284" s="51">
        <v>14</v>
      </c>
      <c r="P284" s="51">
        <v>9</v>
      </c>
      <c r="Q284" s="51">
        <v>14</v>
      </c>
      <c r="R284" s="34"/>
      <c r="S284" s="51">
        <f t="shared" ref="S284:S285" si="358">SUM(D284:G284)</f>
        <v>86</v>
      </c>
      <c r="T284" s="51">
        <f t="shared" si="343"/>
        <v>86</v>
      </c>
      <c r="U284" s="51">
        <f t="shared" ref="U284:U288" si="359">SUM(H284:K284)</f>
        <v>24</v>
      </c>
      <c r="V284" s="34"/>
      <c r="W284" s="53">
        <v>18</v>
      </c>
      <c r="X284" s="53">
        <f t="shared" si="352"/>
        <v>1836</v>
      </c>
      <c r="Y284" s="53">
        <f t="shared" si="357"/>
        <v>0</v>
      </c>
      <c r="Z284" s="53">
        <f t="shared" si="349"/>
        <v>144</v>
      </c>
      <c r="AA284" s="54">
        <f t="shared" si="350"/>
        <v>288</v>
      </c>
      <c r="AB284" s="54">
        <f t="shared" si="353"/>
        <v>1836</v>
      </c>
      <c r="AC284" s="55">
        <f t="shared" si="351"/>
        <v>-288</v>
      </c>
      <c r="AD284" s="217"/>
      <c r="AE284" s="55">
        <f>AB284-(X284+Z284)</f>
        <v>-144</v>
      </c>
      <c r="AF284" s="212"/>
      <c r="AG284" s="8"/>
    </row>
    <row r="285" spans="1:33" ht="14.65" thickBot="1" x14ac:dyDescent="0.5">
      <c r="A285" s="23">
        <f>A284</f>
        <v>44192</v>
      </c>
      <c r="B285" s="24" t="s">
        <v>52</v>
      </c>
      <c r="C285" s="49">
        <v>0</v>
      </c>
      <c r="D285" s="25">
        <v>49</v>
      </c>
      <c r="E285" s="25">
        <v>14</v>
      </c>
      <c r="F285" s="25">
        <v>9</v>
      </c>
      <c r="G285" s="25">
        <v>14</v>
      </c>
      <c r="H285" s="25">
        <v>0</v>
      </c>
      <c r="I285" s="25">
        <v>0</v>
      </c>
      <c r="J285" s="25">
        <v>8</v>
      </c>
      <c r="K285" s="25">
        <v>16</v>
      </c>
      <c r="L285" s="46">
        <v>0</v>
      </c>
      <c r="M285" s="35"/>
      <c r="N285" s="25">
        <v>49</v>
      </c>
      <c r="O285" s="25">
        <v>14</v>
      </c>
      <c r="P285" s="25">
        <v>9</v>
      </c>
      <c r="Q285" s="25">
        <v>14</v>
      </c>
      <c r="R285" s="35"/>
      <c r="S285" s="25">
        <f t="shared" si="358"/>
        <v>86</v>
      </c>
      <c r="T285" s="25">
        <f t="shared" ref="T285" si="360">SUM(N285:Q285)</f>
        <v>86</v>
      </c>
      <c r="U285" s="25">
        <f t="shared" si="359"/>
        <v>24</v>
      </c>
      <c r="V285" s="35"/>
      <c r="W285" s="26">
        <v>18</v>
      </c>
      <c r="X285" s="26">
        <f t="shared" si="352"/>
        <v>1836</v>
      </c>
      <c r="Y285" s="26">
        <f t="shared" si="357"/>
        <v>0</v>
      </c>
      <c r="Z285" s="26">
        <f t="shared" si="349"/>
        <v>144</v>
      </c>
      <c r="AA285" s="27">
        <f t="shared" si="350"/>
        <v>288</v>
      </c>
      <c r="AB285" s="27">
        <f t="shared" si="353"/>
        <v>1836</v>
      </c>
      <c r="AC285" s="12">
        <f t="shared" si="351"/>
        <v>-288</v>
      </c>
      <c r="AD285" s="216"/>
      <c r="AE285" s="12">
        <f>AB285-(X285+Z285)</f>
        <v>-144</v>
      </c>
      <c r="AF285" s="213"/>
      <c r="AG285" s="8"/>
    </row>
    <row r="286" spans="1:33" x14ac:dyDescent="0.45">
      <c r="A286" s="16">
        <f>A285+14</f>
        <v>44206</v>
      </c>
      <c r="B286" s="17" t="s">
        <v>0</v>
      </c>
      <c r="C286" s="47">
        <f>80*W286</f>
        <v>2112</v>
      </c>
      <c r="D286" s="18">
        <v>40</v>
      </c>
      <c r="E286" s="18">
        <v>8.75</v>
      </c>
      <c r="F286" s="18">
        <v>0</v>
      </c>
      <c r="G286" s="18">
        <v>0</v>
      </c>
      <c r="H286" s="18">
        <v>0</v>
      </c>
      <c r="I286" s="18">
        <v>20</v>
      </c>
      <c r="J286" s="18">
        <v>16</v>
      </c>
      <c r="K286" s="18">
        <v>0</v>
      </c>
      <c r="L286" s="44">
        <v>0</v>
      </c>
      <c r="M286" s="33"/>
      <c r="N286" s="18">
        <v>40</v>
      </c>
      <c r="O286" s="18">
        <v>8.75</v>
      </c>
      <c r="P286" s="18">
        <v>0</v>
      </c>
      <c r="Q286" s="18">
        <v>0</v>
      </c>
      <c r="R286" s="33"/>
      <c r="S286" s="36">
        <f>SUM(D286:G286)</f>
        <v>48.75</v>
      </c>
      <c r="T286" s="36">
        <f t="shared" ref="T286:T294" si="361">SUM(N286:Q286)</f>
        <v>48.75</v>
      </c>
      <c r="U286" s="18">
        <f t="shared" si="359"/>
        <v>36</v>
      </c>
      <c r="V286" s="33"/>
      <c r="W286" s="19">
        <v>26.4</v>
      </c>
      <c r="X286" s="19">
        <f t="shared" si="352"/>
        <v>1402.5</v>
      </c>
      <c r="Y286" s="19">
        <f>(W286*0*H286)+(W286*1*I286)</f>
        <v>528</v>
      </c>
      <c r="Z286" s="19">
        <f>(W286*1*J286)+L286</f>
        <v>422.4</v>
      </c>
      <c r="AA286" s="20">
        <f>(W286*1*K286)</f>
        <v>0</v>
      </c>
      <c r="AB286" s="20">
        <f t="shared" si="353"/>
        <v>1402.5</v>
      </c>
      <c r="AC286" s="21">
        <f>0-Y286-AA286</f>
        <v>-528</v>
      </c>
      <c r="AD286" s="214">
        <f>SUM(AC286:AC295)</f>
        <v>-5847</v>
      </c>
      <c r="AE286" s="21">
        <f t="shared" ref="AE286:AE292" si="362">AB286-(X286+Z286)</f>
        <v>-422.40000000000009</v>
      </c>
      <c r="AF286" s="211">
        <f>SUM(AE286:AE295)</f>
        <v>-5586.7749999999987</v>
      </c>
      <c r="AG286" s="8"/>
    </row>
    <row r="287" spans="1:33" x14ac:dyDescent="0.45">
      <c r="A287" s="22">
        <f t="shared" ref="A287:A294" si="363">A286</f>
        <v>44206</v>
      </c>
      <c r="B287" s="15" t="s">
        <v>30</v>
      </c>
      <c r="C287" s="48">
        <f>120*W287</f>
        <v>3696</v>
      </c>
      <c r="D287" s="13">
        <v>40</v>
      </c>
      <c r="E287" s="13">
        <v>11.25</v>
      </c>
      <c r="F287" s="13">
        <v>0</v>
      </c>
      <c r="G287" s="13">
        <v>0</v>
      </c>
      <c r="H287" s="13">
        <v>0</v>
      </c>
      <c r="I287" s="13">
        <v>24</v>
      </c>
      <c r="J287" s="13">
        <v>16</v>
      </c>
      <c r="K287" s="13">
        <v>0</v>
      </c>
      <c r="L287" s="45">
        <v>0</v>
      </c>
      <c r="M287" s="34"/>
      <c r="N287" s="13">
        <v>40</v>
      </c>
      <c r="O287" s="13">
        <v>11.25</v>
      </c>
      <c r="P287" s="13">
        <v>0</v>
      </c>
      <c r="Q287" s="13">
        <v>0</v>
      </c>
      <c r="R287" s="34"/>
      <c r="S287" s="13">
        <f t="shared" ref="S287:S292" si="364">SUM(D287:G287)</f>
        <v>51.25</v>
      </c>
      <c r="T287" s="13">
        <f t="shared" si="361"/>
        <v>51.25</v>
      </c>
      <c r="U287" s="13">
        <f t="shared" si="359"/>
        <v>40</v>
      </c>
      <c r="V287" s="34"/>
      <c r="W287" s="10">
        <v>30.8</v>
      </c>
      <c r="X287" s="10">
        <f t="shared" si="352"/>
        <v>1751.75</v>
      </c>
      <c r="Y287" s="10">
        <f t="shared" ref="Y287:Y291" si="365">(W287*0*H287)+(W287*1*I287)</f>
        <v>739.2</v>
      </c>
      <c r="Z287" s="10">
        <f t="shared" ref="Z287:Z295" si="366">(W287*1*J287)+L287</f>
        <v>492.8</v>
      </c>
      <c r="AA287" s="14">
        <f t="shared" ref="AA287:AA295" si="367">(W287*1*K287)</f>
        <v>0</v>
      </c>
      <c r="AB287" s="14">
        <f t="shared" si="353"/>
        <v>1751.75</v>
      </c>
      <c r="AC287" s="11">
        <f t="shared" ref="AC287:AC295" si="368">0-Y287-AA287</f>
        <v>-739.2</v>
      </c>
      <c r="AD287" s="215"/>
      <c r="AE287" s="11">
        <f t="shared" si="362"/>
        <v>-492.80000000000018</v>
      </c>
      <c r="AF287" s="212"/>
      <c r="AG287" s="8"/>
    </row>
    <row r="288" spans="1:33" x14ac:dyDescent="0.45">
      <c r="A288" s="22">
        <f t="shared" si="363"/>
        <v>44206</v>
      </c>
      <c r="B288" s="15" t="s">
        <v>3</v>
      </c>
      <c r="C288" s="48">
        <f>80*W288</f>
        <v>2280</v>
      </c>
      <c r="D288" s="13">
        <v>40</v>
      </c>
      <c r="E288" s="13">
        <v>18.25</v>
      </c>
      <c r="F288" s="13">
        <v>0</v>
      </c>
      <c r="G288" s="13">
        <v>0</v>
      </c>
      <c r="H288" s="13">
        <v>0</v>
      </c>
      <c r="I288" s="13">
        <v>0</v>
      </c>
      <c r="J288" s="13">
        <v>16</v>
      </c>
      <c r="K288" s="13">
        <v>0</v>
      </c>
      <c r="L288" s="45">
        <v>0</v>
      </c>
      <c r="M288" s="34"/>
      <c r="N288" s="13">
        <v>40</v>
      </c>
      <c r="O288" s="13">
        <v>18.25</v>
      </c>
      <c r="P288" s="13">
        <v>0</v>
      </c>
      <c r="Q288" s="13">
        <v>0</v>
      </c>
      <c r="R288" s="34"/>
      <c r="S288" s="13">
        <f t="shared" si="364"/>
        <v>58.25</v>
      </c>
      <c r="T288" s="13">
        <f t="shared" si="361"/>
        <v>58.25</v>
      </c>
      <c r="U288" s="13">
        <f t="shared" si="359"/>
        <v>16</v>
      </c>
      <c r="V288" s="34"/>
      <c r="W288" s="10">
        <v>28.5</v>
      </c>
      <c r="X288" s="10">
        <f>(W288*1*D288)+(W288*1.5*E288)+(W288*2*F288)+(W288*1*G288)</f>
        <v>1920.1875</v>
      </c>
      <c r="Y288" s="10">
        <f t="shared" si="365"/>
        <v>0</v>
      </c>
      <c r="Z288" s="10">
        <f t="shared" si="366"/>
        <v>456</v>
      </c>
      <c r="AA288" s="14">
        <f t="shared" si="367"/>
        <v>0</v>
      </c>
      <c r="AB288" s="14">
        <f>(W288*1*N288)+(W288*1.5*O288)+(W288*2*P288)+(W288*1*Q288)</f>
        <v>1920.1875</v>
      </c>
      <c r="AC288" s="11">
        <f t="shared" si="368"/>
        <v>0</v>
      </c>
      <c r="AD288" s="215"/>
      <c r="AE288" s="11">
        <f t="shared" si="362"/>
        <v>-456</v>
      </c>
      <c r="AF288" s="212"/>
      <c r="AG288" s="8"/>
    </row>
    <row r="289" spans="1:33" x14ac:dyDescent="0.45">
      <c r="A289" s="22">
        <f t="shared" si="363"/>
        <v>44206</v>
      </c>
      <c r="B289" s="15" t="s">
        <v>4</v>
      </c>
      <c r="C289" s="48">
        <f>80*W289</f>
        <v>1840</v>
      </c>
      <c r="D289" s="13">
        <v>0</v>
      </c>
      <c r="E289" s="13">
        <v>0</v>
      </c>
      <c r="F289" s="13">
        <v>0</v>
      </c>
      <c r="G289" s="13">
        <v>0</v>
      </c>
      <c r="H289" s="13">
        <v>0</v>
      </c>
      <c r="I289" s="13">
        <v>80</v>
      </c>
      <c r="J289" s="13">
        <v>0</v>
      </c>
      <c r="K289" s="13">
        <v>0</v>
      </c>
      <c r="L289" s="45">
        <v>0</v>
      </c>
      <c r="M289" s="34"/>
      <c r="N289" s="13">
        <v>0</v>
      </c>
      <c r="O289" s="13">
        <v>0</v>
      </c>
      <c r="P289" s="13">
        <v>0</v>
      </c>
      <c r="Q289" s="13">
        <v>0</v>
      </c>
      <c r="R289" s="34"/>
      <c r="S289" s="13">
        <f t="shared" si="364"/>
        <v>0</v>
      </c>
      <c r="T289" s="13">
        <f t="shared" si="361"/>
        <v>0</v>
      </c>
      <c r="U289" s="13">
        <f>SUM(H289:K289)</f>
        <v>80</v>
      </c>
      <c r="V289" s="34"/>
      <c r="W289" s="10">
        <v>23</v>
      </c>
      <c r="X289" s="10">
        <f t="shared" ref="X289:X297" si="369">(W289*1*D289)+(W289*1.5*E289)+(W289*2*F289)+(W289*1*G289)</f>
        <v>0</v>
      </c>
      <c r="Y289" s="10">
        <f t="shared" si="365"/>
        <v>1840</v>
      </c>
      <c r="Z289" s="10">
        <f t="shared" si="366"/>
        <v>0</v>
      </c>
      <c r="AA289" s="14">
        <f t="shared" si="367"/>
        <v>0</v>
      </c>
      <c r="AB289" s="14">
        <f t="shared" ref="AB289:AB297" si="370">(W289*1*N289)+(W289*1.5*O289)+(W289*2*P289)+(W289*1*Q289)</f>
        <v>0</v>
      </c>
      <c r="AC289" s="11">
        <f t="shared" si="368"/>
        <v>-1840</v>
      </c>
      <c r="AD289" s="215"/>
      <c r="AE289" s="11">
        <f t="shared" si="362"/>
        <v>0</v>
      </c>
      <c r="AF289" s="212"/>
      <c r="AG289" s="8"/>
    </row>
    <row r="290" spans="1:33" x14ac:dyDescent="0.45">
      <c r="A290" s="22">
        <f t="shared" si="363"/>
        <v>44206</v>
      </c>
      <c r="B290" s="15" t="s">
        <v>5</v>
      </c>
      <c r="C290" s="48">
        <f>120*W290</f>
        <v>3264</v>
      </c>
      <c r="D290" s="13">
        <v>40</v>
      </c>
      <c r="E290" s="13">
        <v>17.75</v>
      </c>
      <c r="F290" s="13">
        <v>0</v>
      </c>
      <c r="G290" s="13">
        <v>0</v>
      </c>
      <c r="H290" s="13">
        <v>0</v>
      </c>
      <c r="I290" s="13">
        <v>24</v>
      </c>
      <c r="J290" s="13">
        <v>16</v>
      </c>
      <c r="K290" s="13">
        <v>0</v>
      </c>
      <c r="L290" s="45">
        <v>0</v>
      </c>
      <c r="M290" s="34"/>
      <c r="N290" s="13">
        <v>40</v>
      </c>
      <c r="O290" s="13">
        <v>17.75</v>
      </c>
      <c r="P290" s="13">
        <v>0</v>
      </c>
      <c r="Q290" s="13">
        <v>0</v>
      </c>
      <c r="R290" s="34"/>
      <c r="S290" s="13">
        <f t="shared" si="364"/>
        <v>57.75</v>
      </c>
      <c r="T290" s="13">
        <f t="shared" si="361"/>
        <v>57.75</v>
      </c>
      <c r="U290" s="13">
        <f t="shared" ref="U290:U292" si="371">SUM(H290:K290)</f>
        <v>40</v>
      </c>
      <c r="V290" s="34"/>
      <c r="W290" s="10">
        <v>27.2</v>
      </c>
      <c r="X290" s="10">
        <f t="shared" si="369"/>
        <v>1812.1999999999998</v>
      </c>
      <c r="Y290" s="10">
        <f t="shared" si="365"/>
        <v>652.79999999999995</v>
      </c>
      <c r="Z290" s="10">
        <f t="shared" si="366"/>
        <v>435.2</v>
      </c>
      <c r="AA290" s="14">
        <f t="shared" si="367"/>
        <v>0</v>
      </c>
      <c r="AB290" s="14">
        <f t="shared" si="370"/>
        <v>1812.1999999999998</v>
      </c>
      <c r="AC290" s="11">
        <f t="shared" si="368"/>
        <v>-652.79999999999995</v>
      </c>
      <c r="AD290" s="215"/>
      <c r="AE290" s="11">
        <f t="shared" si="362"/>
        <v>-435.19999999999982</v>
      </c>
      <c r="AF290" s="212"/>
      <c r="AG290" s="8"/>
    </row>
    <row r="291" spans="1:33" x14ac:dyDescent="0.45">
      <c r="A291" s="22">
        <f t="shared" si="363"/>
        <v>44206</v>
      </c>
      <c r="B291" s="15" t="s">
        <v>6</v>
      </c>
      <c r="C291" s="48">
        <f>80*W291</f>
        <v>1840</v>
      </c>
      <c r="D291" s="13">
        <v>40</v>
      </c>
      <c r="E291" s="13">
        <v>24.25</v>
      </c>
      <c r="F291" s="13">
        <v>0</v>
      </c>
      <c r="G291" s="13">
        <v>0</v>
      </c>
      <c r="H291" s="13">
        <v>0</v>
      </c>
      <c r="I291" s="13">
        <v>16</v>
      </c>
      <c r="J291" s="13">
        <v>16</v>
      </c>
      <c r="K291" s="13">
        <v>0</v>
      </c>
      <c r="L291" s="45">
        <v>0</v>
      </c>
      <c r="M291" s="34"/>
      <c r="N291" s="13">
        <v>40</v>
      </c>
      <c r="O291" s="13">
        <v>24.25</v>
      </c>
      <c r="P291" s="13">
        <v>0</v>
      </c>
      <c r="Q291" s="13">
        <v>0</v>
      </c>
      <c r="R291" s="34"/>
      <c r="S291" s="13">
        <f t="shared" si="364"/>
        <v>64.25</v>
      </c>
      <c r="T291" s="13">
        <f t="shared" si="361"/>
        <v>64.25</v>
      </c>
      <c r="U291" s="13">
        <f t="shared" si="371"/>
        <v>32</v>
      </c>
      <c r="V291" s="34"/>
      <c r="W291" s="10">
        <v>23</v>
      </c>
      <c r="X291" s="10">
        <f t="shared" si="369"/>
        <v>1756.625</v>
      </c>
      <c r="Y291" s="10">
        <f t="shared" si="365"/>
        <v>368</v>
      </c>
      <c r="Z291" s="10">
        <f t="shared" si="366"/>
        <v>368</v>
      </c>
      <c r="AA291" s="14">
        <f t="shared" si="367"/>
        <v>0</v>
      </c>
      <c r="AB291" s="14">
        <f t="shared" si="370"/>
        <v>1756.625</v>
      </c>
      <c r="AC291" s="11">
        <f t="shared" si="368"/>
        <v>-368</v>
      </c>
      <c r="AD291" s="215"/>
      <c r="AE291" s="11">
        <f t="shared" si="362"/>
        <v>-368</v>
      </c>
      <c r="AF291" s="212"/>
      <c r="AG291" s="8"/>
    </row>
    <row r="292" spans="1:33" x14ac:dyDescent="0.45">
      <c r="A292" s="22">
        <f>A291</f>
        <v>44206</v>
      </c>
      <c r="B292" s="15" t="s">
        <v>9</v>
      </c>
      <c r="C292" s="48">
        <f>120*W292</f>
        <v>3204</v>
      </c>
      <c r="D292" s="13">
        <v>48</v>
      </c>
      <c r="E292" s="13">
        <v>22.5</v>
      </c>
      <c r="F292" s="13">
        <v>0</v>
      </c>
      <c r="G292" s="13">
        <v>8</v>
      </c>
      <c r="H292" s="13">
        <v>0</v>
      </c>
      <c r="I292" s="13">
        <v>0</v>
      </c>
      <c r="J292" s="13">
        <v>16</v>
      </c>
      <c r="K292" s="13">
        <v>0</v>
      </c>
      <c r="L292" s="45">
        <v>0</v>
      </c>
      <c r="M292" s="34"/>
      <c r="N292" s="13">
        <v>0</v>
      </c>
      <c r="O292" s="13">
        <v>0</v>
      </c>
      <c r="P292" s="13">
        <v>0</v>
      </c>
      <c r="Q292" s="13">
        <v>0</v>
      </c>
      <c r="R292" s="34"/>
      <c r="S292" s="13">
        <f t="shared" si="364"/>
        <v>78.5</v>
      </c>
      <c r="T292" s="13">
        <f t="shared" si="361"/>
        <v>0</v>
      </c>
      <c r="U292" s="13">
        <f t="shared" si="371"/>
        <v>16</v>
      </c>
      <c r="V292" s="34"/>
      <c r="W292" s="10">
        <v>26.7</v>
      </c>
      <c r="X292" s="10">
        <f t="shared" si="369"/>
        <v>2396.3249999999998</v>
      </c>
      <c r="Y292" s="10">
        <f>(W292*0*H292)+(W292*1*I292)</f>
        <v>0</v>
      </c>
      <c r="Z292" s="10">
        <f t="shared" si="366"/>
        <v>427.2</v>
      </c>
      <c r="AA292" s="14">
        <f t="shared" si="367"/>
        <v>0</v>
      </c>
      <c r="AB292" s="14">
        <f t="shared" si="370"/>
        <v>0</v>
      </c>
      <c r="AC292" s="11">
        <f t="shared" si="368"/>
        <v>0</v>
      </c>
      <c r="AD292" s="215"/>
      <c r="AE292" s="11">
        <f t="shared" si="362"/>
        <v>-2823.5249999999996</v>
      </c>
      <c r="AF292" s="212"/>
      <c r="AG292" s="8"/>
    </row>
    <row r="293" spans="1:33" x14ac:dyDescent="0.45">
      <c r="A293" s="22">
        <f t="shared" si="363"/>
        <v>44206</v>
      </c>
      <c r="B293" s="50" t="s">
        <v>31</v>
      </c>
      <c r="C293" s="48">
        <f>80*W293</f>
        <v>2056</v>
      </c>
      <c r="D293" s="51">
        <v>70.75</v>
      </c>
      <c r="E293" s="51">
        <v>16.75</v>
      </c>
      <c r="F293" s="51">
        <v>19</v>
      </c>
      <c r="G293" s="51">
        <v>18.75</v>
      </c>
      <c r="H293" s="51">
        <v>0</v>
      </c>
      <c r="I293" s="51">
        <v>0</v>
      </c>
      <c r="J293" s="51">
        <v>16</v>
      </c>
      <c r="K293" s="51">
        <v>0</v>
      </c>
      <c r="L293" s="52">
        <v>0</v>
      </c>
      <c r="M293" s="34"/>
      <c r="N293" s="51">
        <v>58.5</v>
      </c>
      <c r="O293" s="51">
        <v>47.75</v>
      </c>
      <c r="P293" s="51">
        <v>19</v>
      </c>
      <c r="Q293" s="51">
        <v>0</v>
      </c>
      <c r="R293" s="34"/>
      <c r="S293" s="51">
        <f t="shared" ref="S293" si="372">SUM(D293:G293)</f>
        <v>125.25</v>
      </c>
      <c r="T293" s="51">
        <f t="shared" si="361"/>
        <v>125.25</v>
      </c>
      <c r="U293" s="51">
        <f t="shared" ref="U293" si="373">SUM(H293:K293)</f>
        <v>16</v>
      </c>
      <c r="V293" s="34"/>
      <c r="W293" s="53">
        <v>25.7</v>
      </c>
      <c r="X293" s="53">
        <f>(W293*1*D293)+(W293*1.5*E293)+(W293*2*F293)+(W293*1*G293)</f>
        <v>3922.4624999999996</v>
      </c>
      <c r="Y293" s="53">
        <f t="shared" ref="Y293:Y295" si="374">(W293*0*H293)+(W293*1*I293)</f>
        <v>0</v>
      </c>
      <c r="Z293" s="53">
        <f>(W293*1*J293)+L293</f>
        <v>411.2</v>
      </c>
      <c r="AA293" s="54">
        <f t="shared" si="367"/>
        <v>0</v>
      </c>
      <c r="AB293" s="54">
        <f>(W293*1*N293)+(W293*1.5*O293)+(W293*2*P293)+(W293*1*Q293)</f>
        <v>4320.8125</v>
      </c>
      <c r="AC293" s="55">
        <f t="shared" si="368"/>
        <v>0</v>
      </c>
      <c r="AD293" s="217"/>
      <c r="AE293" s="55">
        <f>AB293-(X293+Z293)</f>
        <v>-12.849999999999454</v>
      </c>
      <c r="AF293" s="212"/>
      <c r="AG293" s="8"/>
    </row>
    <row r="294" spans="1:33" x14ac:dyDescent="0.45">
      <c r="A294" s="22">
        <f t="shared" si="363"/>
        <v>44206</v>
      </c>
      <c r="B294" s="50" t="s">
        <v>51</v>
      </c>
      <c r="C294" s="48">
        <f t="shared" ref="C294:C295" si="375">80*W294</f>
        <v>1440</v>
      </c>
      <c r="D294" s="51">
        <v>18</v>
      </c>
      <c r="E294" s="51">
        <v>9</v>
      </c>
      <c r="F294" s="51">
        <v>9</v>
      </c>
      <c r="G294" s="51">
        <v>9.5</v>
      </c>
      <c r="H294" s="51">
        <v>0</v>
      </c>
      <c r="I294" s="51">
        <v>0</v>
      </c>
      <c r="J294" s="51">
        <v>16</v>
      </c>
      <c r="K294" s="51">
        <v>48</v>
      </c>
      <c r="L294" s="52">
        <v>0</v>
      </c>
      <c r="M294" s="34"/>
      <c r="N294" s="51">
        <v>18</v>
      </c>
      <c r="O294" s="51">
        <v>9</v>
      </c>
      <c r="P294" s="51">
        <v>9</v>
      </c>
      <c r="Q294" s="51">
        <v>9.5</v>
      </c>
      <c r="R294" s="34"/>
      <c r="S294" s="51">
        <f t="shared" ref="S294:S295" si="376">SUM(D294:G294)</f>
        <v>45.5</v>
      </c>
      <c r="T294" s="51">
        <f t="shared" si="361"/>
        <v>45.5</v>
      </c>
      <c r="U294" s="51">
        <f t="shared" ref="U294:U298" si="377">SUM(H294:K294)</f>
        <v>64</v>
      </c>
      <c r="V294" s="34"/>
      <c r="W294" s="53">
        <v>18</v>
      </c>
      <c r="X294" s="53">
        <f t="shared" si="369"/>
        <v>1062</v>
      </c>
      <c r="Y294" s="53">
        <f t="shared" si="374"/>
        <v>0</v>
      </c>
      <c r="Z294" s="53">
        <f t="shared" si="366"/>
        <v>288</v>
      </c>
      <c r="AA294" s="54">
        <f t="shared" si="367"/>
        <v>864</v>
      </c>
      <c r="AB294" s="54">
        <f t="shared" si="370"/>
        <v>1062</v>
      </c>
      <c r="AC294" s="55">
        <f t="shared" si="368"/>
        <v>-864</v>
      </c>
      <c r="AD294" s="217"/>
      <c r="AE294" s="55">
        <f>AB294-(X294+Z294)</f>
        <v>-288</v>
      </c>
      <c r="AF294" s="212"/>
      <c r="AG294" s="8"/>
    </row>
    <row r="295" spans="1:33" ht="14.65" thickBot="1" x14ac:dyDescent="0.5">
      <c r="A295" s="23">
        <f>A294</f>
        <v>44206</v>
      </c>
      <c r="B295" s="24" t="s">
        <v>52</v>
      </c>
      <c r="C295" s="49">
        <f t="shared" si="375"/>
        <v>1440</v>
      </c>
      <c r="D295" s="25">
        <v>18.5</v>
      </c>
      <c r="E295" s="25">
        <v>3</v>
      </c>
      <c r="F295" s="25">
        <v>0</v>
      </c>
      <c r="G295" s="25">
        <v>11.5</v>
      </c>
      <c r="H295" s="25">
        <v>0</v>
      </c>
      <c r="I295" s="25">
        <v>0</v>
      </c>
      <c r="J295" s="25">
        <v>16</v>
      </c>
      <c r="K295" s="25">
        <v>47.5</v>
      </c>
      <c r="L295" s="46">
        <v>0</v>
      </c>
      <c r="M295" s="35"/>
      <c r="N295" s="25">
        <v>18.5</v>
      </c>
      <c r="O295" s="25">
        <v>3</v>
      </c>
      <c r="P295" s="25">
        <v>0</v>
      </c>
      <c r="Q295" s="25">
        <v>11.5</v>
      </c>
      <c r="R295" s="35"/>
      <c r="S295" s="25">
        <f t="shared" si="376"/>
        <v>33</v>
      </c>
      <c r="T295" s="25">
        <f t="shared" ref="T295" si="378">SUM(N295:Q295)</f>
        <v>33</v>
      </c>
      <c r="U295" s="25">
        <f t="shared" si="377"/>
        <v>63.5</v>
      </c>
      <c r="V295" s="35"/>
      <c r="W295" s="26">
        <v>18</v>
      </c>
      <c r="X295" s="26">
        <f t="shared" si="369"/>
        <v>621</v>
      </c>
      <c r="Y295" s="26">
        <f t="shared" si="374"/>
        <v>0</v>
      </c>
      <c r="Z295" s="26">
        <f t="shared" si="366"/>
        <v>288</v>
      </c>
      <c r="AA295" s="27">
        <f t="shared" si="367"/>
        <v>855</v>
      </c>
      <c r="AB295" s="27">
        <f t="shared" si="370"/>
        <v>621</v>
      </c>
      <c r="AC295" s="12">
        <f t="shared" si="368"/>
        <v>-855</v>
      </c>
      <c r="AD295" s="216"/>
      <c r="AE295" s="12">
        <f>AB295-(X295+Z295)</f>
        <v>-288</v>
      </c>
      <c r="AF295" s="213"/>
      <c r="AG295" s="8"/>
    </row>
    <row r="296" spans="1:33" x14ac:dyDescent="0.45">
      <c r="A296" s="16">
        <f>A295+14</f>
        <v>44220</v>
      </c>
      <c r="B296" s="17" t="s">
        <v>0</v>
      </c>
      <c r="C296" s="47">
        <f>80*W296</f>
        <v>2112</v>
      </c>
      <c r="D296" s="18">
        <v>78.5</v>
      </c>
      <c r="E296" s="18">
        <v>26.25</v>
      </c>
      <c r="F296" s="18">
        <v>0</v>
      </c>
      <c r="G296" s="18">
        <v>0</v>
      </c>
      <c r="H296" s="18">
        <v>0</v>
      </c>
      <c r="I296" s="18">
        <v>0</v>
      </c>
      <c r="J296" s="18">
        <v>0</v>
      </c>
      <c r="K296" s="18">
        <v>1.5</v>
      </c>
      <c r="L296" s="44">
        <v>0</v>
      </c>
      <c r="M296" s="33"/>
      <c r="N296" s="18">
        <v>80</v>
      </c>
      <c r="O296" s="18">
        <v>26.75</v>
      </c>
      <c r="P296" s="18">
        <v>0</v>
      </c>
      <c r="Q296" s="18">
        <v>0</v>
      </c>
      <c r="R296" s="33"/>
      <c r="S296" s="36">
        <f>SUM(D296:G296)</f>
        <v>104.75</v>
      </c>
      <c r="T296" s="36">
        <f t="shared" ref="T296:T304" si="379">SUM(N296:Q296)</f>
        <v>106.75</v>
      </c>
      <c r="U296" s="18">
        <f t="shared" si="377"/>
        <v>1.5</v>
      </c>
      <c r="V296" s="33"/>
      <c r="W296" s="19">
        <v>26.4</v>
      </c>
      <c r="X296" s="19">
        <f t="shared" si="369"/>
        <v>3111.8999999999996</v>
      </c>
      <c r="Y296" s="19">
        <f>(W296*0*H296)+(W296*1*I296)</f>
        <v>0</v>
      </c>
      <c r="Z296" s="19">
        <f>(W296*1*J296)+L296</f>
        <v>0</v>
      </c>
      <c r="AA296" s="20">
        <f>(W296*1*K296)</f>
        <v>39.599999999999994</v>
      </c>
      <c r="AB296" s="20">
        <f t="shared" si="370"/>
        <v>3171.3</v>
      </c>
      <c r="AC296" s="21">
        <f>0-Y296-AA296</f>
        <v>-39.599999999999994</v>
      </c>
      <c r="AD296" s="214">
        <f>SUM(AC296:AC305)</f>
        <v>-1273.75</v>
      </c>
      <c r="AE296" s="21">
        <f t="shared" ref="AE296:AE302" si="380">AB296-(X296+Z296)</f>
        <v>59.400000000000546</v>
      </c>
      <c r="AF296" s="211">
        <f>SUM(AE296:AE305)</f>
        <v>-105.69999999999936</v>
      </c>
      <c r="AG296" s="8"/>
    </row>
    <row r="297" spans="1:33" x14ac:dyDescent="0.45">
      <c r="A297" s="22">
        <f t="shared" ref="A297:A304" si="381">A296</f>
        <v>44220</v>
      </c>
      <c r="B297" s="15" t="s">
        <v>30</v>
      </c>
      <c r="C297" s="48">
        <f>120*W297</f>
        <v>3696</v>
      </c>
      <c r="D297" s="13">
        <v>80</v>
      </c>
      <c r="E297" s="13">
        <v>23.5</v>
      </c>
      <c r="F297" s="13">
        <v>0</v>
      </c>
      <c r="G297" s="13">
        <v>8</v>
      </c>
      <c r="H297" s="13">
        <v>0</v>
      </c>
      <c r="I297" s="13">
        <v>0</v>
      </c>
      <c r="J297" s="13">
        <v>0</v>
      </c>
      <c r="K297" s="13">
        <v>0</v>
      </c>
      <c r="L297" s="45">
        <v>0</v>
      </c>
      <c r="M297" s="34"/>
      <c r="N297" s="13">
        <v>80</v>
      </c>
      <c r="O297" s="13">
        <v>26.5</v>
      </c>
      <c r="P297" s="13">
        <v>0</v>
      </c>
      <c r="Q297" s="13">
        <v>6</v>
      </c>
      <c r="R297" s="34"/>
      <c r="S297" s="13">
        <f t="shared" ref="S297:S302" si="382">SUM(D297:G297)</f>
        <v>111.5</v>
      </c>
      <c r="T297" s="13">
        <f t="shared" si="379"/>
        <v>112.5</v>
      </c>
      <c r="U297" s="13">
        <f t="shared" si="377"/>
        <v>0</v>
      </c>
      <c r="V297" s="34"/>
      <c r="W297" s="10">
        <v>30.8</v>
      </c>
      <c r="X297" s="10">
        <f t="shared" si="369"/>
        <v>3796.1</v>
      </c>
      <c r="Y297" s="10">
        <f t="shared" ref="Y297:Y301" si="383">(W297*0*H297)+(W297*1*I297)</f>
        <v>0</v>
      </c>
      <c r="Z297" s="10">
        <f t="shared" ref="Z297:Z302" si="384">(W297*1*J297)+L297</f>
        <v>0</v>
      </c>
      <c r="AA297" s="14">
        <f t="shared" ref="AA297:AA305" si="385">(W297*1*K297)</f>
        <v>0</v>
      </c>
      <c r="AB297" s="14">
        <f t="shared" si="370"/>
        <v>3873.1000000000004</v>
      </c>
      <c r="AC297" s="11">
        <f t="shared" ref="AC297:AC305" si="386">0-Y297-AA297</f>
        <v>0</v>
      </c>
      <c r="AD297" s="215"/>
      <c r="AE297" s="11">
        <f t="shared" si="380"/>
        <v>77.000000000000455</v>
      </c>
      <c r="AF297" s="212"/>
      <c r="AG297" s="8"/>
    </row>
    <row r="298" spans="1:33" x14ac:dyDescent="0.45">
      <c r="A298" s="22">
        <f t="shared" si="381"/>
        <v>44220</v>
      </c>
      <c r="B298" s="15" t="s">
        <v>3</v>
      </c>
      <c r="C298" s="48">
        <f>80*W298</f>
        <v>2280</v>
      </c>
      <c r="D298" s="13">
        <v>80</v>
      </c>
      <c r="E298" s="13">
        <v>37.5</v>
      </c>
      <c r="F298" s="13">
        <v>0</v>
      </c>
      <c r="G298" s="13">
        <v>0</v>
      </c>
      <c r="H298" s="13">
        <v>0</v>
      </c>
      <c r="I298" s="13">
        <v>0</v>
      </c>
      <c r="J298" s="13">
        <v>0</v>
      </c>
      <c r="K298" s="13">
        <v>0</v>
      </c>
      <c r="L298" s="45">
        <v>0</v>
      </c>
      <c r="M298" s="34"/>
      <c r="N298" s="13">
        <v>80</v>
      </c>
      <c r="O298" s="13">
        <v>37.5</v>
      </c>
      <c r="P298" s="13">
        <v>0</v>
      </c>
      <c r="Q298" s="13">
        <v>0</v>
      </c>
      <c r="R298" s="34"/>
      <c r="S298" s="13">
        <f t="shared" si="382"/>
        <v>117.5</v>
      </c>
      <c r="T298" s="13">
        <f t="shared" si="379"/>
        <v>117.5</v>
      </c>
      <c r="U298" s="13">
        <f t="shared" si="377"/>
        <v>0</v>
      </c>
      <c r="V298" s="34"/>
      <c r="W298" s="10">
        <v>28.5</v>
      </c>
      <c r="X298" s="10">
        <f>(W298*1*D298)+(W298*1.5*E298)+(W298*2*F298)+(W298*1*G298)</f>
        <v>3883.125</v>
      </c>
      <c r="Y298" s="10">
        <f t="shared" si="383"/>
        <v>0</v>
      </c>
      <c r="Z298" s="10">
        <f t="shared" si="384"/>
        <v>0</v>
      </c>
      <c r="AA298" s="14">
        <f t="shared" si="385"/>
        <v>0</v>
      </c>
      <c r="AB298" s="14">
        <f>(W298*1*N298)+(W298*1.5*O298)+(W298*2*P298)+(W298*1*Q298)</f>
        <v>3883.125</v>
      </c>
      <c r="AC298" s="11">
        <f t="shared" si="386"/>
        <v>0</v>
      </c>
      <c r="AD298" s="215"/>
      <c r="AE298" s="11">
        <f t="shared" si="380"/>
        <v>0</v>
      </c>
      <c r="AF298" s="212"/>
      <c r="AG298" s="8"/>
    </row>
    <row r="299" spans="1:33" x14ac:dyDescent="0.45">
      <c r="A299" s="22">
        <f t="shared" si="381"/>
        <v>44220</v>
      </c>
      <c r="B299" s="15" t="s">
        <v>4</v>
      </c>
      <c r="C299" s="48">
        <f>80*W299</f>
        <v>1840</v>
      </c>
      <c r="D299" s="13">
        <v>0</v>
      </c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3">
        <v>0</v>
      </c>
      <c r="K299" s="13">
        <v>0</v>
      </c>
      <c r="L299" s="45">
        <v>0</v>
      </c>
      <c r="M299" s="34"/>
      <c r="N299" s="13">
        <v>0</v>
      </c>
      <c r="O299" s="13">
        <v>0</v>
      </c>
      <c r="P299" s="13">
        <v>0</v>
      </c>
      <c r="Q299" s="13">
        <v>0</v>
      </c>
      <c r="R299" s="34"/>
      <c r="S299" s="13">
        <f t="shared" si="382"/>
        <v>0</v>
      </c>
      <c r="T299" s="13">
        <f t="shared" si="379"/>
        <v>0</v>
      </c>
      <c r="U299" s="13">
        <f>SUM(H299:K299)</f>
        <v>0</v>
      </c>
      <c r="V299" s="34"/>
      <c r="W299" s="10">
        <v>23</v>
      </c>
      <c r="X299" s="10">
        <f t="shared" ref="X299:X302" si="387">(W299*1*D299)+(W299*1.5*E299)+(W299*2*F299)+(W299*1*G299)</f>
        <v>0</v>
      </c>
      <c r="Y299" s="10">
        <f t="shared" si="383"/>
        <v>0</v>
      </c>
      <c r="Z299" s="10">
        <f t="shared" si="384"/>
        <v>0</v>
      </c>
      <c r="AA299" s="14">
        <f t="shared" si="385"/>
        <v>0</v>
      </c>
      <c r="AB299" s="14">
        <f t="shared" ref="AB299:AB302" si="388">(W299*1*N299)+(W299*1.5*O299)+(W299*2*P299)+(W299*1*Q299)</f>
        <v>0</v>
      </c>
      <c r="AC299" s="11">
        <f t="shared" si="386"/>
        <v>0</v>
      </c>
      <c r="AD299" s="215"/>
      <c r="AE299" s="11">
        <f t="shared" si="380"/>
        <v>0</v>
      </c>
      <c r="AF299" s="212"/>
      <c r="AG299" s="8"/>
    </row>
    <row r="300" spans="1:33" x14ac:dyDescent="0.45">
      <c r="A300" s="22">
        <f t="shared" si="381"/>
        <v>44220</v>
      </c>
      <c r="B300" s="15" t="s">
        <v>5</v>
      </c>
      <c r="C300" s="48">
        <f>120*W300</f>
        <v>3264</v>
      </c>
      <c r="D300" s="13">
        <v>80</v>
      </c>
      <c r="E300" s="13">
        <v>42.5</v>
      </c>
      <c r="F300" s="13">
        <v>0</v>
      </c>
      <c r="G300" s="13">
        <v>0</v>
      </c>
      <c r="H300" s="13">
        <v>0</v>
      </c>
      <c r="I300" s="13">
        <v>0</v>
      </c>
      <c r="J300" s="13">
        <v>0</v>
      </c>
      <c r="K300" s="13">
        <v>0</v>
      </c>
      <c r="L300" s="45">
        <v>0</v>
      </c>
      <c r="M300" s="34"/>
      <c r="N300" s="13">
        <v>80</v>
      </c>
      <c r="O300" s="13">
        <v>42.5</v>
      </c>
      <c r="P300" s="13">
        <v>0</v>
      </c>
      <c r="Q300" s="13">
        <v>0</v>
      </c>
      <c r="R300" s="34"/>
      <c r="S300" s="13">
        <f t="shared" si="382"/>
        <v>122.5</v>
      </c>
      <c r="T300" s="13">
        <f t="shared" si="379"/>
        <v>122.5</v>
      </c>
      <c r="U300" s="13">
        <f t="shared" ref="U300:U302" si="389">SUM(H300:K300)</f>
        <v>0</v>
      </c>
      <c r="V300" s="34"/>
      <c r="W300" s="10">
        <v>27.2</v>
      </c>
      <c r="X300" s="10">
        <f t="shared" si="387"/>
        <v>3910</v>
      </c>
      <c r="Y300" s="10">
        <f t="shared" si="383"/>
        <v>0</v>
      </c>
      <c r="Z300" s="10">
        <f t="shared" si="384"/>
        <v>0</v>
      </c>
      <c r="AA300" s="14">
        <f t="shared" si="385"/>
        <v>0</v>
      </c>
      <c r="AB300" s="14">
        <f t="shared" si="388"/>
        <v>3910</v>
      </c>
      <c r="AC300" s="11">
        <f t="shared" si="386"/>
        <v>0</v>
      </c>
      <c r="AD300" s="215"/>
      <c r="AE300" s="11">
        <f t="shared" si="380"/>
        <v>0</v>
      </c>
      <c r="AF300" s="212"/>
      <c r="AG300" s="8"/>
    </row>
    <row r="301" spans="1:33" x14ac:dyDescent="0.45">
      <c r="A301" s="22">
        <f t="shared" si="381"/>
        <v>44220</v>
      </c>
      <c r="B301" s="15" t="s">
        <v>6</v>
      </c>
      <c r="C301" s="48">
        <f>80*W301</f>
        <v>1840</v>
      </c>
      <c r="D301" s="13">
        <v>80</v>
      </c>
      <c r="E301" s="13">
        <v>41.75</v>
      </c>
      <c r="F301" s="13">
        <v>0</v>
      </c>
      <c r="G301" s="13">
        <v>0</v>
      </c>
      <c r="H301" s="13">
        <v>0</v>
      </c>
      <c r="I301" s="13">
        <v>0</v>
      </c>
      <c r="J301" s="13">
        <v>0</v>
      </c>
      <c r="K301" s="13">
        <v>1.25</v>
      </c>
      <c r="L301" s="45">
        <v>0</v>
      </c>
      <c r="M301" s="34"/>
      <c r="N301" s="13">
        <v>80</v>
      </c>
      <c r="O301" s="13">
        <v>42</v>
      </c>
      <c r="P301" s="13">
        <v>0</v>
      </c>
      <c r="Q301" s="13">
        <v>0</v>
      </c>
      <c r="R301" s="34"/>
      <c r="S301" s="13">
        <f t="shared" si="382"/>
        <v>121.75</v>
      </c>
      <c r="T301" s="13">
        <f t="shared" si="379"/>
        <v>122</v>
      </c>
      <c r="U301" s="13">
        <f t="shared" si="389"/>
        <v>1.25</v>
      </c>
      <c r="V301" s="34"/>
      <c r="W301" s="10">
        <v>23</v>
      </c>
      <c r="X301" s="10">
        <f t="shared" si="387"/>
        <v>3280.375</v>
      </c>
      <c r="Y301" s="10">
        <f t="shared" si="383"/>
        <v>0</v>
      </c>
      <c r="Z301" s="10">
        <f t="shared" si="384"/>
        <v>0</v>
      </c>
      <c r="AA301" s="14">
        <f t="shared" si="385"/>
        <v>28.75</v>
      </c>
      <c r="AB301" s="14">
        <f t="shared" si="388"/>
        <v>3289</v>
      </c>
      <c r="AC301" s="11">
        <f t="shared" si="386"/>
        <v>-28.75</v>
      </c>
      <c r="AD301" s="215"/>
      <c r="AE301" s="11">
        <f t="shared" si="380"/>
        <v>8.625</v>
      </c>
      <c r="AF301" s="212"/>
      <c r="AG301" s="8"/>
    </row>
    <row r="302" spans="1:33" x14ac:dyDescent="0.45">
      <c r="A302" s="22">
        <f>A301</f>
        <v>44220</v>
      </c>
      <c r="B302" s="15" t="s">
        <v>9</v>
      </c>
      <c r="C302" s="48">
        <f>120*W302</f>
        <v>3204</v>
      </c>
      <c r="D302" s="13">
        <v>72</v>
      </c>
      <c r="E302" s="13">
        <v>0</v>
      </c>
      <c r="F302" s="13">
        <v>0</v>
      </c>
      <c r="G302" s="13">
        <v>9</v>
      </c>
      <c r="H302" s="13">
        <v>0</v>
      </c>
      <c r="I302" s="13">
        <v>0</v>
      </c>
      <c r="J302" s="13">
        <v>0</v>
      </c>
      <c r="K302" s="13">
        <v>2</v>
      </c>
      <c r="L302" s="45">
        <v>0</v>
      </c>
      <c r="M302" s="34"/>
      <c r="N302" s="13">
        <v>72</v>
      </c>
      <c r="O302" s="13">
        <v>0</v>
      </c>
      <c r="P302" s="13">
        <v>0</v>
      </c>
      <c r="Q302" s="13">
        <v>9</v>
      </c>
      <c r="R302" s="34"/>
      <c r="S302" s="13">
        <f t="shared" si="382"/>
        <v>81</v>
      </c>
      <c r="T302" s="13">
        <f t="shared" si="379"/>
        <v>81</v>
      </c>
      <c r="U302" s="13">
        <f t="shared" si="389"/>
        <v>2</v>
      </c>
      <c r="V302" s="34"/>
      <c r="W302" s="10">
        <v>26.7</v>
      </c>
      <c r="X302" s="10">
        <f t="shared" si="387"/>
        <v>2162.6999999999998</v>
      </c>
      <c r="Y302" s="10">
        <f>(W302*0*H302)+(W302*1*I302)</f>
        <v>0</v>
      </c>
      <c r="Z302" s="10">
        <f t="shared" si="384"/>
        <v>0</v>
      </c>
      <c r="AA302" s="14">
        <f t="shared" si="385"/>
        <v>53.4</v>
      </c>
      <c r="AB302" s="14">
        <f t="shared" si="388"/>
        <v>2162.6999999999998</v>
      </c>
      <c r="AC302" s="11">
        <f t="shared" si="386"/>
        <v>-53.4</v>
      </c>
      <c r="AD302" s="215"/>
      <c r="AE302" s="11">
        <f t="shared" si="380"/>
        <v>0</v>
      </c>
      <c r="AF302" s="212"/>
      <c r="AG302" s="8"/>
    </row>
    <row r="303" spans="1:33" x14ac:dyDescent="0.45">
      <c r="A303" s="22">
        <f t="shared" si="381"/>
        <v>44220</v>
      </c>
      <c r="B303" s="50" t="s">
        <v>31</v>
      </c>
      <c r="C303" s="48">
        <f>80*W303</f>
        <v>2056</v>
      </c>
      <c r="D303" s="51">
        <v>80</v>
      </c>
      <c r="E303" s="51">
        <v>32.5</v>
      </c>
      <c r="F303" s="51">
        <v>10</v>
      </c>
      <c r="G303" s="51">
        <v>2</v>
      </c>
      <c r="H303" s="51">
        <v>0</v>
      </c>
      <c r="I303" s="51">
        <v>0</v>
      </c>
      <c r="J303" s="51">
        <v>0</v>
      </c>
      <c r="K303" s="51">
        <v>0</v>
      </c>
      <c r="L303" s="52">
        <v>0</v>
      </c>
      <c r="M303" s="34"/>
      <c r="N303" s="51">
        <v>80</v>
      </c>
      <c r="O303" s="51">
        <v>33</v>
      </c>
      <c r="P303" s="51">
        <v>10</v>
      </c>
      <c r="Q303" s="51">
        <v>2</v>
      </c>
      <c r="R303" s="34"/>
      <c r="S303" s="51">
        <f t="shared" ref="S303" si="390">SUM(D303:G303)</f>
        <v>124.5</v>
      </c>
      <c r="T303" s="51">
        <f t="shared" si="379"/>
        <v>125</v>
      </c>
      <c r="U303" s="51">
        <f t="shared" ref="U303" si="391">SUM(H303:K303)</f>
        <v>0</v>
      </c>
      <c r="V303" s="34"/>
      <c r="W303" s="53">
        <v>25.7</v>
      </c>
      <c r="X303" s="53">
        <f>(W303*1*D303)+(W303*1.5*E303)+(W303*2*F303)+(W303*1*G303)</f>
        <v>3874.2750000000001</v>
      </c>
      <c r="Y303" s="53">
        <f t="shared" ref="Y303:Y305" si="392">(W303*0*H303)+(W303*1*I303)</f>
        <v>0</v>
      </c>
      <c r="Z303" s="53">
        <f>(W303*1*J303)+L303</f>
        <v>0</v>
      </c>
      <c r="AA303" s="54">
        <f t="shared" si="385"/>
        <v>0</v>
      </c>
      <c r="AB303" s="54">
        <f>(W303*1*N303)+(W303*1.5*O303)+(W303*2*P303)+(W303*1*Q303)</f>
        <v>3893.5499999999997</v>
      </c>
      <c r="AC303" s="55">
        <f t="shared" si="386"/>
        <v>0</v>
      </c>
      <c r="AD303" s="217"/>
      <c r="AE303" s="55">
        <f>AB303-(X303+Z303)</f>
        <v>19.274999999999636</v>
      </c>
      <c r="AF303" s="212"/>
      <c r="AG303" s="8"/>
    </row>
    <row r="304" spans="1:33" x14ac:dyDescent="0.45">
      <c r="A304" s="22">
        <f t="shared" si="381"/>
        <v>44220</v>
      </c>
      <c r="B304" s="50" t="s">
        <v>51</v>
      </c>
      <c r="C304" s="48">
        <f t="shared" ref="C304:C305" si="393">80*W304</f>
        <v>1440</v>
      </c>
      <c r="D304" s="51">
        <v>49</v>
      </c>
      <c r="E304" s="51">
        <v>17.75</v>
      </c>
      <c r="F304" s="51">
        <v>0</v>
      </c>
      <c r="G304" s="51">
        <v>6</v>
      </c>
      <c r="H304" s="51">
        <v>0</v>
      </c>
      <c r="I304" s="51">
        <v>0</v>
      </c>
      <c r="J304" s="51">
        <v>0</v>
      </c>
      <c r="K304" s="51">
        <v>24</v>
      </c>
      <c r="L304" s="52">
        <v>0</v>
      </c>
      <c r="M304" s="34"/>
      <c r="N304" s="51">
        <v>40</v>
      </c>
      <c r="O304" s="51">
        <v>17.75</v>
      </c>
      <c r="P304" s="51">
        <v>0</v>
      </c>
      <c r="Q304" s="51">
        <v>0</v>
      </c>
      <c r="R304" s="34"/>
      <c r="S304" s="51">
        <f t="shared" ref="S304:S305" si="394">SUM(D304:G304)</f>
        <v>72.75</v>
      </c>
      <c r="T304" s="51">
        <f t="shared" si="379"/>
        <v>57.75</v>
      </c>
      <c r="U304" s="51">
        <f t="shared" ref="U304:U308" si="395">SUM(H304:K304)</f>
        <v>24</v>
      </c>
      <c r="V304" s="34"/>
      <c r="W304" s="53">
        <v>18</v>
      </c>
      <c r="X304" s="53">
        <f t="shared" ref="X304:X307" si="396">(W304*1*D304)+(W304*1.5*E304)+(W304*2*F304)+(W304*1*G304)</f>
        <v>1469.25</v>
      </c>
      <c r="Y304" s="53">
        <f t="shared" si="392"/>
        <v>0</v>
      </c>
      <c r="Z304" s="53">
        <f t="shared" ref="Z304:Z305" si="397">(W304*1*J304)+L304</f>
        <v>0</v>
      </c>
      <c r="AA304" s="54">
        <f t="shared" si="385"/>
        <v>432</v>
      </c>
      <c r="AB304" s="54">
        <f t="shared" ref="AB304:AB307" si="398">(W304*1*N304)+(W304*1.5*O304)+(W304*2*P304)+(W304*1*Q304)</f>
        <v>1199.25</v>
      </c>
      <c r="AC304" s="55">
        <f t="shared" si="386"/>
        <v>-432</v>
      </c>
      <c r="AD304" s="217"/>
      <c r="AE304" s="55">
        <f>AB304-(X304+Z304)</f>
        <v>-270</v>
      </c>
      <c r="AF304" s="212"/>
      <c r="AG304" s="8"/>
    </row>
    <row r="305" spans="1:33" ht="14.65" thickBot="1" x14ac:dyDescent="0.5">
      <c r="A305" s="23">
        <f>A304</f>
        <v>44220</v>
      </c>
      <c r="B305" s="24" t="s">
        <v>52</v>
      </c>
      <c r="C305" s="49">
        <f t="shared" si="393"/>
        <v>1440</v>
      </c>
      <c r="D305" s="25">
        <v>40</v>
      </c>
      <c r="E305" s="25">
        <v>17.75</v>
      </c>
      <c r="F305" s="25">
        <v>0</v>
      </c>
      <c r="G305" s="25">
        <v>0</v>
      </c>
      <c r="H305" s="25">
        <v>0</v>
      </c>
      <c r="I305" s="25">
        <v>0</v>
      </c>
      <c r="J305" s="25">
        <v>0</v>
      </c>
      <c r="K305" s="25">
        <v>40</v>
      </c>
      <c r="L305" s="46">
        <v>0</v>
      </c>
      <c r="M305" s="35"/>
      <c r="N305" s="25">
        <v>40</v>
      </c>
      <c r="O305" s="25">
        <v>17.75</v>
      </c>
      <c r="P305" s="25">
        <v>0</v>
      </c>
      <c r="Q305" s="25">
        <v>0</v>
      </c>
      <c r="R305" s="35"/>
      <c r="S305" s="25">
        <f t="shared" si="394"/>
        <v>57.75</v>
      </c>
      <c r="T305" s="25">
        <f t="shared" ref="T305" si="399">SUM(N305:Q305)</f>
        <v>57.75</v>
      </c>
      <c r="U305" s="25">
        <f t="shared" si="395"/>
        <v>40</v>
      </c>
      <c r="V305" s="35"/>
      <c r="W305" s="26">
        <v>18</v>
      </c>
      <c r="X305" s="26">
        <f t="shared" si="396"/>
        <v>1199.25</v>
      </c>
      <c r="Y305" s="26">
        <f t="shared" si="392"/>
        <v>0</v>
      </c>
      <c r="Z305" s="26">
        <f t="shared" si="397"/>
        <v>0</v>
      </c>
      <c r="AA305" s="27">
        <f t="shared" si="385"/>
        <v>720</v>
      </c>
      <c r="AB305" s="27">
        <f t="shared" si="398"/>
        <v>1199.25</v>
      </c>
      <c r="AC305" s="12">
        <f t="shared" si="386"/>
        <v>-720</v>
      </c>
      <c r="AD305" s="216"/>
      <c r="AE305" s="12">
        <f>AB305-(X305+Z305)</f>
        <v>0</v>
      </c>
      <c r="AF305" s="213"/>
      <c r="AG305" s="8"/>
    </row>
    <row r="306" spans="1:33" x14ac:dyDescent="0.45">
      <c r="A306" s="16">
        <f>A305+14</f>
        <v>44234</v>
      </c>
      <c r="B306" s="17" t="s">
        <v>0</v>
      </c>
      <c r="C306" s="47">
        <f>80*W306</f>
        <v>2112</v>
      </c>
      <c r="D306" s="18">
        <v>80</v>
      </c>
      <c r="E306" s="18">
        <v>34.5</v>
      </c>
      <c r="F306" s="18">
        <v>0</v>
      </c>
      <c r="G306" s="18">
        <v>0</v>
      </c>
      <c r="H306" s="18">
        <v>0</v>
      </c>
      <c r="I306" s="18">
        <v>0</v>
      </c>
      <c r="J306" s="18">
        <v>0</v>
      </c>
      <c r="K306" s="18">
        <v>0</v>
      </c>
      <c r="L306" s="44">
        <v>0</v>
      </c>
      <c r="M306" s="33"/>
      <c r="N306" s="18">
        <v>80</v>
      </c>
      <c r="O306" s="18">
        <v>34.75</v>
      </c>
      <c r="P306" s="18">
        <v>0</v>
      </c>
      <c r="Q306" s="18">
        <v>0</v>
      </c>
      <c r="R306" s="33"/>
      <c r="S306" s="36">
        <f>SUM(D306:G306)</f>
        <v>114.5</v>
      </c>
      <c r="T306" s="36">
        <f t="shared" ref="T306:T314" si="400">SUM(N306:Q306)</f>
        <v>114.75</v>
      </c>
      <c r="U306" s="18">
        <f t="shared" si="395"/>
        <v>0</v>
      </c>
      <c r="V306" s="33"/>
      <c r="W306" s="19">
        <v>26.4</v>
      </c>
      <c r="X306" s="19">
        <f t="shared" si="396"/>
        <v>3478.2</v>
      </c>
      <c r="Y306" s="19">
        <f>(W306*0*H306)+(W306*1*I306)</f>
        <v>0</v>
      </c>
      <c r="Z306" s="19">
        <f>(W306*1*J306)+L306</f>
        <v>0</v>
      </c>
      <c r="AA306" s="20">
        <f>(W306*1*K306)</f>
        <v>0</v>
      </c>
      <c r="AB306" s="20">
        <f t="shared" si="398"/>
        <v>3488.1</v>
      </c>
      <c r="AC306" s="21">
        <f>0-Y306-AA306</f>
        <v>0</v>
      </c>
      <c r="AD306" s="214">
        <f>SUM(AC306:AC315)</f>
        <v>0</v>
      </c>
      <c r="AE306" s="21">
        <f t="shared" ref="AE306:AE312" si="401">AB306-(X306+Z306)</f>
        <v>9.9000000000000909</v>
      </c>
      <c r="AF306" s="211">
        <f>SUM(AE306:AE315)</f>
        <v>133.42500000000109</v>
      </c>
      <c r="AG306" s="8"/>
    </row>
    <row r="307" spans="1:33" x14ac:dyDescent="0.45">
      <c r="A307" s="22">
        <f t="shared" ref="A307:A314" si="402">A306</f>
        <v>44234</v>
      </c>
      <c r="B307" s="15" t="s">
        <v>30</v>
      </c>
      <c r="C307" s="48">
        <f>120*W307</f>
        <v>3696</v>
      </c>
      <c r="D307" s="13">
        <v>80</v>
      </c>
      <c r="E307" s="13">
        <v>31</v>
      </c>
      <c r="F307" s="13">
        <v>0</v>
      </c>
      <c r="G307" s="13">
        <v>8</v>
      </c>
      <c r="H307" s="13">
        <v>0</v>
      </c>
      <c r="I307" s="13">
        <v>0</v>
      </c>
      <c r="J307" s="13">
        <v>0</v>
      </c>
      <c r="K307" s="13">
        <v>0</v>
      </c>
      <c r="L307" s="45">
        <v>0</v>
      </c>
      <c r="M307" s="34"/>
      <c r="N307" s="13">
        <v>80</v>
      </c>
      <c r="O307" s="13">
        <v>31.5</v>
      </c>
      <c r="P307" s="13">
        <v>0.5</v>
      </c>
      <c r="Q307" s="13">
        <v>8</v>
      </c>
      <c r="R307" s="34"/>
      <c r="S307" s="13">
        <f t="shared" ref="S307:S312" si="403">SUM(D307:G307)</f>
        <v>119</v>
      </c>
      <c r="T307" s="13">
        <f t="shared" si="400"/>
        <v>120</v>
      </c>
      <c r="U307" s="13">
        <f t="shared" si="395"/>
        <v>0</v>
      </c>
      <c r="V307" s="34"/>
      <c r="W307" s="10">
        <v>30.8</v>
      </c>
      <c r="X307" s="10">
        <f t="shared" si="396"/>
        <v>4142.5999999999995</v>
      </c>
      <c r="Y307" s="10">
        <f t="shared" ref="Y307:Y311" si="404">(W307*0*H307)+(W307*1*I307)</f>
        <v>0</v>
      </c>
      <c r="Z307" s="10">
        <f t="shared" ref="Z307:Z312" si="405">(W307*1*J307)+L307</f>
        <v>0</v>
      </c>
      <c r="AA307" s="14">
        <f t="shared" ref="AA307:AA315" si="406">(W307*1*K307)</f>
        <v>0</v>
      </c>
      <c r="AB307" s="14">
        <f t="shared" si="398"/>
        <v>4196.5</v>
      </c>
      <c r="AC307" s="11">
        <f t="shared" ref="AC307:AC315" si="407">0-Y307-AA307</f>
        <v>0</v>
      </c>
      <c r="AD307" s="215"/>
      <c r="AE307" s="11">
        <f t="shared" si="401"/>
        <v>53.900000000000546</v>
      </c>
      <c r="AF307" s="212"/>
      <c r="AG307" s="8"/>
    </row>
    <row r="308" spans="1:33" x14ac:dyDescent="0.45">
      <c r="A308" s="22">
        <f t="shared" si="402"/>
        <v>44234</v>
      </c>
      <c r="B308" s="15" t="s">
        <v>3</v>
      </c>
      <c r="C308" s="48">
        <f>80*W308</f>
        <v>2280</v>
      </c>
      <c r="D308" s="13">
        <v>40</v>
      </c>
      <c r="E308" s="13">
        <v>19.5</v>
      </c>
      <c r="F308" s="13">
        <v>0</v>
      </c>
      <c r="G308" s="13">
        <v>0</v>
      </c>
      <c r="H308" s="13">
        <v>0</v>
      </c>
      <c r="I308" s="13">
        <v>0</v>
      </c>
      <c r="J308" s="13">
        <v>0</v>
      </c>
      <c r="K308" s="13">
        <v>0</v>
      </c>
      <c r="L308" s="45">
        <v>0</v>
      </c>
      <c r="M308" s="34"/>
      <c r="N308" s="13">
        <v>40</v>
      </c>
      <c r="O308" s="13">
        <v>19.5</v>
      </c>
      <c r="P308" s="13">
        <v>0</v>
      </c>
      <c r="Q308" s="13">
        <v>0</v>
      </c>
      <c r="R308" s="34"/>
      <c r="S308" s="13">
        <f t="shared" si="403"/>
        <v>59.5</v>
      </c>
      <c r="T308" s="13">
        <f t="shared" si="400"/>
        <v>59.5</v>
      </c>
      <c r="U308" s="13">
        <f t="shared" si="395"/>
        <v>0</v>
      </c>
      <c r="V308" s="34"/>
      <c r="W308" s="10">
        <v>28.5</v>
      </c>
      <c r="X308" s="10">
        <f>(W308*1*D308)+(W308*1.5*E308)+(W308*2*F308)+(W308*1*G308)</f>
        <v>1973.625</v>
      </c>
      <c r="Y308" s="10">
        <f t="shared" si="404"/>
        <v>0</v>
      </c>
      <c r="Z308" s="10">
        <f t="shared" si="405"/>
        <v>0</v>
      </c>
      <c r="AA308" s="14">
        <f t="shared" si="406"/>
        <v>0</v>
      </c>
      <c r="AB308" s="14">
        <f>(W308*1*N308)+(W308*1.5*O308)+(W308*2*P308)+(W308*1*Q308)</f>
        <v>1973.625</v>
      </c>
      <c r="AC308" s="11">
        <f t="shared" si="407"/>
        <v>0</v>
      </c>
      <c r="AD308" s="215"/>
      <c r="AE308" s="11">
        <f t="shared" si="401"/>
        <v>0</v>
      </c>
      <c r="AF308" s="212"/>
      <c r="AG308" s="8"/>
    </row>
    <row r="309" spans="1:33" x14ac:dyDescent="0.45">
      <c r="A309" s="22">
        <f t="shared" si="402"/>
        <v>44234</v>
      </c>
      <c r="B309" s="15" t="s">
        <v>4</v>
      </c>
      <c r="C309" s="48">
        <f>80*W309</f>
        <v>1840</v>
      </c>
      <c r="D309" s="13">
        <v>80</v>
      </c>
      <c r="E309" s="13">
        <v>8</v>
      </c>
      <c r="F309" s="13">
        <v>11</v>
      </c>
      <c r="G309" s="13">
        <v>0</v>
      </c>
      <c r="H309" s="13">
        <v>0</v>
      </c>
      <c r="I309" s="13">
        <v>0</v>
      </c>
      <c r="J309" s="13">
        <v>0</v>
      </c>
      <c r="K309" s="13">
        <v>0</v>
      </c>
      <c r="L309" s="45">
        <v>0</v>
      </c>
      <c r="M309" s="34"/>
      <c r="N309" s="13">
        <v>80</v>
      </c>
      <c r="O309" s="13">
        <v>10</v>
      </c>
      <c r="P309" s="13">
        <v>11</v>
      </c>
      <c r="Q309" s="13">
        <v>0</v>
      </c>
      <c r="R309" s="34"/>
      <c r="S309" s="13">
        <f t="shared" si="403"/>
        <v>99</v>
      </c>
      <c r="T309" s="13">
        <f t="shared" si="400"/>
        <v>101</v>
      </c>
      <c r="U309" s="13">
        <f>SUM(H309:K309)</f>
        <v>0</v>
      </c>
      <c r="V309" s="34"/>
      <c r="W309" s="10">
        <v>23</v>
      </c>
      <c r="X309" s="10">
        <f t="shared" ref="X309:X312" si="408">(W309*1*D309)+(W309*1.5*E309)+(W309*2*F309)+(W309*1*G309)</f>
        <v>2622</v>
      </c>
      <c r="Y309" s="10">
        <f t="shared" si="404"/>
        <v>0</v>
      </c>
      <c r="Z309" s="10">
        <f t="shared" si="405"/>
        <v>0</v>
      </c>
      <c r="AA309" s="14">
        <f t="shared" si="406"/>
        <v>0</v>
      </c>
      <c r="AB309" s="14">
        <f t="shared" ref="AB309:AB312" si="409">(W309*1*N309)+(W309*1.5*O309)+(W309*2*P309)+(W309*1*Q309)</f>
        <v>2691</v>
      </c>
      <c r="AC309" s="11">
        <f t="shared" si="407"/>
        <v>0</v>
      </c>
      <c r="AD309" s="215"/>
      <c r="AE309" s="11">
        <f t="shared" si="401"/>
        <v>69</v>
      </c>
      <c r="AF309" s="212"/>
      <c r="AG309" s="8"/>
    </row>
    <row r="310" spans="1:33" x14ac:dyDescent="0.45">
      <c r="A310" s="22">
        <f t="shared" si="402"/>
        <v>44234</v>
      </c>
      <c r="B310" s="15" t="s">
        <v>5</v>
      </c>
      <c r="C310" s="48">
        <f>120*W310</f>
        <v>3264</v>
      </c>
      <c r="D310" s="13">
        <v>80</v>
      </c>
      <c r="E310" s="13">
        <v>44.75</v>
      </c>
      <c r="F310" s="13">
        <v>0</v>
      </c>
      <c r="G310" s="13">
        <v>0</v>
      </c>
      <c r="H310" s="13">
        <v>0</v>
      </c>
      <c r="I310" s="13">
        <v>0</v>
      </c>
      <c r="J310" s="13">
        <v>0</v>
      </c>
      <c r="K310" s="13">
        <v>0</v>
      </c>
      <c r="L310" s="45">
        <v>0</v>
      </c>
      <c r="M310" s="34"/>
      <c r="N310" s="13">
        <v>80</v>
      </c>
      <c r="O310" s="13">
        <v>44.75</v>
      </c>
      <c r="P310" s="13">
        <v>0</v>
      </c>
      <c r="Q310" s="13">
        <v>0</v>
      </c>
      <c r="R310" s="34"/>
      <c r="S310" s="13">
        <f t="shared" si="403"/>
        <v>124.75</v>
      </c>
      <c r="T310" s="13">
        <f t="shared" si="400"/>
        <v>124.75</v>
      </c>
      <c r="U310" s="13">
        <f t="shared" ref="U310:U312" si="410">SUM(H310:K310)</f>
        <v>0</v>
      </c>
      <c r="V310" s="34"/>
      <c r="W310" s="10">
        <v>27.2</v>
      </c>
      <c r="X310" s="10">
        <f t="shared" si="408"/>
        <v>4001.8</v>
      </c>
      <c r="Y310" s="10">
        <f t="shared" si="404"/>
        <v>0</v>
      </c>
      <c r="Z310" s="10">
        <f t="shared" si="405"/>
        <v>0</v>
      </c>
      <c r="AA310" s="14">
        <f t="shared" si="406"/>
        <v>0</v>
      </c>
      <c r="AB310" s="14">
        <f t="shared" si="409"/>
        <v>4001.8</v>
      </c>
      <c r="AC310" s="11">
        <f t="shared" si="407"/>
        <v>0</v>
      </c>
      <c r="AD310" s="215"/>
      <c r="AE310" s="11">
        <f t="shared" si="401"/>
        <v>0</v>
      </c>
      <c r="AF310" s="212"/>
      <c r="AG310" s="8"/>
    </row>
    <row r="311" spans="1:33" x14ac:dyDescent="0.45">
      <c r="A311" s="22">
        <f t="shared" si="402"/>
        <v>44234</v>
      </c>
      <c r="B311" s="15" t="s">
        <v>6</v>
      </c>
      <c r="C311" s="48">
        <f>80*W311</f>
        <v>1840</v>
      </c>
      <c r="D311" s="13">
        <v>80</v>
      </c>
      <c r="E311" s="13">
        <v>40.5</v>
      </c>
      <c r="F311" s="13">
        <v>11</v>
      </c>
      <c r="G311" s="13">
        <v>0</v>
      </c>
      <c r="H311" s="13">
        <v>0</v>
      </c>
      <c r="I311" s="13">
        <v>0</v>
      </c>
      <c r="J311" s="13">
        <v>0</v>
      </c>
      <c r="K311" s="13">
        <v>0</v>
      </c>
      <c r="L311" s="45">
        <v>0</v>
      </c>
      <c r="M311" s="34"/>
      <c r="N311" s="13">
        <v>80</v>
      </c>
      <c r="O311" s="13">
        <v>40.5</v>
      </c>
      <c r="P311" s="13">
        <v>11</v>
      </c>
      <c r="Q311" s="13">
        <v>0</v>
      </c>
      <c r="R311" s="34"/>
      <c r="S311" s="13">
        <f t="shared" si="403"/>
        <v>131.5</v>
      </c>
      <c r="T311" s="13">
        <f t="shared" si="400"/>
        <v>131.5</v>
      </c>
      <c r="U311" s="13">
        <f t="shared" si="410"/>
        <v>0</v>
      </c>
      <c r="V311" s="34"/>
      <c r="W311" s="10">
        <v>23</v>
      </c>
      <c r="X311" s="10">
        <f t="shared" si="408"/>
        <v>3743.25</v>
      </c>
      <c r="Y311" s="10">
        <f t="shared" si="404"/>
        <v>0</v>
      </c>
      <c r="Z311" s="10">
        <f t="shared" si="405"/>
        <v>0</v>
      </c>
      <c r="AA311" s="14">
        <f t="shared" si="406"/>
        <v>0</v>
      </c>
      <c r="AB311" s="14">
        <f t="shared" si="409"/>
        <v>3743.25</v>
      </c>
      <c r="AC311" s="11">
        <f t="shared" si="407"/>
        <v>0</v>
      </c>
      <c r="AD311" s="215"/>
      <c r="AE311" s="11">
        <f t="shared" si="401"/>
        <v>0</v>
      </c>
      <c r="AF311" s="212"/>
      <c r="AG311" s="8"/>
    </row>
    <row r="312" spans="1:33" x14ac:dyDescent="0.45">
      <c r="A312" s="22">
        <f>A311</f>
        <v>44234</v>
      </c>
      <c r="B312" s="15" t="s">
        <v>9</v>
      </c>
      <c r="C312" s="48">
        <f>120*W312</f>
        <v>3204</v>
      </c>
      <c r="D312" s="13">
        <v>80</v>
      </c>
      <c r="E312" s="13">
        <v>0</v>
      </c>
      <c r="F312" s="13">
        <v>0</v>
      </c>
      <c r="G312" s="13">
        <v>10</v>
      </c>
      <c r="H312" s="13">
        <v>0</v>
      </c>
      <c r="I312" s="13">
        <v>0</v>
      </c>
      <c r="J312" s="13">
        <v>1</v>
      </c>
      <c r="K312" s="13">
        <v>0</v>
      </c>
      <c r="L312" s="45">
        <v>0</v>
      </c>
      <c r="M312" s="34"/>
      <c r="N312" s="13">
        <v>80</v>
      </c>
      <c r="O312" s="13">
        <v>0</v>
      </c>
      <c r="P312" s="13">
        <v>0</v>
      </c>
      <c r="Q312" s="13">
        <v>10</v>
      </c>
      <c r="R312" s="34"/>
      <c r="S312" s="13">
        <f t="shared" si="403"/>
        <v>90</v>
      </c>
      <c r="T312" s="13">
        <f t="shared" si="400"/>
        <v>90</v>
      </c>
      <c r="U312" s="13">
        <f t="shared" si="410"/>
        <v>1</v>
      </c>
      <c r="V312" s="34"/>
      <c r="W312" s="10">
        <v>26.7</v>
      </c>
      <c r="X312" s="10">
        <f t="shared" si="408"/>
        <v>2403</v>
      </c>
      <c r="Y312" s="10">
        <f>(W312*0*H312)+(W312*1*I312)</f>
        <v>0</v>
      </c>
      <c r="Z312" s="10">
        <f t="shared" si="405"/>
        <v>26.7</v>
      </c>
      <c r="AA312" s="14">
        <f t="shared" si="406"/>
        <v>0</v>
      </c>
      <c r="AB312" s="14">
        <f t="shared" si="409"/>
        <v>2403</v>
      </c>
      <c r="AC312" s="11">
        <f t="shared" si="407"/>
        <v>0</v>
      </c>
      <c r="AD312" s="215"/>
      <c r="AE312" s="11">
        <f t="shared" si="401"/>
        <v>-26.699999999999818</v>
      </c>
      <c r="AF312" s="212"/>
      <c r="AG312" s="8"/>
    </row>
    <row r="313" spans="1:33" x14ac:dyDescent="0.45">
      <c r="A313" s="22">
        <f t="shared" si="402"/>
        <v>44234</v>
      </c>
      <c r="B313" s="50" t="s">
        <v>31</v>
      </c>
      <c r="C313" s="48">
        <f>80*W313</f>
        <v>2056</v>
      </c>
      <c r="D313" s="51">
        <v>80</v>
      </c>
      <c r="E313" s="51">
        <v>33.25</v>
      </c>
      <c r="F313" s="51">
        <v>0</v>
      </c>
      <c r="G313" s="51">
        <v>0</v>
      </c>
      <c r="H313" s="51">
        <v>0</v>
      </c>
      <c r="I313" s="51">
        <v>0</v>
      </c>
      <c r="J313" s="51">
        <v>1</v>
      </c>
      <c r="K313" s="51">
        <v>0</v>
      </c>
      <c r="L313" s="52">
        <v>0</v>
      </c>
      <c r="M313" s="34"/>
      <c r="N313" s="51">
        <v>80</v>
      </c>
      <c r="O313" s="51">
        <v>33.75</v>
      </c>
      <c r="P313" s="51">
        <v>0</v>
      </c>
      <c r="Q313" s="51">
        <v>0</v>
      </c>
      <c r="R313" s="34"/>
      <c r="S313" s="51">
        <f t="shared" ref="S313" si="411">SUM(D313:G313)</f>
        <v>113.25</v>
      </c>
      <c r="T313" s="51">
        <f t="shared" si="400"/>
        <v>113.75</v>
      </c>
      <c r="U313" s="51">
        <f t="shared" ref="U313" si="412">SUM(H313:K313)</f>
        <v>1</v>
      </c>
      <c r="V313" s="34"/>
      <c r="W313" s="53">
        <v>25.7</v>
      </c>
      <c r="X313" s="53">
        <f>(W313*1*D313)+(W313*1.5*E313)+(W313*2*F313)+(W313*1*G313)</f>
        <v>3337.7874999999999</v>
      </c>
      <c r="Y313" s="53">
        <f t="shared" ref="Y313:Y315" si="413">(W313*0*H313)+(W313*1*I313)</f>
        <v>0</v>
      </c>
      <c r="Z313" s="53">
        <f>(W313*1*J313)+L313</f>
        <v>25.7</v>
      </c>
      <c r="AA313" s="54">
        <f t="shared" si="406"/>
        <v>0</v>
      </c>
      <c r="AB313" s="54">
        <f>(W313*1*N313)+(W313*1.5*O313)+(W313*2*P313)+(W313*1*Q313)</f>
        <v>3357.0625</v>
      </c>
      <c r="AC313" s="55">
        <f t="shared" si="407"/>
        <v>0</v>
      </c>
      <c r="AD313" s="217"/>
      <c r="AE313" s="55">
        <f>AB313-(X313+Z313)</f>
        <v>-6.4249999999997272</v>
      </c>
      <c r="AF313" s="212"/>
      <c r="AG313" s="8"/>
    </row>
    <row r="314" spans="1:33" x14ac:dyDescent="0.45">
      <c r="A314" s="22">
        <f t="shared" si="402"/>
        <v>44234</v>
      </c>
      <c r="B314" s="50" t="s">
        <v>51</v>
      </c>
      <c r="C314" s="48">
        <f t="shared" ref="C314:C315" si="414">80*W314</f>
        <v>1440</v>
      </c>
      <c r="D314" s="51">
        <v>80</v>
      </c>
      <c r="E314" s="51">
        <v>37</v>
      </c>
      <c r="F314" s="51">
        <v>0</v>
      </c>
      <c r="G314" s="51">
        <v>0</v>
      </c>
      <c r="H314" s="51">
        <v>0</v>
      </c>
      <c r="I314" s="51">
        <v>0</v>
      </c>
      <c r="J314" s="51">
        <v>0</v>
      </c>
      <c r="K314" s="51">
        <v>0</v>
      </c>
      <c r="L314" s="52">
        <v>0</v>
      </c>
      <c r="M314" s="34"/>
      <c r="N314" s="51">
        <v>80</v>
      </c>
      <c r="O314" s="51">
        <v>37.75</v>
      </c>
      <c r="P314" s="51">
        <v>0</v>
      </c>
      <c r="Q314" s="51">
        <v>0</v>
      </c>
      <c r="R314" s="34"/>
      <c r="S314" s="51">
        <f t="shared" ref="S314:S315" si="415">SUM(D314:G314)</f>
        <v>117</v>
      </c>
      <c r="T314" s="51">
        <f t="shared" si="400"/>
        <v>117.75</v>
      </c>
      <c r="U314" s="51">
        <f t="shared" ref="U314:U317" si="416">SUM(H314:K314)</f>
        <v>0</v>
      </c>
      <c r="V314" s="34"/>
      <c r="W314" s="53">
        <v>18</v>
      </c>
      <c r="X314" s="53">
        <f t="shared" ref="X314:X317" si="417">(W314*1*D314)+(W314*1.5*E314)+(W314*2*F314)+(W314*1*G314)</f>
        <v>2439</v>
      </c>
      <c r="Y314" s="53">
        <f t="shared" si="413"/>
        <v>0</v>
      </c>
      <c r="Z314" s="53">
        <f t="shared" ref="Z314:Z315" si="418">(W314*1*J314)+L314</f>
        <v>0</v>
      </c>
      <c r="AA314" s="54">
        <f t="shared" si="406"/>
        <v>0</v>
      </c>
      <c r="AB314" s="54">
        <f t="shared" ref="AB314:AB317" si="419">(W314*1*N314)+(W314*1.5*O314)+(W314*2*P314)+(W314*1*Q314)</f>
        <v>2459.25</v>
      </c>
      <c r="AC314" s="55">
        <f t="shared" si="407"/>
        <v>0</v>
      </c>
      <c r="AD314" s="217"/>
      <c r="AE314" s="55">
        <f>AB314-(X314+Z314)</f>
        <v>20.25</v>
      </c>
      <c r="AF314" s="212"/>
      <c r="AG314" s="8"/>
    </row>
    <row r="315" spans="1:33" ht="14.65" thickBot="1" x14ac:dyDescent="0.5">
      <c r="A315" s="23">
        <f>A314</f>
        <v>44234</v>
      </c>
      <c r="B315" s="24" t="s">
        <v>52</v>
      </c>
      <c r="C315" s="49">
        <f t="shared" si="414"/>
        <v>1440</v>
      </c>
      <c r="D315" s="25">
        <v>80</v>
      </c>
      <c r="E315" s="25">
        <v>37.5</v>
      </c>
      <c r="F315" s="25">
        <v>0</v>
      </c>
      <c r="G315" s="25">
        <v>0</v>
      </c>
      <c r="H315" s="25">
        <v>0</v>
      </c>
      <c r="I315" s="25">
        <v>0</v>
      </c>
      <c r="J315" s="25">
        <v>0</v>
      </c>
      <c r="K315" s="25">
        <v>0</v>
      </c>
      <c r="L315" s="46">
        <v>0</v>
      </c>
      <c r="M315" s="35"/>
      <c r="N315" s="25">
        <v>80</v>
      </c>
      <c r="O315" s="25">
        <v>38</v>
      </c>
      <c r="P315" s="25">
        <v>0</v>
      </c>
      <c r="Q315" s="25">
        <v>0</v>
      </c>
      <c r="R315" s="35"/>
      <c r="S315" s="25">
        <f t="shared" si="415"/>
        <v>117.5</v>
      </c>
      <c r="T315" s="25">
        <f t="shared" ref="T315" si="420">SUM(N315:Q315)</f>
        <v>118</v>
      </c>
      <c r="U315" s="25">
        <f t="shared" si="416"/>
        <v>0</v>
      </c>
      <c r="V315" s="35"/>
      <c r="W315" s="26">
        <v>18</v>
      </c>
      <c r="X315" s="26">
        <f t="shared" si="417"/>
        <v>2452.5</v>
      </c>
      <c r="Y315" s="26">
        <f t="shared" si="413"/>
        <v>0</v>
      </c>
      <c r="Z315" s="26">
        <f t="shared" si="418"/>
        <v>0</v>
      </c>
      <c r="AA315" s="27">
        <f t="shared" si="406"/>
        <v>0</v>
      </c>
      <c r="AB315" s="27">
        <f t="shared" si="419"/>
        <v>2466</v>
      </c>
      <c r="AC315" s="12">
        <f t="shared" si="407"/>
        <v>0</v>
      </c>
      <c r="AD315" s="216"/>
      <c r="AE315" s="12">
        <f>AB315-(X315+Z315)</f>
        <v>13.5</v>
      </c>
      <c r="AF315" s="213"/>
      <c r="AG315" s="8"/>
    </row>
    <row r="316" spans="1:33" x14ac:dyDescent="0.45">
      <c r="A316" s="16">
        <f>A315+14</f>
        <v>44248</v>
      </c>
      <c r="B316" s="17" t="s">
        <v>0</v>
      </c>
      <c r="C316" s="47">
        <f>80*W316</f>
        <v>2280</v>
      </c>
      <c r="D316" s="18">
        <v>72</v>
      </c>
      <c r="E316" s="18">
        <v>31</v>
      </c>
      <c r="F316" s="18">
        <v>0</v>
      </c>
      <c r="G316" s="18">
        <v>0</v>
      </c>
      <c r="H316" s="18">
        <v>0</v>
      </c>
      <c r="I316" s="18">
        <v>0</v>
      </c>
      <c r="J316" s="18">
        <v>8</v>
      </c>
      <c r="K316" s="18">
        <v>0</v>
      </c>
      <c r="L316" s="44">
        <v>0</v>
      </c>
      <c r="M316" s="33"/>
      <c r="N316" s="18">
        <v>80</v>
      </c>
      <c r="O316" s="18">
        <v>23</v>
      </c>
      <c r="P316" s="18">
        <v>0</v>
      </c>
      <c r="Q316" s="18">
        <v>0</v>
      </c>
      <c r="R316" s="33"/>
      <c r="S316" s="36">
        <f>SUM(D316:G316)</f>
        <v>103</v>
      </c>
      <c r="T316" s="36">
        <f t="shared" ref="T316:T323" si="421">SUM(N316:Q316)</f>
        <v>103</v>
      </c>
      <c r="U316" s="18">
        <f t="shared" si="416"/>
        <v>8</v>
      </c>
      <c r="V316" s="33"/>
      <c r="W316" s="56">
        <v>28.5</v>
      </c>
      <c r="X316" s="19">
        <f t="shared" si="417"/>
        <v>3377.25</v>
      </c>
      <c r="Y316" s="19">
        <f>(W316*0*H316)+(W316*1*I316)</f>
        <v>0</v>
      </c>
      <c r="Z316" s="19">
        <f>(W316*1*J316)+L316</f>
        <v>228</v>
      </c>
      <c r="AA316" s="20">
        <f>(W316*1*K316)</f>
        <v>0</v>
      </c>
      <c r="AB316" s="20">
        <f t="shared" si="419"/>
        <v>3263.25</v>
      </c>
      <c r="AC316" s="21">
        <f>0-Y316-AA316</f>
        <v>0</v>
      </c>
      <c r="AD316" s="214">
        <f>SUM(AC316:AC324)</f>
        <v>0</v>
      </c>
      <c r="AE316" s="21">
        <f t="shared" ref="AE316:AE321" si="422">AB316-(X316+Z316)</f>
        <v>-342</v>
      </c>
      <c r="AF316" s="211">
        <f>SUM(AE316:AE324)</f>
        <v>-2392.7125000000001</v>
      </c>
      <c r="AG316" s="8"/>
    </row>
    <row r="317" spans="1:33" x14ac:dyDescent="0.45">
      <c r="A317" s="22">
        <f t="shared" ref="A317:A323" si="423">A316</f>
        <v>44248</v>
      </c>
      <c r="B317" s="15" t="s">
        <v>30</v>
      </c>
      <c r="C317" s="48">
        <f>120*W317</f>
        <v>3780</v>
      </c>
      <c r="D317" s="13">
        <v>72</v>
      </c>
      <c r="E317" s="13">
        <v>26.5</v>
      </c>
      <c r="F317" s="13">
        <v>0</v>
      </c>
      <c r="G317" s="13">
        <v>17</v>
      </c>
      <c r="H317" s="13">
        <v>0</v>
      </c>
      <c r="I317" s="13">
        <v>0</v>
      </c>
      <c r="J317" s="13">
        <v>8</v>
      </c>
      <c r="K317" s="13">
        <v>0</v>
      </c>
      <c r="L317" s="45">
        <v>0</v>
      </c>
      <c r="M317" s="34"/>
      <c r="N317" s="13">
        <v>80</v>
      </c>
      <c r="O317" s="13">
        <v>19.25</v>
      </c>
      <c r="P317" s="13">
        <v>1</v>
      </c>
      <c r="Q317" s="13">
        <v>17</v>
      </c>
      <c r="R317" s="34"/>
      <c r="S317" s="13">
        <f t="shared" ref="S317:S321" si="424">SUM(D317:G317)</f>
        <v>115.5</v>
      </c>
      <c r="T317" s="13">
        <f t="shared" si="421"/>
        <v>117.25</v>
      </c>
      <c r="U317" s="13">
        <f t="shared" si="416"/>
        <v>8</v>
      </c>
      <c r="V317" s="34"/>
      <c r="W317" s="57">
        <v>31.5</v>
      </c>
      <c r="X317" s="10">
        <f t="shared" si="417"/>
        <v>4055.625</v>
      </c>
      <c r="Y317" s="10">
        <f t="shared" ref="Y317:Y320" si="425">(W317*0*H317)+(W317*1*I317)</f>
        <v>0</v>
      </c>
      <c r="Z317" s="10">
        <f t="shared" ref="Z317:Z321" si="426">(W317*1*J317)+L317</f>
        <v>252</v>
      </c>
      <c r="AA317" s="14">
        <f t="shared" ref="AA317:AA324" si="427">(W317*1*K317)</f>
        <v>0</v>
      </c>
      <c r="AB317" s="14">
        <f t="shared" si="419"/>
        <v>4028.0625</v>
      </c>
      <c r="AC317" s="11">
        <f t="shared" ref="AC317:AC324" si="428">0-Y317-AA317</f>
        <v>0</v>
      </c>
      <c r="AD317" s="215"/>
      <c r="AE317" s="11">
        <f t="shared" si="422"/>
        <v>-279.5625</v>
      </c>
      <c r="AF317" s="212"/>
      <c r="AG317" s="8"/>
    </row>
    <row r="318" spans="1:33" x14ac:dyDescent="0.45">
      <c r="A318" s="22">
        <f>A317</f>
        <v>44248</v>
      </c>
      <c r="B318" s="15" t="s">
        <v>4</v>
      </c>
      <c r="C318" s="48">
        <f>80*W318</f>
        <v>2000</v>
      </c>
      <c r="D318" s="13">
        <v>72</v>
      </c>
      <c r="E318" s="13">
        <v>50.75</v>
      </c>
      <c r="F318" s="13">
        <v>7.5</v>
      </c>
      <c r="G318" s="13">
        <v>0</v>
      </c>
      <c r="H318" s="13">
        <v>0</v>
      </c>
      <c r="I318" s="13">
        <v>0</v>
      </c>
      <c r="J318" s="13">
        <v>8</v>
      </c>
      <c r="K318" s="13">
        <v>0</v>
      </c>
      <c r="L318" s="45">
        <v>0</v>
      </c>
      <c r="M318" s="34"/>
      <c r="N318" s="13">
        <v>80</v>
      </c>
      <c r="O318" s="13">
        <v>43.25</v>
      </c>
      <c r="P318" s="13">
        <v>8</v>
      </c>
      <c r="Q318" s="13">
        <v>0</v>
      </c>
      <c r="R318" s="34"/>
      <c r="S318" s="13">
        <f t="shared" si="424"/>
        <v>130.25</v>
      </c>
      <c r="T318" s="13">
        <f t="shared" si="421"/>
        <v>131.25</v>
      </c>
      <c r="U318" s="13">
        <f>SUM(H318:K318)</f>
        <v>8</v>
      </c>
      <c r="V318" s="34"/>
      <c r="W318" s="57">
        <v>25</v>
      </c>
      <c r="X318" s="10">
        <f t="shared" ref="X318:X321" si="429">(W318*1*D318)+(W318*1.5*E318)+(W318*2*F318)+(W318*1*G318)</f>
        <v>4078.125</v>
      </c>
      <c r="Y318" s="10">
        <f t="shared" si="425"/>
        <v>0</v>
      </c>
      <c r="Z318" s="10">
        <f t="shared" si="426"/>
        <v>200</v>
      </c>
      <c r="AA318" s="14">
        <f t="shared" si="427"/>
        <v>0</v>
      </c>
      <c r="AB318" s="14">
        <f t="shared" ref="AB318:AB321" si="430">(W318*1*N318)+(W318*1.5*O318)+(W318*2*P318)+(W318*1*Q318)</f>
        <v>4021.875</v>
      </c>
      <c r="AC318" s="11">
        <f t="shared" si="428"/>
        <v>0</v>
      </c>
      <c r="AD318" s="215"/>
      <c r="AE318" s="11">
        <f t="shared" si="422"/>
        <v>-256.25</v>
      </c>
      <c r="AF318" s="212"/>
      <c r="AG318" s="8"/>
    </row>
    <row r="319" spans="1:33" x14ac:dyDescent="0.45">
      <c r="A319" s="22">
        <f t="shared" si="423"/>
        <v>44248</v>
      </c>
      <c r="B319" s="15" t="s">
        <v>5</v>
      </c>
      <c r="C319" s="48">
        <f>120*W319</f>
        <v>3360</v>
      </c>
      <c r="D319" s="13">
        <v>72</v>
      </c>
      <c r="E319" s="13">
        <v>43.25</v>
      </c>
      <c r="F319" s="13">
        <v>0</v>
      </c>
      <c r="G319" s="13">
        <v>0</v>
      </c>
      <c r="H319" s="13">
        <v>0</v>
      </c>
      <c r="I319" s="13">
        <v>0</v>
      </c>
      <c r="J319" s="13">
        <v>8</v>
      </c>
      <c r="K319" s="13">
        <v>0</v>
      </c>
      <c r="L319" s="45">
        <v>0</v>
      </c>
      <c r="M319" s="34"/>
      <c r="N319" s="13">
        <v>80</v>
      </c>
      <c r="O319" s="13">
        <v>34</v>
      </c>
      <c r="P319" s="13">
        <v>1.25</v>
      </c>
      <c r="Q319" s="13">
        <v>0</v>
      </c>
      <c r="R319" s="34"/>
      <c r="S319" s="13">
        <f t="shared" si="424"/>
        <v>115.25</v>
      </c>
      <c r="T319" s="13">
        <f t="shared" si="421"/>
        <v>115.25</v>
      </c>
      <c r="U319" s="13">
        <f t="shared" ref="U319:U321" si="431">SUM(H319:K319)</f>
        <v>8</v>
      </c>
      <c r="V319" s="34"/>
      <c r="W319" s="57">
        <v>28</v>
      </c>
      <c r="X319" s="10">
        <f t="shared" si="429"/>
        <v>3832.5</v>
      </c>
      <c r="Y319" s="10">
        <f t="shared" si="425"/>
        <v>0</v>
      </c>
      <c r="Z319" s="10">
        <f t="shared" si="426"/>
        <v>224</v>
      </c>
      <c r="AA319" s="14">
        <f t="shared" si="427"/>
        <v>0</v>
      </c>
      <c r="AB319" s="14">
        <f t="shared" si="430"/>
        <v>3738</v>
      </c>
      <c r="AC319" s="11">
        <f t="shared" si="428"/>
        <v>0</v>
      </c>
      <c r="AD319" s="215"/>
      <c r="AE319" s="11">
        <f t="shared" si="422"/>
        <v>-318.5</v>
      </c>
      <c r="AF319" s="212"/>
      <c r="AG319" s="8"/>
    </row>
    <row r="320" spans="1:33" x14ac:dyDescent="0.45">
      <c r="A320" s="22">
        <f t="shared" si="423"/>
        <v>44248</v>
      </c>
      <c r="B320" s="15" t="s">
        <v>6</v>
      </c>
      <c r="C320" s="48">
        <f>80*W320</f>
        <v>2056</v>
      </c>
      <c r="D320" s="13">
        <v>72</v>
      </c>
      <c r="E320" s="13">
        <v>38.5</v>
      </c>
      <c r="F320" s="13">
        <v>0</v>
      </c>
      <c r="G320" s="13">
        <v>0</v>
      </c>
      <c r="H320" s="13">
        <v>0</v>
      </c>
      <c r="I320" s="13">
        <v>0</v>
      </c>
      <c r="J320" s="13">
        <v>8</v>
      </c>
      <c r="K320" s="13">
        <v>0</v>
      </c>
      <c r="L320" s="45">
        <v>0</v>
      </c>
      <c r="M320" s="34"/>
      <c r="N320" s="13">
        <v>80</v>
      </c>
      <c r="O320" s="13">
        <v>30.5</v>
      </c>
      <c r="P320" s="13">
        <v>0</v>
      </c>
      <c r="Q320" s="13">
        <v>0</v>
      </c>
      <c r="R320" s="34"/>
      <c r="S320" s="13">
        <f t="shared" si="424"/>
        <v>110.5</v>
      </c>
      <c r="T320" s="13">
        <f t="shared" si="421"/>
        <v>110.5</v>
      </c>
      <c r="U320" s="13">
        <f t="shared" si="431"/>
        <v>8</v>
      </c>
      <c r="V320" s="34"/>
      <c r="W320" s="57">
        <v>25.7</v>
      </c>
      <c r="X320" s="10">
        <f t="shared" si="429"/>
        <v>3334.5749999999998</v>
      </c>
      <c r="Y320" s="10">
        <f t="shared" si="425"/>
        <v>0</v>
      </c>
      <c r="Z320" s="10">
        <f t="shared" si="426"/>
        <v>205.6</v>
      </c>
      <c r="AA320" s="14">
        <f t="shared" si="427"/>
        <v>0</v>
      </c>
      <c r="AB320" s="14">
        <f t="shared" si="430"/>
        <v>3231.7749999999996</v>
      </c>
      <c r="AC320" s="11">
        <f t="shared" si="428"/>
        <v>0</v>
      </c>
      <c r="AD320" s="215"/>
      <c r="AE320" s="11">
        <f t="shared" si="422"/>
        <v>-308.40000000000009</v>
      </c>
      <c r="AF320" s="212"/>
      <c r="AG320" s="8"/>
    </row>
    <row r="321" spans="1:33" x14ac:dyDescent="0.45">
      <c r="A321" s="22">
        <f>A320</f>
        <v>44248</v>
      </c>
      <c r="B321" s="15" t="s">
        <v>9</v>
      </c>
      <c r="C321" s="48">
        <f>120*W321</f>
        <v>3420</v>
      </c>
      <c r="D321" s="13">
        <v>70</v>
      </c>
      <c r="E321" s="13">
        <v>8</v>
      </c>
      <c r="F321" s="13">
        <v>0</v>
      </c>
      <c r="G321" s="13">
        <v>9</v>
      </c>
      <c r="H321" s="13">
        <v>0</v>
      </c>
      <c r="I321" s="13">
        <v>0</v>
      </c>
      <c r="J321" s="13">
        <v>8</v>
      </c>
      <c r="K321" s="13">
        <v>0</v>
      </c>
      <c r="L321" s="45">
        <v>0</v>
      </c>
      <c r="M321" s="34"/>
      <c r="N321" s="13">
        <v>70</v>
      </c>
      <c r="O321" s="13">
        <v>0</v>
      </c>
      <c r="P321" s="13">
        <v>8</v>
      </c>
      <c r="Q321" s="13">
        <v>9</v>
      </c>
      <c r="R321" s="34"/>
      <c r="S321" s="13">
        <f t="shared" si="424"/>
        <v>87</v>
      </c>
      <c r="T321" s="13">
        <f t="shared" si="421"/>
        <v>87</v>
      </c>
      <c r="U321" s="13">
        <f t="shared" si="431"/>
        <v>8</v>
      </c>
      <c r="V321" s="34"/>
      <c r="W321" s="57">
        <v>28.5</v>
      </c>
      <c r="X321" s="10">
        <f t="shared" si="429"/>
        <v>2593.5</v>
      </c>
      <c r="Y321" s="10">
        <f>(W321*0*H321)+(W321*1*I321)</f>
        <v>0</v>
      </c>
      <c r="Z321" s="10">
        <f t="shared" si="426"/>
        <v>228</v>
      </c>
      <c r="AA321" s="14">
        <f t="shared" si="427"/>
        <v>0</v>
      </c>
      <c r="AB321" s="14">
        <f t="shared" si="430"/>
        <v>2707.5</v>
      </c>
      <c r="AC321" s="11">
        <f t="shared" si="428"/>
        <v>0</v>
      </c>
      <c r="AD321" s="215"/>
      <c r="AE321" s="11">
        <f t="shared" si="422"/>
        <v>-114</v>
      </c>
      <c r="AF321" s="212"/>
      <c r="AG321" s="8"/>
    </row>
    <row r="322" spans="1:33" x14ac:dyDescent="0.45">
      <c r="A322" s="22">
        <f t="shared" si="423"/>
        <v>44248</v>
      </c>
      <c r="B322" s="50" t="s">
        <v>31</v>
      </c>
      <c r="C322" s="48">
        <f>80*W322</f>
        <v>2160</v>
      </c>
      <c r="D322" s="51">
        <v>72</v>
      </c>
      <c r="E322" s="51">
        <v>43.5</v>
      </c>
      <c r="F322" s="51">
        <v>0</v>
      </c>
      <c r="G322" s="51">
        <v>0</v>
      </c>
      <c r="H322" s="51">
        <v>0</v>
      </c>
      <c r="I322" s="51">
        <v>0</v>
      </c>
      <c r="J322" s="51">
        <v>8</v>
      </c>
      <c r="K322" s="51">
        <v>0</v>
      </c>
      <c r="L322" s="52">
        <v>0</v>
      </c>
      <c r="M322" s="34"/>
      <c r="N322" s="51">
        <v>80</v>
      </c>
      <c r="O322" s="51">
        <v>35.5</v>
      </c>
      <c r="P322" s="51">
        <v>0</v>
      </c>
      <c r="Q322" s="51">
        <v>0</v>
      </c>
      <c r="R322" s="34"/>
      <c r="S322" s="51">
        <f t="shared" ref="S322" si="432">SUM(D322:G322)</f>
        <v>115.5</v>
      </c>
      <c r="T322" s="51">
        <f t="shared" si="421"/>
        <v>115.5</v>
      </c>
      <c r="U322" s="51">
        <f t="shared" ref="U322" si="433">SUM(H322:K322)</f>
        <v>8</v>
      </c>
      <c r="V322" s="34"/>
      <c r="W322" s="58">
        <v>27</v>
      </c>
      <c r="X322" s="53">
        <f>(W322*1*D322)+(W322*1.5*E322)+(W322*2*F322)+(W322*1*G322)</f>
        <v>3705.75</v>
      </c>
      <c r="Y322" s="53">
        <f t="shared" ref="Y322:Y324" si="434">(W322*0*H322)+(W322*1*I322)</f>
        <v>0</v>
      </c>
      <c r="Z322" s="53">
        <f>(W322*1*J322)+L322</f>
        <v>216</v>
      </c>
      <c r="AA322" s="54">
        <f t="shared" si="427"/>
        <v>0</v>
      </c>
      <c r="AB322" s="54">
        <f>(W322*1*N322)+(W322*1.5*O322)+(W322*2*P322)+(W322*1*Q322)</f>
        <v>3597.75</v>
      </c>
      <c r="AC322" s="55">
        <f t="shared" si="428"/>
        <v>0</v>
      </c>
      <c r="AD322" s="217"/>
      <c r="AE322" s="55">
        <f>AB322-(X322+Z322)</f>
        <v>-324</v>
      </c>
      <c r="AF322" s="212"/>
      <c r="AG322" s="8"/>
    </row>
    <row r="323" spans="1:33" x14ac:dyDescent="0.45">
      <c r="A323" s="22">
        <f t="shared" si="423"/>
        <v>44248</v>
      </c>
      <c r="B323" s="50" t="s">
        <v>51</v>
      </c>
      <c r="C323" s="48">
        <f t="shared" ref="C323:C324" si="435">80*W323</f>
        <v>1600</v>
      </c>
      <c r="D323" s="51">
        <v>72</v>
      </c>
      <c r="E323" s="51">
        <v>40</v>
      </c>
      <c r="F323" s="51">
        <v>0</v>
      </c>
      <c r="G323" s="51">
        <v>0</v>
      </c>
      <c r="H323" s="51">
        <v>0</v>
      </c>
      <c r="I323" s="51">
        <v>0</v>
      </c>
      <c r="J323" s="51">
        <v>8</v>
      </c>
      <c r="K323" s="51">
        <v>0</v>
      </c>
      <c r="L323" s="52">
        <v>0</v>
      </c>
      <c r="M323" s="34"/>
      <c r="N323" s="51">
        <v>80</v>
      </c>
      <c r="O323" s="51">
        <v>32</v>
      </c>
      <c r="P323" s="51">
        <v>0</v>
      </c>
      <c r="Q323" s="51">
        <v>0</v>
      </c>
      <c r="R323" s="34"/>
      <c r="S323" s="51">
        <f t="shared" ref="S323:S324" si="436">SUM(D323:G323)</f>
        <v>112</v>
      </c>
      <c r="T323" s="51">
        <f t="shared" si="421"/>
        <v>112</v>
      </c>
      <c r="U323" s="51">
        <f t="shared" ref="U323:U326" si="437">SUM(H323:K323)</f>
        <v>8</v>
      </c>
      <c r="V323" s="34"/>
      <c r="W323" s="58">
        <v>20</v>
      </c>
      <c r="X323" s="53">
        <f t="shared" ref="X323:X330" si="438">(W323*1*D323)+(W323*1.5*E323)+(W323*2*F323)+(W323*1*G323)</f>
        <v>2640</v>
      </c>
      <c r="Y323" s="53">
        <f t="shared" si="434"/>
        <v>0</v>
      </c>
      <c r="Z323" s="53">
        <f t="shared" ref="Z323:Z324" si="439">(W323*1*J323)+L323</f>
        <v>160</v>
      </c>
      <c r="AA323" s="54">
        <f t="shared" si="427"/>
        <v>0</v>
      </c>
      <c r="AB323" s="54">
        <f t="shared" ref="AB323:AB330" si="440">(W323*1*N323)+(W323*1.5*O323)+(W323*2*P323)+(W323*1*Q323)</f>
        <v>2560</v>
      </c>
      <c r="AC323" s="55">
        <f t="shared" si="428"/>
        <v>0</v>
      </c>
      <c r="AD323" s="217"/>
      <c r="AE323" s="55">
        <f>AB323-(X323+Z323)</f>
        <v>-240</v>
      </c>
      <c r="AF323" s="212"/>
      <c r="AG323" s="8"/>
    </row>
    <row r="324" spans="1:33" ht="14.65" thickBot="1" x14ac:dyDescent="0.5">
      <c r="A324" s="23">
        <f>A323</f>
        <v>44248</v>
      </c>
      <c r="B324" s="24" t="s">
        <v>52</v>
      </c>
      <c r="C324" s="49">
        <f t="shared" si="435"/>
        <v>1600</v>
      </c>
      <c r="D324" s="25">
        <v>72</v>
      </c>
      <c r="E324" s="25">
        <v>49.75</v>
      </c>
      <c r="F324" s="25">
        <v>0</v>
      </c>
      <c r="G324" s="25">
        <v>0</v>
      </c>
      <c r="H324" s="25">
        <v>0</v>
      </c>
      <c r="I324" s="25">
        <v>0</v>
      </c>
      <c r="J324" s="25">
        <v>8</v>
      </c>
      <c r="K324" s="25">
        <v>0</v>
      </c>
      <c r="L324" s="46">
        <v>0</v>
      </c>
      <c r="M324" s="35"/>
      <c r="N324" s="25">
        <v>80</v>
      </c>
      <c r="O324" s="25">
        <v>42.75</v>
      </c>
      <c r="P324" s="25">
        <v>0</v>
      </c>
      <c r="Q324" s="25">
        <v>0</v>
      </c>
      <c r="R324" s="35"/>
      <c r="S324" s="25">
        <f t="shared" si="436"/>
        <v>121.75</v>
      </c>
      <c r="T324" s="25">
        <f t="shared" ref="T324" si="441">SUM(N324:Q324)</f>
        <v>122.75</v>
      </c>
      <c r="U324" s="25">
        <f t="shared" si="437"/>
        <v>8</v>
      </c>
      <c r="V324" s="35"/>
      <c r="W324" s="59">
        <v>20</v>
      </c>
      <c r="X324" s="26">
        <f t="shared" si="438"/>
        <v>2932.5</v>
      </c>
      <c r="Y324" s="26">
        <f t="shared" si="434"/>
        <v>0</v>
      </c>
      <c r="Z324" s="26">
        <f t="shared" si="439"/>
        <v>160</v>
      </c>
      <c r="AA324" s="27">
        <f t="shared" si="427"/>
        <v>0</v>
      </c>
      <c r="AB324" s="27">
        <f t="shared" si="440"/>
        <v>2882.5</v>
      </c>
      <c r="AC324" s="12">
        <f t="shared" si="428"/>
        <v>0</v>
      </c>
      <c r="AD324" s="216"/>
      <c r="AE324" s="12">
        <f>AB324-(X324+Z324)</f>
        <v>-210</v>
      </c>
      <c r="AF324" s="213"/>
      <c r="AG324" s="8"/>
    </row>
    <row r="325" spans="1:33" x14ac:dyDescent="0.45">
      <c r="A325" s="16">
        <f>A324+14</f>
        <v>44262</v>
      </c>
      <c r="B325" s="17" t="s">
        <v>0</v>
      </c>
      <c r="C325" s="47">
        <f>80*W325</f>
        <v>2280</v>
      </c>
      <c r="D325" s="18">
        <v>80</v>
      </c>
      <c r="E325" s="18">
        <v>16</v>
      </c>
      <c r="F325" s="18">
        <v>0</v>
      </c>
      <c r="G325" s="18">
        <v>0</v>
      </c>
      <c r="H325" s="18">
        <v>0</v>
      </c>
      <c r="I325" s="18">
        <v>0</v>
      </c>
      <c r="J325" s="18">
        <v>0</v>
      </c>
      <c r="K325" s="18">
        <v>0</v>
      </c>
      <c r="L325" s="44">
        <v>0</v>
      </c>
      <c r="M325" s="33"/>
      <c r="N325" s="18">
        <v>80</v>
      </c>
      <c r="O325" s="18">
        <v>16</v>
      </c>
      <c r="P325" s="18">
        <v>0</v>
      </c>
      <c r="Q325" s="18">
        <v>0</v>
      </c>
      <c r="R325" s="33"/>
      <c r="S325" s="36">
        <f>SUM(D325:G325)</f>
        <v>96</v>
      </c>
      <c r="T325" s="36">
        <f t="shared" ref="T325:T332" si="442">SUM(N325:Q325)</f>
        <v>96</v>
      </c>
      <c r="U325" s="18">
        <f t="shared" si="437"/>
        <v>0</v>
      </c>
      <c r="V325" s="33"/>
      <c r="W325" s="44">
        <v>28.5</v>
      </c>
      <c r="X325" s="19">
        <f t="shared" si="438"/>
        <v>2964</v>
      </c>
      <c r="Y325" s="19">
        <f>(W325*0*H325)+(W325*1*I325)</f>
        <v>0</v>
      </c>
      <c r="Z325" s="19">
        <f>(W325*1*J325)+L325</f>
        <v>0</v>
      </c>
      <c r="AA325" s="20">
        <f>(W325*1*K325)</f>
        <v>0</v>
      </c>
      <c r="AB325" s="20">
        <f t="shared" si="440"/>
        <v>2964</v>
      </c>
      <c r="AC325" s="21">
        <f>0-Y325-AA325</f>
        <v>0</v>
      </c>
      <c r="AD325" s="214">
        <f>SUM(AC325:AC333)</f>
        <v>0</v>
      </c>
      <c r="AE325" s="21">
        <f t="shared" ref="AE325:AE330" si="443">AB325-(X325+Z325)</f>
        <v>0</v>
      </c>
      <c r="AF325" s="211">
        <f>SUM(AE325:AE333)</f>
        <v>-25.700000000000273</v>
      </c>
      <c r="AG325" s="8"/>
    </row>
    <row r="326" spans="1:33" x14ac:dyDescent="0.45">
      <c r="A326" s="22">
        <f t="shared" ref="A326:A332" si="444">A325</f>
        <v>44262</v>
      </c>
      <c r="B326" s="15" t="s">
        <v>30</v>
      </c>
      <c r="C326" s="48">
        <f>120*W326</f>
        <v>3780</v>
      </c>
      <c r="D326" s="13">
        <v>80</v>
      </c>
      <c r="E326" s="13">
        <v>36</v>
      </c>
      <c r="F326" s="13">
        <v>8.25</v>
      </c>
      <c r="G326" s="13">
        <v>0</v>
      </c>
      <c r="H326" s="13">
        <v>0</v>
      </c>
      <c r="I326" s="13">
        <v>0</v>
      </c>
      <c r="J326" s="13">
        <v>0</v>
      </c>
      <c r="K326" s="13">
        <v>0</v>
      </c>
      <c r="L326" s="45">
        <v>0</v>
      </c>
      <c r="M326" s="34"/>
      <c r="N326" s="13">
        <v>80</v>
      </c>
      <c r="O326" s="13">
        <v>36</v>
      </c>
      <c r="P326" s="13">
        <v>8.25</v>
      </c>
      <c r="Q326" s="13">
        <v>0</v>
      </c>
      <c r="R326" s="34"/>
      <c r="S326" s="13">
        <f t="shared" ref="S326:S330" si="445">SUM(D326:G326)</f>
        <v>124.25</v>
      </c>
      <c r="T326" s="13">
        <f t="shared" si="442"/>
        <v>124.25</v>
      </c>
      <c r="U326" s="13">
        <f t="shared" si="437"/>
        <v>0</v>
      </c>
      <c r="V326" s="34"/>
      <c r="W326" s="45">
        <v>31.5</v>
      </c>
      <c r="X326" s="10">
        <f t="shared" si="438"/>
        <v>4740.75</v>
      </c>
      <c r="Y326" s="10">
        <f t="shared" ref="Y326:Y329" si="446">(W326*0*H326)+(W326*1*I326)</f>
        <v>0</v>
      </c>
      <c r="Z326" s="10">
        <f t="shared" ref="Z326:Z330" si="447">(W326*1*J326)+L326</f>
        <v>0</v>
      </c>
      <c r="AA326" s="14">
        <f t="shared" ref="AA326:AA333" si="448">(W326*1*K326)</f>
        <v>0</v>
      </c>
      <c r="AB326" s="14">
        <f t="shared" si="440"/>
        <v>4740.75</v>
      </c>
      <c r="AC326" s="11">
        <f t="shared" ref="AC326:AC333" si="449">0-Y326-AA326</f>
        <v>0</v>
      </c>
      <c r="AD326" s="215"/>
      <c r="AE326" s="11">
        <f t="shared" si="443"/>
        <v>0</v>
      </c>
      <c r="AF326" s="212"/>
      <c r="AG326" s="8"/>
    </row>
    <row r="327" spans="1:33" x14ac:dyDescent="0.45">
      <c r="A327" s="22">
        <f>A326</f>
        <v>44262</v>
      </c>
      <c r="B327" s="15" t="s">
        <v>4</v>
      </c>
      <c r="C327" s="48">
        <f>80*W327</f>
        <v>2000</v>
      </c>
      <c r="D327" s="13">
        <v>80</v>
      </c>
      <c r="E327" s="13">
        <v>19.75</v>
      </c>
      <c r="F327" s="13">
        <v>0</v>
      </c>
      <c r="G327" s="13">
        <v>0</v>
      </c>
      <c r="H327" s="13">
        <v>0</v>
      </c>
      <c r="I327" s="13">
        <v>0</v>
      </c>
      <c r="J327" s="13">
        <v>0</v>
      </c>
      <c r="K327" s="13">
        <v>0</v>
      </c>
      <c r="L327" s="45">
        <v>0</v>
      </c>
      <c r="M327" s="34"/>
      <c r="N327" s="13">
        <v>80</v>
      </c>
      <c r="O327" s="13">
        <v>19.75</v>
      </c>
      <c r="P327" s="13">
        <v>0</v>
      </c>
      <c r="Q327" s="13">
        <v>0</v>
      </c>
      <c r="R327" s="34"/>
      <c r="S327" s="13">
        <f t="shared" si="445"/>
        <v>99.75</v>
      </c>
      <c r="T327" s="13">
        <f t="shared" si="442"/>
        <v>99.75</v>
      </c>
      <c r="U327" s="13">
        <f>SUM(H327:K327)</f>
        <v>0</v>
      </c>
      <c r="V327" s="34"/>
      <c r="W327" s="45">
        <v>25</v>
      </c>
      <c r="X327" s="10">
        <f t="shared" si="438"/>
        <v>2740.625</v>
      </c>
      <c r="Y327" s="10">
        <f t="shared" si="446"/>
        <v>0</v>
      </c>
      <c r="Z327" s="10">
        <f t="shared" si="447"/>
        <v>0</v>
      </c>
      <c r="AA327" s="14">
        <f t="shared" si="448"/>
        <v>0</v>
      </c>
      <c r="AB327" s="14">
        <f t="shared" si="440"/>
        <v>2740.625</v>
      </c>
      <c r="AC327" s="11">
        <f t="shared" si="449"/>
        <v>0</v>
      </c>
      <c r="AD327" s="215"/>
      <c r="AE327" s="11">
        <f t="shared" si="443"/>
        <v>0</v>
      </c>
      <c r="AF327" s="212"/>
      <c r="AG327" s="8"/>
    </row>
    <row r="328" spans="1:33" x14ac:dyDescent="0.45">
      <c r="A328" s="22">
        <f t="shared" si="444"/>
        <v>44262</v>
      </c>
      <c r="B328" s="15" t="s">
        <v>5</v>
      </c>
      <c r="C328" s="48">
        <f>120*W328</f>
        <v>3360</v>
      </c>
      <c r="D328" s="13">
        <v>80</v>
      </c>
      <c r="E328" s="13">
        <v>22.25</v>
      </c>
      <c r="F328" s="13">
        <v>0</v>
      </c>
      <c r="G328" s="13">
        <v>0</v>
      </c>
      <c r="H328" s="13">
        <v>0</v>
      </c>
      <c r="I328" s="13">
        <v>0</v>
      </c>
      <c r="J328" s="13">
        <v>0</v>
      </c>
      <c r="K328" s="13">
        <v>0</v>
      </c>
      <c r="L328" s="45">
        <v>0</v>
      </c>
      <c r="M328" s="34"/>
      <c r="N328" s="13">
        <v>80</v>
      </c>
      <c r="O328" s="13">
        <v>22.25</v>
      </c>
      <c r="P328" s="13">
        <v>0</v>
      </c>
      <c r="Q328" s="13">
        <v>0</v>
      </c>
      <c r="R328" s="34"/>
      <c r="S328" s="13">
        <f t="shared" si="445"/>
        <v>102.25</v>
      </c>
      <c r="T328" s="13">
        <f t="shared" si="442"/>
        <v>102.25</v>
      </c>
      <c r="U328" s="13">
        <f t="shared" ref="U328:U330" si="450">SUM(H328:K328)</f>
        <v>0</v>
      </c>
      <c r="V328" s="34"/>
      <c r="W328" s="45">
        <v>28</v>
      </c>
      <c r="X328" s="10">
        <f t="shared" si="438"/>
        <v>3174.5</v>
      </c>
      <c r="Y328" s="10">
        <f t="shared" si="446"/>
        <v>0</v>
      </c>
      <c r="Z328" s="10">
        <f t="shared" si="447"/>
        <v>0</v>
      </c>
      <c r="AA328" s="14">
        <f t="shared" si="448"/>
        <v>0</v>
      </c>
      <c r="AB328" s="14">
        <f t="shared" si="440"/>
        <v>3174.5</v>
      </c>
      <c r="AC328" s="11">
        <f t="shared" si="449"/>
        <v>0</v>
      </c>
      <c r="AD328" s="215"/>
      <c r="AE328" s="11">
        <f t="shared" si="443"/>
        <v>0</v>
      </c>
      <c r="AF328" s="212"/>
      <c r="AG328" s="8"/>
    </row>
    <row r="329" spans="1:33" x14ac:dyDescent="0.45">
      <c r="A329" s="22">
        <f t="shared" si="444"/>
        <v>44262</v>
      </c>
      <c r="B329" s="15" t="s">
        <v>6</v>
      </c>
      <c r="C329" s="48">
        <f>80*W329</f>
        <v>2056</v>
      </c>
      <c r="D329" s="13">
        <v>80</v>
      </c>
      <c r="E329" s="13">
        <v>28.75</v>
      </c>
      <c r="F329" s="13">
        <v>0</v>
      </c>
      <c r="G329" s="13">
        <v>1</v>
      </c>
      <c r="H329" s="13">
        <v>0</v>
      </c>
      <c r="I329" s="13">
        <v>0</v>
      </c>
      <c r="J329" s="13">
        <v>0</v>
      </c>
      <c r="K329" s="13">
        <v>0</v>
      </c>
      <c r="L329" s="45">
        <v>0</v>
      </c>
      <c r="M329" s="34"/>
      <c r="N329" s="13">
        <v>80</v>
      </c>
      <c r="O329" s="13">
        <v>22.75</v>
      </c>
      <c r="P329" s="13">
        <v>4</v>
      </c>
      <c r="Q329" s="13">
        <v>1</v>
      </c>
      <c r="R329" s="34"/>
      <c r="S329" s="13">
        <f t="shared" si="445"/>
        <v>109.75</v>
      </c>
      <c r="T329" s="13">
        <f t="shared" si="442"/>
        <v>107.75</v>
      </c>
      <c r="U329" s="13">
        <f t="shared" si="450"/>
        <v>0</v>
      </c>
      <c r="V329" s="34"/>
      <c r="W329" s="45">
        <v>25.7</v>
      </c>
      <c r="X329" s="10">
        <f t="shared" si="438"/>
        <v>3190.0124999999998</v>
      </c>
      <c r="Y329" s="10">
        <f t="shared" si="446"/>
        <v>0</v>
      </c>
      <c r="Z329" s="10">
        <f t="shared" si="447"/>
        <v>0</v>
      </c>
      <c r="AA329" s="14">
        <f t="shared" si="448"/>
        <v>0</v>
      </c>
      <c r="AB329" s="14">
        <f t="shared" si="440"/>
        <v>3164.3124999999995</v>
      </c>
      <c r="AC329" s="11">
        <f t="shared" si="449"/>
        <v>0</v>
      </c>
      <c r="AD329" s="215"/>
      <c r="AE329" s="11">
        <f t="shared" si="443"/>
        <v>-25.700000000000273</v>
      </c>
      <c r="AF329" s="212"/>
      <c r="AG329" s="8"/>
    </row>
    <row r="330" spans="1:33" x14ac:dyDescent="0.45">
      <c r="A330" s="22">
        <f>A329</f>
        <v>44262</v>
      </c>
      <c r="B330" s="15" t="s">
        <v>9</v>
      </c>
      <c r="C330" s="48">
        <f>120*W330</f>
        <v>3420</v>
      </c>
      <c r="D330" s="13">
        <v>80</v>
      </c>
      <c r="E330" s="13">
        <v>5</v>
      </c>
      <c r="F330" s="13">
        <v>0</v>
      </c>
      <c r="G330" s="13">
        <v>10</v>
      </c>
      <c r="H330" s="13">
        <v>0</v>
      </c>
      <c r="I330" s="13">
        <v>0</v>
      </c>
      <c r="J330" s="13">
        <v>0</v>
      </c>
      <c r="K330" s="13">
        <v>0</v>
      </c>
      <c r="L330" s="45">
        <v>0</v>
      </c>
      <c r="M330" s="34"/>
      <c r="N330" s="13">
        <v>80</v>
      </c>
      <c r="O330" s="13">
        <v>5</v>
      </c>
      <c r="P330" s="13">
        <v>0</v>
      </c>
      <c r="Q330" s="13">
        <v>10</v>
      </c>
      <c r="R330" s="34"/>
      <c r="S330" s="13">
        <f t="shared" si="445"/>
        <v>95</v>
      </c>
      <c r="T330" s="13">
        <f t="shared" si="442"/>
        <v>95</v>
      </c>
      <c r="U330" s="13">
        <f t="shared" si="450"/>
        <v>0</v>
      </c>
      <c r="V330" s="34"/>
      <c r="W330" s="45">
        <v>28.5</v>
      </c>
      <c r="X330" s="10">
        <f t="shared" si="438"/>
        <v>2778.75</v>
      </c>
      <c r="Y330" s="10">
        <f>(W330*0*H330)+(W330*1*I330)</f>
        <v>0</v>
      </c>
      <c r="Z330" s="10">
        <f t="shared" si="447"/>
        <v>0</v>
      </c>
      <c r="AA330" s="14">
        <f t="shared" si="448"/>
        <v>0</v>
      </c>
      <c r="AB330" s="14">
        <f t="shared" si="440"/>
        <v>2778.75</v>
      </c>
      <c r="AC330" s="11">
        <f t="shared" si="449"/>
        <v>0</v>
      </c>
      <c r="AD330" s="215"/>
      <c r="AE330" s="11">
        <f t="shared" si="443"/>
        <v>0</v>
      </c>
      <c r="AF330" s="212"/>
      <c r="AG330" s="8"/>
    </row>
    <row r="331" spans="1:33" x14ac:dyDescent="0.45">
      <c r="A331" s="22">
        <f t="shared" si="444"/>
        <v>44262</v>
      </c>
      <c r="B331" s="50" t="s">
        <v>31</v>
      </c>
      <c r="C331" s="48">
        <f>80*W331</f>
        <v>2160</v>
      </c>
      <c r="D331" s="51">
        <v>80</v>
      </c>
      <c r="E331" s="51">
        <v>45.25</v>
      </c>
      <c r="F331" s="51">
        <v>8.75</v>
      </c>
      <c r="G331" s="51">
        <v>0</v>
      </c>
      <c r="H331" s="51">
        <v>0</v>
      </c>
      <c r="I331" s="51">
        <v>0</v>
      </c>
      <c r="J331" s="51">
        <v>0</v>
      </c>
      <c r="K331" s="51">
        <v>0</v>
      </c>
      <c r="L331" s="52">
        <v>0</v>
      </c>
      <c r="M331" s="34"/>
      <c r="N331" s="51">
        <v>80</v>
      </c>
      <c r="O331" s="51">
        <v>45.25</v>
      </c>
      <c r="P331" s="51">
        <v>8.75</v>
      </c>
      <c r="Q331" s="51">
        <v>0</v>
      </c>
      <c r="R331" s="34"/>
      <c r="S331" s="51">
        <f t="shared" ref="S331" si="451">SUM(D331:G331)</f>
        <v>134</v>
      </c>
      <c r="T331" s="51">
        <f t="shared" si="442"/>
        <v>134</v>
      </c>
      <c r="U331" s="51">
        <f t="shared" ref="U331" si="452">SUM(H331:K331)</f>
        <v>0</v>
      </c>
      <c r="V331" s="34"/>
      <c r="W331" s="52">
        <v>27</v>
      </c>
      <c r="X331" s="53">
        <f>(W331*1*D331)+(W331*1.5*E331)+(W331*2*F331)+(W331*1*G331)</f>
        <v>4465.125</v>
      </c>
      <c r="Y331" s="53">
        <f t="shared" ref="Y331:Y333" si="453">(W331*0*H331)+(W331*1*I331)</f>
        <v>0</v>
      </c>
      <c r="Z331" s="53">
        <f>(W331*1*J331)+L331</f>
        <v>0</v>
      </c>
      <c r="AA331" s="54">
        <f t="shared" si="448"/>
        <v>0</v>
      </c>
      <c r="AB331" s="54">
        <f>(W331*1*N331)+(W331*1.5*O331)+(W331*2*P331)+(W331*1*Q331)</f>
        <v>4465.125</v>
      </c>
      <c r="AC331" s="55">
        <f t="shared" si="449"/>
        <v>0</v>
      </c>
      <c r="AD331" s="217"/>
      <c r="AE331" s="55">
        <f>AB331-(X331+Z331)</f>
        <v>0</v>
      </c>
      <c r="AF331" s="212"/>
      <c r="AG331" s="8"/>
    </row>
    <row r="332" spans="1:33" x14ac:dyDescent="0.45">
      <c r="A332" s="22">
        <f t="shared" si="444"/>
        <v>44262</v>
      </c>
      <c r="B332" s="50" t="s">
        <v>51</v>
      </c>
      <c r="C332" s="48">
        <f t="shared" ref="C332:C333" si="454">80*W332</f>
        <v>1600</v>
      </c>
      <c r="D332" s="51">
        <v>80</v>
      </c>
      <c r="E332" s="51">
        <v>48.75</v>
      </c>
      <c r="F332" s="51">
        <v>0</v>
      </c>
      <c r="G332" s="51">
        <v>0</v>
      </c>
      <c r="H332" s="51">
        <v>0</v>
      </c>
      <c r="I332" s="51">
        <v>0</v>
      </c>
      <c r="J332" s="51">
        <v>0</v>
      </c>
      <c r="K332" s="51">
        <v>0</v>
      </c>
      <c r="L332" s="52">
        <v>0</v>
      </c>
      <c r="M332" s="34"/>
      <c r="N332" s="51">
        <v>80</v>
      </c>
      <c r="O332" s="51">
        <v>48.75</v>
      </c>
      <c r="P332" s="51">
        <v>0</v>
      </c>
      <c r="Q332" s="51">
        <v>0</v>
      </c>
      <c r="R332" s="34"/>
      <c r="S332" s="51">
        <f t="shared" ref="S332:S333" si="455">SUM(D332:G332)</f>
        <v>128.75</v>
      </c>
      <c r="T332" s="51">
        <f t="shared" si="442"/>
        <v>128.75</v>
      </c>
      <c r="U332" s="51">
        <f t="shared" ref="U332:U335" si="456">SUM(H332:K332)</f>
        <v>0</v>
      </c>
      <c r="V332" s="34"/>
      <c r="W332" s="52">
        <v>20</v>
      </c>
      <c r="X332" s="53">
        <f t="shared" ref="X332:X339" si="457">(W332*1*D332)+(W332*1.5*E332)+(W332*2*F332)+(W332*1*G332)</f>
        <v>3062.5</v>
      </c>
      <c r="Y332" s="53">
        <f t="shared" si="453"/>
        <v>0</v>
      </c>
      <c r="Z332" s="53">
        <f t="shared" ref="Z332:Z333" si="458">(W332*1*J332)+L332</f>
        <v>0</v>
      </c>
      <c r="AA332" s="54">
        <f t="shared" si="448"/>
        <v>0</v>
      </c>
      <c r="AB332" s="54">
        <f t="shared" ref="AB332:AB339" si="459">(W332*1*N332)+(W332*1.5*O332)+(W332*2*P332)+(W332*1*Q332)</f>
        <v>3062.5</v>
      </c>
      <c r="AC332" s="55">
        <f t="shared" si="449"/>
        <v>0</v>
      </c>
      <c r="AD332" s="217"/>
      <c r="AE332" s="55">
        <f>AB332-(X332+Z332)</f>
        <v>0</v>
      </c>
      <c r="AF332" s="212"/>
      <c r="AG332" s="8"/>
    </row>
    <row r="333" spans="1:33" ht="14.65" thickBot="1" x14ac:dyDescent="0.5">
      <c r="A333" s="23">
        <f>A332</f>
        <v>44262</v>
      </c>
      <c r="B333" s="24" t="s">
        <v>52</v>
      </c>
      <c r="C333" s="49">
        <f t="shared" si="454"/>
        <v>1600</v>
      </c>
      <c r="D333" s="25">
        <v>80</v>
      </c>
      <c r="E333" s="25">
        <v>44.75</v>
      </c>
      <c r="F333" s="25">
        <v>0</v>
      </c>
      <c r="G333" s="25">
        <v>0</v>
      </c>
      <c r="H333" s="25">
        <v>0</v>
      </c>
      <c r="I333" s="25">
        <v>0</v>
      </c>
      <c r="J333" s="25">
        <v>0</v>
      </c>
      <c r="K333" s="25">
        <v>0</v>
      </c>
      <c r="L333" s="46">
        <v>0</v>
      </c>
      <c r="M333" s="35"/>
      <c r="N333" s="25">
        <v>80</v>
      </c>
      <c r="O333" s="25">
        <v>44.75</v>
      </c>
      <c r="P333" s="25">
        <v>0</v>
      </c>
      <c r="Q333" s="25">
        <v>0</v>
      </c>
      <c r="R333" s="35"/>
      <c r="S333" s="25">
        <f t="shared" si="455"/>
        <v>124.75</v>
      </c>
      <c r="T333" s="25">
        <f t="shared" ref="T333" si="460">SUM(N333:Q333)</f>
        <v>124.75</v>
      </c>
      <c r="U333" s="25">
        <f t="shared" si="456"/>
        <v>0</v>
      </c>
      <c r="V333" s="35"/>
      <c r="W333" s="46">
        <v>20</v>
      </c>
      <c r="X333" s="26">
        <f t="shared" si="457"/>
        <v>2942.5</v>
      </c>
      <c r="Y333" s="26">
        <f t="shared" si="453"/>
        <v>0</v>
      </c>
      <c r="Z333" s="26">
        <f t="shared" si="458"/>
        <v>0</v>
      </c>
      <c r="AA333" s="27">
        <f t="shared" si="448"/>
        <v>0</v>
      </c>
      <c r="AB333" s="27">
        <f t="shared" si="459"/>
        <v>2942.5</v>
      </c>
      <c r="AC333" s="12">
        <f t="shared" si="449"/>
        <v>0</v>
      </c>
      <c r="AD333" s="216"/>
      <c r="AE333" s="12">
        <f>AB333-(X333+Z333)</f>
        <v>0</v>
      </c>
      <c r="AF333" s="213"/>
      <c r="AG333" s="8"/>
    </row>
    <row r="334" spans="1:33" x14ac:dyDescent="0.45">
      <c r="A334" s="16">
        <f>A333+14</f>
        <v>44276</v>
      </c>
      <c r="B334" s="17" t="s">
        <v>0</v>
      </c>
      <c r="C334" s="47">
        <f>80*W334</f>
        <v>2280</v>
      </c>
      <c r="D334" s="18">
        <v>80</v>
      </c>
      <c r="E334" s="18">
        <v>10</v>
      </c>
      <c r="F334" s="18">
        <v>0</v>
      </c>
      <c r="G334" s="18">
        <v>0</v>
      </c>
      <c r="H334" s="18">
        <v>0</v>
      </c>
      <c r="I334" s="18">
        <v>0</v>
      </c>
      <c r="J334" s="18">
        <v>0</v>
      </c>
      <c r="K334" s="18">
        <v>0</v>
      </c>
      <c r="L334" s="44">
        <v>0</v>
      </c>
      <c r="M334" s="33"/>
      <c r="N334" s="18">
        <v>80</v>
      </c>
      <c r="O334" s="18">
        <v>10</v>
      </c>
      <c r="P334" s="18">
        <v>0</v>
      </c>
      <c r="Q334" s="18">
        <v>0</v>
      </c>
      <c r="R334" s="33"/>
      <c r="S334" s="36">
        <f>SUM(D334:G334)</f>
        <v>90</v>
      </c>
      <c r="T334" s="36">
        <f t="shared" ref="T334:T341" si="461">SUM(N334:Q334)</f>
        <v>90</v>
      </c>
      <c r="U334" s="18">
        <f t="shared" si="456"/>
        <v>0</v>
      </c>
      <c r="V334" s="33"/>
      <c r="W334" s="44">
        <v>28.5</v>
      </c>
      <c r="X334" s="19">
        <f t="shared" si="457"/>
        <v>2707.5</v>
      </c>
      <c r="Y334" s="19">
        <f>(W334*0*H334)+(W334*1*I334)</f>
        <v>0</v>
      </c>
      <c r="Z334" s="19">
        <f>(W334*1*J334)+L334</f>
        <v>0</v>
      </c>
      <c r="AA334" s="20">
        <f>(W334*1*K334)</f>
        <v>0</v>
      </c>
      <c r="AB334" s="20">
        <f t="shared" si="459"/>
        <v>2707.5</v>
      </c>
      <c r="AC334" s="21">
        <f>0-Y334-AA334</f>
        <v>0</v>
      </c>
      <c r="AD334" s="214">
        <f>SUM(AC334:AC342)</f>
        <v>0</v>
      </c>
      <c r="AE334" s="21">
        <f t="shared" ref="AE334:AE339" si="462">AB334-(X334+Z334)</f>
        <v>0</v>
      </c>
      <c r="AF334" s="211">
        <f>SUM(AE334:AE342)</f>
        <v>85.400000000000546</v>
      </c>
      <c r="AG334" s="8"/>
    </row>
    <row r="335" spans="1:33" x14ac:dyDescent="0.45">
      <c r="A335" s="22">
        <f t="shared" ref="A335:A341" si="463">A334</f>
        <v>44276</v>
      </c>
      <c r="B335" s="15" t="s">
        <v>30</v>
      </c>
      <c r="C335" s="48">
        <f>120*W335</f>
        <v>3780</v>
      </c>
      <c r="D335" s="13">
        <v>80</v>
      </c>
      <c r="E335" s="13">
        <v>22.25</v>
      </c>
      <c r="F335" s="13">
        <v>5</v>
      </c>
      <c r="G335" s="13">
        <v>8</v>
      </c>
      <c r="H335" s="13">
        <v>0</v>
      </c>
      <c r="I335" s="13">
        <v>0</v>
      </c>
      <c r="J335" s="13">
        <v>0</v>
      </c>
      <c r="K335" s="13">
        <v>0</v>
      </c>
      <c r="L335" s="45">
        <v>0</v>
      </c>
      <c r="M335" s="34"/>
      <c r="N335" s="13">
        <v>80</v>
      </c>
      <c r="O335" s="13">
        <v>22.25</v>
      </c>
      <c r="P335" s="13">
        <v>5.5</v>
      </c>
      <c r="Q335" s="13">
        <v>8</v>
      </c>
      <c r="R335" s="34"/>
      <c r="S335" s="13">
        <f t="shared" ref="S335:S339" si="464">SUM(D335:G335)</f>
        <v>115.25</v>
      </c>
      <c r="T335" s="13">
        <f t="shared" si="461"/>
        <v>115.75</v>
      </c>
      <c r="U335" s="13">
        <f t="shared" si="456"/>
        <v>0</v>
      </c>
      <c r="V335" s="34"/>
      <c r="W335" s="45">
        <v>31.5</v>
      </c>
      <c r="X335" s="10">
        <f t="shared" si="457"/>
        <v>4138.3125</v>
      </c>
      <c r="Y335" s="10">
        <f t="shared" ref="Y335:Y338" si="465">(W335*0*H335)+(W335*1*I335)</f>
        <v>0</v>
      </c>
      <c r="Z335" s="10">
        <f t="shared" ref="Z335:Z339" si="466">(W335*1*J335)+L335</f>
        <v>0</v>
      </c>
      <c r="AA335" s="14">
        <f t="shared" ref="AA335:AA342" si="467">(W335*1*K335)</f>
        <v>0</v>
      </c>
      <c r="AB335" s="14">
        <f t="shared" si="459"/>
        <v>4169.8125</v>
      </c>
      <c r="AC335" s="11">
        <f t="shared" ref="AC335:AC342" si="468">0-Y335-AA335</f>
        <v>0</v>
      </c>
      <c r="AD335" s="215"/>
      <c r="AE335" s="11">
        <f t="shared" si="462"/>
        <v>31.5</v>
      </c>
      <c r="AF335" s="212"/>
      <c r="AG335" s="8"/>
    </row>
    <row r="336" spans="1:33" x14ac:dyDescent="0.45">
      <c r="A336" s="22">
        <f>A335</f>
        <v>44276</v>
      </c>
      <c r="B336" s="15" t="s">
        <v>4</v>
      </c>
      <c r="C336" s="48">
        <f>80*W336</f>
        <v>2000</v>
      </c>
      <c r="D336" s="13">
        <v>80</v>
      </c>
      <c r="E336" s="13">
        <v>38</v>
      </c>
      <c r="F336" s="13">
        <v>6</v>
      </c>
      <c r="G336" s="13">
        <v>0</v>
      </c>
      <c r="H336" s="13">
        <v>0</v>
      </c>
      <c r="I336" s="13">
        <v>0</v>
      </c>
      <c r="J336" s="13">
        <v>0</v>
      </c>
      <c r="K336" s="13">
        <v>0</v>
      </c>
      <c r="L336" s="45">
        <v>0</v>
      </c>
      <c r="M336" s="34"/>
      <c r="N336" s="13">
        <v>80</v>
      </c>
      <c r="O336" s="13">
        <v>38</v>
      </c>
      <c r="P336" s="13">
        <v>6</v>
      </c>
      <c r="Q336" s="13">
        <v>0</v>
      </c>
      <c r="R336" s="34"/>
      <c r="S336" s="13">
        <f t="shared" si="464"/>
        <v>124</v>
      </c>
      <c r="T336" s="13">
        <f t="shared" si="461"/>
        <v>124</v>
      </c>
      <c r="U336" s="13">
        <f>SUM(H336:K336)</f>
        <v>0</v>
      </c>
      <c r="V336" s="34"/>
      <c r="W336" s="45">
        <v>25</v>
      </c>
      <c r="X336" s="10">
        <f t="shared" si="457"/>
        <v>3725</v>
      </c>
      <c r="Y336" s="10">
        <f t="shared" si="465"/>
        <v>0</v>
      </c>
      <c r="Z336" s="10">
        <f t="shared" si="466"/>
        <v>0</v>
      </c>
      <c r="AA336" s="14">
        <f t="shared" si="467"/>
        <v>0</v>
      </c>
      <c r="AB336" s="14">
        <f t="shared" si="459"/>
        <v>3725</v>
      </c>
      <c r="AC336" s="11">
        <f t="shared" si="468"/>
        <v>0</v>
      </c>
      <c r="AD336" s="215"/>
      <c r="AE336" s="11">
        <f t="shared" si="462"/>
        <v>0</v>
      </c>
      <c r="AF336" s="212"/>
      <c r="AG336" s="8"/>
    </row>
    <row r="337" spans="1:33" x14ac:dyDescent="0.45">
      <c r="A337" s="22">
        <f t="shared" si="463"/>
        <v>44276</v>
      </c>
      <c r="B337" s="15" t="s">
        <v>5</v>
      </c>
      <c r="C337" s="48">
        <f>120*W337</f>
        <v>3360</v>
      </c>
      <c r="D337" s="13">
        <v>80</v>
      </c>
      <c r="E337" s="13">
        <v>21</v>
      </c>
      <c r="F337" s="13">
        <v>0</v>
      </c>
      <c r="G337" s="13">
        <v>0</v>
      </c>
      <c r="H337" s="13">
        <v>0</v>
      </c>
      <c r="I337" s="13">
        <v>0</v>
      </c>
      <c r="J337" s="13">
        <v>0</v>
      </c>
      <c r="K337" s="13">
        <v>0</v>
      </c>
      <c r="L337" s="45">
        <v>0</v>
      </c>
      <c r="M337" s="34"/>
      <c r="N337" s="13">
        <v>80</v>
      </c>
      <c r="O337" s="13">
        <v>21</v>
      </c>
      <c r="P337" s="13">
        <v>0</v>
      </c>
      <c r="Q337" s="13">
        <v>0</v>
      </c>
      <c r="R337" s="34"/>
      <c r="S337" s="13">
        <f t="shared" si="464"/>
        <v>101</v>
      </c>
      <c r="T337" s="13">
        <f t="shared" si="461"/>
        <v>101</v>
      </c>
      <c r="U337" s="13">
        <f t="shared" ref="U337:U339" si="469">SUM(H337:K337)</f>
        <v>0</v>
      </c>
      <c r="V337" s="34"/>
      <c r="W337" s="45">
        <v>28</v>
      </c>
      <c r="X337" s="10">
        <f t="shared" si="457"/>
        <v>3122</v>
      </c>
      <c r="Y337" s="10">
        <f t="shared" si="465"/>
        <v>0</v>
      </c>
      <c r="Z337" s="10">
        <f t="shared" si="466"/>
        <v>0</v>
      </c>
      <c r="AA337" s="14">
        <f t="shared" si="467"/>
        <v>0</v>
      </c>
      <c r="AB337" s="14">
        <f t="shared" si="459"/>
        <v>3122</v>
      </c>
      <c r="AC337" s="11">
        <f t="shared" si="468"/>
        <v>0</v>
      </c>
      <c r="AD337" s="215"/>
      <c r="AE337" s="11">
        <f t="shared" si="462"/>
        <v>0</v>
      </c>
      <c r="AF337" s="212"/>
      <c r="AG337" s="8"/>
    </row>
    <row r="338" spans="1:33" x14ac:dyDescent="0.45">
      <c r="A338" s="22">
        <f t="shared" si="463"/>
        <v>44276</v>
      </c>
      <c r="B338" s="15" t="s">
        <v>6</v>
      </c>
      <c r="C338" s="48">
        <f>80*W338</f>
        <v>2056</v>
      </c>
      <c r="D338" s="13">
        <v>80</v>
      </c>
      <c r="E338" s="13">
        <v>54.25</v>
      </c>
      <c r="F338" s="13">
        <v>13</v>
      </c>
      <c r="G338" s="13">
        <v>1.5</v>
      </c>
      <c r="H338" s="13">
        <v>0</v>
      </c>
      <c r="I338" s="13">
        <v>0</v>
      </c>
      <c r="J338" s="13">
        <v>0</v>
      </c>
      <c r="K338" s="13">
        <v>0</v>
      </c>
      <c r="L338" s="45">
        <v>0</v>
      </c>
      <c r="M338" s="34"/>
      <c r="N338" s="13">
        <v>80</v>
      </c>
      <c r="O338" s="13">
        <v>51.25</v>
      </c>
      <c r="P338" s="13">
        <v>16.25</v>
      </c>
      <c r="Q338" s="13">
        <v>1.5</v>
      </c>
      <c r="R338" s="34"/>
      <c r="S338" s="13">
        <f t="shared" si="464"/>
        <v>148.75</v>
      </c>
      <c r="T338" s="13">
        <f t="shared" si="461"/>
        <v>149</v>
      </c>
      <c r="U338" s="13">
        <f t="shared" si="469"/>
        <v>0</v>
      </c>
      <c r="V338" s="34"/>
      <c r="W338" s="45">
        <v>25.7</v>
      </c>
      <c r="X338" s="10">
        <f t="shared" si="457"/>
        <v>4854.0874999999996</v>
      </c>
      <c r="Y338" s="10">
        <f t="shared" si="465"/>
        <v>0</v>
      </c>
      <c r="Z338" s="10">
        <f t="shared" si="466"/>
        <v>0</v>
      </c>
      <c r="AA338" s="14">
        <f t="shared" si="467"/>
        <v>0</v>
      </c>
      <c r="AB338" s="14">
        <f t="shared" si="459"/>
        <v>4905.4875000000002</v>
      </c>
      <c r="AC338" s="11">
        <f t="shared" si="468"/>
        <v>0</v>
      </c>
      <c r="AD338" s="215"/>
      <c r="AE338" s="11">
        <f t="shared" si="462"/>
        <v>51.400000000000546</v>
      </c>
      <c r="AF338" s="212"/>
      <c r="AG338" s="8"/>
    </row>
    <row r="339" spans="1:33" x14ac:dyDescent="0.45">
      <c r="A339" s="22">
        <f>A338</f>
        <v>44276</v>
      </c>
      <c r="B339" s="15" t="s">
        <v>9</v>
      </c>
      <c r="C339" s="48">
        <f>120*W339</f>
        <v>3420</v>
      </c>
      <c r="D339" s="13">
        <v>80</v>
      </c>
      <c r="E339" s="13">
        <v>3</v>
      </c>
      <c r="F339" s="13">
        <v>0</v>
      </c>
      <c r="G339" s="13">
        <v>10</v>
      </c>
      <c r="H339" s="13">
        <v>0</v>
      </c>
      <c r="I339" s="13">
        <v>0</v>
      </c>
      <c r="J339" s="13">
        <v>0</v>
      </c>
      <c r="K339" s="13">
        <v>0</v>
      </c>
      <c r="L339" s="45">
        <v>0</v>
      </c>
      <c r="M339" s="34"/>
      <c r="N339" s="13">
        <v>80</v>
      </c>
      <c r="O339" s="13">
        <v>3</v>
      </c>
      <c r="P339" s="13">
        <v>0</v>
      </c>
      <c r="Q339" s="13">
        <v>10</v>
      </c>
      <c r="R339" s="34"/>
      <c r="S339" s="13">
        <f t="shared" si="464"/>
        <v>93</v>
      </c>
      <c r="T339" s="13">
        <f t="shared" si="461"/>
        <v>93</v>
      </c>
      <c r="U339" s="13">
        <f t="shared" si="469"/>
        <v>0</v>
      </c>
      <c r="V339" s="34"/>
      <c r="W339" s="45">
        <v>28.5</v>
      </c>
      <c r="X339" s="10">
        <f t="shared" si="457"/>
        <v>2693.25</v>
      </c>
      <c r="Y339" s="10">
        <f>(W339*0*H339)+(W339*1*I339)</f>
        <v>0</v>
      </c>
      <c r="Z339" s="10">
        <f t="shared" si="466"/>
        <v>0</v>
      </c>
      <c r="AA339" s="14">
        <f t="shared" si="467"/>
        <v>0</v>
      </c>
      <c r="AB339" s="14">
        <f t="shared" si="459"/>
        <v>2693.25</v>
      </c>
      <c r="AC339" s="11">
        <f t="shared" si="468"/>
        <v>0</v>
      </c>
      <c r="AD339" s="215"/>
      <c r="AE339" s="11">
        <f t="shared" si="462"/>
        <v>0</v>
      </c>
      <c r="AF339" s="212"/>
      <c r="AG339" s="8"/>
    </row>
    <row r="340" spans="1:33" x14ac:dyDescent="0.45">
      <c r="A340" s="22">
        <f t="shared" si="463"/>
        <v>44276</v>
      </c>
      <c r="B340" s="50" t="s">
        <v>31</v>
      </c>
      <c r="C340" s="48">
        <f>80*W340</f>
        <v>2160</v>
      </c>
      <c r="D340" s="51">
        <v>80</v>
      </c>
      <c r="E340" s="51">
        <v>35.75</v>
      </c>
      <c r="F340" s="51">
        <v>5</v>
      </c>
      <c r="G340" s="51">
        <v>0</v>
      </c>
      <c r="H340" s="51">
        <v>0</v>
      </c>
      <c r="I340" s="51">
        <v>0</v>
      </c>
      <c r="J340" s="51">
        <v>0</v>
      </c>
      <c r="K340" s="51">
        <v>0</v>
      </c>
      <c r="L340" s="52">
        <v>0</v>
      </c>
      <c r="M340" s="34"/>
      <c r="N340" s="51">
        <v>80</v>
      </c>
      <c r="O340" s="51">
        <v>35.75</v>
      </c>
      <c r="P340" s="51">
        <v>5</v>
      </c>
      <c r="Q340" s="51">
        <v>0</v>
      </c>
      <c r="R340" s="34"/>
      <c r="S340" s="51">
        <f t="shared" ref="S340" si="470">SUM(D340:G340)</f>
        <v>120.75</v>
      </c>
      <c r="T340" s="51">
        <f t="shared" si="461"/>
        <v>120.75</v>
      </c>
      <c r="U340" s="51">
        <f t="shared" ref="U340" si="471">SUM(H340:K340)</f>
        <v>0</v>
      </c>
      <c r="V340" s="34"/>
      <c r="W340" s="52">
        <v>27</v>
      </c>
      <c r="X340" s="53">
        <f>(W340*1*D340)+(W340*1.5*E340)+(W340*2*F340)+(W340*1*G340)</f>
        <v>3877.875</v>
      </c>
      <c r="Y340" s="53">
        <f t="shared" ref="Y340:Y342" si="472">(W340*0*H340)+(W340*1*I340)</f>
        <v>0</v>
      </c>
      <c r="Z340" s="53">
        <f>(W340*1*J340)+L340</f>
        <v>0</v>
      </c>
      <c r="AA340" s="54">
        <f t="shared" si="467"/>
        <v>0</v>
      </c>
      <c r="AB340" s="54">
        <f>(W340*1*N340)+(W340*1.5*O340)+(W340*2*P340)+(W340*1*Q340)</f>
        <v>3877.875</v>
      </c>
      <c r="AC340" s="55">
        <f t="shared" si="468"/>
        <v>0</v>
      </c>
      <c r="AD340" s="217"/>
      <c r="AE340" s="55">
        <f>AB340-(X340+Z340)</f>
        <v>0</v>
      </c>
      <c r="AF340" s="212"/>
      <c r="AG340" s="8"/>
    </row>
    <row r="341" spans="1:33" x14ac:dyDescent="0.45">
      <c r="A341" s="22">
        <f t="shared" si="463"/>
        <v>44276</v>
      </c>
      <c r="B341" s="50" t="s">
        <v>51</v>
      </c>
      <c r="C341" s="48">
        <f t="shared" ref="C341:C342" si="473">80*W341</f>
        <v>1600</v>
      </c>
      <c r="D341" s="51">
        <v>80</v>
      </c>
      <c r="E341" s="51">
        <v>47.25</v>
      </c>
      <c r="F341" s="51">
        <v>13.75</v>
      </c>
      <c r="G341" s="51">
        <v>0</v>
      </c>
      <c r="H341" s="51">
        <v>0</v>
      </c>
      <c r="I341" s="51">
        <v>0</v>
      </c>
      <c r="J341" s="51">
        <v>0</v>
      </c>
      <c r="K341" s="51">
        <v>0</v>
      </c>
      <c r="L341" s="52">
        <v>0</v>
      </c>
      <c r="M341" s="34"/>
      <c r="N341" s="51">
        <v>80</v>
      </c>
      <c r="O341" s="51">
        <v>47.25</v>
      </c>
      <c r="P341" s="51">
        <v>13.75</v>
      </c>
      <c r="Q341" s="51">
        <v>0</v>
      </c>
      <c r="R341" s="34"/>
      <c r="S341" s="51">
        <f t="shared" ref="S341:S342" si="474">SUM(D341:G341)</f>
        <v>141</v>
      </c>
      <c r="T341" s="51">
        <f t="shared" si="461"/>
        <v>141</v>
      </c>
      <c r="U341" s="51">
        <f t="shared" ref="U341:U344" si="475">SUM(H341:K341)</f>
        <v>0</v>
      </c>
      <c r="V341" s="34"/>
      <c r="W341" s="52">
        <v>20</v>
      </c>
      <c r="X341" s="53">
        <f t="shared" ref="X341:X348" si="476">(W341*1*D341)+(W341*1.5*E341)+(W341*2*F341)+(W341*1*G341)</f>
        <v>3567.5</v>
      </c>
      <c r="Y341" s="53">
        <f t="shared" si="472"/>
        <v>0</v>
      </c>
      <c r="Z341" s="53">
        <f t="shared" ref="Z341:Z342" si="477">(W341*1*J341)+L341</f>
        <v>0</v>
      </c>
      <c r="AA341" s="54">
        <f t="shared" si="467"/>
        <v>0</v>
      </c>
      <c r="AB341" s="54">
        <f t="shared" ref="AB341:AB348" si="478">(W341*1*N341)+(W341*1.5*O341)+(W341*2*P341)+(W341*1*Q341)</f>
        <v>3567.5</v>
      </c>
      <c r="AC341" s="55">
        <f t="shared" si="468"/>
        <v>0</v>
      </c>
      <c r="AD341" s="217"/>
      <c r="AE341" s="55">
        <f>AB341-(X341+Z341)</f>
        <v>0</v>
      </c>
      <c r="AF341" s="212"/>
      <c r="AG341" s="8"/>
    </row>
    <row r="342" spans="1:33" ht="14.65" thickBot="1" x14ac:dyDescent="0.5">
      <c r="A342" s="23">
        <f>A341</f>
        <v>44276</v>
      </c>
      <c r="B342" s="24" t="s">
        <v>52</v>
      </c>
      <c r="C342" s="49">
        <f t="shared" si="473"/>
        <v>1600</v>
      </c>
      <c r="D342" s="25">
        <v>80</v>
      </c>
      <c r="E342" s="25">
        <v>33.25</v>
      </c>
      <c r="F342" s="25">
        <v>0</v>
      </c>
      <c r="G342" s="25">
        <v>0</v>
      </c>
      <c r="H342" s="25">
        <v>0</v>
      </c>
      <c r="I342" s="25">
        <v>0</v>
      </c>
      <c r="J342" s="25">
        <v>0</v>
      </c>
      <c r="K342" s="25">
        <v>0</v>
      </c>
      <c r="L342" s="46">
        <v>0</v>
      </c>
      <c r="M342" s="35"/>
      <c r="N342" s="25">
        <v>80</v>
      </c>
      <c r="O342" s="25">
        <v>33</v>
      </c>
      <c r="P342" s="25">
        <v>0.25</v>
      </c>
      <c r="Q342" s="25">
        <v>0</v>
      </c>
      <c r="R342" s="35"/>
      <c r="S342" s="25">
        <f t="shared" si="474"/>
        <v>113.25</v>
      </c>
      <c r="T342" s="25">
        <f t="shared" ref="T342" si="479">SUM(N342:Q342)</f>
        <v>113.25</v>
      </c>
      <c r="U342" s="25">
        <f t="shared" si="475"/>
        <v>0</v>
      </c>
      <c r="V342" s="35"/>
      <c r="W342" s="46">
        <v>20</v>
      </c>
      <c r="X342" s="26">
        <f t="shared" si="476"/>
        <v>2597.5</v>
      </c>
      <c r="Y342" s="26">
        <f t="shared" si="472"/>
        <v>0</v>
      </c>
      <c r="Z342" s="26">
        <f t="shared" si="477"/>
        <v>0</v>
      </c>
      <c r="AA342" s="27">
        <f t="shared" si="467"/>
        <v>0</v>
      </c>
      <c r="AB342" s="27">
        <f t="shared" si="478"/>
        <v>2600</v>
      </c>
      <c r="AC342" s="12">
        <f t="shared" si="468"/>
        <v>0</v>
      </c>
      <c r="AD342" s="216"/>
      <c r="AE342" s="12">
        <f>AB342-(X342+Z342)</f>
        <v>2.5</v>
      </c>
      <c r="AF342" s="213"/>
      <c r="AG342" s="8"/>
    </row>
    <row r="343" spans="1:33" x14ac:dyDescent="0.45">
      <c r="A343" s="16">
        <f>A342+14</f>
        <v>44290</v>
      </c>
      <c r="B343" s="17" t="s">
        <v>0</v>
      </c>
      <c r="C343" s="47">
        <f>80*W343</f>
        <v>2280</v>
      </c>
      <c r="D343" s="18">
        <v>72</v>
      </c>
      <c r="E343" s="18">
        <v>5</v>
      </c>
      <c r="F343" s="18">
        <v>0</v>
      </c>
      <c r="G343" s="18">
        <v>0</v>
      </c>
      <c r="H343" s="18">
        <v>0</v>
      </c>
      <c r="I343" s="18">
        <v>0</v>
      </c>
      <c r="J343" s="18">
        <v>8</v>
      </c>
      <c r="K343" s="18">
        <v>0</v>
      </c>
      <c r="L343" s="44">
        <v>0</v>
      </c>
      <c r="M343" s="33"/>
      <c r="N343" s="18">
        <v>72</v>
      </c>
      <c r="O343" s="18">
        <v>6</v>
      </c>
      <c r="P343" s="18">
        <v>0</v>
      </c>
      <c r="Q343" s="18">
        <v>0</v>
      </c>
      <c r="R343" s="33"/>
      <c r="S343" s="36">
        <f>SUM(D343:G343)</f>
        <v>77</v>
      </c>
      <c r="T343" s="36">
        <f t="shared" ref="T343:T350" si="480">SUM(N343:Q343)</f>
        <v>78</v>
      </c>
      <c r="U343" s="18">
        <f t="shared" si="475"/>
        <v>8</v>
      </c>
      <c r="V343" s="33"/>
      <c r="W343" s="44">
        <v>28.5</v>
      </c>
      <c r="X343" s="19">
        <f t="shared" si="476"/>
        <v>2265.75</v>
      </c>
      <c r="Y343" s="19">
        <f>(W343*0*H343)+(W343*1*I343)</f>
        <v>0</v>
      </c>
      <c r="Z343" s="19">
        <f>(W343*1*J343)+L343</f>
        <v>228</v>
      </c>
      <c r="AA343" s="20">
        <f>(W343*1*K343)</f>
        <v>0</v>
      </c>
      <c r="AB343" s="20">
        <f t="shared" si="478"/>
        <v>2308.5</v>
      </c>
      <c r="AC343" s="21">
        <f>0-Y343-AA343</f>
        <v>0</v>
      </c>
      <c r="AD343" s="214">
        <f>SUM(AC343:AC351)</f>
        <v>0</v>
      </c>
      <c r="AE343" s="21">
        <f t="shared" ref="AE343:AE348" si="481">AB343-(X343+Z343)</f>
        <v>-185.25</v>
      </c>
      <c r="AF343" s="211">
        <f>SUM(AE343:AE351)</f>
        <v>-1645.35</v>
      </c>
      <c r="AG343" s="8"/>
    </row>
    <row r="344" spans="1:33" x14ac:dyDescent="0.45">
      <c r="A344" s="22">
        <f t="shared" ref="A344:A350" si="482">A343</f>
        <v>44290</v>
      </c>
      <c r="B344" s="15" t="s">
        <v>30</v>
      </c>
      <c r="C344" s="48">
        <f>120*W344</f>
        <v>3780</v>
      </c>
      <c r="D344" s="13">
        <v>72</v>
      </c>
      <c r="E344" s="13">
        <v>8</v>
      </c>
      <c r="F344" s="13">
        <v>0</v>
      </c>
      <c r="G344" s="13">
        <v>0</v>
      </c>
      <c r="H344" s="13">
        <v>0</v>
      </c>
      <c r="I344" s="13">
        <v>0</v>
      </c>
      <c r="J344" s="13">
        <v>8</v>
      </c>
      <c r="K344" s="13">
        <v>0</v>
      </c>
      <c r="L344" s="45">
        <v>0</v>
      </c>
      <c r="M344" s="34"/>
      <c r="N344" s="13">
        <v>72</v>
      </c>
      <c r="O344" s="13">
        <v>8</v>
      </c>
      <c r="P344" s="13">
        <v>0</v>
      </c>
      <c r="Q344" s="13">
        <v>0</v>
      </c>
      <c r="R344" s="34"/>
      <c r="S344" s="13">
        <f t="shared" ref="S344:S348" si="483">SUM(D344:G344)</f>
        <v>80</v>
      </c>
      <c r="T344" s="13">
        <f t="shared" si="480"/>
        <v>80</v>
      </c>
      <c r="U344" s="13">
        <f t="shared" si="475"/>
        <v>8</v>
      </c>
      <c r="V344" s="34"/>
      <c r="W344" s="45">
        <v>31.5</v>
      </c>
      <c r="X344" s="10">
        <f t="shared" si="476"/>
        <v>2646</v>
      </c>
      <c r="Y344" s="10">
        <f t="shared" ref="Y344:Y347" si="484">(W344*0*H344)+(W344*1*I344)</f>
        <v>0</v>
      </c>
      <c r="Z344" s="10">
        <f t="shared" ref="Z344:Z348" si="485">(W344*1*J344)+L344</f>
        <v>252</v>
      </c>
      <c r="AA344" s="14">
        <f t="shared" ref="AA344:AA351" si="486">(W344*1*K344)</f>
        <v>0</v>
      </c>
      <c r="AB344" s="14">
        <f t="shared" si="478"/>
        <v>2646</v>
      </c>
      <c r="AC344" s="11">
        <f t="shared" ref="AC344:AC351" si="487">0-Y344-AA344</f>
        <v>0</v>
      </c>
      <c r="AD344" s="215"/>
      <c r="AE344" s="11">
        <f t="shared" si="481"/>
        <v>-252</v>
      </c>
      <c r="AF344" s="212"/>
      <c r="AG344" s="8"/>
    </row>
    <row r="345" spans="1:33" x14ac:dyDescent="0.45">
      <c r="A345" s="22">
        <f>A344</f>
        <v>44290</v>
      </c>
      <c r="B345" s="15" t="s">
        <v>4</v>
      </c>
      <c r="C345" s="48">
        <f>80*W345</f>
        <v>2000</v>
      </c>
      <c r="D345" s="13">
        <v>72</v>
      </c>
      <c r="E345" s="13">
        <v>25</v>
      </c>
      <c r="F345" s="13">
        <v>0</v>
      </c>
      <c r="G345" s="13">
        <v>0</v>
      </c>
      <c r="H345" s="13">
        <v>0</v>
      </c>
      <c r="I345" s="13">
        <v>0</v>
      </c>
      <c r="J345" s="13">
        <v>8</v>
      </c>
      <c r="K345" s="13">
        <v>0</v>
      </c>
      <c r="L345" s="45">
        <v>0</v>
      </c>
      <c r="M345" s="34"/>
      <c r="N345" s="13">
        <v>72</v>
      </c>
      <c r="O345" s="13">
        <v>25.25</v>
      </c>
      <c r="P345" s="13">
        <v>0</v>
      </c>
      <c r="Q345" s="13">
        <v>0</v>
      </c>
      <c r="R345" s="34"/>
      <c r="S345" s="13">
        <f t="shared" si="483"/>
        <v>97</v>
      </c>
      <c r="T345" s="13">
        <f t="shared" si="480"/>
        <v>97.25</v>
      </c>
      <c r="U345" s="13">
        <f>SUM(H345:K345)</f>
        <v>8</v>
      </c>
      <c r="V345" s="34"/>
      <c r="W345" s="45">
        <v>25</v>
      </c>
      <c r="X345" s="10">
        <f t="shared" si="476"/>
        <v>2737.5</v>
      </c>
      <c r="Y345" s="10">
        <f t="shared" si="484"/>
        <v>0</v>
      </c>
      <c r="Z345" s="10">
        <f t="shared" si="485"/>
        <v>200</v>
      </c>
      <c r="AA345" s="14">
        <f t="shared" si="486"/>
        <v>0</v>
      </c>
      <c r="AB345" s="14">
        <f t="shared" si="478"/>
        <v>2746.875</v>
      </c>
      <c r="AC345" s="11">
        <f t="shared" si="487"/>
        <v>0</v>
      </c>
      <c r="AD345" s="215"/>
      <c r="AE345" s="11">
        <f t="shared" si="481"/>
        <v>-190.625</v>
      </c>
      <c r="AF345" s="212"/>
      <c r="AG345" s="8"/>
    </row>
    <row r="346" spans="1:33" x14ac:dyDescent="0.45">
      <c r="A346" s="22">
        <f t="shared" si="482"/>
        <v>44290</v>
      </c>
      <c r="B346" s="15" t="s">
        <v>5</v>
      </c>
      <c r="C346" s="48">
        <f>120*W346</f>
        <v>3360</v>
      </c>
      <c r="D346" s="13">
        <v>72</v>
      </c>
      <c r="E346" s="13">
        <v>10</v>
      </c>
      <c r="F346" s="13">
        <v>0</v>
      </c>
      <c r="G346" s="13">
        <v>0</v>
      </c>
      <c r="H346" s="13">
        <v>0</v>
      </c>
      <c r="I346" s="13">
        <v>0</v>
      </c>
      <c r="J346" s="13">
        <v>8</v>
      </c>
      <c r="K346" s="13">
        <v>0</v>
      </c>
      <c r="L346" s="45">
        <v>0</v>
      </c>
      <c r="M346" s="34"/>
      <c r="N346" s="13">
        <v>72</v>
      </c>
      <c r="O346" s="13">
        <v>10</v>
      </c>
      <c r="P346" s="13">
        <v>0</v>
      </c>
      <c r="Q346" s="13">
        <v>0</v>
      </c>
      <c r="R346" s="34"/>
      <c r="S346" s="13">
        <f t="shared" si="483"/>
        <v>82</v>
      </c>
      <c r="T346" s="13">
        <f t="shared" si="480"/>
        <v>82</v>
      </c>
      <c r="U346" s="13">
        <f t="shared" ref="U346:U348" si="488">SUM(H346:K346)</f>
        <v>8</v>
      </c>
      <c r="V346" s="34"/>
      <c r="W346" s="45">
        <v>28</v>
      </c>
      <c r="X346" s="10">
        <f t="shared" si="476"/>
        <v>2436</v>
      </c>
      <c r="Y346" s="10">
        <f t="shared" si="484"/>
        <v>0</v>
      </c>
      <c r="Z346" s="10">
        <f t="shared" si="485"/>
        <v>224</v>
      </c>
      <c r="AA346" s="14">
        <f t="shared" si="486"/>
        <v>0</v>
      </c>
      <c r="AB346" s="14">
        <f t="shared" si="478"/>
        <v>2436</v>
      </c>
      <c r="AC346" s="11">
        <f t="shared" si="487"/>
        <v>0</v>
      </c>
      <c r="AD346" s="215"/>
      <c r="AE346" s="11">
        <f t="shared" si="481"/>
        <v>-224</v>
      </c>
      <c r="AF346" s="212"/>
      <c r="AG346" s="8"/>
    </row>
    <row r="347" spans="1:33" x14ac:dyDescent="0.45">
      <c r="A347" s="22">
        <f t="shared" si="482"/>
        <v>44290</v>
      </c>
      <c r="B347" s="15" t="s">
        <v>6</v>
      </c>
      <c r="C347" s="48">
        <f>80*W347</f>
        <v>2056</v>
      </c>
      <c r="D347" s="13">
        <v>72</v>
      </c>
      <c r="E347" s="13">
        <v>31</v>
      </c>
      <c r="F347" s="13">
        <v>0</v>
      </c>
      <c r="G347" s="13">
        <v>4</v>
      </c>
      <c r="H347" s="13">
        <v>0</v>
      </c>
      <c r="I347" s="13">
        <v>0</v>
      </c>
      <c r="J347" s="13">
        <v>8</v>
      </c>
      <c r="K347" s="13">
        <v>0</v>
      </c>
      <c r="L347" s="45">
        <v>0</v>
      </c>
      <c r="M347" s="34"/>
      <c r="N347" s="13">
        <v>72</v>
      </c>
      <c r="O347" s="13">
        <v>28.5</v>
      </c>
      <c r="P347" s="13">
        <v>2.5</v>
      </c>
      <c r="Q347" s="13">
        <v>4</v>
      </c>
      <c r="R347" s="34"/>
      <c r="S347" s="13">
        <f t="shared" si="483"/>
        <v>107</v>
      </c>
      <c r="T347" s="13">
        <f t="shared" si="480"/>
        <v>107</v>
      </c>
      <c r="U347" s="13">
        <f t="shared" si="488"/>
        <v>8</v>
      </c>
      <c r="V347" s="34"/>
      <c r="W347" s="45">
        <v>25.7</v>
      </c>
      <c r="X347" s="10">
        <f t="shared" si="476"/>
        <v>3148.25</v>
      </c>
      <c r="Y347" s="10">
        <f t="shared" si="484"/>
        <v>0</v>
      </c>
      <c r="Z347" s="10">
        <f t="shared" si="485"/>
        <v>205.6</v>
      </c>
      <c r="AA347" s="14">
        <f t="shared" si="486"/>
        <v>0</v>
      </c>
      <c r="AB347" s="14">
        <f t="shared" si="478"/>
        <v>3180.375</v>
      </c>
      <c r="AC347" s="11">
        <f t="shared" si="487"/>
        <v>0</v>
      </c>
      <c r="AD347" s="215"/>
      <c r="AE347" s="11">
        <f t="shared" si="481"/>
        <v>-173.47499999999991</v>
      </c>
      <c r="AF347" s="212"/>
      <c r="AG347" s="8"/>
    </row>
    <row r="348" spans="1:33" x14ac:dyDescent="0.45">
      <c r="A348" s="22">
        <f>A347</f>
        <v>44290</v>
      </c>
      <c r="B348" s="15" t="s">
        <v>9</v>
      </c>
      <c r="C348" s="48">
        <f>120*W348</f>
        <v>3420</v>
      </c>
      <c r="D348" s="13">
        <v>72</v>
      </c>
      <c r="E348" s="13">
        <v>20</v>
      </c>
      <c r="F348" s="13">
        <v>0</v>
      </c>
      <c r="G348" s="13">
        <v>11</v>
      </c>
      <c r="H348" s="13">
        <v>0</v>
      </c>
      <c r="I348" s="13">
        <v>0</v>
      </c>
      <c r="J348" s="13">
        <v>8</v>
      </c>
      <c r="K348" s="13">
        <v>0</v>
      </c>
      <c r="L348" s="45">
        <v>0</v>
      </c>
      <c r="M348" s="34"/>
      <c r="N348" s="13">
        <v>72</v>
      </c>
      <c r="O348" s="13">
        <v>12</v>
      </c>
      <c r="P348" s="13">
        <v>8</v>
      </c>
      <c r="Q348" s="13">
        <v>11</v>
      </c>
      <c r="R348" s="34"/>
      <c r="S348" s="13">
        <f t="shared" si="483"/>
        <v>103</v>
      </c>
      <c r="T348" s="13">
        <f t="shared" si="480"/>
        <v>103</v>
      </c>
      <c r="U348" s="13">
        <f t="shared" si="488"/>
        <v>8</v>
      </c>
      <c r="V348" s="34"/>
      <c r="W348" s="45">
        <v>28.5</v>
      </c>
      <c r="X348" s="10">
        <f t="shared" si="476"/>
        <v>3220.5</v>
      </c>
      <c r="Y348" s="10">
        <f>(W348*0*H348)+(W348*1*I348)</f>
        <v>0</v>
      </c>
      <c r="Z348" s="10">
        <f t="shared" si="485"/>
        <v>228</v>
      </c>
      <c r="AA348" s="14">
        <f t="shared" si="486"/>
        <v>0</v>
      </c>
      <c r="AB348" s="14">
        <f t="shared" si="478"/>
        <v>3334.5</v>
      </c>
      <c r="AC348" s="11">
        <f t="shared" si="487"/>
        <v>0</v>
      </c>
      <c r="AD348" s="215"/>
      <c r="AE348" s="11">
        <f t="shared" si="481"/>
        <v>-114</v>
      </c>
      <c r="AF348" s="212"/>
      <c r="AG348" s="8"/>
    </row>
    <row r="349" spans="1:33" x14ac:dyDescent="0.45">
      <c r="A349" s="22">
        <f t="shared" si="482"/>
        <v>44290</v>
      </c>
      <c r="B349" s="50" t="s">
        <v>31</v>
      </c>
      <c r="C349" s="48">
        <f>80*W349</f>
        <v>2160</v>
      </c>
      <c r="D349" s="51">
        <v>72</v>
      </c>
      <c r="E349" s="51">
        <v>10.75</v>
      </c>
      <c r="F349" s="51">
        <v>0</v>
      </c>
      <c r="G349" s="51">
        <v>0</v>
      </c>
      <c r="H349" s="51">
        <v>0</v>
      </c>
      <c r="I349" s="51">
        <v>0</v>
      </c>
      <c r="J349" s="51">
        <v>8</v>
      </c>
      <c r="K349" s="51">
        <v>0</v>
      </c>
      <c r="L349" s="52">
        <v>0</v>
      </c>
      <c r="M349" s="34"/>
      <c r="N349" s="51">
        <v>72</v>
      </c>
      <c r="O349" s="51">
        <v>10.75</v>
      </c>
      <c r="P349" s="51">
        <v>0</v>
      </c>
      <c r="Q349" s="51">
        <v>0</v>
      </c>
      <c r="R349" s="34"/>
      <c r="S349" s="51">
        <f t="shared" ref="S349" si="489">SUM(D349:G349)</f>
        <v>82.75</v>
      </c>
      <c r="T349" s="51">
        <f t="shared" si="480"/>
        <v>82.75</v>
      </c>
      <c r="U349" s="51">
        <f t="shared" ref="U349" si="490">SUM(H349:K349)</f>
        <v>8</v>
      </c>
      <c r="V349" s="34"/>
      <c r="W349" s="52">
        <v>27</v>
      </c>
      <c r="X349" s="53">
        <f>(W349*1*D349)+(W349*1.5*E349)+(W349*2*F349)+(W349*1*G349)</f>
        <v>2379.375</v>
      </c>
      <c r="Y349" s="53">
        <f t="shared" ref="Y349:Y351" si="491">(W349*0*H349)+(W349*1*I349)</f>
        <v>0</v>
      </c>
      <c r="Z349" s="53">
        <f>(W349*1*J349)+L349</f>
        <v>216</v>
      </c>
      <c r="AA349" s="54">
        <f t="shared" si="486"/>
        <v>0</v>
      </c>
      <c r="AB349" s="54">
        <f>(W349*1*N349)+(W349*1.5*O349)+(W349*2*P349)+(W349*1*Q349)</f>
        <v>2379.375</v>
      </c>
      <c r="AC349" s="55">
        <f t="shared" si="487"/>
        <v>0</v>
      </c>
      <c r="AD349" s="217"/>
      <c r="AE349" s="55">
        <f>AB349-(X349+Z349)</f>
        <v>-216</v>
      </c>
      <c r="AF349" s="212"/>
      <c r="AG349" s="8"/>
    </row>
    <row r="350" spans="1:33" x14ac:dyDescent="0.45">
      <c r="A350" s="22">
        <f t="shared" si="482"/>
        <v>44290</v>
      </c>
      <c r="B350" s="50" t="s">
        <v>51</v>
      </c>
      <c r="C350" s="48">
        <f t="shared" ref="C350:C351" si="492">80*W350</f>
        <v>1600</v>
      </c>
      <c r="D350" s="51">
        <v>72</v>
      </c>
      <c r="E350" s="51">
        <v>23.25</v>
      </c>
      <c r="F350" s="51">
        <v>0</v>
      </c>
      <c r="G350" s="51">
        <v>0</v>
      </c>
      <c r="H350" s="51">
        <v>0</v>
      </c>
      <c r="I350" s="51">
        <v>0</v>
      </c>
      <c r="J350" s="51">
        <v>8</v>
      </c>
      <c r="K350" s="51">
        <v>0</v>
      </c>
      <c r="L350" s="52">
        <v>0</v>
      </c>
      <c r="M350" s="34"/>
      <c r="N350" s="51">
        <v>72</v>
      </c>
      <c r="O350" s="51">
        <v>24.25</v>
      </c>
      <c r="P350" s="51">
        <v>0</v>
      </c>
      <c r="Q350" s="51">
        <v>0</v>
      </c>
      <c r="R350" s="34"/>
      <c r="S350" s="51">
        <f t="shared" ref="S350:S351" si="493">SUM(D350:G350)</f>
        <v>95.25</v>
      </c>
      <c r="T350" s="51">
        <f t="shared" si="480"/>
        <v>96.25</v>
      </c>
      <c r="U350" s="51">
        <f t="shared" ref="U350:U353" si="494">SUM(H350:K350)</f>
        <v>8</v>
      </c>
      <c r="V350" s="34"/>
      <c r="W350" s="52">
        <v>20</v>
      </c>
      <c r="X350" s="53">
        <f t="shared" ref="X350:X357" si="495">(W350*1*D350)+(W350*1.5*E350)+(W350*2*F350)+(W350*1*G350)</f>
        <v>2137.5</v>
      </c>
      <c r="Y350" s="53">
        <f t="shared" si="491"/>
        <v>0</v>
      </c>
      <c r="Z350" s="53">
        <f t="shared" ref="Z350:Z351" si="496">(W350*1*J350)+L350</f>
        <v>160</v>
      </c>
      <c r="AA350" s="54">
        <f t="shared" si="486"/>
        <v>0</v>
      </c>
      <c r="AB350" s="54">
        <f t="shared" ref="AB350:AB357" si="497">(W350*1*N350)+(W350*1.5*O350)+(W350*2*P350)+(W350*1*Q350)</f>
        <v>2167.5</v>
      </c>
      <c r="AC350" s="55">
        <f t="shared" si="487"/>
        <v>0</v>
      </c>
      <c r="AD350" s="217"/>
      <c r="AE350" s="55">
        <f>AB350-(X350+Z350)</f>
        <v>-130</v>
      </c>
      <c r="AF350" s="212"/>
      <c r="AG350" s="8"/>
    </row>
    <row r="351" spans="1:33" ht="14.65" thickBot="1" x14ac:dyDescent="0.5">
      <c r="A351" s="23">
        <f>A350</f>
        <v>44290</v>
      </c>
      <c r="B351" s="24" t="s">
        <v>52</v>
      </c>
      <c r="C351" s="49">
        <f t="shared" si="492"/>
        <v>1600</v>
      </c>
      <c r="D351" s="25">
        <v>72</v>
      </c>
      <c r="E351" s="25">
        <v>27.75</v>
      </c>
      <c r="F351" s="25">
        <v>0</v>
      </c>
      <c r="G351" s="25">
        <v>0</v>
      </c>
      <c r="H351" s="25">
        <v>0</v>
      </c>
      <c r="I351" s="25">
        <v>0</v>
      </c>
      <c r="J351" s="25">
        <v>8</v>
      </c>
      <c r="K351" s="25">
        <v>0</v>
      </c>
      <c r="L351" s="46">
        <v>0</v>
      </c>
      <c r="M351" s="35"/>
      <c r="N351" s="25">
        <v>72</v>
      </c>
      <c r="O351" s="25">
        <v>27.75</v>
      </c>
      <c r="P351" s="25">
        <v>0</v>
      </c>
      <c r="Q351" s="25">
        <v>0</v>
      </c>
      <c r="R351" s="35"/>
      <c r="S351" s="25">
        <f t="shared" si="493"/>
        <v>99.75</v>
      </c>
      <c r="T351" s="25">
        <f t="shared" ref="T351" si="498">SUM(N351:Q351)</f>
        <v>99.75</v>
      </c>
      <c r="U351" s="25">
        <f t="shared" si="494"/>
        <v>8</v>
      </c>
      <c r="V351" s="35"/>
      <c r="W351" s="46">
        <v>20</v>
      </c>
      <c r="X351" s="26">
        <f t="shared" si="495"/>
        <v>2272.5</v>
      </c>
      <c r="Y351" s="26">
        <f t="shared" si="491"/>
        <v>0</v>
      </c>
      <c r="Z351" s="26">
        <f t="shared" si="496"/>
        <v>160</v>
      </c>
      <c r="AA351" s="27">
        <f t="shared" si="486"/>
        <v>0</v>
      </c>
      <c r="AB351" s="27">
        <f t="shared" si="497"/>
        <v>2272.5</v>
      </c>
      <c r="AC351" s="12">
        <f t="shared" si="487"/>
        <v>0</v>
      </c>
      <c r="AD351" s="216"/>
      <c r="AE351" s="12">
        <f>AB351-(X351+Z351)</f>
        <v>-160</v>
      </c>
      <c r="AF351" s="213"/>
      <c r="AG351" s="8"/>
    </row>
    <row r="352" spans="1:33" x14ac:dyDescent="0.45">
      <c r="A352" s="16">
        <f>A351+14</f>
        <v>44304</v>
      </c>
      <c r="B352" s="17" t="s">
        <v>0</v>
      </c>
      <c r="C352" s="47">
        <f>80*W352</f>
        <v>2280</v>
      </c>
      <c r="D352" s="18">
        <v>80</v>
      </c>
      <c r="E352" s="18">
        <v>39.25</v>
      </c>
      <c r="F352" s="18">
        <v>4</v>
      </c>
      <c r="G352" s="18">
        <v>0</v>
      </c>
      <c r="H352" s="18">
        <v>0</v>
      </c>
      <c r="I352" s="18">
        <v>0</v>
      </c>
      <c r="J352" s="18">
        <v>0</v>
      </c>
      <c r="K352" s="18">
        <v>0</v>
      </c>
      <c r="L352" s="44">
        <v>0</v>
      </c>
      <c r="M352" s="33"/>
      <c r="N352" s="18">
        <v>80</v>
      </c>
      <c r="O352" s="18">
        <v>39.25</v>
      </c>
      <c r="P352" s="18">
        <v>4</v>
      </c>
      <c r="Q352" s="18">
        <v>0</v>
      </c>
      <c r="R352" s="33"/>
      <c r="S352" s="36">
        <f>SUM(D352:G352)</f>
        <v>123.25</v>
      </c>
      <c r="T352" s="36">
        <f t="shared" ref="T352:T359" si="499">SUM(N352:Q352)</f>
        <v>123.25</v>
      </c>
      <c r="U352" s="18">
        <f t="shared" si="494"/>
        <v>0</v>
      </c>
      <c r="V352" s="33"/>
      <c r="W352" s="44">
        <v>28.5</v>
      </c>
      <c r="X352" s="19">
        <f t="shared" si="495"/>
        <v>4185.9375</v>
      </c>
      <c r="Y352" s="19">
        <f>(W352*0*H352)+(W352*1*I352)</f>
        <v>0</v>
      </c>
      <c r="Z352" s="19">
        <f>(W352*1*J352)+L352</f>
        <v>0</v>
      </c>
      <c r="AA352" s="20">
        <f>(W352*1*K352)</f>
        <v>0</v>
      </c>
      <c r="AB352" s="20">
        <f t="shared" si="497"/>
        <v>4185.9375</v>
      </c>
      <c r="AC352" s="21">
        <f>0-Y352-AA352</f>
        <v>0</v>
      </c>
      <c r="AD352" s="214">
        <f>SUM(AC352:AC360)</f>
        <v>0</v>
      </c>
      <c r="AE352" s="21">
        <f t="shared" ref="AE352:AE357" si="500">AB352-(X352+Z352)</f>
        <v>0</v>
      </c>
      <c r="AF352" s="211">
        <f>SUM(AE352:AE360)</f>
        <v>214.5</v>
      </c>
      <c r="AG352" s="8"/>
    </row>
    <row r="353" spans="1:33" x14ac:dyDescent="0.45">
      <c r="A353" s="22">
        <f t="shared" ref="A353:A359" si="501">A352</f>
        <v>44304</v>
      </c>
      <c r="B353" s="15" t="s">
        <v>30</v>
      </c>
      <c r="C353" s="48">
        <f>120*W353</f>
        <v>3780</v>
      </c>
      <c r="D353" s="13">
        <v>76.5</v>
      </c>
      <c r="E353" s="13">
        <v>5.5</v>
      </c>
      <c r="F353" s="13">
        <v>5</v>
      </c>
      <c r="G353" s="13">
        <v>0</v>
      </c>
      <c r="H353" s="13">
        <v>0</v>
      </c>
      <c r="I353" s="13">
        <v>0</v>
      </c>
      <c r="J353" s="13">
        <v>0</v>
      </c>
      <c r="K353" s="13">
        <v>0</v>
      </c>
      <c r="L353" s="45">
        <v>0</v>
      </c>
      <c r="M353" s="34"/>
      <c r="N353" s="13">
        <v>77.5</v>
      </c>
      <c r="O353" s="13">
        <v>5.5</v>
      </c>
      <c r="P353" s="13">
        <v>5</v>
      </c>
      <c r="Q353" s="13">
        <v>0</v>
      </c>
      <c r="R353" s="34"/>
      <c r="S353" s="13">
        <f t="shared" ref="S353:S357" si="502">SUM(D353:G353)</f>
        <v>87</v>
      </c>
      <c r="T353" s="13">
        <f t="shared" si="499"/>
        <v>88</v>
      </c>
      <c r="U353" s="13">
        <f t="shared" si="494"/>
        <v>0</v>
      </c>
      <c r="V353" s="34"/>
      <c r="W353" s="45">
        <v>31.5</v>
      </c>
      <c r="X353" s="10">
        <f t="shared" si="495"/>
        <v>2984.625</v>
      </c>
      <c r="Y353" s="10">
        <f t="shared" ref="Y353:Y356" si="503">(W353*0*H353)+(W353*1*I353)</f>
        <v>0</v>
      </c>
      <c r="Z353" s="10">
        <f t="shared" ref="Z353:Z357" si="504">(W353*1*J353)+L353</f>
        <v>0</v>
      </c>
      <c r="AA353" s="14">
        <f t="shared" ref="AA353:AA360" si="505">(W353*1*K353)</f>
        <v>0</v>
      </c>
      <c r="AB353" s="14">
        <f t="shared" si="497"/>
        <v>3016.125</v>
      </c>
      <c r="AC353" s="11">
        <f t="shared" ref="AC353:AC360" si="506">0-Y353-AA353</f>
        <v>0</v>
      </c>
      <c r="AD353" s="215"/>
      <c r="AE353" s="11">
        <f t="shared" si="500"/>
        <v>31.5</v>
      </c>
      <c r="AF353" s="212"/>
      <c r="AG353" s="8"/>
    </row>
    <row r="354" spans="1:33" x14ac:dyDescent="0.45">
      <c r="A354" s="22">
        <f>A353</f>
        <v>44304</v>
      </c>
      <c r="B354" s="15" t="s">
        <v>4</v>
      </c>
      <c r="C354" s="48">
        <f>80*W354</f>
        <v>2000</v>
      </c>
      <c r="D354" s="13">
        <v>80</v>
      </c>
      <c r="E354" s="13">
        <v>33.75</v>
      </c>
      <c r="F354" s="13">
        <v>0</v>
      </c>
      <c r="G354" s="13">
        <v>0</v>
      </c>
      <c r="H354" s="13">
        <v>0</v>
      </c>
      <c r="I354" s="13">
        <v>0</v>
      </c>
      <c r="J354" s="13">
        <v>0</v>
      </c>
      <c r="K354" s="13">
        <v>0</v>
      </c>
      <c r="L354" s="45">
        <v>0</v>
      </c>
      <c r="M354" s="34"/>
      <c r="N354" s="13">
        <v>80</v>
      </c>
      <c r="O354" s="13">
        <v>35.75</v>
      </c>
      <c r="P354" s="13">
        <v>0</v>
      </c>
      <c r="Q354" s="13">
        <v>0</v>
      </c>
      <c r="R354" s="34"/>
      <c r="S354" s="13">
        <f t="shared" si="502"/>
        <v>113.75</v>
      </c>
      <c r="T354" s="13">
        <f t="shared" si="499"/>
        <v>115.75</v>
      </c>
      <c r="U354" s="13">
        <f>SUM(H354:K354)</f>
        <v>0</v>
      </c>
      <c r="V354" s="34"/>
      <c r="W354" s="45">
        <v>25</v>
      </c>
      <c r="X354" s="10">
        <f t="shared" si="495"/>
        <v>3265.625</v>
      </c>
      <c r="Y354" s="10">
        <f t="shared" si="503"/>
        <v>0</v>
      </c>
      <c r="Z354" s="10">
        <f t="shared" si="504"/>
        <v>0</v>
      </c>
      <c r="AA354" s="14">
        <f t="shared" si="505"/>
        <v>0</v>
      </c>
      <c r="AB354" s="14">
        <f t="shared" si="497"/>
        <v>3340.625</v>
      </c>
      <c r="AC354" s="11">
        <f t="shared" si="506"/>
        <v>0</v>
      </c>
      <c r="AD354" s="215"/>
      <c r="AE354" s="11">
        <f t="shared" si="500"/>
        <v>75</v>
      </c>
      <c r="AF354" s="212"/>
      <c r="AG354" s="8"/>
    </row>
    <row r="355" spans="1:33" x14ac:dyDescent="0.45">
      <c r="A355" s="22">
        <f t="shared" si="501"/>
        <v>44304</v>
      </c>
      <c r="B355" s="15" t="s">
        <v>5</v>
      </c>
      <c r="C355" s="48">
        <f>120*W355</f>
        <v>3360</v>
      </c>
      <c r="D355" s="13">
        <v>80</v>
      </c>
      <c r="E355" s="13">
        <v>18</v>
      </c>
      <c r="F355" s="13">
        <v>0</v>
      </c>
      <c r="G355" s="13">
        <v>0</v>
      </c>
      <c r="H355" s="13">
        <v>0</v>
      </c>
      <c r="I355" s="13">
        <v>0</v>
      </c>
      <c r="J355" s="13">
        <v>0</v>
      </c>
      <c r="K355" s="13">
        <v>0</v>
      </c>
      <c r="L355" s="45">
        <v>0</v>
      </c>
      <c r="M355" s="34"/>
      <c r="N355" s="13">
        <v>80</v>
      </c>
      <c r="O355" s="13">
        <v>18.5</v>
      </c>
      <c r="P355" s="13">
        <v>0</v>
      </c>
      <c r="Q355" s="13">
        <v>0</v>
      </c>
      <c r="R355" s="34"/>
      <c r="S355" s="13">
        <f t="shared" si="502"/>
        <v>98</v>
      </c>
      <c r="T355" s="13">
        <f t="shared" si="499"/>
        <v>98.5</v>
      </c>
      <c r="U355" s="13">
        <f t="shared" ref="U355:U357" si="507">SUM(H355:K355)</f>
        <v>0</v>
      </c>
      <c r="V355" s="34"/>
      <c r="W355" s="45">
        <v>28</v>
      </c>
      <c r="X355" s="10">
        <f t="shared" si="495"/>
        <v>2996</v>
      </c>
      <c r="Y355" s="10">
        <f t="shared" si="503"/>
        <v>0</v>
      </c>
      <c r="Z355" s="10">
        <f t="shared" si="504"/>
        <v>0</v>
      </c>
      <c r="AA355" s="14">
        <f t="shared" si="505"/>
        <v>0</v>
      </c>
      <c r="AB355" s="14">
        <f t="shared" si="497"/>
        <v>3017</v>
      </c>
      <c r="AC355" s="11">
        <f t="shared" si="506"/>
        <v>0</v>
      </c>
      <c r="AD355" s="215"/>
      <c r="AE355" s="11">
        <f t="shared" si="500"/>
        <v>21</v>
      </c>
      <c r="AF355" s="212"/>
      <c r="AG355" s="8"/>
    </row>
    <row r="356" spans="1:33" x14ac:dyDescent="0.45">
      <c r="A356" s="22">
        <f t="shared" si="501"/>
        <v>44304</v>
      </c>
      <c r="B356" s="15" t="s">
        <v>6</v>
      </c>
      <c r="C356" s="48">
        <f>80*W356</f>
        <v>2056</v>
      </c>
      <c r="D356" s="13">
        <v>80</v>
      </c>
      <c r="E356" s="13">
        <v>32.75</v>
      </c>
      <c r="F356" s="13">
        <v>0</v>
      </c>
      <c r="G356" s="13">
        <v>0</v>
      </c>
      <c r="H356" s="13">
        <v>0</v>
      </c>
      <c r="I356" s="13">
        <v>0</v>
      </c>
      <c r="J356" s="13">
        <v>0</v>
      </c>
      <c r="K356" s="13">
        <v>0</v>
      </c>
      <c r="L356" s="45">
        <v>0</v>
      </c>
      <c r="M356" s="34"/>
      <c r="N356" s="13">
        <v>80</v>
      </c>
      <c r="O356" s="13">
        <v>32.75</v>
      </c>
      <c r="P356" s="13">
        <v>0</v>
      </c>
      <c r="Q356" s="13">
        <v>0</v>
      </c>
      <c r="R356" s="34"/>
      <c r="S356" s="13">
        <f t="shared" si="502"/>
        <v>112.75</v>
      </c>
      <c r="T356" s="13">
        <f t="shared" si="499"/>
        <v>112.75</v>
      </c>
      <c r="U356" s="13">
        <f t="shared" si="507"/>
        <v>0</v>
      </c>
      <c r="V356" s="34"/>
      <c r="W356" s="45">
        <v>25.7</v>
      </c>
      <c r="X356" s="10">
        <f t="shared" si="495"/>
        <v>3318.5124999999998</v>
      </c>
      <c r="Y356" s="10">
        <f t="shared" si="503"/>
        <v>0</v>
      </c>
      <c r="Z356" s="10">
        <f t="shared" si="504"/>
        <v>0</v>
      </c>
      <c r="AA356" s="14">
        <f t="shared" si="505"/>
        <v>0</v>
      </c>
      <c r="AB356" s="14">
        <f t="shared" si="497"/>
        <v>3318.5124999999998</v>
      </c>
      <c r="AC356" s="11">
        <f t="shared" si="506"/>
        <v>0</v>
      </c>
      <c r="AD356" s="215"/>
      <c r="AE356" s="11">
        <f t="shared" si="500"/>
        <v>0</v>
      </c>
      <c r="AF356" s="212"/>
      <c r="AG356" s="8"/>
    </row>
    <row r="357" spans="1:33" x14ac:dyDescent="0.45">
      <c r="A357" s="22">
        <f>A356</f>
        <v>44304</v>
      </c>
      <c r="B357" s="15" t="s">
        <v>9</v>
      </c>
      <c r="C357" s="48">
        <f>120*W357</f>
        <v>3420</v>
      </c>
      <c r="D357" s="13">
        <v>80</v>
      </c>
      <c r="E357" s="13">
        <v>10</v>
      </c>
      <c r="F357" s="13">
        <v>9</v>
      </c>
      <c r="G357" s="13">
        <v>12</v>
      </c>
      <c r="H357" s="13">
        <v>0</v>
      </c>
      <c r="I357" s="13">
        <v>0</v>
      </c>
      <c r="J357" s="13">
        <v>0</v>
      </c>
      <c r="K357" s="13">
        <v>0</v>
      </c>
      <c r="L357" s="45">
        <v>0</v>
      </c>
      <c r="M357" s="34"/>
      <c r="N357" s="13">
        <v>80</v>
      </c>
      <c r="O357" s="13">
        <v>10</v>
      </c>
      <c r="P357" s="13">
        <v>9</v>
      </c>
      <c r="Q357" s="13">
        <v>12</v>
      </c>
      <c r="R357" s="34"/>
      <c r="S357" s="13">
        <f t="shared" si="502"/>
        <v>111</v>
      </c>
      <c r="T357" s="13">
        <f t="shared" si="499"/>
        <v>111</v>
      </c>
      <c r="U357" s="13">
        <f t="shared" si="507"/>
        <v>0</v>
      </c>
      <c r="V357" s="34"/>
      <c r="W357" s="45">
        <v>28.5</v>
      </c>
      <c r="X357" s="10">
        <f t="shared" si="495"/>
        <v>3562.5</v>
      </c>
      <c r="Y357" s="10">
        <f>(W357*0*H357)+(W357*1*I357)</f>
        <v>0</v>
      </c>
      <c r="Z357" s="10">
        <f t="shared" si="504"/>
        <v>0</v>
      </c>
      <c r="AA357" s="14">
        <f t="shared" si="505"/>
        <v>0</v>
      </c>
      <c r="AB357" s="14">
        <f t="shared" si="497"/>
        <v>3562.5</v>
      </c>
      <c r="AC357" s="11">
        <f t="shared" si="506"/>
        <v>0</v>
      </c>
      <c r="AD357" s="215"/>
      <c r="AE357" s="11">
        <f t="shared" si="500"/>
        <v>0</v>
      </c>
      <c r="AF357" s="212"/>
      <c r="AG357" s="8"/>
    </row>
    <row r="358" spans="1:33" x14ac:dyDescent="0.45">
      <c r="A358" s="22">
        <f t="shared" si="501"/>
        <v>44304</v>
      </c>
      <c r="B358" s="50" t="s">
        <v>31</v>
      </c>
      <c r="C358" s="48">
        <f>80*W358</f>
        <v>2160</v>
      </c>
      <c r="D358" s="51">
        <v>76.5</v>
      </c>
      <c r="E358" s="51">
        <v>2.25</v>
      </c>
      <c r="F358" s="51">
        <v>0</v>
      </c>
      <c r="G358" s="51">
        <v>0</v>
      </c>
      <c r="H358" s="51">
        <v>0</v>
      </c>
      <c r="I358" s="51">
        <v>0</v>
      </c>
      <c r="J358" s="51">
        <v>0</v>
      </c>
      <c r="K358" s="51">
        <v>0</v>
      </c>
      <c r="L358" s="52">
        <v>0</v>
      </c>
      <c r="M358" s="34"/>
      <c r="N358" s="51">
        <v>77.5</v>
      </c>
      <c r="O358" s="51">
        <v>2.25</v>
      </c>
      <c r="P358" s="51">
        <v>0</v>
      </c>
      <c r="Q358" s="51">
        <v>0</v>
      </c>
      <c r="R358" s="34"/>
      <c r="S358" s="51">
        <f t="shared" ref="S358" si="508">SUM(D358:G358)</f>
        <v>78.75</v>
      </c>
      <c r="T358" s="51">
        <f t="shared" si="499"/>
        <v>79.75</v>
      </c>
      <c r="U358" s="51">
        <f t="shared" ref="U358" si="509">SUM(H358:K358)</f>
        <v>0</v>
      </c>
      <c r="V358" s="34"/>
      <c r="W358" s="52">
        <v>27</v>
      </c>
      <c r="X358" s="53">
        <f>(W358*1*D358)+(W358*1.5*E358)+(W358*2*F358)+(W358*1*G358)</f>
        <v>2156.625</v>
      </c>
      <c r="Y358" s="53">
        <f t="shared" ref="Y358:Y360" si="510">(W358*0*H358)+(W358*1*I358)</f>
        <v>0</v>
      </c>
      <c r="Z358" s="53">
        <f>(W358*1*J358)+L358</f>
        <v>0</v>
      </c>
      <c r="AA358" s="54">
        <f t="shared" si="505"/>
        <v>0</v>
      </c>
      <c r="AB358" s="54">
        <f>(W358*1*N358)+(W358*1.5*O358)+(W358*2*P358)+(W358*1*Q358)</f>
        <v>2183.625</v>
      </c>
      <c r="AC358" s="55">
        <f t="shared" si="506"/>
        <v>0</v>
      </c>
      <c r="AD358" s="217"/>
      <c r="AE358" s="55">
        <f>AB358-(X358+Z358)</f>
        <v>27</v>
      </c>
      <c r="AF358" s="212"/>
      <c r="AG358" s="8"/>
    </row>
    <row r="359" spans="1:33" x14ac:dyDescent="0.45">
      <c r="A359" s="22">
        <f t="shared" si="501"/>
        <v>44304</v>
      </c>
      <c r="B359" s="50" t="s">
        <v>51</v>
      </c>
      <c r="C359" s="48">
        <f t="shared" ref="C359:C360" si="511">80*W359</f>
        <v>1600</v>
      </c>
      <c r="D359" s="51">
        <v>79</v>
      </c>
      <c r="E359" s="51">
        <v>12.25</v>
      </c>
      <c r="F359" s="51">
        <v>0</v>
      </c>
      <c r="G359" s="51">
        <v>0</v>
      </c>
      <c r="H359" s="51">
        <v>0</v>
      </c>
      <c r="I359" s="51">
        <v>0</v>
      </c>
      <c r="J359" s="51">
        <v>0</v>
      </c>
      <c r="K359" s="51">
        <v>0</v>
      </c>
      <c r="L359" s="52">
        <v>0</v>
      </c>
      <c r="M359" s="34"/>
      <c r="N359" s="51">
        <v>80</v>
      </c>
      <c r="O359" s="51">
        <v>13.25</v>
      </c>
      <c r="P359" s="51">
        <v>0</v>
      </c>
      <c r="Q359" s="51">
        <v>0</v>
      </c>
      <c r="R359" s="34"/>
      <c r="S359" s="51">
        <f t="shared" ref="S359:S360" si="512">SUM(D359:G359)</f>
        <v>91.25</v>
      </c>
      <c r="T359" s="51">
        <f t="shared" si="499"/>
        <v>93.25</v>
      </c>
      <c r="U359" s="51">
        <f t="shared" ref="U359:U362" si="513">SUM(H359:K359)</f>
        <v>0</v>
      </c>
      <c r="V359" s="34"/>
      <c r="W359" s="52">
        <v>20</v>
      </c>
      <c r="X359" s="53">
        <f t="shared" ref="X359:X366" si="514">(W359*1*D359)+(W359*1.5*E359)+(W359*2*F359)+(W359*1*G359)</f>
        <v>1947.5</v>
      </c>
      <c r="Y359" s="53">
        <f t="shared" si="510"/>
        <v>0</v>
      </c>
      <c r="Z359" s="53">
        <f t="shared" ref="Z359:Z360" si="515">(W359*1*J359)+L359</f>
        <v>0</v>
      </c>
      <c r="AA359" s="54">
        <f t="shared" si="505"/>
        <v>0</v>
      </c>
      <c r="AB359" s="54">
        <f t="shared" ref="AB359:AB366" si="516">(W359*1*N359)+(W359*1.5*O359)+(W359*2*P359)+(W359*1*Q359)</f>
        <v>1997.5</v>
      </c>
      <c r="AC359" s="55">
        <f t="shared" si="506"/>
        <v>0</v>
      </c>
      <c r="AD359" s="217"/>
      <c r="AE359" s="55">
        <f>AB359-(X359+Z359)</f>
        <v>50</v>
      </c>
      <c r="AF359" s="212"/>
      <c r="AG359" s="8"/>
    </row>
    <row r="360" spans="1:33" ht="14.65" thickBot="1" x14ac:dyDescent="0.5">
      <c r="A360" s="23">
        <f>A359</f>
        <v>44304</v>
      </c>
      <c r="B360" s="24" t="s">
        <v>52</v>
      </c>
      <c r="C360" s="49">
        <f t="shared" si="511"/>
        <v>1600</v>
      </c>
      <c r="D360" s="25">
        <v>80</v>
      </c>
      <c r="E360" s="25">
        <v>25.5</v>
      </c>
      <c r="F360" s="25">
        <v>0</v>
      </c>
      <c r="G360" s="25">
        <v>0</v>
      </c>
      <c r="H360" s="25">
        <v>0</v>
      </c>
      <c r="I360" s="25">
        <v>0</v>
      </c>
      <c r="J360" s="25">
        <v>0</v>
      </c>
      <c r="K360" s="25">
        <v>0</v>
      </c>
      <c r="L360" s="46">
        <v>0</v>
      </c>
      <c r="M360" s="35"/>
      <c r="N360" s="25">
        <v>80</v>
      </c>
      <c r="O360" s="25">
        <v>24.5</v>
      </c>
      <c r="P360" s="25">
        <v>1</v>
      </c>
      <c r="Q360" s="25">
        <v>0</v>
      </c>
      <c r="R360" s="35"/>
      <c r="S360" s="25">
        <f t="shared" si="512"/>
        <v>105.5</v>
      </c>
      <c r="T360" s="25">
        <f t="shared" ref="T360" si="517">SUM(N360:Q360)</f>
        <v>105.5</v>
      </c>
      <c r="U360" s="25">
        <f t="shared" si="513"/>
        <v>0</v>
      </c>
      <c r="V360" s="35"/>
      <c r="W360" s="46">
        <v>20</v>
      </c>
      <c r="X360" s="26">
        <f t="shared" si="514"/>
        <v>2365</v>
      </c>
      <c r="Y360" s="26">
        <f t="shared" si="510"/>
        <v>0</v>
      </c>
      <c r="Z360" s="26">
        <f t="shared" si="515"/>
        <v>0</v>
      </c>
      <c r="AA360" s="27">
        <f t="shared" si="505"/>
        <v>0</v>
      </c>
      <c r="AB360" s="27">
        <f t="shared" si="516"/>
        <v>2375</v>
      </c>
      <c r="AC360" s="12">
        <f t="shared" si="506"/>
        <v>0</v>
      </c>
      <c r="AD360" s="216"/>
      <c r="AE360" s="12">
        <f>AB360-(X360+Z360)</f>
        <v>10</v>
      </c>
      <c r="AF360" s="213"/>
      <c r="AG360" s="8"/>
    </row>
    <row r="361" spans="1:33" x14ac:dyDescent="0.45">
      <c r="A361" s="16">
        <f>A360+14</f>
        <v>44318</v>
      </c>
      <c r="B361" s="17" t="s">
        <v>0</v>
      </c>
      <c r="C361" s="47">
        <f>80*W361</f>
        <v>2280</v>
      </c>
      <c r="D361" s="18">
        <v>80</v>
      </c>
      <c r="E361" s="18">
        <v>15.75</v>
      </c>
      <c r="F361" s="18">
        <v>0</v>
      </c>
      <c r="G361" s="18">
        <v>0</v>
      </c>
      <c r="H361" s="18">
        <v>0</v>
      </c>
      <c r="I361" s="18">
        <v>0</v>
      </c>
      <c r="J361" s="18">
        <v>0</v>
      </c>
      <c r="K361" s="18">
        <v>0</v>
      </c>
      <c r="L361" s="44">
        <v>0</v>
      </c>
      <c r="M361" s="33"/>
      <c r="N361" s="18">
        <v>80</v>
      </c>
      <c r="O361" s="18">
        <v>15.75</v>
      </c>
      <c r="P361" s="18">
        <v>0</v>
      </c>
      <c r="Q361" s="18">
        <v>0</v>
      </c>
      <c r="R361" s="33"/>
      <c r="S361" s="36">
        <f>SUM(D361:G361)</f>
        <v>95.75</v>
      </c>
      <c r="T361" s="36">
        <f t="shared" ref="T361:T368" si="518">SUM(N361:Q361)</f>
        <v>95.75</v>
      </c>
      <c r="U361" s="18">
        <f t="shared" si="513"/>
        <v>0</v>
      </c>
      <c r="V361" s="33"/>
      <c r="W361" s="44">
        <v>28.5</v>
      </c>
      <c r="X361" s="19">
        <f t="shared" si="514"/>
        <v>2953.3125</v>
      </c>
      <c r="Y361" s="19">
        <f>(W361*0*H361)+(W361*1*I361)</f>
        <v>0</v>
      </c>
      <c r="Z361" s="19">
        <f>(W361*1*J361)+L361</f>
        <v>0</v>
      </c>
      <c r="AA361" s="20">
        <f>(W361*1*K361)</f>
        <v>0</v>
      </c>
      <c r="AB361" s="20">
        <f t="shared" si="516"/>
        <v>2953.3125</v>
      </c>
      <c r="AC361" s="21">
        <f>0-Y361-AA361</f>
        <v>0</v>
      </c>
      <c r="AD361" s="214">
        <f>SUM(AC361:AC369)</f>
        <v>0</v>
      </c>
      <c r="AE361" s="21">
        <f t="shared" ref="AE361:AE366" si="519">AB361-(X361+Z361)</f>
        <v>0</v>
      </c>
      <c r="AF361" s="211">
        <f>SUM(AE361:AE369)</f>
        <v>-93.75</v>
      </c>
      <c r="AG361" s="8"/>
    </row>
    <row r="362" spans="1:33" x14ac:dyDescent="0.45">
      <c r="A362" s="22">
        <f t="shared" ref="A362:A368" si="520">A361</f>
        <v>44318</v>
      </c>
      <c r="B362" s="15" t="s">
        <v>30</v>
      </c>
      <c r="C362" s="48">
        <f>120*W362</f>
        <v>3780</v>
      </c>
      <c r="D362" s="13">
        <v>80</v>
      </c>
      <c r="E362" s="13">
        <v>1.5</v>
      </c>
      <c r="F362" s="13">
        <v>0</v>
      </c>
      <c r="G362" s="13">
        <v>0</v>
      </c>
      <c r="H362" s="13">
        <v>0</v>
      </c>
      <c r="I362" s="13">
        <v>0</v>
      </c>
      <c r="J362" s="13">
        <v>0</v>
      </c>
      <c r="K362" s="13">
        <v>0</v>
      </c>
      <c r="L362" s="45">
        <v>0</v>
      </c>
      <c r="M362" s="34"/>
      <c r="N362" s="13">
        <v>80</v>
      </c>
      <c r="O362" s="13">
        <v>1.5</v>
      </c>
      <c r="P362" s="13">
        <v>0</v>
      </c>
      <c r="Q362" s="13">
        <v>0</v>
      </c>
      <c r="R362" s="34"/>
      <c r="S362" s="13">
        <f t="shared" ref="S362:S366" si="521">SUM(D362:G362)</f>
        <v>81.5</v>
      </c>
      <c r="T362" s="13">
        <f t="shared" si="518"/>
        <v>81.5</v>
      </c>
      <c r="U362" s="13">
        <f t="shared" si="513"/>
        <v>0</v>
      </c>
      <c r="V362" s="34"/>
      <c r="W362" s="45">
        <v>31.5</v>
      </c>
      <c r="X362" s="10">
        <f t="shared" si="514"/>
        <v>2590.875</v>
      </c>
      <c r="Y362" s="10">
        <f t="shared" ref="Y362:Y365" si="522">(W362*0*H362)+(W362*1*I362)</f>
        <v>0</v>
      </c>
      <c r="Z362" s="10">
        <f t="shared" ref="Z362:Z366" si="523">(W362*1*J362)+L362</f>
        <v>0</v>
      </c>
      <c r="AA362" s="14">
        <f t="shared" ref="AA362:AA369" si="524">(W362*1*K362)</f>
        <v>0</v>
      </c>
      <c r="AB362" s="14">
        <f t="shared" si="516"/>
        <v>2590.875</v>
      </c>
      <c r="AC362" s="11">
        <f t="shared" ref="AC362:AC369" si="525">0-Y362-AA362</f>
        <v>0</v>
      </c>
      <c r="AD362" s="215"/>
      <c r="AE362" s="11">
        <f t="shared" si="519"/>
        <v>0</v>
      </c>
      <c r="AF362" s="212"/>
      <c r="AG362" s="8"/>
    </row>
    <row r="363" spans="1:33" x14ac:dyDescent="0.45">
      <c r="A363" s="22">
        <f>A362</f>
        <v>44318</v>
      </c>
      <c r="B363" s="15" t="s">
        <v>4</v>
      </c>
      <c r="C363" s="48">
        <f>80*W363</f>
        <v>2000</v>
      </c>
      <c r="D363" s="13">
        <v>80</v>
      </c>
      <c r="E363" s="13">
        <v>20.5</v>
      </c>
      <c r="F363" s="13">
        <v>12</v>
      </c>
      <c r="G363" s="13">
        <v>11</v>
      </c>
      <c r="H363" s="13">
        <v>0</v>
      </c>
      <c r="I363" s="13">
        <v>0</v>
      </c>
      <c r="J363" s="13">
        <v>0</v>
      </c>
      <c r="K363" s="13">
        <v>0</v>
      </c>
      <c r="L363" s="45">
        <v>0</v>
      </c>
      <c r="M363" s="34"/>
      <c r="N363" s="13">
        <v>80</v>
      </c>
      <c r="O363" s="13">
        <v>18</v>
      </c>
      <c r="P363" s="13">
        <v>12</v>
      </c>
      <c r="Q363" s="13">
        <v>11</v>
      </c>
      <c r="R363" s="34"/>
      <c r="S363" s="13">
        <f t="shared" si="521"/>
        <v>123.5</v>
      </c>
      <c r="T363" s="13">
        <f t="shared" si="518"/>
        <v>121</v>
      </c>
      <c r="U363" s="13">
        <f>SUM(H363:K363)</f>
        <v>0</v>
      </c>
      <c r="V363" s="34"/>
      <c r="W363" s="45">
        <v>25</v>
      </c>
      <c r="X363" s="10">
        <f t="shared" si="514"/>
        <v>3643.75</v>
      </c>
      <c r="Y363" s="10">
        <f t="shared" si="522"/>
        <v>0</v>
      </c>
      <c r="Z363" s="10">
        <f t="shared" si="523"/>
        <v>0</v>
      </c>
      <c r="AA363" s="14">
        <f t="shared" si="524"/>
        <v>0</v>
      </c>
      <c r="AB363" s="14">
        <f t="shared" si="516"/>
        <v>3550</v>
      </c>
      <c r="AC363" s="11">
        <f t="shared" si="525"/>
        <v>0</v>
      </c>
      <c r="AD363" s="215"/>
      <c r="AE363" s="11">
        <f t="shared" si="519"/>
        <v>-93.75</v>
      </c>
      <c r="AF363" s="212"/>
      <c r="AG363" s="8"/>
    </row>
    <row r="364" spans="1:33" x14ac:dyDescent="0.45">
      <c r="A364" s="22">
        <f t="shared" si="520"/>
        <v>44318</v>
      </c>
      <c r="B364" s="15" t="s">
        <v>5</v>
      </c>
      <c r="C364" s="48">
        <f>120*W364</f>
        <v>3360</v>
      </c>
      <c r="D364" s="13">
        <v>80</v>
      </c>
      <c r="E364" s="13">
        <v>18</v>
      </c>
      <c r="F364" s="13">
        <v>0</v>
      </c>
      <c r="G364" s="13">
        <v>0</v>
      </c>
      <c r="H364" s="13">
        <v>0</v>
      </c>
      <c r="I364" s="13">
        <v>0</v>
      </c>
      <c r="J364" s="13">
        <v>0</v>
      </c>
      <c r="K364" s="13">
        <v>0</v>
      </c>
      <c r="L364" s="45">
        <v>0</v>
      </c>
      <c r="M364" s="34"/>
      <c r="N364" s="13">
        <v>80</v>
      </c>
      <c r="O364" s="13">
        <v>18</v>
      </c>
      <c r="P364" s="13">
        <v>0</v>
      </c>
      <c r="Q364" s="13">
        <v>0</v>
      </c>
      <c r="R364" s="34"/>
      <c r="S364" s="13">
        <f t="shared" si="521"/>
        <v>98</v>
      </c>
      <c r="T364" s="13">
        <f t="shared" si="518"/>
        <v>98</v>
      </c>
      <c r="U364" s="13">
        <f t="shared" ref="U364:U366" si="526">SUM(H364:K364)</f>
        <v>0</v>
      </c>
      <c r="V364" s="34"/>
      <c r="W364" s="45">
        <v>28</v>
      </c>
      <c r="X364" s="10">
        <f t="shared" si="514"/>
        <v>2996</v>
      </c>
      <c r="Y364" s="10">
        <f t="shared" si="522"/>
        <v>0</v>
      </c>
      <c r="Z364" s="10">
        <f t="shared" si="523"/>
        <v>0</v>
      </c>
      <c r="AA364" s="14">
        <f t="shared" si="524"/>
        <v>0</v>
      </c>
      <c r="AB364" s="14">
        <f t="shared" si="516"/>
        <v>2996</v>
      </c>
      <c r="AC364" s="11">
        <f t="shared" si="525"/>
        <v>0</v>
      </c>
      <c r="AD364" s="215"/>
      <c r="AE364" s="11">
        <f t="shared" si="519"/>
        <v>0</v>
      </c>
      <c r="AF364" s="212"/>
      <c r="AG364" s="8"/>
    </row>
    <row r="365" spans="1:33" x14ac:dyDescent="0.45">
      <c r="A365" s="22">
        <f t="shared" si="520"/>
        <v>44318</v>
      </c>
      <c r="B365" s="15" t="s">
        <v>6</v>
      </c>
      <c r="C365" s="48">
        <f>80*W365</f>
        <v>2056</v>
      </c>
      <c r="D365" s="13">
        <v>80</v>
      </c>
      <c r="E365" s="13">
        <v>16.5</v>
      </c>
      <c r="F365" s="13">
        <v>0</v>
      </c>
      <c r="G365" s="13">
        <v>0</v>
      </c>
      <c r="H365" s="13">
        <v>0</v>
      </c>
      <c r="I365" s="13">
        <v>0</v>
      </c>
      <c r="J365" s="13">
        <v>0</v>
      </c>
      <c r="K365" s="13">
        <v>0</v>
      </c>
      <c r="L365" s="45">
        <v>0</v>
      </c>
      <c r="M365" s="34"/>
      <c r="N365" s="13">
        <v>80</v>
      </c>
      <c r="O365" s="13">
        <v>16.5</v>
      </c>
      <c r="P365" s="13">
        <v>0</v>
      </c>
      <c r="Q365" s="13">
        <v>0</v>
      </c>
      <c r="R365" s="34"/>
      <c r="S365" s="13">
        <f t="shared" si="521"/>
        <v>96.5</v>
      </c>
      <c r="T365" s="13">
        <f t="shared" si="518"/>
        <v>96.5</v>
      </c>
      <c r="U365" s="13">
        <f t="shared" si="526"/>
        <v>0</v>
      </c>
      <c r="V365" s="34"/>
      <c r="W365" s="45">
        <v>25.7</v>
      </c>
      <c r="X365" s="10">
        <f t="shared" si="514"/>
        <v>2692.0749999999998</v>
      </c>
      <c r="Y365" s="10">
        <f t="shared" si="522"/>
        <v>0</v>
      </c>
      <c r="Z365" s="10">
        <f t="shared" si="523"/>
        <v>0</v>
      </c>
      <c r="AA365" s="14">
        <f t="shared" si="524"/>
        <v>0</v>
      </c>
      <c r="AB365" s="14">
        <f t="shared" si="516"/>
        <v>2692.0749999999998</v>
      </c>
      <c r="AC365" s="11">
        <f t="shared" si="525"/>
        <v>0</v>
      </c>
      <c r="AD365" s="215"/>
      <c r="AE365" s="11">
        <f t="shared" si="519"/>
        <v>0</v>
      </c>
      <c r="AF365" s="212"/>
      <c r="AG365" s="8"/>
    </row>
    <row r="366" spans="1:33" x14ac:dyDescent="0.45">
      <c r="A366" s="22">
        <f>A365</f>
        <v>44318</v>
      </c>
      <c r="B366" s="15" t="s">
        <v>9</v>
      </c>
      <c r="C366" s="48">
        <f>120*W366</f>
        <v>3420</v>
      </c>
      <c r="D366" s="13">
        <v>80</v>
      </c>
      <c r="E366" s="13">
        <v>10.5</v>
      </c>
      <c r="F366" s="13">
        <v>0</v>
      </c>
      <c r="G366" s="13">
        <v>11</v>
      </c>
      <c r="H366" s="13">
        <v>0</v>
      </c>
      <c r="I366" s="13">
        <v>0</v>
      </c>
      <c r="J366" s="13">
        <v>0</v>
      </c>
      <c r="K366" s="13">
        <v>0</v>
      </c>
      <c r="L366" s="45">
        <v>0</v>
      </c>
      <c r="M366" s="34"/>
      <c r="N366" s="13">
        <v>80</v>
      </c>
      <c r="O366" s="13">
        <v>10.5</v>
      </c>
      <c r="P366" s="13">
        <v>0</v>
      </c>
      <c r="Q366" s="13">
        <v>11</v>
      </c>
      <c r="R366" s="34"/>
      <c r="S366" s="13">
        <f t="shared" si="521"/>
        <v>101.5</v>
      </c>
      <c r="T366" s="13">
        <f t="shared" si="518"/>
        <v>101.5</v>
      </c>
      <c r="U366" s="13">
        <f t="shared" si="526"/>
        <v>0</v>
      </c>
      <c r="V366" s="34"/>
      <c r="W366" s="45">
        <v>28.5</v>
      </c>
      <c r="X366" s="10">
        <f t="shared" si="514"/>
        <v>3042.375</v>
      </c>
      <c r="Y366" s="10">
        <f>(W366*0*H366)+(W366*1*I366)</f>
        <v>0</v>
      </c>
      <c r="Z366" s="10">
        <f t="shared" si="523"/>
        <v>0</v>
      </c>
      <c r="AA366" s="14">
        <f t="shared" si="524"/>
        <v>0</v>
      </c>
      <c r="AB366" s="14">
        <f t="shared" si="516"/>
        <v>3042.375</v>
      </c>
      <c r="AC366" s="11">
        <f t="shared" si="525"/>
        <v>0</v>
      </c>
      <c r="AD366" s="215"/>
      <c r="AE366" s="11">
        <f t="shared" si="519"/>
        <v>0</v>
      </c>
      <c r="AF366" s="212"/>
      <c r="AG366" s="8"/>
    </row>
    <row r="367" spans="1:33" x14ac:dyDescent="0.45">
      <c r="A367" s="22">
        <f t="shared" si="520"/>
        <v>44318</v>
      </c>
      <c r="B367" s="50" t="s">
        <v>31</v>
      </c>
      <c r="C367" s="48">
        <f>80*W367</f>
        <v>2160</v>
      </c>
      <c r="D367" s="51">
        <v>80</v>
      </c>
      <c r="E367" s="51">
        <v>5.5</v>
      </c>
      <c r="F367" s="51">
        <v>0</v>
      </c>
      <c r="G367" s="51">
        <v>0</v>
      </c>
      <c r="H367" s="51">
        <v>0</v>
      </c>
      <c r="I367" s="51">
        <v>0</v>
      </c>
      <c r="J367" s="51">
        <v>0</v>
      </c>
      <c r="K367" s="51">
        <v>0</v>
      </c>
      <c r="L367" s="52">
        <v>0</v>
      </c>
      <c r="M367" s="34"/>
      <c r="N367" s="51">
        <v>80</v>
      </c>
      <c r="O367" s="51">
        <v>5.5</v>
      </c>
      <c r="P367" s="51">
        <v>0</v>
      </c>
      <c r="Q367" s="51">
        <v>0</v>
      </c>
      <c r="R367" s="34"/>
      <c r="S367" s="51">
        <f t="shared" ref="S367" si="527">SUM(D367:G367)</f>
        <v>85.5</v>
      </c>
      <c r="T367" s="51">
        <f t="shared" si="518"/>
        <v>85.5</v>
      </c>
      <c r="U367" s="51">
        <f t="shared" ref="U367" si="528">SUM(H367:K367)</f>
        <v>0</v>
      </c>
      <c r="V367" s="34"/>
      <c r="W367" s="52">
        <v>27</v>
      </c>
      <c r="X367" s="53">
        <f>(W367*1*D367)+(W367*1.5*E367)+(W367*2*F367)+(W367*1*G367)</f>
        <v>2382.75</v>
      </c>
      <c r="Y367" s="53">
        <f t="shared" ref="Y367:Y369" si="529">(W367*0*H367)+(W367*1*I367)</f>
        <v>0</v>
      </c>
      <c r="Z367" s="53">
        <f>(W367*1*J367)+L367</f>
        <v>0</v>
      </c>
      <c r="AA367" s="54">
        <f t="shared" si="524"/>
        <v>0</v>
      </c>
      <c r="AB367" s="54">
        <f>(W367*1*N367)+(W367*1.5*O367)+(W367*2*P367)+(W367*1*Q367)</f>
        <v>2382.75</v>
      </c>
      <c r="AC367" s="55">
        <f t="shared" si="525"/>
        <v>0</v>
      </c>
      <c r="AD367" s="217"/>
      <c r="AE367" s="55">
        <f>AB367-(X367+Z367)</f>
        <v>0</v>
      </c>
      <c r="AF367" s="212"/>
      <c r="AG367" s="8"/>
    </row>
    <row r="368" spans="1:33" x14ac:dyDescent="0.45">
      <c r="A368" s="22">
        <f t="shared" si="520"/>
        <v>44318</v>
      </c>
      <c r="B368" s="50" t="s">
        <v>51</v>
      </c>
      <c r="C368" s="48">
        <f t="shared" ref="C368:C369" si="530">80*W368</f>
        <v>1600</v>
      </c>
      <c r="D368" s="51">
        <v>80</v>
      </c>
      <c r="E368" s="51">
        <v>35.5</v>
      </c>
      <c r="F368" s="51">
        <v>0</v>
      </c>
      <c r="G368" s="51">
        <v>0</v>
      </c>
      <c r="H368" s="51">
        <v>0</v>
      </c>
      <c r="I368" s="51">
        <v>0</v>
      </c>
      <c r="J368" s="51">
        <v>0</v>
      </c>
      <c r="K368" s="51">
        <v>0</v>
      </c>
      <c r="L368" s="52">
        <v>0</v>
      </c>
      <c r="M368" s="34"/>
      <c r="N368" s="51">
        <v>80</v>
      </c>
      <c r="O368" s="51">
        <v>35.5</v>
      </c>
      <c r="P368" s="51">
        <v>0</v>
      </c>
      <c r="Q368" s="51">
        <v>0</v>
      </c>
      <c r="R368" s="34"/>
      <c r="S368" s="51">
        <f t="shared" ref="S368:S369" si="531">SUM(D368:G368)</f>
        <v>115.5</v>
      </c>
      <c r="T368" s="51">
        <f t="shared" si="518"/>
        <v>115.5</v>
      </c>
      <c r="U368" s="51">
        <f t="shared" ref="U368:U371" si="532">SUM(H368:K368)</f>
        <v>0</v>
      </c>
      <c r="V368" s="34"/>
      <c r="W368" s="52">
        <v>20</v>
      </c>
      <c r="X368" s="53">
        <f t="shared" ref="X368:X375" si="533">(W368*1*D368)+(W368*1.5*E368)+(W368*2*F368)+(W368*1*G368)</f>
        <v>2665</v>
      </c>
      <c r="Y368" s="53">
        <f t="shared" si="529"/>
        <v>0</v>
      </c>
      <c r="Z368" s="53">
        <f t="shared" ref="Z368:Z369" si="534">(W368*1*J368)+L368</f>
        <v>0</v>
      </c>
      <c r="AA368" s="54">
        <f t="shared" si="524"/>
        <v>0</v>
      </c>
      <c r="AB368" s="54">
        <f t="shared" ref="AB368:AB375" si="535">(W368*1*N368)+(W368*1.5*O368)+(W368*2*P368)+(W368*1*Q368)</f>
        <v>2665</v>
      </c>
      <c r="AC368" s="55">
        <f t="shared" si="525"/>
        <v>0</v>
      </c>
      <c r="AD368" s="217"/>
      <c r="AE368" s="55">
        <f>AB368-(X368+Z368)</f>
        <v>0</v>
      </c>
      <c r="AF368" s="212"/>
      <c r="AG368" s="8"/>
    </row>
    <row r="369" spans="1:33" ht="14.65" thickBot="1" x14ac:dyDescent="0.5">
      <c r="A369" s="23">
        <f>A368</f>
        <v>44318</v>
      </c>
      <c r="B369" s="24" t="s">
        <v>52</v>
      </c>
      <c r="C369" s="49">
        <f t="shared" si="530"/>
        <v>1600</v>
      </c>
      <c r="D369" s="25">
        <v>80</v>
      </c>
      <c r="E369" s="25">
        <v>28.5</v>
      </c>
      <c r="F369" s="25">
        <v>0</v>
      </c>
      <c r="G369" s="25">
        <v>0</v>
      </c>
      <c r="H369" s="25">
        <v>0</v>
      </c>
      <c r="I369" s="25">
        <v>0</v>
      </c>
      <c r="J369" s="25">
        <v>0</v>
      </c>
      <c r="K369" s="25">
        <v>0</v>
      </c>
      <c r="L369" s="46">
        <v>0</v>
      </c>
      <c r="M369" s="35"/>
      <c r="N369" s="25">
        <v>80</v>
      </c>
      <c r="O369" s="25">
        <v>28.5</v>
      </c>
      <c r="P369" s="25">
        <v>0</v>
      </c>
      <c r="Q369" s="25">
        <v>0</v>
      </c>
      <c r="R369" s="35"/>
      <c r="S369" s="25">
        <f t="shared" si="531"/>
        <v>108.5</v>
      </c>
      <c r="T369" s="25">
        <f t="shared" ref="T369" si="536">SUM(N369:Q369)</f>
        <v>108.5</v>
      </c>
      <c r="U369" s="25">
        <f t="shared" si="532"/>
        <v>0</v>
      </c>
      <c r="V369" s="35"/>
      <c r="W369" s="46">
        <v>20</v>
      </c>
      <c r="X369" s="26">
        <f t="shared" si="533"/>
        <v>2455</v>
      </c>
      <c r="Y369" s="26">
        <f t="shared" si="529"/>
        <v>0</v>
      </c>
      <c r="Z369" s="26">
        <f t="shared" si="534"/>
        <v>0</v>
      </c>
      <c r="AA369" s="27">
        <f t="shared" si="524"/>
        <v>0</v>
      </c>
      <c r="AB369" s="27">
        <f t="shared" si="535"/>
        <v>2455</v>
      </c>
      <c r="AC369" s="12">
        <f t="shared" si="525"/>
        <v>0</v>
      </c>
      <c r="AD369" s="216"/>
      <c r="AE369" s="12">
        <f>AB369-(X369+Z369)</f>
        <v>0</v>
      </c>
      <c r="AF369" s="213"/>
      <c r="AG369" s="8"/>
    </row>
    <row r="370" spans="1:33" x14ac:dyDescent="0.45">
      <c r="A370" s="16">
        <f>A369+14</f>
        <v>44332</v>
      </c>
      <c r="B370" s="17" t="s">
        <v>0</v>
      </c>
      <c r="C370" s="47">
        <f>80*W370</f>
        <v>2280</v>
      </c>
      <c r="D370" s="18">
        <v>80</v>
      </c>
      <c r="E370" s="18">
        <v>28.75</v>
      </c>
      <c r="F370" s="18">
        <v>8</v>
      </c>
      <c r="G370" s="18">
        <v>0</v>
      </c>
      <c r="H370" s="18">
        <v>0</v>
      </c>
      <c r="I370" s="18">
        <v>0</v>
      </c>
      <c r="J370" s="18">
        <v>0</v>
      </c>
      <c r="K370" s="18">
        <v>0</v>
      </c>
      <c r="L370" s="44">
        <v>0</v>
      </c>
      <c r="M370" s="33"/>
      <c r="N370" s="18">
        <v>80</v>
      </c>
      <c r="O370" s="18">
        <v>28.75</v>
      </c>
      <c r="P370" s="18">
        <v>8</v>
      </c>
      <c r="Q370" s="18">
        <v>0</v>
      </c>
      <c r="R370" s="33"/>
      <c r="S370" s="36">
        <f>SUM(D370:G370)</f>
        <v>116.75</v>
      </c>
      <c r="T370" s="36">
        <f t="shared" ref="T370:T377" si="537">SUM(N370:Q370)</f>
        <v>116.75</v>
      </c>
      <c r="U370" s="18">
        <f t="shared" si="532"/>
        <v>0</v>
      </c>
      <c r="V370" s="33"/>
      <c r="W370" s="44">
        <v>28.5</v>
      </c>
      <c r="X370" s="19">
        <f t="shared" si="533"/>
        <v>3965.0625</v>
      </c>
      <c r="Y370" s="19">
        <f>(W370*0*H370)+(W370*1*I370)</f>
        <v>0</v>
      </c>
      <c r="Z370" s="19">
        <f>(W370*1*J370)+L370</f>
        <v>0</v>
      </c>
      <c r="AA370" s="20">
        <f>(W370*1*K370)</f>
        <v>0</v>
      </c>
      <c r="AB370" s="20">
        <f t="shared" si="535"/>
        <v>3965.0625</v>
      </c>
      <c r="AC370" s="21">
        <f>0-Y370-AA370</f>
        <v>0</v>
      </c>
      <c r="AD370" s="214">
        <f>SUM(AC370:AC378)</f>
        <v>-387</v>
      </c>
      <c r="AE370" s="21">
        <f t="shared" ref="AE370:AE375" si="538">AB370-(X370+Z370)</f>
        <v>0</v>
      </c>
      <c r="AF370" s="211">
        <f>SUM(AE370:AE378)</f>
        <v>201.25</v>
      </c>
      <c r="AG370" s="8"/>
    </row>
    <row r="371" spans="1:33" x14ac:dyDescent="0.45">
      <c r="A371" s="22">
        <f t="shared" ref="A371:A377" si="539">A370</f>
        <v>44332</v>
      </c>
      <c r="B371" s="15" t="s">
        <v>30</v>
      </c>
      <c r="C371" s="48">
        <f>120*W371</f>
        <v>3780</v>
      </c>
      <c r="D371" s="13">
        <v>80</v>
      </c>
      <c r="E371" s="13">
        <v>20</v>
      </c>
      <c r="F371" s="13">
        <v>12</v>
      </c>
      <c r="G371" s="13">
        <v>16</v>
      </c>
      <c r="H371" s="13">
        <v>0</v>
      </c>
      <c r="I371" s="13">
        <v>8</v>
      </c>
      <c r="J371" s="13">
        <v>0</v>
      </c>
      <c r="K371" s="13">
        <v>0</v>
      </c>
      <c r="L371" s="45">
        <v>0</v>
      </c>
      <c r="M371" s="34"/>
      <c r="N371" s="13">
        <v>80</v>
      </c>
      <c r="O371" s="13">
        <v>20</v>
      </c>
      <c r="P371" s="13">
        <v>12.5</v>
      </c>
      <c r="Q371" s="13">
        <v>16</v>
      </c>
      <c r="R371" s="34"/>
      <c r="S371" s="13">
        <f t="shared" ref="S371:S375" si="540">SUM(D371:G371)</f>
        <v>128</v>
      </c>
      <c r="T371" s="13">
        <f t="shared" si="537"/>
        <v>128.5</v>
      </c>
      <c r="U371" s="13">
        <f t="shared" si="532"/>
        <v>8</v>
      </c>
      <c r="V371" s="34"/>
      <c r="W371" s="45">
        <v>31.5</v>
      </c>
      <c r="X371" s="10">
        <f t="shared" si="533"/>
        <v>4725</v>
      </c>
      <c r="Y371" s="10">
        <f t="shared" ref="Y371:Y374" si="541">(W371*0*H371)+(W371*1*I371)</f>
        <v>252</v>
      </c>
      <c r="Z371" s="10">
        <f t="shared" ref="Z371:Z375" si="542">(W371*1*J371)+L371</f>
        <v>0</v>
      </c>
      <c r="AA371" s="14">
        <f t="shared" ref="AA371:AA378" si="543">(W371*1*K371)</f>
        <v>0</v>
      </c>
      <c r="AB371" s="14">
        <f t="shared" si="535"/>
        <v>4756.5</v>
      </c>
      <c r="AC371" s="11">
        <f t="shared" ref="AC371:AC378" si="544">0-Y371-AA371</f>
        <v>-252</v>
      </c>
      <c r="AD371" s="215"/>
      <c r="AE371" s="11">
        <f t="shared" si="538"/>
        <v>31.5</v>
      </c>
      <c r="AF371" s="212"/>
      <c r="AG371" s="8"/>
    </row>
    <row r="372" spans="1:33" x14ac:dyDescent="0.45">
      <c r="A372" s="22">
        <f>A371</f>
        <v>44332</v>
      </c>
      <c r="B372" s="15" t="s">
        <v>4</v>
      </c>
      <c r="C372" s="48">
        <f>80*W372</f>
        <v>2000</v>
      </c>
      <c r="D372" s="13">
        <v>80</v>
      </c>
      <c r="E372" s="13">
        <v>40</v>
      </c>
      <c r="F372" s="13">
        <v>12</v>
      </c>
      <c r="G372" s="13">
        <v>8.5</v>
      </c>
      <c r="H372" s="13">
        <v>0</v>
      </c>
      <c r="I372" s="13">
        <v>0</v>
      </c>
      <c r="J372" s="13">
        <v>0</v>
      </c>
      <c r="K372" s="13">
        <v>0</v>
      </c>
      <c r="L372" s="45">
        <v>0</v>
      </c>
      <c r="M372" s="34"/>
      <c r="N372" s="13">
        <v>80</v>
      </c>
      <c r="O372" s="13">
        <v>40</v>
      </c>
      <c r="P372" s="13">
        <v>12</v>
      </c>
      <c r="Q372" s="13">
        <v>8</v>
      </c>
      <c r="R372" s="34"/>
      <c r="S372" s="13">
        <f t="shared" si="540"/>
        <v>140.5</v>
      </c>
      <c r="T372" s="13">
        <f t="shared" si="537"/>
        <v>140</v>
      </c>
      <c r="U372" s="13">
        <f>SUM(H372:K372)</f>
        <v>0</v>
      </c>
      <c r="V372" s="34"/>
      <c r="W372" s="45">
        <v>25</v>
      </c>
      <c r="X372" s="10">
        <f t="shared" si="533"/>
        <v>4312.5</v>
      </c>
      <c r="Y372" s="10">
        <f t="shared" si="541"/>
        <v>0</v>
      </c>
      <c r="Z372" s="10">
        <f t="shared" si="542"/>
        <v>0</v>
      </c>
      <c r="AA372" s="14">
        <f t="shared" si="543"/>
        <v>0</v>
      </c>
      <c r="AB372" s="14">
        <f t="shared" si="535"/>
        <v>4300</v>
      </c>
      <c r="AC372" s="11">
        <f t="shared" si="544"/>
        <v>0</v>
      </c>
      <c r="AD372" s="215"/>
      <c r="AE372" s="11">
        <f t="shared" si="538"/>
        <v>-12.5</v>
      </c>
      <c r="AF372" s="212"/>
      <c r="AG372" s="8"/>
    </row>
    <row r="373" spans="1:33" x14ac:dyDescent="0.45">
      <c r="A373" s="22">
        <f t="shared" si="539"/>
        <v>44332</v>
      </c>
      <c r="B373" s="15" t="s">
        <v>5</v>
      </c>
      <c r="C373" s="48">
        <f>120*W373</f>
        <v>3360</v>
      </c>
      <c r="D373" s="13">
        <v>80</v>
      </c>
      <c r="E373" s="13">
        <v>35.75</v>
      </c>
      <c r="F373" s="13">
        <v>10.75</v>
      </c>
      <c r="G373" s="13">
        <v>0</v>
      </c>
      <c r="H373" s="13">
        <v>0</v>
      </c>
      <c r="I373" s="13">
        <v>0</v>
      </c>
      <c r="J373" s="13">
        <v>0</v>
      </c>
      <c r="K373" s="13">
        <v>0</v>
      </c>
      <c r="L373" s="45">
        <v>0</v>
      </c>
      <c r="M373" s="34"/>
      <c r="N373" s="13">
        <v>80</v>
      </c>
      <c r="O373" s="13">
        <v>35</v>
      </c>
      <c r="P373" s="13">
        <v>10.75</v>
      </c>
      <c r="Q373" s="13">
        <v>0</v>
      </c>
      <c r="R373" s="34"/>
      <c r="S373" s="13">
        <f t="shared" si="540"/>
        <v>126.5</v>
      </c>
      <c r="T373" s="13">
        <f t="shared" si="537"/>
        <v>125.75</v>
      </c>
      <c r="U373" s="13">
        <f t="shared" ref="U373:U375" si="545">SUM(H373:K373)</f>
        <v>0</v>
      </c>
      <c r="V373" s="34"/>
      <c r="W373" s="45">
        <v>28</v>
      </c>
      <c r="X373" s="10">
        <f t="shared" si="533"/>
        <v>4343.5</v>
      </c>
      <c r="Y373" s="10">
        <f t="shared" si="541"/>
        <v>0</v>
      </c>
      <c r="Z373" s="10">
        <f t="shared" si="542"/>
        <v>0</v>
      </c>
      <c r="AA373" s="14">
        <f t="shared" si="543"/>
        <v>0</v>
      </c>
      <c r="AB373" s="14">
        <f t="shared" si="535"/>
        <v>4312</v>
      </c>
      <c r="AC373" s="11">
        <f t="shared" si="544"/>
        <v>0</v>
      </c>
      <c r="AD373" s="215"/>
      <c r="AE373" s="11">
        <f t="shared" si="538"/>
        <v>-31.5</v>
      </c>
      <c r="AF373" s="212"/>
      <c r="AG373" s="8"/>
    </row>
    <row r="374" spans="1:33" x14ac:dyDescent="0.45">
      <c r="A374" s="22">
        <f t="shared" si="539"/>
        <v>44332</v>
      </c>
      <c r="B374" s="15" t="s">
        <v>6</v>
      </c>
      <c r="C374" s="48">
        <f>80*W374</f>
        <v>2056</v>
      </c>
      <c r="D374" s="13">
        <v>80</v>
      </c>
      <c r="E374" s="13">
        <v>59.5</v>
      </c>
      <c r="F374" s="13">
        <v>22</v>
      </c>
      <c r="G374" s="13">
        <v>1.5</v>
      </c>
      <c r="H374" s="13">
        <v>0</v>
      </c>
      <c r="I374" s="13">
        <v>0</v>
      </c>
      <c r="J374" s="13">
        <v>0</v>
      </c>
      <c r="K374" s="13">
        <v>0</v>
      </c>
      <c r="L374" s="45">
        <v>0</v>
      </c>
      <c r="M374" s="34"/>
      <c r="N374" s="13">
        <v>80</v>
      </c>
      <c r="O374" s="13">
        <v>59.5</v>
      </c>
      <c r="P374" s="13">
        <v>22</v>
      </c>
      <c r="Q374" s="13">
        <v>1.5</v>
      </c>
      <c r="R374" s="34"/>
      <c r="S374" s="13">
        <f t="shared" si="540"/>
        <v>163</v>
      </c>
      <c r="T374" s="13">
        <f t="shared" si="537"/>
        <v>163</v>
      </c>
      <c r="U374" s="13">
        <f t="shared" si="545"/>
        <v>0</v>
      </c>
      <c r="V374" s="34"/>
      <c r="W374" s="45">
        <v>25.7</v>
      </c>
      <c r="X374" s="10">
        <f t="shared" si="533"/>
        <v>5519.0750000000007</v>
      </c>
      <c r="Y374" s="10">
        <f t="shared" si="541"/>
        <v>0</v>
      </c>
      <c r="Z374" s="10">
        <f t="shared" si="542"/>
        <v>0</v>
      </c>
      <c r="AA374" s="14">
        <f t="shared" si="543"/>
        <v>0</v>
      </c>
      <c r="AB374" s="14">
        <f t="shared" si="535"/>
        <v>5519.0750000000007</v>
      </c>
      <c r="AC374" s="11">
        <f t="shared" si="544"/>
        <v>0</v>
      </c>
      <c r="AD374" s="215"/>
      <c r="AE374" s="11">
        <f t="shared" si="538"/>
        <v>0</v>
      </c>
      <c r="AF374" s="212"/>
      <c r="AG374" s="8"/>
    </row>
    <row r="375" spans="1:33" x14ac:dyDescent="0.45">
      <c r="A375" s="22">
        <f>A374</f>
        <v>44332</v>
      </c>
      <c r="B375" s="15" t="s">
        <v>9</v>
      </c>
      <c r="C375" s="48">
        <f>120*W375</f>
        <v>3420</v>
      </c>
      <c r="D375" s="13">
        <v>80</v>
      </c>
      <c r="E375" s="13">
        <v>9.5</v>
      </c>
      <c r="F375" s="13">
        <v>0</v>
      </c>
      <c r="G375" s="13">
        <v>11</v>
      </c>
      <c r="H375" s="13">
        <v>0</v>
      </c>
      <c r="I375" s="13">
        <v>0</v>
      </c>
      <c r="J375" s="13">
        <v>0</v>
      </c>
      <c r="K375" s="13">
        <v>0</v>
      </c>
      <c r="L375" s="45">
        <v>0</v>
      </c>
      <c r="M375" s="34"/>
      <c r="N375" s="13">
        <v>80</v>
      </c>
      <c r="O375" s="13">
        <v>11.5</v>
      </c>
      <c r="P375" s="13">
        <v>0</v>
      </c>
      <c r="Q375" s="13">
        <v>11</v>
      </c>
      <c r="R375" s="34"/>
      <c r="S375" s="13">
        <f t="shared" si="540"/>
        <v>100.5</v>
      </c>
      <c r="T375" s="13">
        <f t="shared" si="537"/>
        <v>102.5</v>
      </c>
      <c r="U375" s="13">
        <f t="shared" si="545"/>
        <v>0</v>
      </c>
      <c r="V375" s="34"/>
      <c r="W375" s="45">
        <v>28.5</v>
      </c>
      <c r="X375" s="10">
        <f t="shared" si="533"/>
        <v>2999.625</v>
      </c>
      <c r="Y375" s="10">
        <f>(W375*0*H375)+(W375*1*I375)</f>
        <v>0</v>
      </c>
      <c r="Z375" s="10">
        <f t="shared" si="542"/>
        <v>0</v>
      </c>
      <c r="AA375" s="14">
        <f t="shared" si="543"/>
        <v>0</v>
      </c>
      <c r="AB375" s="14">
        <f t="shared" si="535"/>
        <v>3085.125</v>
      </c>
      <c r="AC375" s="11">
        <f t="shared" si="544"/>
        <v>0</v>
      </c>
      <c r="AD375" s="215"/>
      <c r="AE375" s="11">
        <f t="shared" si="538"/>
        <v>85.5</v>
      </c>
      <c r="AF375" s="212"/>
      <c r="AG375" s="8"/>
    </row>
    <row r="376" spans="1:33" x14ac:dyDescent="0.45">
      <c r="A376" s="22">
        <f t="shared" si="539"/>
        <v>44332</v>
      </c>
      <c r="B376" s="50" t="s">
        <v>31</v>
      </c>
      <c r="C376" s="48">
        <f>80*W376</f>
        <v>2160</v>
      </c>
      <c r="D376" s="51">
        <v>80</v>
      </c>
      <c r="E376" s="51">
        <v>17.25</v>
      </c>
      <c r="F376" s="51">
        <v>0</v>
      </c>
      <c r="G376" s="51">
        <v>0</v>
      </c>
      <c r="H376" s="51">
        <v>0</v>
      </c>
      <c r="I376" s="51">
        <v>0</v>
      </c>
      <c r="J376" s="51">
        <v>0</v>
      </c>
      <c r="K376" s="51">
        <v>0</v>
      </c>
      <c r="L376" s="52">
        <v>0</v>
      </c>
      <c r="M376" s="34"/>
      <c r="N376" s="51">
        <v>80</v>
      </c>
      <c r="O376" s="51">
        <v>18.75</v>
      </c>
      <c r="P376" s="51">
        <v>0</v>
      </c>
      <c r="Q376" s="51">
        <v>0</v>
      </c>
      <c r="R376" s="34"/>
      <c r="S376" s="51">
        <f t="shared" ref="S376" si="546">SUM(D376:G376)</f>
        <v>97.25</v>
      </c>
      <c r="T376" s="51">
        <f t="shared" si="537"/>
        <v>98.75</v>
      </c>
      <c r="U376" s="51">
        <f t="shared" ref="U376" si="547">SUM(H376:K376)</f>
        <v>0</v>
      </c>
      <c r="V376" s="34"/>
      <c r="W376" s="52">
        <v>27</v>
      </c>
      <c r="X376" s="53">
        <f>(W376*1*D376)+(W376*1.5*E376)+(W376*2*F376)+(W376*1*G376)</f>
        <v>2858.625</v>
      </c>
      <c r="Y376" s="53">
        <f t="shared" ref="Y376:Y378" si="548">(W376*0*H376)+(W376*1*I376)</f>
        <v>0</v>
      </c>
      <c r="Z376" s="53">
        <f>(W376*1*J376)+L376</f>
        <v>0</v>
      </c>
      <c r="AA376" s="54">
        <f t="shared" si="543"/>
        <v>0</v>
      </c>
      <c r="AB376" s="54">
        <f>(W376*1*N376)+(W376*1.5*O376)+(W376*2*P376)+(W376*1*Q376)</f>
        <v>2919.375</v>
      </c>
      <c r="AC376" s="55">
        <f t="shared" si="544"/>
        <v>0</v>
      </c>
      <c r="AD376" s="217"/>
      <c r="AE376" s="55">
        <f>AB376-(X376+Z376)</f>
        <v>60.75</v>
      </c>
      <c r="AF376" s="212"/>
      <c r="AG376" s="8"/>
    </row>
    <row r="377" spans="1:33" x14ac:dyDescent="0.45">
      <c r="A377" s="22">
        <f t="shared" si="539"/>
        <v>44332</v>
      </c>
      <c r="B377" s="50" t="s">
        <v>51</v>
      </c>
      <c r="C377" s="48">
        <f t="shared" ref="C377:C378" si="549">80*W377</f>
        <v>1600</v>
      </c>
      <c r="D377" s="51">
        <v>80</v>
      </c>
      <c r="E377" s="51">
        <v>43.75</v>
      </c>
      <c r="F377" s="51">
        <v>14.25</v>
      </c>
      <c r="G377" s="51">
        <v>0</v>
      </c>
      <c r="H377" s="51">
        <v>0</v>
      </c>
      <c r="I377" s="51">
        <v>0</v>
      </c>
      <c r="J377" s="51">
        <v>0</v>
      </c>
      <c r="K377" s="51">
        <v>0</v>
      </c>
      <c r="L377" s="52">
        <v>0</v>
      </c>
      <c r="M377" s="34"/>
      <c r="N377" s="51">
        <v>80</v>
      </c>
      <c r="O377" s="51">
        <v>46</v>
      </c>
      <c r="P377" s="51">
        <v>14.25</v>
      </c>
      <c r="Q377" s="51">
        <v>0</v>
      </c>
      <c r="R377" s="34"/>
      <c r="S377" s="51">
        <f t="shared" ref="S377:S378" si="550">SUM(D377:G377)</f>
        <v>138</v>
      </c>
      <c r="T377" s="51">
        <f t="shared" si="537"/>
        <v>140.25</v>
      </c>
      <c r="U377" s="51">
        <f t="shared" ref="U377:U380" si="551">SUM(H377:K377)</f>
        <v>0</v>
      </c>
      <c r="V377" s="34"/>
      <c r="W377" s="52">
        <v>20</v>
      </c>
      <c r="X377" s="53">
        <f t="shared" ref="X377:X384" si="552">(W377*1*D377)+(W377*1.5*E377)+(W377*2*F377)+(W377*1*G377)</f>
        <v>3482.5</v>
      </c>
      <c r="Y377" s="53">
        <f t="shared" si="548"/>
        <v>0</v>
      </c>
      <c r="Z377" s="53">
        <f t="shared" ref="Z377:Z378" si="553">(W377*1*J377)+L377</f>
        <v>0</v>
      </c>
      <c r="AA377" s="54">
        <f t="shared" si="543"/>
        <v>0</v>
      </c>
      <c r="AB377" s="54">
        <f t="shared" ref="AB377:AB384" si="554">(W377*1*N377)+(W377*1.5*O377)+(W377*2*P377)+(W377*1*Q377)</f>
        <v>3550</v>
      </c>
      <c r="AC377" s="55">
        <f t="shared" si="544"/>
        <v>0</v>
      </c>
      <c r="AD377" s="217"/>
      <c r="AE377" s="55">
        <f>AB377-(X377+Z377)</f>
        <v>67.5</v>
      </c>
      <c r="AF377" s="212"/>
      <c r="AG377" s="8"/>
    </row>
    <row r="378" spans="1:33" ht="14.65" thickBot="1" x14ac:dyDescent="0.5">
      <c r="A378" s="23">
        <f>A377</f>
        <v>44332</v>
      </c>
      <c r="B378" s="24" t="s">
        <v>52</v>
      </c>
      <c r="C378" s="49">
        <f t="shared" si="549"/>
        <v>1600</v>
      </c>
      <c r="D378" s="25">
        <v>80</v>
      </c>
      <c r="E378" s="25">
        <v>13</v>
      </c>
      <c r="F378" s="25">
        <v>0</v>
      </c>
      <c r="G378" s="25">
        <v>0</v>
      </c>
      <c r="H378" s="25">
        <v>0</v>
      </c>
      <c r="I378" s="25">
        <v>0</v>
      </c>
      <c r="J378" s="25">
        <v>0</v>
      </c>
      <c r="K378" s="25">
        <v>6.75</v>
      </c>
      <c r="L378" s="46">
        <v>0</v>
      </c>
      <c r="M378" s="35"/>
      <c r="N378" s="25">
        <v>80</v>
      </c>
      <c r="O378" s="25">
        <v>13</v>
      </c>
      <c r="P378" s="25">
        <v>0</v>
      </c>
      <c r="Q378" s="25">
        <v>0</v>
      </c>
      <c r="R378" s="35"/>
      <c r="S378" s="25">
        <f t="shared" si="550"/>
        <v>93</v>
      </c>
      <c r="T378" s="25">
        <f t="shared" ref="T378" si="555">SUM(N378:Q378)</f>
        <v>93</v>
      </c>
      <c r="U378" s="25">
        <f t="shared" si="551"/>
        <v>6.75</v>
      </c>
      <c r="V378" s="35"/>
      <c r="W378" s="46">
        <v>20</v>
      </c>
      <c r="X378" s="26">
        <f t="shared" si="552"/>
        <v>1990</v>
      </c>
      <c r="Y378" s="26">
        <f t="shared" si="548"/>
        <v>0</v>
      </c>
      <c r="Z378" s="26">
        <f t="shared" si="553"/>
        <v>0</v>
      </c>
      <c r="AA378" s="27">
        <f t="shared" si="543"/>
        <v>135</v>
      </c>
      <c r="AB378" s="27">
        <f t="shared" si="554"/>
        <v>1990</v>
      </c>
      <c r="AC378" s="12">
        <f t="shared" si="544"/>
        <v>-135</v>
      </c>
      <c r="AD378" s="216"/>
      <c r="AE378" s="12">
        <f>AB378-(X378+Z378)</f>
        <v>0</v>
      </c>
      <c r="AF378" s="213"/>
      <c r="AG378" s="8"/>
    </row>
    <row r="379" spans="1:33" x14ac:dyDescent="0.45">
      <c r="A379" s="16">
        <f>A378+14</f>
        <v>44346</v>
      </c>
      <c r="B379" s="17" t="s">
        <v>0</v>
      </c>
      <c r="C379" s="47">
        <f>80*W379</f>
        <v>2280</v>
      </c>
      <c r="D379" s="18">
        <v>72</v>
      </c>
      <c r="E379" s="18">
        <v>26.25</v>
      </c>
      <c r="F379" s="18">
        <v>8</v>
      </c>
      <c r="G379" s="18">
        <v>0</v>
      </c>
      <c r="H379" s="18">
        <v>0</v>
      </c>
      <c r="I379" s="18">
        <v>0</v>
      </c>
      <c r="J379" s="18">
        <v>8</v>
      </c>
      <c r="K379" s="18">
        <v>0</v>
      </c>
      <c r="L379" s="44">
        <v>0</v>
      </c>
      <c r="M379" s="33"/>
      <c r="N379" s="18">
        <v>72</v>
      </c>
      <c r="O379" s="18">
        <v>26.25</v>
      </c>
      <c r="P379" s="18">
        <v>8</v>
      </c>
      <c r="Q379" s="18">
        <v>0</v>
      </c>
      <c r="R379" s="33"/>
      <c r="S379" s="36">
        <f>SUM(D379:G379)</f>
        <v>106.25</v>
      </c>
      <c r="T379" s="36">
        <f t="shared" ref="T379:T386" si="556">SUM(N379:Q379)</f>
        <v>106.25</v>
      </c>
      <c r="U379" s="18">
        <f t="shared" si="551"/>
        <v>8</v>
      </c>
      <c r="V379" s="33"/>
      <c r="W379" s="44">
        <v>28.5</v>
      </c>
      <c r="X379" s="19">
        <f t="shared" si="552"/>
        <v>3630.1875</v>
      </c>
      <c r="Y379" s="19">
        <f>(W379*0*H379)+(W379*1*I379)</f>
        <v>0</v>
      </c>
      <c r="Z379" s="19">
        <f>(W379*1*J379)+L379</f>
        <v>228</v>
      </c>
      <c r="AA379" s="20">
        <f>(W379*1*K379)</f>
        <v>0</v>
      </c>
      <c r="AB379" s="20">
        <f t="shared" si="554"/>
        <v>3630.1875</v>
      </c>
      <c r="AC379" s="21">
        <f>0-Y379-AA379</f>
        <v>0</v>
      </c>
      <c r="AD379" s="214">
        <f>SUM(AC379:AC387)</f>
        <v>-576</v>
      </c>
      <c r="AE379" s="21">
        <f t="shared" ref="AE379:AE384" si="557">AB379-(X379+Z379)</f>
        <v>-228</v>
      </c>
      <c r="AF379" s="211">
        <f>SUM(AE379:AE387)</f>
        <v>-1279.0500000000006</v>
      </c>
      <c r="AG379" s="8"/>
    </row>
    <row r="380" spans="1:33" x14ac:dyDescent="0.45">
      <c r="A380" s="22">
        <f t="shared" ref="A380:A386" si="558">A379</f>
        <v>44346</v>
      </c>
      <c r="B380" s="15" t="s">
        <v>30</v>
      </c>
      <c r="C380" s="48">
        <f>120*W380</f>
        <v>3780</v>
      </c>
      <c r="D380" s="13">
        <v>72</v>
      </c>
      <c r="E380" s="13">
        <v>47</v>
      </c>
      <c r="F380" s="13">
        <v>14</v>
      </c>
      <c r="G380" s="13">
        <v>9</v>
      </c>
      <c r="H380" s="13">
        <v>0</v>
      </c>
      <c r="I380" s="13">
        <v>0</v>
      </c>
      <c r="J380" s="13">
        <v>8</v>
      </c>
      <c r="K380" s="13">
        <v>0</v>
      </c>
      <c r="L380" s="45">
        <v>0</v>
      </c>
      <c r="M380" s="34"/>
      <c r="N380" s="13">
        <v>72</v>
      </c>
      <c r="O380" s="13">
        <v>36.5</v>
      </c>
      <c r="P380" s="13">
        <v>26</v>
      </c>
      <c r="Q380" s="13">
        <v>8</v>
      </c>
      <c r="R380" s="34"/>
      <c r="S380" s="13">
        <f t="shared" ref="S380:S384" si="559">SUM(D380:G380)</f>
        <v>142</v>
      </c>
      <c r="T380" s="13">
        <f t="shared" si="556"/>
        <v>142.5</v>
      </c>
      <c r="U380" s="13">
        <f t="shared" si="551"/>
        <v>8</v>
      </c>
      <c r="V380" s="34"/>
      <c r="W380" s="45">
        <v>31.5</v>
      </c>
      <c r="X380" s="10">
        <f t="shared" si="552"/>
        <v>5654.25</v>
      </c>
      <c r="Y380" s="10">
        <f t="shared" ref="Y380:Y383" si="560">(W380*0*H380)+(W380*1*I380)</f>
        <v>0</v>
      </c>
      <c r="Z380" s="10">
        <f t="shared" ref="Z380:Z384" si="561">(W380*1*J380)+L380</f>
        <v>252</v>
      </c>
      <c r="AA380" s="14">
        <f t="shared" ref="AA380:AA387" si="562">(W380*1*K380)</f>
        <v>0</v>
      </c>
      <c r="AB380" s="14">
        <f t="shared" si="554"/>
        <v>5882.625</v>
      </c>
      <c r="AC380" s="11">
        <f t="shared" ref="AC380:AC387" si="563">0-Y380-AA380</f>
        <v>0</v>
      </c>
      <c r="AD380" s="215"/>
      <c r="AE380" s="11">
        <f t="shared" si="557"/>
        <v>-23.625</v>
      </c>
      <c r="AF380" s="212"/>
      <c r="AG380" s="8"/>
    </row>
    <row r="381" spans="1:33" x14ac:dyDescent="0.45">
      <c r="A381" s="22">
        <f>A380</f>
        <v>44346</v>
      </c>
      <c r="B381" s="15" t="s">
        <v>4</v>
      </c>
      <c r="C381" s="48">
        <f>80*W381</f>
        <v>2000</v>
      </c>
      <c r="D381" s="13">
        <v>72</v>
      </c>
      <c r="E381" s="13">
        <v>40.5</v>
      </c>
      <c r="F381" s="13">
        <v>12</v>
      </c>
      <c r="G381" s="13">
        <v>14</v>
      </c>
      <c r="H381" s="13">
        <v>0</v>
      </c>
      <c r="I381" s="13">
        <v>0</v>
      </c>
      <c r="J381" s="13">
        <v>8</v>
      </c>
      <c r="K381" s="13">
        <v>0</v>
      </c>
      <c r="L381" s="45">
        <v>0</v>
      </c>
      <c r="M381" s="34"/>
      <c r="N381" s="13">
        <v>72</v>
      </c>
      <c r="O381" s="13">
        <v>28.5</v>
      </c>
      <c r="P381" s="13">
        <v>24</v>
      </c>
      <c r="Q381" s="13">
        <v>14</v>
      </c>
      <c r="R381" s="34"/>
      <c r="S381" s="13">
        <f t="shared" si="559"/>
        <v>138.5</v>
      </c>
      <c r="T381" s="13">
        <f t="shared" si="556"/>
        <v>138.5</v>
      </c>
      <c r="U381" s="13">
        <f>SUM(H381:K381)</f>
        <v>8</v>
      </c>
      <c r="V381" s="34"/>
      <c r="W381" s="45">
        <v>25</v>
      </c>
      <c r="X381" s="10">
        <f t="shared" si="552"/>
        <v>4268.75</v>
      </c>
      <c r="Y381" s="10">
        <f t="shared" si="560"/>
        <v>0</v>
      </c>
      <c r="Z381" s="10">
        <f t="shared" si="561"/>
        <v>200</v>
      </c>
      <c r="AA381" s="14">
        <f t="shared" si="562"/>
        <v>0</v>
      </c>
      <c r="AB381" s="14">
        <f t="shared" si="554"/>
        <v>4418.75</v>
      </c>
      <c r="AC381" s="11">
        <f t="shared" si="563"/>
        <v>0</v>
      </c>
      <c r="AD381" s="215"/>
      <c r="AE381" s="11">
        <f t="shared" si="557"/>
        <v>-50</v>
      </c>
      <c r="AF381" s="212"/>
      <c r="AG381" s="8"/>
    </row>
    <row r="382" spans="1:33" x14ac:dyDescent="0.45">
      <c r="A382" s="22">
        <f t="shared" si="558"/>
        <v>44346</v>
      </c>
      <c r="B382" s="15" t="s">
        <v>5</v>
      </c>
      <c r="C382" s="48">
        <f>120*W382</f>
        <v>3360</v>
      </c>
      <c r="D382" s="13">
        <v>72</v>
      </c>
      <c r="E382" s="13">
        <v>36.5</v>
      </c>
      <c r="F382" s="13">
        <v>12</v>
      </c>
      <c r="G382" s="13">
        <v>0</v>
      </c>
      <c r="H382" s="13">
        <v>0</v>
      </c>
      <c r="I382" s="13">
        <v>0</v>
      </c>
      <c r="J382" s="13">
        <v>8</v>
      </c>
      <c r="K382" s="13">
        <v>0</v>
      </c>
      <c r="L382" s="45">
        <v>0</v>
      </c>
      <c r="M382" s="34"/>
      <c r="N382" s="13">
        <v>72</v>
      </c>
      <c r="O382" s="13">
        <v>33</v>
      </c>
      <c r="P382" s="13">
        <v>12</v>
      </c>
      <c r="Q382" s="13">
        <v>0</v>
      </c>
      <c r="R382" s="34"/>
      <c r="S382" s="13">
        <f t="shared" si="559"/>
        <v>120.5</v>
      </c>
      <c r="T382" s="13">
        <f t="shared" si="556"/>
        <v>117</v>
      </c>
      <c r="U382" s="13">
        <f t="shared" ref="U382:U384" si="564">SUM(H382:K382)</f>
        <v>8</v>
      </c>
      <c r="V382" s="34"/>
      <c r="W382" s="45">
        <v>28</v>
      </c>
      <c r="X382" s="10">
        <f t="shared" si="552"/>
        <v>4221</v>
      </c>
      <c r="Y382" s="10">
        <f t="shared" si="560"/>
        <v>0</v>
      </c>
      <c r="Z382" s="10">
        <f t="shared" si="561"/>
        <v>224</v>
      </c>
      <c r="AA382" s="14">
        <f t="shared" si="562"/>
        <v>0</v>
      </c>
      <c r="AB382" s="14">
        <f t="shared" si="554"/>
        <v>4074</v>
      </c>
      <c r="AC382" s="11">
        <f t="shared" si="563"/>
        <v>0</v>
      </c>
      <c r="AD382" s="215"/>
      <c r="AE382" s="11">
        <f t="shared" si="557"/>
        <v>-371</v>
      </c>
      <c r="AF382" s="212"/>
      <c r="AG382" s="8"/>
    </row>
    <row r="383" spans="1:33" x14ac:dyDescent="0.45">
      <c r="A383" s="22">
        <f t="shared" si="558"/>
        <v>44346</v>
      </c>
      <c r="B383" s="15" t="s">
        <v>6</v>
      </c>
      <c r="C383" s="48">
        <f>80*W383</f>
        <v>2056</v>
      </c>
      <c r="D383" s="13">
        <v>72</v>
      </c>
      <c r="E383" s="13">
        <v>34.5</v>
      </c>
      <c r="F383" s="13">
        <v>12</v>
      </c>
      <c r="G383" s="13">
        <v>5</v>
      </c>
      <c r="H383" s="13">
        <v>0</v>
      </c>
      <c r="I383" s="13">
        <v>0</v>
      </c>
      <c r="J383" s="13">
        <v>8</v>
      </c>
      <c r="K383" s="13">
        <v>0</v>
      </c>
      <c r="L383" s="45">
        <v>0</v>
      </c>
      <c r="M383" s="34"/>
      <c r="N383" s="13">
        <v>72</v>
      </c>
      <c r="O383" s="13">
        <v>37.5</v>
      </c>
      <c r="P383" s="13">
        <v>12</v>
      </c>
      <c r="Q383" s="13">
        <v>2</v>
      </c>
      <c r="R383" s="34"/>
      <c r="S383" s="13">
        <f t="shared" si="559"/>
        <v>123.5</v>
      </c>
      <c r="T383" s="13">
        <f t="shared" si="556"/>
        <v>123.5</v>
      </c>
      <c r="U383" s="13">
        <f t="shared" si="564"/>
        <v>8</v>
      </c>
      <c r="V383" s="34"/>
      <c r="W383" s="45">
        <v>25.7</v>
      </c>
      <c r="X383" s="10">
        <f t="shared" si="552"/>
        <v>3925.6750000000002</v>
      </c>
      <c r="Y383" s="10">
        <f t="shared" si="560"/>
        <v>0</v>
      </c>
      <c r="Z383" s="10">
        <f t="shared" si="561"/>
        <v>205.6</v>
      </c>
      <c r="AA383" s="14">
        <f t="shared" si="562"/>
        <v>0</v>
      </c>
      <c r="AB383" s="14">
        <f t="shared" si="554"/>
        <v>3964.2249999999999</v>
      </c>
      <c r="AC383" s="11">
        <f t="shared" si="563"/>
        <v>0</v>
      </c>
      <c r="AD383" s="215"/>
      <c r="AE383" s="11">
        <f t="shared" si="557"/>
        <v>-167.05000000000064</v>
      </c>
      <c r="AF383" s="212"/>
      <c r="AG383" s="8"/>
    </row>
    <row r="384" spans="1:33" x14ac:dyDescent="0.45">
      <c r="A384" s="22">
        <f>A383</f>
        <v>44346</v>
      </c>
      <c r="B384" s="15" t="s">
        <v>9</v>
      </c>
      <c r="C384" s="48">
        <f>120*W384</f>
        <v>3420</v>
      </c>
      <c r="D384" s="13">
        <v>72</v>
      </c>
      <c r="E384" s="13">
        <v>15</v>
      </c>
      <c r="F384" s="13">
        <v>0</v>
      </c>
      <c r="G384" s="13">
        <v>10</v>
      </c>
      <c r="H384" s="13">
        <v>0</v>
      </c>
      <c r="I384" s="13">
        <v>0</v>
      </c>
      <c r="J384" s="13">
        <v>8</v>
      </c>
      <c r="K384" s="13">
        <v>0</v>
      </c>
      <c r="L384" s="45">
        <v>0</v>
      </c>
      <c r="M384" s="34"/>
      <c r="N384" s="13">
        <v>72</v>
      </c>
      <c r="O384" s="13">
        <v>7</v>
      </c>
      <c r="P384" s="13">
        <v>8</v>
      </c>
      <c r="Q384" s="13">
        <v>10</v>
      </c>
      <c r="R384" s="34"/>
      <c r="S384" s="13">
        <f t="shared" si="559"/>
        <v>97</v>
      </c>
      <c r="T384" s="13">
        <f t="shared" si="556"/>
        <v>97</v>
      </c>
      <c r="U384" s="13">
        <f t="shared" si="564"/>
        <v>8</v>
      </c>
      <c r="V384" s="34"/>
      <c r="W384" s="45">
        <v>28.5</v>
      </c>
      <c r="X384" s="10">
        <f t="shared" si="552"/>
        <v>2978.25</v>
      </c>
      <c r="Y384" s="10">
        <f>(W384*0*H384)+(W384*1*I384)</f>
        <v>0</v>
      </c>
      <c r="Z384" s="10">
        <f t="shared" si="561"/>
        <v>228</v>
      </c>
      <c r="AA384" s="14">
        <f t="shared" si="562"/>
        <v>0</v>
      </c>
      <c r="AB384" s="14">
        <f t="shared" si="554"/>
        <v>3092.25</v>
      </c>
      <c r="AC384" s="11">
        <f t="shared" si="563"/>
        <v>0</v>
      </c>
      <c r="AD384" s="215"/>
      <c r="AE384" s="11">
        <f t="shared" si="557"/>
        <v>-114</v>
      </c>
      <c r="AF384" s="212"/>
      <c r="AG384" s="8"/>
    </row>
    <row r="385" spans="1:33" x14ac:dyDescent="0.45">
      <c r="A385" s="22">
        <f t="shared" si="558"/>
        <v>44346</v>
      </c>
      <c r="B385" s="50" t="s">
        <v>31</v>
      </c>
      <c r="C385" s="48">
        <f>80*W385</f>
        <v>2160</v>
      </c>
      <c r="D385" s="51">
        <v>72</v>
      </c>
      <c r="E385" s="51">
        <v>12.5</v>
      </c>
      <c r="F385" s="51">
        <v>0</v>
      </c>
      <c r="G385" s="51">
        <v>7.75</v>
      </c>
      <c r="H385" s="51">
        <v>0</v>
      </c>
      <c r="I385" s="51">
        <v>0</v>
      </c>
      <c r="J385" s="51">
        <v>8</v>
      </c>
      <c r="K385" s="51">
        <v>0</v>
      </c>
      <c r="L385" s="52">
        <v>0</v>
      </c>
      <c r="M385" s="34"/>
      <c r="N385" s="51">
        <v>72</v>
      </c>
      <c r="O385" s="51">
        <v>9.75</v>
      </c>
      <c r="P385" s="51">
        <v>3</v>
      </c>
      <c r="Q385" s="51">
        <v>7.75</v>
      </c>
      <c r="R385" s="34"/>
      <c r="S385" s="51">
        <f t="shared" ref="S385" si="565">SUM(D385:G385)</f>
        <v>92.25</v>
      </c>
      <c r="T385" s="51">
        <f t="shared" si="556"/>
        <v>92.5</v>
      </c>
      <c r="U385" s="51">
        <f t="shared" ref="U385" si="566">SUM(H385:K385)</f>
        <v>8</v>
      </c>
      <c r="V385" s="34"/>
      <c r="W385" s="52">
        <v>27</v>
      </c>
      <c r="X385" s="53">
        <f>(W385*1*D385)+(W385*1.5*E385)+(W385*2*F385)+(W385*1*G385)</f>
        <v>2659.5</v>
      </c>
      <c r="Y385" s="53">
        <f t="shared" ref="Y385:Y387" si="567">(W385*0*H385)+(W385*1*I385)</f>
        <v>0</v>
      </c>
      <c r="Z385" s="53">
        <f>(W385*1*J385)+L385</f>
        <v>216</v>
      </c>
      <c r="AA385" s="54">
        <f t="shared" si="562"/>
        <v>0</v>
      </c>
      <c r="AB385" s="54">
        <f>(W385*1*N385)+(W385*1.5*O385)+(W385*2*P385)+(W385*1*Q385)</f>
        <v>2710.125</v>
      </c>
      <c r="AC385" s="55">
        <f t="shared" si="563"/>
        <v>0</v>
      </c>
      <c r="AD385" s="217"/>
      <c r="AE385" s="55">
        <f>AB385-(X385+Z385)</f>
        <v>-165.375</v>
      </c>
      <c r="AF385" s="212"/>
      <c r="AG385" s="8"/>
    </row>
    <row r="386" spans="1:33" x14ac:dyDescent="0.45">
      <c r="A386" s="22">
        <f t="shared" si="558"/>
        <v>44346</v>
      </c>
      <c r="B386" s="50" t="s">
        <v>51</v>
      </c>
      <c r="C386" s="48">
        <f t="shared" ref="C386:C387" si="568">80*W386</f>
        <v>1600</v>
      </c>
      <c r="D386" s="51">
        <v>72</v>
      </c>
      <c r="E386" s="51">
        <v>34</v>
      </c>
      <c r="F386" s="51">
        <v>2</v>
      </c>
      <c r="G386" s="51">
        <v>0</v>
      </c>
      <c r="H386" s="51">
        <v>0</v>
      </c>
      <c r="I386" s="51">
        <v>0</v>
      </c>
      <c r="J386" s="51">
        <v>8</v>
      </c>
      <c r="K386" s="51">
        <v>0</v>
      </c>
      <c r="L386" s="52">
        <v>0</v>
      </c>
      <c r="M386" s="34"/>
      <c r="N386" s="51">
        <v>72</v>
      </c>
      <c r="O386" s="51">
        <v>34</v>
      </c>
      <c r="P386" s="51">
        <v>2</v>
      </c>
      <c r="Q386" s="51">
        <v>0</v>
      </c>
      <c r="R386" s="34"/>
      <c r="S386" s="51">
        <f t="shared" ref="S386:S387" si="569">SUM(D386:G386)</f>
        <v>108</v>
      </c>
      <c r="T386" s="51">
        <f t="shared" si="556"/>
        <v>108</v>
      </c>
      <c r="U386" s="51">
        <f t="shared" ref="U386:U388" si="570">SUM(H386:K386)</f>
        <v>8</v>
      </c>
      <c r="V386" s="34"/>
      <c r="W386" s="52">
        <v>20</v>
      </c>
      <c r="X386" s="53">
        <f t="shared" ref="X386:X392" si="571">(W386*1*D386)+(W386*1.5*E386)+(W386*2*F386)+(W386*1*G386)</f>
        <v>2540</v>
      </c>
      <c r="Y386" s="53">
        <f t="shared" si="567"/>
        <v>0</v>
      </c>
      <c r="Z386" s="53">
        <f t="shared" ref="Z386:Z387" si="572">(W386*1*J386)+L386</f>
        <v>160</v>
      </c>
      <c r="AA386" s="54">
        <f t="shared" si="562"/>
        <v>0</v>
      </c>
      <c r="AB386" s="54">
        <f t="shared" ref="AB386:AB392" si="573">(W386*1*N386)+(W386*1.5*O386)+(W386*2*P386)+(W386*1*Q386)</f>
        <v>2540</v>
      </c>
      <c r="AC386" s="55">
        <f t="shared" si="563"/>
        <v>0</v>
      </c>
      <c r="AD386" s="217"/>
      <c r="AE386" s="55">
        <f>AB386-(X386+Z386)</f>
        <v>-160</v>
      </c>
      <c r="AF386" s="212"/>
      <c r="AG386" s="8"/>
    </row>
    <row r="387" spans="1:33" ht="14.65" thickBot="1" x14ac:dyDescent="0.5">
      <c r="A387" s="23">
        <f>A386</f>
        <v>44346</v>
      </c>
      <c r="B387" s="24" t="s">
        <v>53</v>
      </c>
      <c r="C387" s="49">
        <f t="shared" si="568"/>
        <v>1440</v>
      </c>
      <c r="D387" s="25">
        <v>0</v>
      </c>
      <c r="E387" s="25">
        <v>0</v>
      </c>
      <c r="F387" s="25">
        <v>0</v>
      </c>
      <c r="G387" s="25">
        <v>0</v>
      </c>
      <c r="H387" s="25">
        <v>0</v>
      </c>
      <c r="I387" s="25">
        <v>0</v>
      </c>
      <c r="J387" s="25">
        <v>0</v>
      </c>
      <c r="K387" s="25">
        <v>32</v>
      </c>
      <c r="L387" s="46">
        <v>0</v>
      </c>
      <c r="M387" s="35"/>
      <c r="N387" s="25">
        <v>0</v>
      </c>
      <c r="O387" s="25">
        <v>0</v>
      </c>
      <c r="P387" s="25">
        <v>0</v>
      </c>
      <c r="Q387" s="25">
        <v>0</v>
      </c>
      <c r="R387" s="35"/>
      <c r="S387" s="25">
        <f t="shared" si="569"/>
        <v>0</v>
      </c>
      <c r="T387" s="25">
        <f t="shared" ref="T387" si="574">SUM(N387:Q387)</f>
        <v>0</v>
      </c>
      <c r="U387" s="25">
        <f t="shared" si="570"/>
        <v>32</v>
      </c>
      <c r="V387" s="35"/>
      <c r="W387" s="46">
        <v>18</v>
      </c>
      <c r="X387" s="26">
        <f t="shared" si="571"/>
        <v>0</v>
      </c>
      <c r="Y387" s="26">
        <f t="shared" si="567"/>
        <v>0</v>
      </c>
      <c r="Z387" s="26">
        <f t="shared" si="572"/>
        <v>0</v>
      </c>
      <c r="AA387" s="27">
        <f t="shared" si="562"/>
        <v>576</v>
      </c>
      <c r="AB387" s="27">
        <f t="shared" si="573"/>
        <v>0</v>
      </c>
      <c r="AC387" s="12">
        <f t="shared" si="563"/>
        <v>-576</v>
      </c>
      <c r="AD387" s="216"/>
      <c r="AE387" s="12">
        <f>AB387-(X387+Z387)</f>
        <v>0</v>
      </c>
      <c r="AF387" s="213"/>
      <c r="AG387" s="8"/>
    </row>
    <row r="388" spans="1:33" x14ac:dyDescent="0.45">
      <c r="A388" s="22">
        <f>A387+14</f>
        <v>44360</v>
      </c>
      <c r="B388" s="15" t="s">
        <v>30</v>
      </c>
      <c r="C388" s="48">
        <f>120*W388</f>
        <v>3780</v>
      </c>
      <c r="D388" s="13">
        <v>68.5</v>
      </c>
      <c r="E388" s="13">
        <v>0</v>
      </c>
      <c r="F388" s="13">
        <v>12</v>
      </c>
      <c r="G388" s="13">
        <v>5</v>
      </c>
      <c r="H388" s="13">
        <v>0</v>
      </c>
      <c r="I388" s="13">
        <v>24</v>
      </c>
      <c r="J388" s="13">
        <v>0</v>
      </c>
      <c r="K388" s="13">
        <v>0</v>
      </c>
      <c r="L388" s="45">
        <v>0</v>
      </c>
      <c r="M388" s="34"/>
      <c r="N388" s="13">
        <v>75</v>
      </c>
      <c r="O388" s="13">
        <v>0</v>
      </c>
      <c r="P388" s="13">
        <v>12</v>
      </c>
      <c r="Q388" s="13">
        <v>0</v>
      </c>
      <c r="R388" s="34"/>
      <c r="S388" s="13">
        <f t="shared" ref="S388:S392" si="575">SUM(D388:G388)</f>
        <v>85.5</v>
      </c>
      <c r="T388" s="13">
        <f t="shared" ref="T388:T394" si="576">SUM(N388:Q388)</f>
        <v>87</v>
      </c>
      <c r="U388" s="13">
        <f t="shared" si="570"/>
        <v>24</v>
      </c>
      <c r="V388" s="34"/>
      <c r="W388" s="45">
        <v>31.5</v>
      </c>
      <c r="X388" s="10">
        <f t="shared" si="571"/>
        <v>3071.25</v>
      </c>
      <c r="Y388" s="10">
        <f t="shared" ref="Y388:Y391" si="577">(W388*0*H388)+(W388*1*I388)</f>
        <v>756</v>
      </c>
      <c r="Z388" s="10">
        <f t="shared" ref="Z388:Z392" si="578">(W388*1*J388)+L388</f>
        <v>0</v>
      </c>
      <c r="AA388" s="14">
        <f t="shared" ref="AA388:AA395" si="579">(W388*1*K388)</f>
        <v>0</v>
      </c>
      <c r="AB388" s="14">
        <f t="shared" si="573"/>
        <v>3118.5</v>
      </c>
      <c r="AC388" s="11">
        <f t="shared" ref="AC388:AC395" si="580">0-Y388-AA388</f>
        <v>-756</v>
      </c>
      <c r="AD388" s="215"/>
      <c r="AE388" s="11">
        <f t="shared" ref="AE388:AE392" si="581">AB388-(X388+Z388)</f>
        <v>47.25</v>
      </c>
      <c r="AF388" s="212">
        <v>-1279.0500000000006</v>
      </c>
      <c r="AG388" s="8"/>
    </row>
    <row r="389" spans="1:33" x14ac:dyDescent="0.45">
      <c r="A389" s="22">
        <f>A388</f>
        <v>44360</v>
      </c>
      <c r="B389" s="15" t="s">
        <v>4</v>
      </c>
      <c r="C389" s="48">
        <f>80*W389</f>
        <v>2000</v>
      </c>
      <c r="D389" s="13">
        <v>80</v>
      </c>
      <c r="E389" s="13">
        <v>57.5</v>
      </c>
      <c r="F389" s="13">
        <v>24</v>
      </c>
      <c r="G389" s="13">
        <v>5</v>
      </c>
      <c r="H389" s="13">
        <v>0</v>
      </c>
      <c r="I389" s="13">
        <v>0</v>
      </c>
      <c r="J389" s="13">
        <v>0</v>
      </c>
      <c r="K389" s="13">
        <v>0</v>
      </c>
      <c r="L389" s="45">
        <v>0</v>
      </c>
      <c r="M389" s="34"/>
      <c r="N389" s="13">
        <v>81.5</v>
      </c>
      <c r="O389" s="13">
        <v>54.25</v>
      </c>
      <c r="P389" s="13">
        <v>29.5</v>
      </c>
      <c r="Q389" s="13">
        <v>0</v>
      </c>
      <c r="R389" s="34"/>
      <c r="S389" s="13">
        <f t="shared" si="575"/>
        <v>166.5</v>
      </c>
      <c r="T389" s="13">
        <f t="shared" si="576"/>
        <v>165.25</v>
      </c>
      <c r="U389" s="13">
        <f>SUM(H389:K389)</f>
        <v>0</v>
      </c>
      <c r="V389" s="34"/>
      <c r="W389" s="45">
        <v>25</v>
      </c>
      <c r="X389" s="10">
        <f t="shared" si="571"/>
        <v>5481.25</v>
      </c>
      <c r="Y389" s="10">
        <f t="shared" si="577"/>
        <v>0</v>
      </c>
      <c r="Z389" s="10">
        <f t="shared" si="578"/>
        <v>0</v>
      </c>
      <c r="AA389" s="14">
        <f t="shared" si="579"/>
        <v>0</v>
      </c>
      <c r="AB389" s="14">
        <f t="shared" si="573"/>
        <v>5546.875</v>
      </c>
      <c r="AC389" s="11">
        <f t="shared" si="580"/>
        <v>0</v>
      </c>
      <c r="AD389" s="215"/>
      <c r="AE389" s="11">
        <f t="shared" si="581"/>
        <v>65.625</v>
      </c>
      <c r="AF389" s="212"/>
      <c r="AG389" s="8"/>
    </row>
    <row r="390" spans="1:33" x14ac:dyDescent="0.45">
      <c r="A390" s="22">
        <f t="shared" ref="A390:A394" si="582">A389</f>
        <v>44360</v>
      </c>
      <c r="B390" s="15" t="s">
        <v>5</v>
      </c>
      <c r="C390" s="48">
        <f>120*W390</f>
        <v>3360</v>
      </c>
      <c r="D390" s="13">
        <v>80</v>
      </c>
      <c r="E390" s="13">
        <v>29.5</v>
      </c>
      <c r="F390" s="13">
        <v>12</v>
      </c>
      <c r="G390" s="13">
        <v>19.25</v>
      </c>
      <c r="H390" s="13">
        <v>0</v>
      </c>
      <c r="I390" s="13">
        <v>0</v>
      </c>
      <c r="J390" s="13">
        <v>0</v>
      </c>
      <c r="K390" s="13">
        <v>0</v>
      </c>
      <c r="L390" s="45">
        <v>0</v>
      </c>
      <c r="M390" s="34"/>
      <c r="N390" s="13">
        <v>97.75</v>
      </c>
      <c r="O390" s="13">
        <v>30</v>
      </c>
      <c r="P390" s="13">
        <v>13.5</v>
      </c>
      <c r="Q390" s="13">
        <v>0</v>
      </c>
      <c r="R390" s="34"/>
      <c r="S390" s="13">
        <f t="shared" si="575"/>
        <v>140.75</v>
      </c>
      <c r="T390" s="13">
        <f t="shared" si="576"/>
        <v>141.25</v>
      </c>
      <c r="U390" s="13">
        <f t="shared" ref="U390:U392" si="583">SUM(H390:K390)</f>
        <v>0</v>
      </c>
      <c r="V390" s="34"/>
      <c r="W390" s="45">
        <v>28</v>
      </c>
      <c r="X390" s="10">
        <f t="shared" si="571"/>
        <v>4690</v>
      </c>
      <c r="Y390" s="10">
        <f t="shared" si="577"/>
        <v>0</v>
      </c>
      <c r="Z390" s="10">
        <f t="shared" si="578"/>
        <v>0</v>
      </c>
      <c r="AA390" s="14">
        <f t="shared" si="579"/>
        <v>0</v>
      </c>
      <c r="AB390" s="14">
        <f t="shared" si="573"/>
        <v>4753</v>
      </c>
      <c r="AC390" s="11">
        <f t="shared" si="580"/>
        <v>0</v>
      </c>
      <c r="AD390" s="215"/>
      <c r="AE390" s="11">
        <f t="shared" si="581"/>
        <v>63</v>
      </c>
      <c r="AF390" s="212"/>
      <c r="AG390" s="8"/>
    </row>
    <row r="391" spans="1:33" x14ac:dyDescent="0.45">
      <c r="A391" s="22">
        <f t="shared" si="582"/>
        <v>44360</v>
      </c>
      <c r="B391" s="15" t="s">
        <v>6</v>
      </c>
      <c r="C391" s="48">
        <f>80*W391</f>
        <v>2056</v>
      </c>
      <c r="D391" s="13">
        <v>80</v>
      </c>
      <c r="E391" s="13">
        <v>37.5</v>
      </c>
      <c r="F391" s="13">
        <v>12</v>
      </c>
      <c r="G391" s="13">
        <v>5</v>
      </c>
      <c r="H391" s="13">
        <v>0</v>
      </c>
      <c r="I391" s="13">
        <v>0</v>
      </c>
      <c r="J391" s="13">
        <v>0</v>
      </c>
      <c r="K391" s="13">
        <v>0</v>
      </c>
      <c r="L391" s="45">
        <v>0</v>
      </c>
      <c r="M391" s="34"/>
      <c r="N391" s="13">
        <v>84.5</v>
      </c>
      <c r="O391" s="13">
        <v>37</v>
      </c>
      <c r="P391" s="13">
        <v>13</v>
      </c>
      <c r="Q391" s="13">
        <v>0</v>
      </c>
      <c r="R391" s="34"/>
      <c r="S391" s="13">
        <f t="shared" si="575"/>
        <v>134.5</v>
      </c>
      <c r="T391" s="13">
        <f t="shared" si="576"/>
        <v>134.5</v>
      </c>
      <c r="U391" s="13">
        <f t="shared" si="583"/>
        <v>0</v>
      </c>
      <c r="V391" s="34"/>
      <c r="W391" s="45">
        <v>25.7</v>
      </c>
      <c r="X391" s="10">
        <f t="shared" si="571"/>
        <v>4246.9250000000002</v>
      </c>
      <c r="Y391" s="10">
        <f t="shared" si="577"/>
        <v>0</v>
      </c>
      <c r="Z391" s="10">
        <f t="shared" si="578"/>
        <v>0</v>
      </c>
      <c r="AA391" s="14">
        <f t="shared" si="579"/>
        <v>0</v>
      </c>
      <c r="AB391" s="14">
        <f t="shared" si="573"/>
        <v>4266.2</v>
      </c>
      <c r="AC391" s="11">
        <f t="shared" si="580"/>
        <v>0</v>
      </c>
      <c r="AD391" s="215"/>
      <c r="AE391" s="11">
        <f t="shared" si="581"/>
        <v>19.274999999999636</v>
      </c>
      <c r="AF391" s="212"/>
      <c r="AG391" s="8"/>
    </row>
    <row r="392" spans="1:33" x14ac:dyDescent="0.45">
      <c r="A392" s="22">
        <f>A391</f>
        <v>44360</v>
      </c>
      <c r="B392" s="15" t="s">
        <v>9</v>
      </c>
      <c r="C392" s="48">
        <f>120*W392</f>
        <v>3420</v>
      </c>
      <c r="D392" s="13">
        <v>69</v>
      </c>
      <c r="E392" s="13">
        <v>11</v>
      </c>
      <c r="F392" s="13">
        <v>0</v>
      </c>
      <c r="G392" s="13">
        <v>10</v>
      </c>
      <c r="H392" s="13">
        <v>0</v>
      </c>
      <c r="I392" s="13">
        <v>0</v>
      </c>
      <c r="J392" s="13">
        <v>0</v>
      </c>
      <c r="K392" s="13">
        <v>0</v>
      </c>
      <c r="L392" s="45">
        <v>0</v>
      </c>
      <c r="M392" s="34"/>
      <c r="N392" s="13">
        <v>69</v>
      </c>
      <c r="O392" s="13">
        <v>11</v>
      </c>
      <c r="P392" s="13">
        <v>0</v>
      </c>
      <c r="Q392" s="13">
        <v>10</v>
      </c>
      <c r="R392" s="34"/>
      <c r="S392" s="13">
        <f t="shared" si="575"/>
        <v>90</v>
      </c>
      <c r="T392" s="13">
        <f t="shared" si="576"/>
        <v>90</v>
      </c>
      <c r="U392" s="13">
        <f t="shared" si="583"/>
        <v>0</v>
      </c>
      <c r="V392" s="34"/>
      <c r="W392" s="45">
        <v>28.5</v>
      </c>
      <c r="X392" s="10">
        <f t="shared" si="571"/>
        <v>2721.75</v>
      </c>
      <c r="Y392" s="10">
        <f>(W392*0*H392)+(W392*1*I392)</f>
        <v>0</v>
      </c>
      <c r="Z392" s="10">
        <f t="shared" si="578"/>
        <v>0</v>
      </c>
      <c r="AA392" s="14">
        <f t="shared" si="579"/>
        <v>0</v>
      </c>
      <c r="AB392" s="14">
        <f t="shared" si="573"/>
        <v>2721.75</v>
      </c>
      <c r="AC392" s="11">
        <f t="shared" si="580"/>
        <v>0</v>
      </c>
      <c r="AD392" s="215"/>
      <c r="AE392" s="11">
        <f t="shared" si="581"/>
        <v>0</v>
      </c>
      <c r="AF392" s="212"/>
      <c r="AG392" s="8"/>
    </row>
    <row r="393" spans="1:33" x14ac:dyDescent="0.45">
      <c r="A393" s="22">
        <f t="shared" si="582"/>
        <v>44360</v>
      </c>
      <c r="B393" s="50" t="s">
        <v>31</v>
      </c>
      <c r="C393" s="48">
        <f>80*W393</f>
        <v>2160</v>
      </c>
      <c r="D393" s="51">
        <v>80</v>
      </c>
      <c r="E393" s="51">
        <v>20</v>
      </c>
      <c r="F393" s="51">
        <v>7</v>
      </c>
      <c r="G393" s="51">
        <v>10</v>
      </c>
      <c r="H393" s="51">
        <v>0</v>
      </c>
      <c r="I393" s="51">
        <v>0</v>
      </c>
      <c r="J393" s="51">
        <v>0</v>
      </c>
      <c r="K393" s="51">
        <v>0</v>
      </c>
      <c r="L393" s="52">
        <v>0</v>
      </c>
      <c r="M393" s="34"/>
      <c r="N393" s="51">
        <v>90</v>
      </c>
      <c r="O393" s="51">
        <v>20.5</v>
      </c>
      <c r="P393" s="51">
        <v>7</v>
      </c>
      <c r="Q393" s="51">
        <v>0</v>
      </c>
      <c r="R393" s="34"/>
      <c r="S393" s="51">
        <f t="shared" ref="S393" si="584">SUM(D393:G393)</f>
        <v>117</v>
      </c>
      <c r="T393" s="51">
        <f t="shared" si="576"/>
        <v>117.5</v>
      </c>
      <c r="U393" s="51">
        <f t="shared" ref="U393" si="585">SUM(H393:K393)</f>
        <v>0</v>
      </c>
      <c r="V393" s="34"/>
      <c r="W393" s="52">
        <v>27</v>
      </c>
      <c r="X393" s="53">
        <f>(W393*1*D393)+(W393*1.5*E393)+(W393*2*F393)+(W393*1*G393)</f>
        <v>3618</v>
      </c>
      <c r="Y393" s="53">
        <f t="shared" ref="Y393:Y399" si="586">(W393*0*H393)+(W393*1*I393)</f>
        <v>0</v>
      </c>
      <c r="Z393" s="53">
        <f>(W393*1*J393)+L393</f>
        <v>0</v>
      </c>
      <c r="AA393" s="54">
        <f t="shared" si="579"/>
        <v>0</v>
      </c>
      <c r="AB393" s="54">
        <f>(W393*1*N393)+(W393*1.5*O393)+(W393*2*P393)+(W393*1*Q393)</f>
        <v>3638.25</v>
      </c>
      <c r="AC393" s="55">
        <f t="shared" si="580"/>
        <v>0</v>
      </c>
      <c r="AD393" s="217"/>
      <c r="AE393" s="55">
        <f>AB393-(X393+Z393)</f>
        <v>20.25</v>
      </c>
      <c r="AF393" s="212"/>
      <c r="AG393" s="8"/>
    </row>
    <row r="394" spans="1:33" x14ac:dyDescent="0.45">
      <c r="A394" s="22">
        <f t="shared" si="582"/>
        <v>44360</v>
      </c>
      <c r="B394" s="50" t="s">
        <v>51</v>
      </c>
      <c r="C394" s="48">
        <f t="shared" ref="C394:C395" si="587">80*W394</f>
        <v>1600</v>
      </c>
      <c r="D394" s="51">
        <v>80</v>
      </c>
      <c r="E394" s="51">
        <v>27.25</v>
      </c>
      <c r="F394" s="51">
        <v>7</v>
      </c>
      <c r="G394" s="51">
        <v>10</v>
      </c>
      <c r="H394" s="51">
        <v>0</v>
      </c>
      <c r="I394" s="51">
        <v>0</v>
      </c>
      <c r="J394" s="51">
        <v>0</v>
      </c>
      <c r="K394" s="51">
        <v>0</v>
      </c>
      <c r="L394" s="52">
        <v>0</v>
      </c>
      <c r="M394" s="34"/>
      <c r="N394" s="51">
        <v>90</v>
      </c>
      <c r="O394" s="51">
        <v>27.75</v>
      </c>
      <c r="P394" s="51">
        <v>7</v>
      </c>
      <c r="Q394" s="51">
        <v>0</v>
      </c>
      <c r="R394" s="34"/>
      <c r="S394" s="51">
        <f t="shared" ref="S394:S400" si="588">SUM(D394:G394)</f>
        <v>124.25</v>
      </c>
      <c r="T394" s="51">
        <f t="shared" si="576"/>
        <v>124.75</v>
      </c>
      <c r="U394" s="51">
        <f t="shared" ref="U394:U396" si="589">SUM(H394:K394)</f>
        <v>0</v>
      </c>
      <c r="V394" s="34"/>
      <c r="W394" s="52">
        <v>20</v>
      </c>
      <c r="X394" s="53">
        <f t="shared" ref="X394:X400" si="590">(W394*1*D394)+(W394*1.5*E394)+(W394*2*F394)+(W394*1*G394)</f>
        <v>2897.5</v>
      </c>
      <c r="Y394" s="53">
        <f t="shared" si="586"/>
        <v>0</v>
      </c>
      <c r="Z394" s="53">
        <f t="shared" ref="Z394:Z400" si="591">(W394*1*J394)+L394</f>
        <v>0</v>
      </c>
      <c r="AA394" s="54">
        <f t="shared" si="579"/>
        <v>0</v>
      </c>
      <c r="AB394" s="54">
        <f t="shared" ref="AB394:AB400" si="592">(W394*1*N394)+(W394*1.5*O394)+(W394*2*P394)+(W394*1*Q394)</f>
        <v>2912.5</v>
      </c>
      <c r="AC394" s="55">
        <f t="shared" si="580"/>
        <v>0</v>
      </c>
      <c r="AD394" s="217"/>
      <c r="AE394" s="55">
        <f>AB394-(X394+Z394)</f>
        <v>15</v>
      </c>
      <c r="AF394" s="212"/>
      <c r="AG394" s="8"/>
    </row>
    <row r="395" spans="1:33" ht="14.65" thickBot="1" x14ac:dyDescent="0.5">
      <c r="A395" s="23">
        <f>A394</f>
        <v>44360</v>
      </c>
      <c r="B395" s="24" t="s">
        <v>53</v>
      </c>
      <c r="C395" s="49">
        <f t="shared" si="587"/>
        <v>1440</v>
      </c>
      <c r="D395" s="25">
        <v>0</v>
      </c>
      <c r="E395" s="25">
        <v>0</v>
      </c>
      <c r="F395" s="25">
        <v>0</v>
      </c>
      <c r="G395" s="25">
        <v>0</v>
      </c>
      <c r="H395" s="25">
        <v>0</v>
      </c>
      <c r="I395" s="25">
        <v>0</v>
      </c>
      <c r="J395" s="25">
        <v>0</v>
      </c>
      <c r="K395" s="25">
        <v>80</v>
      </c>
      <c r="L395" s="46">
        <v>0</v>
      </c>
      <c r="M395" s="35"/>
      <c r="N395" s="25">
        <v>0</v>
      </c>
      <c r="O395" s="25">
        <v>0</v>
      </c>
      <c r="P395" s="25">
        <v>0</v>
      </c>
      <c r="Q395" s="25">
        <v>0</v>
      </c>
      <c r="R395" s="35"/>
      <c r="S395" s="25">
        <f t="shared" si="588"/>
        <v>0</v>
      </c>
      <c r="T395" s="25">
        <f t="shared" ref="T395" si="593">SUM(N395:Q395)</f>
        <v>0</v>
      </c>
      <c r="U395" s="25">
        <f t="shared" si="589"/>
        <v>80</v>
      </c>
      <c r="V395" s="35"/>
      <c r="W395" s="46">
        <v>18</v>
      </c>
      <c r="X395" s="26">
        <f t="shared" si="590"/>
        <v>0</v>
      </c>
      <c r="Y395" s="26">
        <f t="shared" si="586"/>
        <v>0</v>
      </c>
      <c r="Z395" s="26">
        <f t="shared" si="591"/>
        <v>0</v>
      </c>
      <c r="AA395" s="27">
        <f t="shared" si="579"/>
        <v>1440</v>
      </c>
      <c r="AB395" s="27">
        <f t="shared" si="592"/>
        <v>0</v>
      </c>
      <c r="AC395" s="12">
        <f t="shared" si="580"/>
        <v>-1440</v>
      </c>
      <c r="AD395" s="216"/>
      <c r="AE395" s="12">
        <f>AB395-(X395+Z395)</f>
        <v>0</v>
      </c>
      <c r="AF395" s="213"/>
      <c r="AG395" s="8"/>
    </row>
    <row r="396" spans="1:33" x14ac:dyDescent="0.45">
      <c r="A396" s="22">
        <f>A395+14</f>
        <v>44374</v>
      </c>
      <c r="B396" s="15" t="s">
        <v>30</v>
      </c>
      <c r="C396" s="48">
        <f>120*W396</f>
        <v>3780</v>
      </c>
      <c r="D396" s="13">
        <v>64</v>
      </c>
      <c r="E396" s="13">
        <v>4</v>
      </c>
      <c r="F396" s="13">
        <v>12</v>
      </c>
      <c r="G396" s="13">
        <v>10</v>
      </c>
      <c r="H396" s="13">
        <v>0</v>
      </c>
      <c r="I396" s="13">
        <v>8</v>
      </c>
      <c r="J396" s="13">
        <v>0</v>
      </c>
      <c r="K396" s="13">
        <v>0</v>
      </c>
      <c r="L396" s="45">
        <v>0</v>
      </c>
      <c r="M396" s="34"/>
      <c r="N396" s="13">
        <v>76.5</v>
      </c>
      <c r="O396" s="13">
        <v>10</v>
      </c>
      <c r="P396" s="13">
        <v>12</v>
      </c>
      <c r="Q396" s="13">
        <v>0</v>
      </c>
      <c r="R396" s="34"/>
      <c r="S396" s="13">
        <f t="shared" si="588"/>
        <v>90</v>
      </c>
      <c r="T396" s="13">
        <f t="shared" ref="T396:T401" si="594">SUM(N396:Q396)</f>
        <v>98.5</v>
      </c>
      <c r="U396" s="13">
        <f t="shared" si="589"/>
        <v>8</v>
      </c>
      <c r="V396" s="34"/>
      <c r="W396" s="45">
        <v>31.5</v>
      </c>
      <c r="X396" s="10">
        <f t="shared" si="590"/>
        <v>3276</v>
      </c>
      <c r="Y396" s="10">
        <f t="shared" si="586"/>
        <v>252</v>
      </c>
      <c r="Z396" s="10">
        <f t="shared" si="591"/>
        <v>0</v>
      </c>
      <c r="AA396" s="14">
        <f t="shared" ref="AA396:AA404" si="595">(W396*1*K396)</f>
        <v>0</v>
      </c>
      <c r="AB396" s="14">
        <f t="shared" si="592"/>
        <v>3638.25</v>
      </c>
      <c r="AC396" s="11">
        <f t="shared" ref="AC396:AC404" si="596">0-Y396-AA396</f>
        <v>-252</v>
      </c>
      <c r="AD396" s="215"/>
      <c r="AE396" s="11">
        <f t="shared" ref="AE396:AE400" si="597">AB396-(X396+Z396)</f>
        <v>362.25</v>
      </c>
      <c r="AF396" s="211">
        <f>SUM(AE396:AE404)</f>
        <v>459.25</v>
      </c>
      <c r="AG396" s="8"/>
    </row>
    <row r="397" spans="1:33" x14ac:dyDescent="0.45">
      <c r="A397" s="22">
        <f>A396</f>
        <v>44374</v>
      </c>
      <c r="B397" s="15" t="s">
        <v>4</v>
      </c>
      <c r="C397" s="48">
        <f>80*W397</f>
        <v>2000</v>
      </c>
      <c r="D397" s="13">
        <v>80</v>
      </c>
      <c r="E397" s="13">
        <v>41.5</v>
      </c>
      <c r="F397" s="13">
        <v>10</v>
      </c>
      <c r="G397" s="13">
        <v>4.25</v>
      </c>
      <c r="H397" s="13">
        <v>0</v>
      </c>
      <c r="I397" s="13">
        <v>0</v>
      </c>
      <c r="J397" s="13">
        <v>0</v>
      </c>
      <c r="K397" s="13">
        <v>0</v>
      </c>
      <c r="L397" s="45">
        <v>0</v>
      </c>
      <c r="M397" s="34"/>
      <c r="N397" s="13">
        <v>80</v>
      </c>
      <c r="O397" s="13">
        <v>44.25</v>
      </c>
      <c r="P397" s="13">
        <v>11.5</v>
      </c>
      <c r="Q397" s="13">
        <v>0</v>
      </c>
      <c r="R397" s="34"/>
      <c r="S397" s="13">
        <f t="shared" si="588"/>
        <v>135.75</v>
      </c>
      <c r="T397" s="13">
        <f t="shared" si="594"/>
        <v>135.75</v>
      </c>
      <c r="U397" s="13">
        <f>SUM(H397:K397)</f>
        <v>0</v>
      </c>
      <c r="V397" s="34"/>
      <c r="W397" s="45">
        <v>25</v>
      </c>
      <c r="X397" s="10">
        <f t="shared" si="590"/>
        <v>4162.5</v>
      </c>
      <c r="Y397" s="10">
        <f t="shared" si="586"/>
        <v>0</v>
      </c>
      <c r="Z397" s="10">
        <f t="shared" si="591"/>
        <v>0</v>
      </c>
      <c r="AA397" s="14">
        <f t="shared" si="595"/>
        <v>0</v>
      </c>
      <c r="AB397" s="14">
        <f t="shared" si="592"/>
        <v>4234.375</v>
      </c>
      <c r="AC397" s="11">
        <f t="shared" si="596"/>
        <v>0</v>
      </c>
      <c r="AD397" s="215"/>
      <c r="AE397" s="11">
        <f t="shared" si="597"/>
        <v>71.875</v>
      </c>
      <c r="AF397" s="212"/>
      <c r="AG397" s="8"/>
    </row>
    <row r="398" spans="1:33" x14ac:dyDescent="0.45">
      <c r="A398" s="22">
        <f t="shared" ref="A398:A403" si="598">A397</f>
        <v>44374</v>
      </c>
      <c r="B398" s="15" t="s">
        <v>5</v>
      </c>
      <c r="C398" s="48">
        <f>120*W398</f>
        <v>3360</v>
      </c>
      <c r="D398" s="13">
        <v>80</v>
      </c>
      <c r="E398" s="13">
        <v>46</v>
      </c>
      <c r="F398" s="13">
        <v>16</v>
      </c>
      <c r="G398" s="13">
        <v>11</v>
      </c>
      <c r="H398" s="13">
        <v>0</v>
      </c>
      <c r="I398" s="13">
        <v>0</v>
      </c>
      <c r="J398" s="13">
        <v>0</v>
      </c>
      <c r="K398" s="13">
        <v>0</v>
      </c>
      <c r="L398" s="45">
        <v>0</v>
      </c>
      <c r="M398" s="34"/>
      <c r="N398" s="13">
        <v>91</v>
      </c>
      <c r="O398" s="13">
        <v>44.5</v>
      </c>
      <c r="P398" s="13">
        <v>17</v>
      </c>
      <c r="Q398" s="13">
        <v>0</v>
      </c>
      <c r="R398" s="34"/>
      <c r="S398" s="13">
        <f t="shared" si="588"/>
        <v>153</v>
      </c>
      <c r="T398" s="13">
        <f t="shared" si="594"/>
        <v>152.5</v>
      </c>
      <c r="U398" s="13">
        <f t="shared" ref="U398:U400" si="599">SUM(H398:K398)</f>
        <v>0</v>
      </c>
      <c r="V398" s="34"/>
      <c r="W398" s="45">
        <v>28</v>
      </c>
      <c r="X398" s="10">
        <f t="shared" si="590"/>
        <v>5376</v>
      </c>
      <c r="Y398" s="10">
        <f t="shared" si="586"/>
        <v>0</v>
      </c>
      <c r="Z398" s="10">
        <f t="shared" si="591"/>
        <v>0</v>
      </c>
      <c r="AA398" s="14">
        <f t="shared" si="595"/>
        <v>0</v>
      </c>
      <c r="AB398" s="14">
        <f t="shared" si="592"/>
        <v>5369</v>
      </c>
      <c r="AC398" s="11">
        <f t="shared" si="596"/>
        <v>0</v>
      </c>
      <c r="AD398" s="215"/>
      <c r="AE398" s="11">
        <f t="shared" si="597"/>
        <v>-7</v>
      </c>
      <c r="AF398" s="212"/>
      <c r="AG398" s="8"/>
    </row>
    <row r="399" spans="1:33" x14ac:dyDescent="0.45">
      <c r="A399" s="22">
        <f t="shared" si="598"/>
        <v>44374</v>
      </c>
      <c r="B399" s="15" t="s">
        <v>6</v>
      </c>
      <c r="C399" s="48">
        <f>80*W399</f>
        <v>2056</v>
      </c>
      <c r="D399" s="13">
        <v>80</v>
      </c>
      <c r="E399" s="13">
        <v>32.5</v>
      </c>
      <c r="F399" s="13">
        <v>12</v>
      </c>
      <c r="G399" s="13">
        <v>12</v>
      </c>
      <c r="H399" s="13">
        <v>0</v>
      </c>
      <c r="I399" s="13">
        <v>0</v>
      </c>
      <c r="J399" s="13">
        <v>0</v>
      </c>
      <c r="K399" s="13">
        <v>0</v>
      </c>
      <c r="L399" s="45">
        <v>0</v>
      </c>
      <c r="M399" s="34"/>
      <c r="N399" s="13">
        <v>92.5</v>
      </c>
      <c r="O399" s="13">
        <v>33</v>
      </c>
      <c r="P399" s="13">
        <v>12</v>
      </c>
      <c r="Q399" s="13">
        <v>0</v>
      </c>
      <c r="R399" s="34"/>
      <c r="S399" s="13">
        <f t="shared" si="588"/>
        <v>136.5</v>
      </c>
      <c r="T399" s="13">
        <f t="shared" si="594"/>
        <v>137.5</v>
      </c>
      <c r="U399" s="13">
        <f t="shared" si="599"/>
        <v>0</v>
      </c>
      <c r="V399" s="34"/>
      <c r="W399" s="45">
        <v>25.7</v>
      </c>
      <c r="X399" s="10">
        <f>(W399*1*D399)+(W399*1.5*E399)+(W399*2*F399)+(W399*1*G399)</f>
        <v>4234.0749999999998</v>
      </c>
      <c r="Y399" s="10">
        <f t="shared" si="586"/>
        <v>0</v>
      </c>
      <c r="Z399" s="10">
        <f t="shared" si="591"/>
        <v>0</v>
      </c>
      <c r="AA399" s="14">
        <f t="shared" si="595"/>
        <v>0</v>
      </c>
      <c r="AB399" s="14">
        <f t="shared" si="592"/>
        <v>4266.2</v>
      </c>
      <c r="AC399" s="11">
        <f t="shared" si="596"/>
        <v>0</v>
      </c>
      <c r="AD399" s="215"/>
      <c r="AE399" s="11">
        <f t="shared" si="597"/>
        <v>32.125</v>
      </c>
      <c r="AF399" s="212"/>
      <c r="AG399" s="8"/>
    </row>
    <row r="400" spans="1:33" x14ac:dyDescent="0.45">
      <c r="A400" s="22">
        <f>A399</f>
        <v>44374</v>
      </c>
      <c r="B400" s="15" t="s">
        <v>9</v>
      </c>
      <c r="C400" s="48">
        <f>120*W400</f>
        <v>3420</v>
      </c>
      <c r="D400" s="13">
        <v>80</v>
      </c>
      <c r="E400" s="13">
        <v>25.5</v>
      </c>
      <c r="F400" s="13">
        <v>0</v>
      </c>
      <c r="G400" s="13">
        <v>12</v>
      </c>
      <c r="H400" s="13">
        <v>0</v>
      </c>
      <c r="I400" s="13">
        <v>0</v>
      </c>
      <c r="J400" s="13">
        <v>0</v>
      </c>
      <c r="K400" s="13">
        <v>0</v>
      </c>
      <c r="L400" s="45">
        <v>0</v>
      </c>
      <c r="M400" s="34"/>
      <c r="N400" s="13">
        <v>80</v>
      </c>
      <c r="O400" s="13">
        <v>25.5</v>
      </c>
      <c r="P400" s="13">
        <v>0</v>
      </c>
      <c r="Q400" s="13">
        <v>12</v>
      </c>
      <c r="R400" s="34"/>
      <c r="S400" s="13">
        <f t="shared" si="588"/>
        <v>117.5</v>
      </c>
      <c r="T400" s="13">
        <f t="shared" si="594"/>
        <v>117.5</v>
      </c>
      <c r="U400" s="13">
        <f t="shared" si="599"/>
        <v>0</v>
      </c>
      <c r="V400" s="34"/>
      <c r="W400" s="45">
        <v>28.5</v>
      </c>
      <c r="X400" s="10">
        <f t="shared" si="590"/>
        <v>3712.125</v>
      </c>
      <c r="Y400" s="10">
        <f>(W400*0*H400)+(W400*1*I400)</f>
        <v>0</v>
      </c>
      <c r="Z400" s="10">
        <f t="shared" si="591"/>
        <v>0</v>
      </c>
      <c r="AA400" s="14">
        <f t="shared" si="595"/>
        <v>0</v>
      </c>
      <c r="AB400" s="14">
        <f t="shared" si="592"/>
        <v>3712.125</v>
      </c>
      <c r="AC400" s="11">
        <f t="shared" si="596"/>
        <v>0</v>
      </c>
      <c r="AD400" s="215"/>
      <c r="AE400" s="11">
        <f t="shared" si="597"/>
        <v>0</v>
      </c>
      <c r="AF400" s="212"/>
      <c r="AG400" s="8"/>
    </row>
    <row r="401" spans="1:33" x14ac:dyDescent="0.45">
      <c r="A401" s="22">
        <f t="shared" si="598"/>
        <v>44374</v>
      </c>
      <c r="B401" s="50" t="s">
        <v>31</v>
      </c>
      <c r="C401" s="48">
        <f>80*W401</f>
        <v>2160</v>
      </c>
      <c r="D401" s="51">
        <v>80</v>
      </c>
      <c r="E401" s="51">
        <v>4.5</v>
      </c>
      <c r="F401" s="51">
        <v>0</v>
      </c>
      <c r="G401" s="51">
        <v>0</v>
      </c>
      <c r="H401" s="51">
        <v>0</v>
      </c>
      <c r="I401" s="51">
        <v>0</v>
      </c>
      <c r="J401" s="51">
        <v>0</v>
      </c>
      <c r="K401" s="51">
        <v>0</v>
      </c>
      <c r="L401" s="52">
        <v>0</v>
      </c>
      <c r="M401" s="34"/>
      <c r="N401" s="51">
        <v>80</v>
      </c>
      <c r="O401" s="51">
        <v>4.5</v>
      </c>
      <c r="P401" s="51">
        <v>0</v>
      </c>
      <c r="Q401" s="51">
        <v>0</v>
      </c>
      <c r="R401" s="34"/>
      <c r="S401" s="51">
        <f t="shared" ref="S401" si="600">SUM(D401:G401)</f>
        <v>84.5</v>
      </c>
      <c r="T401" s="51">
        <f t="shared" si="594"/>
        <v>84.5</v>
      </c>
      <c r="U401" s="51">
        <f t="shared" ref="U401" si="601">SUM(H401:K401)</f>
        <v>0</v>
      </c>
      <c r="V401" s="34"/>
      <c r="W401" s="52">
        <v>27</v>
      </c>
      <c r="X401" s="53">
        <f>(W401*1*D401)+(W401*1.5*E401)+(W401*2*F401)+(W401*1*G401)</f>
        <v>2342.25</v>
      </c>
      <c r="Y401" s="53">
        <f t="shared" ref="Y401:Y408" si="602">(W401*0*H401)+(W401*1*I401)</f>
        <v>0</v>
      </c>
      <c r="Z401" s="53">
        <f>(W401*1*J401)+L401</f>
        <v>0</v>
      </c>
      <c r="AA401" s="54">
        <f t="shared" si="595"/>
        <v>0</v>
      </c>
      <c r="AB401" s="54">
        <f>(W401*1*N401)+(W401*1.5*O401)+(W401*2*P401)+(W401*1*Q401)</f>
        <v>2342.25</v>
      </c>
      <c r="AC401" s="55">
        <f t="shared" si="596"/>
        <v>0</v>
      </c>
      <c r="AD401" s="217"/>
      <c r="AE401" s="55">
        <f>AB401-(X401+Z401)</f>
        <v>0</v>
      </c>
      <c r="AF401" s="212"/>
      <c r="AG401" s="8"/>
    </row>
    <row r="402" spans="1:33" x14ac:dyDescent="0.45">
      <c r="A402" s="22">
        <f t="shared" si="598"/>
        <v>44374</v>
      </c>
      <c r="B402" s="50" t="s">
        <v>51</v>
      </c>
      <c r="C402" s="48">
        <f t="shared" ref="C402:C404" si="603">80*W402</f>
        <v>1600</v>
      </c>
      <c r="D402" s="51">
        <v>80</v>
      </c>
      <c r="E402" s="51">
        <v>25.5</v>
      </c>
      <c r="F402" s="51">
        <v>12</v>
      </c>
      <c r="G402" s="51">
        <v>6</v>
      </c>
      <c r="H402" s="51">
        <v>0</v>
      </c>
      <c r="I402" s="51">
        <v>0</v>
      </c>
      <c r="J402" s="51">
        <v>0</v>
      </c>
      <c r="K402" s="51">
        <v>0</v>
      </c>
      <c r="L402" s="52">
        <v>0</v>
      </c>
      <c r="M402" s="34"/>
      <c r="N402" s="51">
        <v>92</v>
      </c>
      <c r="O402" s="51">
        <v>21.5</v>
      </c>
      <c r="P402" s="51">
        <v>12</v>
      </c>
      <c r="Q402" s="51">
        <v>0</v>
      </c>
      <c r="R402" s="34"/>
      <c r="S402" s="51">
        <f t="shared" ref="S402:S409" si="604">SUM(D402:G402)</f>
        <v>123.5</v>
      </c>
      <c r="T402" s="51">
        <f>SUM(N402:Q402)</f>
        <v>125.5</v>
      </c>
      <c r="U402" s="51">
        <f t="shared" ref="U402:U405" si="605">SUM(H402:K402)</f>
        <v>0</v>
      </c>
      <c r="V402" s="34"/>
      <c r="W402" s="52">
        <v>20</v>
      </c>
      <c r="X402" s="53">
        <f t="shared" ref="X402:X407" si="606">(W402*1*D402)+(W402*1.5*E402)+(W402*2*F402)+(W402*1*G402)</f>
        <v>2965</v>
      </c>
      <c r="Y402" s="53">
        <f t="shared" si="602"/>
        <v>0</v>
      </c>
      <c r="Z402" s="53">
        <f t="shared" ref="Z402:Z409" si="607">(W402*1*J402)+L402</f>
        <v>0</v>
      </c>
      <c r="AA402" s="54">
        <f t="shared" si="595"/>
        <v>0</v>
      </c>
      <c r="AB402" s="54">
        <f t="shared" ref="AB402:AB409" si="608">(W402*1*N402)+(W402*1.5*O402)+(W402*2*P402)+(W402*1*Q402)</f>
        <v>2965</v>
      </c>
      <c r="AC402" s="55">
        <f t="shared" si="596"/>
        <v>0</v>
      </c>
      <c r="AD402" s="217"/>
      <c r="AE402" s="55">
        <f>AB402-(X402+Z402)</f>
        <v>0</v>
      </c>
      <c r="AF402" s="212"/>
      <c r="AG402" s="8"/>
    </row>
    <row r="403" spans="1:33" x14ac:dyDescent="0.45">
      <c r="A403" s="22">
        <f t="shared" si="598"/>
        <v>44374</v>
      </c>
      <c r="B403" s="50" t="s">
        <v>53</v>
      </c>
      <c r="C403" s="48">
        <f t="shared" ref="C403" si="609">80*W403</f>
        <v>1440</v>
      </c>
      <c r="D403" s="51">
        <v>0</v>
      </c>
      <c r="E403" s="51">
        <v>0</v>
      </c>
      <c r="F403" s="51">
        <v>0</v>
      </c>
      <c r="G403" s="51">
        <v>0</v>
      </c>
      <c r="H403" s="51">
        <v>0</v>
      </c>
      <c r="I403" s="51">
        <v>0</v>
      </c>
      <c r="J403" s="51">
        <v>0</v>
      </c>
      <c r="K403" s="51">
        <v>80</v>
      </c>
      <c r="L403" s="52">
        <v>0</v>
      </c>
      <c r="M403" s="34"/>
      <c r="N403" s="51">
        <v>0</v>
      </c>
      <c r="O403" s="51">
        <v>0</v>
      </c>
      <c r="P403" s="51">
        <v>0</v>
      </c>
      <c r="Q403" s="51">
        <v>0</v>
      </c>
      <c r="R403" s="34"/>
      <c r="S403" s="51">
        <f t="shared" ref="S403" si="610">SUM(D403:G403)</f>
        <v>0</v>
      </c>
      <c r="T403" s="51">
        <f>SUM(N403:Q403)</f>
        <v>0</v>
      </c>
      <c r="U403" s="51">
        <f t="shared" ref="U403" si="611">SUM(H403:K403)</f>
        <v>80</v>
      </c>
      <c r="V403" s="34"/>
      <c r="W403" s="52">
        <v>18</v>
      </c>
      <c r="X403" s="53">
        <f t="shared" ref="X403" si="612">(W403*1*D403)+(W403*1.5*E403)+(W403*2*F403)+(W403*1*G403)</f>
        <v>0</v>
      </c>
      <c r="Y403" s="53">
        <f t="shared" ref="Y403" si="613">(W403*0*H403)+(W403*1*I403)</f>
        <v>0</v>
      </c>
      <c r="Z403" s="53">
        <f t="shared" ref="Z403" si="614">(W403*1*J403)+L403</f>
        <v>0</v>
      </c>
      <c r="AA403" s="54">
        <f t="shared" ref="AA403" si="615">(W403*1*K403)</f>
        <v>1440</v>
      </c>
      <c r="AB403" s="54">
        <f t="shared" ref="AB403" si="616">(W403*1*N403)+(W403*1.5*O403)+(W403*2*P403)+(W403*1*Q403)</f>
        <v>0</v>
      </c>
      <c r="AC403" s="55">
        <f t="shared" ref="AC403" si="617">0-Y403-AA403</f>
        <v>-1440</v>
      </c>
      <c r="AD403" s="217"/>
      <c r="AE403" s="55">
        <f>AB403-(X403+Z403)</f>
        <v>0</v>
      </c>
      <c r="AF403" s="212"/>
      <c r="AG403" s="8"/>
    </row>
    <row r="404" spans="1:33" ht="14.65" thickBot="1" x14ac:dyDescent="0.5">
      <c r="A404" s="23">
        <f>A402</f>
        <v>44374</v>
      </c>
      <c r="B404" s="24" t="s">
        <v>54</v>
      </c>
      <c r="C404" s="49">
        <f t="shared" si="603"/>
        <v>1440</v>
      </c>
      <c r="D404" s="25">
        <v>0</v>
      </c>
      <c r="E404" s="25">
        <v>0</v>
      </c>
      <c r="F404" s="25">
        <v>0</v>
      </c>
      <c r="G404" s="25">
        <v>0</v>
      </c>
      <c r="H404" s="25">
        <v>0</v>
      </c>
      <c r="I404" s="25">
        <v>0</v>
      </c>
      <c r="J404" s="25">
        <v>0</v>
      </c>
      <c r="K404" s="25">
        <v>80</v>
      </c>
      <c r="L404" s="46">
        <v>0</v>
      </c>
      <c r="M404" s="35"/>
      <c r="N404" s="25">
        <v>0</v>
      </c>
      <c r="O404" s="25">
        <v>0</v>
      </c>
      <c r="P404" s="25">
        <v>0</v>
      </c>
      <c r="Q404" s="25">
        <v>0</v>
      </c>
      <c r="R404" s="35"/>
      <c r="S404" s="25">
        <f t="shared" si="604"/>
        <v>0</v>
      </c>
      <c r="T404" s="25">
        <f t="shared" ref="T404:T410" si="618">SUM(N404:Q404)</f>
        <v>0</v>
      </c>
      <c r="U404" s="25">
        <f t="shared" si="605"/>
        <v>80</v>
      </c>
      <c r="V404" s="35"/>
      <c r="W404" s="46">
        <v>18</v>
      </c>
      <c r="X404" s="26">
        <f t="shared" si="606"/>
        <v>0</v>
      </c>
      <c r="Y404" s="26">
        <f t="shared" si="602"/>
        <v>0</v>
      </c>
      <c r="Z404" s="26">
        <f t="shared" si="607"/>
        <v>0</v>
      </c>
      <c r="AA404" s="27">
        <f t="shared" si="595"/>
        <v>1440</v>
      </c>
      <c r="AB404" s="27">
        <f t="shared" si="608"/>
        <v>0</v>
      </c>
      <c r="AC404" s="12">
        <f t="shared" si="596"/>
        <v>-1440</v>
      </c>
      <c r="AD404" s="216"/>
      <c r="AE404" s="12">
        <f>AB404-(X404+Z404)</f>
        <v>0</v>
      </c>
      <c r="AF404" s="213"/>
      <c r="AG404" s="8"/>
    </row>
    <row r="405" spans="1:33" x14ac:dyDescent="0.45">
      <c r="A405" s="22">
        <f>A404+14</f>
        <v>44388</v>
      </c>
      <c r="B405" s="15" t="s">
        <v>30</v>
      </c>
      <c r="C405" s="48">
        <f>120*W405</f>
        <v>3780</v>
      </c>
      <c r="D405" s="13">
        <v>72</v>
      </c>
      <c r="E405" s="13">
        <v>0</v>
      </c>
      <c r="F405" s="13">
        <v>0</v>
      </c>
      <c r="G405" s="13">
        <v>5</v>
      </c>
      <c r="H405" s="13">
        <v>0</v>
      </c>
      <c r="I405" s="13">
        <v>0</v>
      </c>
      <c r="J405" s="13">
        <v>8</v>
      </c>
      <c r="K405" s="13">
        <v>0</v>
      </c>
      <c r="L405" s="45">
        <v>0</v>
      </c>
      <c r="M405" s="34"/>
      <c r="N405" s="13">
        <v>77</v>
      </c>
      <c r="O405" s="13">
        <v>0</v>
      </c>
      <c r="P405" s="13">
        <v>0</v>
      </c>
      <c r="Q405" s="13">
        <v>0</v>
      </c>
      <c r="R405" s="34"/>
      <c r="S405" s="13">
        <f t="shared" si="604"/>
        <v>77</v>
      </c>
      <c r="T405" s="13">
        <f t="shared" si="618"/>
        <v>77</v>
      </c>
      <c r="U405" s="13">
        <f t="shared" si="605"/>
        <v>8</v>
      </c>
      <c r="V405" s="34"/>
      <c r="W405" s="45">
        <v>31.5</v>
      </c>
      <c r="X405" s="10">
        <f t="shared" si="606"/>
        <v>2425.5</v>
      </c>
      <c r="Y405" s="10">
        <f t="shared" si="602"/>
        <v>0</v>
      </c>
      <c r="Z405" s="10">
        <f t="shared" si="607"/>
        <v>252</v>
      </c>
      <c r="AA405" s="14">
        <f t="shared" ref="AA405:AA413" si="619">(W405*1*K405)</f>
        <v>0</v>
      </c>
      <c r="AB405" s="14">
        <f t="shared" si="608"/>
        <v>2425.5</v>
      </c>
      <c r="AC405" s="11">
        <f t="shared" ref="AC405:AC413" si="620">0-Y405-AA405</f>
        <v>0</v>
      </c>
      <c r="AD405" s="215"/>
      <c r="AE405" s="11">
        <f t="shared" ref="AE405:AE409" si="621">AB405-(X405+Z405)</f>
        <v>-252</v>
      </c>
      <c r="AF405" s="211">
        <f>SUM(AE405:AE413)</f>
        <v>-1406.8499999999997</v>
      </c>
      <c r="AG405" s="8"/>
    </row>
    <row r="406" spans="1:33" x14ac:dyDescent="0.45">
      <c r="A406" s="22">
        <f>A405</f>
        <v>44388</v>
      </c>
      <c r="B406" s="15" t="s">
        <v>4</v>
      </c>
      <c r="C406" s="48">
        <f>80*W406</f>
        <v>2000</v>
      </c>
      <c r="D406" s="13">
        <v>72</v>
      </c>
      <c r="E406" s="13">
        <v>22.25</v>
      </c>
      <c r="F406" s="13">
        <v>8.5</v>
      </c>
      <c r="G406" s="13">
        <v>11</v>
      </c>
      <c r="H406" s="13">
        <v>0</v>
      </c>
      <c r="I406" s="13">
        <v>0</v>
      </c>
      <c r="J406" s="13">
        <v>8</v>
      </c>
      <c r="K406" s="13">
        <v>0</v>
      </c>
      <c r="L406" s="45">
        <v>0</v>
      </c>
      <c r="M406" s="34"/>
      <c r="N406" s="13">
        <v>79.5</v>
      </c>
      <c r="O406" s="13">
        <v>25.75</v>
      </c>
      <c r="P406" s="13">
        <v>8.5</v>
      </c>
      <c r="Q406" s="13">
        <v>0</v>
      </c>
      <c r="R406" s="34"/>
      <c r="S406" s="13">
        <f t="shared" si="604"/>
        <v>113.75</v>
      </c>
      <c r="T406" s="13">
        <f t="shared" si="618"/>
        <v>113.75</v>
      </c>
      <c r="U406" s="13">
        <f>SUM(H406:K406)</f>
        <v>8</v>
      </c>
      <c r="V406" s="34"/>
      <c r="W406" s="45">
        <v>25</v>
      </c>
      <c r="X406" s="10">
        <f t="shared" si="606"/>
        <v>3334.375</v>
      </c>
      <c r="Y406" s="10">
        <f t="shared" si="602"/>
        <v>0</v>
      </c>
      <c r="Z406" s="10">
        <f t="shared" si="607"/>
        <v>200</v>
      </c>
      <c r="AA406" s="14">
        <f t="shared" si="619"/>
        <v>0</v>
      </c>
      <c r="AB406" s="14">
        <f t="shared" si="608"/>
        <v>3378.125</v>
      </c>
      <c r="AC406" s="11">
        <f t="shared" si="620"/>
        <v>0</v>
      </c>
      <c r="AD406" s="215"/>
      <c r="AE406" s="11">
        <f t="shared" si="621"/>
        <v>-156.25</v>
      </c>
      <c r="AF406" s="212"/>
      <c r="AG406" s="8"/>
    </row>
    <row r="407" spans="1:33" x14ac:dyDescent="0.45">
      <c r="A407" s="22">
        <f t="shared" ref="A407:A412" si="622">A406</f>
        <v>44388</v>
      </c>
      <c r="B407" s="15" t="s">
        <v>5</v>
      </c>
      <c r="C407" s="48">
        <f>120*W407</f>
        <v>3360</v>
      </c>
      <c r="D407" s="13">
        <v>40</v>
      </c>
      <c r="E407" s="13">
        <v>25</v>
      </c>
      <c r="F407" s="13">
        <v>12</v>
      </c>
      <c r="G407" s="13">
        <v>12</v>
      </c>
      <c r="H407" s="13">
        <v>0</v>
      </c>
      <c r="I407" s="13">
        <v>24</v>
      </c>
      <c r="J407" s="13">
        <v>8</v>
      </c>
      <c r="K407" s="13">
        <v>0</v>
      </c>
      <c r="L407" s="45">
        <v>0</v>
      </c>
      <c r="M407" s="34"/>
      <c r="N407" s="13">
        <v>52.5</v>
      </c>
      <c r="O407" s="13">
        <v>24</v>
      </c>
      <c r="P407" s="13">
        <v>13</v>
      </c>
      <c r="Q407" s="13">
        <v>0</v>
      </c>
      <c r="R407" s="34"/>
      <c r="S407" s="13">
        <f t="shared" si="604"/>
        <v>89</v>
      </c>
      <c r="T407" s="13">
        <f t="shared" si="618"/>
        <v>89.5</v>
      </c>
      <c r="U407" s="13">
        <f t="shared" ref="U407:U409" si="623">SUM(H407:K407)</f>
        <v>32</v>
      </c>
      <c r="V407" s="34"/>
      <c r="W407" s="45">
        <v>28</v>
      </c>
      <c r="X407" s="10">
        <f t="shared" si="606"/>
        <v>3178</v>
      </c>
      <c r="Y407" s="10">
        <f t="shared" si="602"/>
        <v>672</v>
      </c>
      <c r="Z407" s="10">
        <f t="shared" si="607"/>
        <v>224</v>
      </c>
      <c r="AA407" s="14">
        <f t="shared" si="619"/>
        <v>0</v>
      </c>
      <c r="AB407" s="14">
        <f t="shared" si="608"/>
        <v>3206</v>
      </c>
      <c r="AC407" s="11">
        <f t="shared" si="620"/>
        <v>-672</v>
      </c>
      <c r="AD407" s="215"/>
      <c r="AE407" s="11">
        <f t="shared" si="621"/>
        <v>-196</v>
      </c>
      <c r="AF407" s="212"/>
      <c r="AG407" s="8"/>
    </row>
    <row r="408" spans="1:33" x14ac:dyDescent="0.45">
      <c r="A408" s="22">
        <f t="shared" si="622"/>
        <v>44388</v>
      </c>
      <c r="B408" s="15" t="s">
        <v>6</v>
      </c>
      <c r="C408" s="48">
        <f>80*W408</f>
        <v>2056</v>
      </c>
      <c r="D408" s="13">
        <v>32</v>
      </c>
      <c r="E408" s="13">
        <v>4</v>
      </c>
      <c r="F408" s="13">
        <v>0</v>
      </c>
      <c r="G408" s="13">
        <v>11.5</v>
      </c>
      <c r="H408" s="13">
        <v>0</v>
      </c>
      <c r="I408" s="13">
        <v>40</v>
      </c>
      <c r="J408" s="13">
        <v>8</v>
      </c>
      <c r="K408" s="13">
        <v>0</v>
      </c>
      <c r="L408" s="45">
        <v>0</v>
      </c>
      <c r="M408" s="34"/>
      <c r="N408" s="13">
        <v>43.5</v>
      </c>
      <c r="O408" s="13">
        <v>4</v>
      </c>
      <c r="P408" s="13">
        <v>0</v>
      </c>
      <c r="Q408" s="13">
        <v>0</v>
      </c>
      <c r="R408" s="34"/>
      <c r="S408" s="13">
        <f t="shared" si="604"/>
        <v>47.5</v>
      </c>
      <c r="T408" s="13">
        <f t="shared" si="618"/>
        <v>47.5</v>
      </c>
      <c r="U408" s="13">
        <f t="shared" si="623"/>
        <v>48</v>
      </c>
      <c r="V408" s="34"/>
      <c r="W408" s="45">
        <v>25.7</v>
      </c>
      <c r="X408" s="10">
        <f>(W408*1*D408)+(W408*1.5*E408)+(W408*2*F408)+(W408*1*G408)</f>
        <v>1272.1499999999999</v>
      </c>
      <c r="Y408" s="10">
        <f t="shared" si="602"/>
        <v>1028</v>
      </c>
      <c r="Z408" s="10">
        <f t="shared" si="607"/>
        <v>205.6</v>
      </c>
      <c r="AA408" s="14">
        <f t="shared" si="619"/>
        <v>0</v>
      </c>
      <c r="AB408" s="14">
        <f t="shared" si="608"/>
        <v>1272.1500000000001</v>
      </c>
      <c r="AC408" s="11">
        <f t="shared" si="620"/>
        <v>-1028</v>
      </c>
      <c r="AD408" s="215"/>
      <c r="AE408" s="11">
        <f t="shared" si="621"/>
        <v>-205.59999999999968</v>
      </c>
      <c r="AF408" s="212"/>
      <c r="AG408" s="8"/>
    </row>
    <row r="409" spans="1:33" x14ac:dyDescent="0.45">
      <c r="A409" s="22">
        <f>A408</f>
        <v>44388</v>
      </c>
      <c r="B409" s="15" t="s">
        <v>9</v>
      </c>
      <c r="C409" s="48">
        <f>120*W409</f>
        <v>3420</v>
      </c>
      <c r="D409" s="13">
        <v>72</v>
      </c>
      <c r="E409" s="13">
        <v>13</v>
      </c>
      <c r="F409" s="13">
        <v>0</v>
      </c>
      <c r="G409" s="13">
        <v>10</v>
      </c>
      <c r="H409" s="13">
        <v>0</v>
      </c>
      <c r="I409" s="13">
        <v>0</v>
      </c>
      <c r="J409" s="13">
        <v>8</v>
      </c>
      <c r="K409" s="13">
        <v>0</v>
      </c>
      <c r="L409" s="45">
        <v>0</v>
      </c>
      <c r="M409" s="34"/>
      <c r="N409" s="13">
        <v>72</v>
      </c>
      <c r="O409" s="13">
        <v>5</v>
      </c>
      <c r="P409" s="13">
        <v>8</v>
      </c>
      <c r="Q409" s="13">
        <v>10</v>
      </c>
      <c r="R409" s="34"/>
      <c r="S409" s="13">
        <f t="shared" si="604"/>
        <v>95</v>
      </c>
      <c r="T409" s="13">
        <f t="shared" si="618"/>
        <v>95</v>
      </c>
      <c r="U409" s="13">
        <f t="shared" si="623"/>
        <v>8</v>
      </c>
      <c r="V409" s="34"/>
      <c r="W409" s="45">
        <v>28.5</v>
      </c>
      <c r="X409" s="10">
        <f t="shared" ref="X409" si="624">(W409*1*D409)+(W409*1.5*E409)+(W409*2*F409)+(W409*1*G409)</f>
        <v>2892.75</v>
      </c>
      <c r="Y409" s="10">
        <f>(W409*0*H409)+(W409*1*I409)</f>
        <v>0</v>
      </c>
      <c r="Z409" s="10">
        <f t="shared" si="607"/>
        <v>228</v>
      </c>
      <c r="AA409" s="14">
        <f t="shared" si="619"/>
        <v>0</v>
      </c>
      <c r="AB409" s="14">
        <f t="shared" si="608"/>
        <v>3006.75</v>
      </c>
      <c r="AC409" s="11">
        <f t="shared" si="620"/>
        <v>0</v>
      </c>
      <c r="AD409" s="215"/>
      <c r="AE409" s="11">
        <f t="shared" si="621"/>
        <v>-114</v>
      </c>
      <c r="AF409" s="212"/>
      <c r="AG409" s="8"/>
    </row>
    <row r="410" spans="1:33" x14ac:dyDescent="0.45">
      <c r="A410" s="22">
        <f t="shared" si="622"/>
        <v>44388</v>
      </c>
      <c r="B410" s="50" t="s">
        <v>31</v>
      </c>
      <c r="C410" s="48">
        <f>80*W410</f>
        <v>2160</v>
      </c>
      <c r="D410" s="51">
        <v>69.75</v>
      </c>
      <c r="E410" s="51">
        <v>1</v>
      </c>
      <c r="F410" s="51">
        <v>0</v>
      </c>
      <c r="G410" s="51">
        <v>0</v>
      </c>
      <c r="H410" s="51">
        <v>0</v>
      </c>
      <c r="I410" s="51">
        <v>0</v>
      </c>
      <c r="J410" s="51">
        <v>8</v>
      </c>
      <c r="K410" s="51">
        <v>0</v>
      </c>
      <c r="L410" s="52">
        <v>0</v>
      </c>
      <c r="M410" s="34"/>
      <c r="N410" s="51">
        <v>70.25</v>
      </c>
      <c r="O410" s="51">
        <v>1</v>
      </c>
      <c r="P410" s="51">
        <v>0</v>
      </c>
      <c r="Q410" s="51">
        <v>0</v>
      </c>
      <c r="R410" s="34"/>
      <c r="S410" s="51">
        <f t="shared" ref="S410" si="625">SUM(D410:G410)</f>
        <v>70.75</v>
      </c>
      <c r="T410" s="51">
        <f t="shared" si="618"/>
        <v>71.25</v>
      </c>
      <c r="U410" s="51">
        <f t="shared" ref="U410" si="626">SUM(H410:K410)</f>
        <v>8</v>
      </c>
      <c r="V410" s="34"/>
      <c r="W410" s="52">
        <v>27</v>
      </c>
      <c r="X410" s="53">
        <f>(W410*1*D410)+(W410*1.5*E410)+(W410*2*F410)+(W410*1*G410)</f>
        <v>1923.75</v>
      </c>
      <c r="Y410" s="53">
        <f t="shared" ref="Y410:Y417" si="627">(W410*0*H410)+(W410*1*I410)</f>
        <v>0</v>
      </c>
      <c r="Z410" s="53">
        <f>(W410*1*J410)+L410</f>
        <v>216</v>
      </c>
      <c r="AA410" s="54">
        <f t="shared" si="619"/>
        <v>0</v>
      </c>
      <c r="AB410" s="54">
        <f>(W410*1*N410)+(W410*1.5*O410)+(W410*2*P410)+(W410*1*Q410)</f>
        <v>1937.25</v>
      </c>
      <c r="AC410" s="55">
        <f t="shared" si="620"/>
        <v>0</v>
      </c>
      <c r="AD410" s="217"/>
      <c r="AE410" s="55">
        <f>AB410-(X410+Z410)</f>
        <v>-202.5</v>
      </c>
      <c r="AF410" s="212"/>
      <c r="AG410" s="8"/>
    </row>
    <row r="411" spans="1:33" x14ac:dyDescent="0.45">
      <c r="A411" s="22">
        <f t="shared" si="622"/>
        <v>44388</v>
      </c>
      <c r="B411" s="50" t="s">
        <v>51</v>
      </c>
      <c r="C411" s="48">
        <f t="shared" ref="C411:C413" si="628">80*W411</f>
        <v>1600</v>
      </c>
      <c r="D411" s="51">
        <v>72</v>
      </c>
      <c r="E411" s="51">
        <v>11.75</v>
      </c>
      <c r="F411" s="51">
        <v>0</v>
      </c>
      <c r="G411" s="51">
        <v>4.5</v>
      </c>
      <c r="H411" s="51">
        <v>0</v>
      </c>
      <c r="I411" s="51">
        <v>0</v>
      </c>
      <c r="J411" s="51">
        <v>8</v>
      </c>
      <c r="K411" s="51">
        <v>0</v>
      </c>
      <c r="L411" s="52">
        <v>0</v>
      </c>
      <c r="M411" s="34"/>
      <c r="N411" s="51">
        <v>77</v>
      </c>
      <c r="O411" s="51">
        <v>16</v>
      </c>
      <c r="P411" s="51">
        <v>0.75</v>
      </c>
      <c r="Q411" s="51">
        <v>0</v>
      </c>
      <c r="R411" s="34"/>
      <c r="S411" s="51">
        <f t="shared" ref="S411:S418" si="629">SUM(D411:G411)</f>
        <v>88.25</v>
      </c>
      <c r="T411" s="51">
        <f>SUM(N411:Q411)</f>
        <v>93.75</v>
      </c>
      <c r="U411" s="51">
        <f t="shared" ref="U411:U414" si="630">SUM(H411:K411)</f>
        <v>8</v>
      </c>
      <c r="V411" s="34"/>
      <c r="W411" s="52">
        <v>20</v>
      </c>
      <c r="X411" s="53">
        <f t="shared" ref="X411:X416" si="631">(W411*1*D411)+(W411*1.5*E411)+(W411*2*F411)+(W411*1*G411)</f>
        <v>1882.5</v>
      </c>
      <c r="Y411" s="53">
        <f t="shared" si="627"/>
        <v>0</v>
      </c>
      <c r="Z411" s="53">
        <f t="shared" ref="Z411:Z418" si="632">(W411*1*J411)+L411</f>
        <v>160</v>
      </c>
      <c r="AA411" s="54">
        <f t="shared" si="619"/>
        <v>0</v>
      </c>
      <c r="AB411" s="54">
        <f t="shared" ref="AB411:AB418" si="633">(W411*1*N411)+(W411*1.5*O411)+(W411*2*P411)+(W411*1*Q411)</f>
        <v>2050</v>
      </c>
      <c r="AC411" s="55">
        <f t="shared" si="620"/>
        <v>0</v>
      </c>
      <c r="AD411" s="217"/>
      <c r="AE411" s="55">
        <f>AB411-(X411+Z411)</f>
        <v>7.5</v>
      </c>
      <c r="AF411" s="212"/>
      <c r="AG411" s="8"/>
    </row>
    <row r="412" spans="1:33" x14ac:dyDescent="0.45">
      <c r="A412" s="22">
        <f t="shared" si="622"/>
        <v>44388</v>
      </c>
      <c r="B412" s="50" t="s">
        <v>53</v>
      </c>
      <c r="C412" s="48">
        <f t="shared" si="628"/>
        <v>1440</v>
      </c>
      <c r="D412" s="51">
        <v>0</v>
      </c>
      <c r="E412" s="51">
        <v>0</v>
      </c>
      <c r="F412" s="51">
        <v>0</v>
      </c>
      <c r="G412" s="51">
        <v>0</v>
      </c>
      <c r="H412" s="51">
        <v>0</v>
      </c>
      <c r="I412" s="51">
        <v>0</v>
      </c>
      <c r="J412" s="51">
        <v>8</v>
      </c>
      <c r="K412" s="51">
        <v>72</v>
      </c>
      <c r="L412" s="52">
        <v>0</v>
      </c>
      <c r="M412" s="34"/>
      <c r="N412" s="51">
        <v>0</v>
      </c>
      <c r="O412" s="51">
        <v>0</v>
      </c>
      <c r="P412" s="51">
        <v>0</v>
      </c>
      <c r="Q412" s="51">
        <v>0</v>
      </c>
      <c r="R412" s="34"/>
      <c r="S412" s="51">
        <f t="shared" si="629"/>
        <v>0</v>
      </c>
      <c r="T412" s="51">
        <f>SUM(N412:Q412)</f>
        <v>0</v>
      </c>
      <c r="U412" s="51">
        <f t="shared" si="630"/>
        <v>80</v>
      </c>
      <c r="V412" s="34"/>
      <c r="W412" s="52">
        <v>18</v>
      </c>
      <c r="X412" s="53">
        <f t="shared" si="631"/>
        <v>0</v>
      </c>
      <c r="Y412" s="53">
        <f t="shared" si="627"/>
        <v>0</v>
      </c>
      <c r="Z412" s="53">
        <f t="shared" si="632"/>
        <v>144</v>
      </c>
      <c r="AA412" s="54">
        <f t="shared" si="619"/>
        <v>1296</v>
      </c>
      <c r="AB412" s="54">
        <f t="shared" si="633"/>
        <v>0</v>
      </c>
      <c r="AC412" s="55">
        <f t="shared" si="620"/>
        <v>-1296</v>
      </c>
      <c r="AD412" s="217"/>
      <c r="AE412" s="55">
        <f>AB412-(X412+Z412)</f>
        <v>-144</v>
      </c>
      <c r="AF412" s="212"/>
      <c r="AG412" s="8"/>
    </row>
    <row r="413" spans="1:33" ht="14.65" thickBot="1" x14ac:dyDescent="0.5">
      <c r="A413" s="23">
        <f>A411</f>
        <v>44388</v>
      </c>
      <c r="B413" s="24" t="s">
        <v>54</v>
      </c>
      <c r="C413" s="49">
        <f t="shared" si="628"/>
        <v>1440</v>
      </c>
      <c r="D413" s="25">
        <v>0</v>
      </c>
      <c r="E413" s="25">
        <v>0</v>
      </c>
      <c r="F413" s="25">
        <v>0</v>
      </c>
      <c r="G413" s="25">
        <v>0</v>
      </c>
      <c r="H413" s="25">
        <v>0</v>
      </c>
      <c r="I413" s="25">
        <v>0</v>
      </c>
      <c r="J413" s="25">
        <v>8</v>
      </c>
      <c r="K413" s="25">
        <v>72</v>
      </c>
      <c r="L413" s="46">
        <v>0</v>
      </c>
      <c r="M413" s="35"/>
      <c r="N413" s="25">
        <v>0</v>
      </c>
      <c r="O413" s="25">
        <v>0</v>
      </c>
      <c r="P413" s="25">
        <v>0</v>
      </c>
      <c r="Q413" s="25">
        <v>0</v>
      </c>
      <c r="R413" s="35"/>
      <c r="S413" s="25">
        <f t="shared" si="629"/>
        <v>0</v>
      </c>
      <c r="T413" s="25">
        <f t="shared" ref="T413:T419" si="634">SUM(N413:Q413)</f>
        <v>0</v>
      </c>
      <c r="U413" s="25">
        <f t="shared" si="630"/>
        <v>80</v>
      </c>
      <c r="V413" s="35"/>
      <c r="W413" s="46">
        <v>18</v>
      </c>
      <c r="X413" s="26">
        <f t="shared" si="631"/>
        <v>0</v>
      </c>
      <c r="Y413" s="26">
        <f t="shared" si="627"/>
        <v>0</v>
      </c>
      <c r="Z413" s="26">
        <f t="shared" si="632"/>
        <v>144</v>
      </c>
      <c r="AA413" s="27">
        <f t="shared" si="619"/>
        <v>1296</v>
      </c>
      <c r="AB413" s="27">
        <f t="shared" si="633"/>
        <v>0</v>
      </c>
      <c r="AC413" s="12">
        <f t="shared" si="620"/>
        <v>-1296</v>
      </c>
      <c r="AD413" s="216"/>
      <c r="AE413" s="12">
        <f>AB413-(X413+Z413)</f>
        <v>-144</v>
      </c>
      <c r="AF413" s="213"/>
      <c r="AG413" s="8"/>
    </row>
    <row r="414" spans="1:33" x14ac:dyDescent="0.45">
      <c r="A414" s="22">
        <f>A413+14</f>
        <v>44402</v>
      </c>
      <c r="B414" s="15" t="s">
        <v>30</v>
      </c>
      <c r="C414" s="48">
        <f>120*W414</f>
        <v>3780</v>
      </c>
      <c r="D414" s="13">
        <v>80</v>
      </c>
      <c r="E414" s="13">
        <v>6</v>
      </c>
      <c r="F414" s="13">
        <v>0</v>
      </c>
      <c r="G414" s="13">
        <v>0</v>
      </c>
      <c r="H414" s="13">
        <v>0</v>
      </c>
      <c r="I414" s="13">
        <v>0</v>
      </c>
      <c r="J414" s="13">
        <v>0</v>
      </c>
      <c r="K414" s="13">
        <v>0</v>
      </c>
      <c r="L414" s="45">
        <v>0</v>
      </c>
      <c r="M414" s="34"/>
      <c r="N414" s="13">
        <v>80</v>
      </c>
      <c r="O414" s="13">
        <v>6</v>
      </c>
      <c r="P414" s="13">
        <v>0</v>
      </c>
      <c r="Q414" s="13">
        <v>0</v>
      </c>
      <c r="R414" s="34"/>
      <c r="S414" s="13">
        <f t="shared" si="629"/>
        <v>86</v>
      </c>
      <c r="T414" s="13">
        <f t="shared" si="634"/>
        <v>86</v>
      </c>
      <c r="U414" s="13">
        <f t="shared" si="630"/>
        <v>0</v>
      </c>
      <c r="V414" s="34"/>
      <c r="W414" s="45">
        <v>31.5</v>
      </c>
      <c r="X414" s="10">
        <f t="shared" si="631"/>
        <v>2803.5</v>
      </c>
      <c r="Y414" s="10">
        <f t="shared" si="627"/>
        <v>0</v>
      </c>
      <c r="Z414" s="10">
        <f t="shared" si="632"/>
        <v>0</v>
      </c>
      <c r="AA414" s="14">
        <f t="shared" ref="AA414:AA422" si="635">(W414*1*K414)</f>
        <v>0</v>
      </c>
      <c r="AB414" s="14">
        <f t="shared" si="633"/>
        <v>2803.5</v>
      </c>
      <c r="AC414" s="11">
        <f t="shared" ref="AC414:AC422" si="636">0-Y414-AA414</f>
        <v>0</v>
      </c>
      <c r="AD414" s="215"/>
      <c r="AE414" s="11">
        <f t="shared" ref="AE414:AE418" si="637">AB414-(X414+Z414)</f>
        <v>0</v>
      </c>
      <c r="AF414" s="211">
        <f>SUM(AE414:AE422)</f>
        <v>-239.14999999999964</v>
      </c>
      <c r="AG414" s="8"/>
    </row>
    <row r="415" spans="1:33" x14ac:dyDescent="0.45">
      <c r="A415" s="22">
        <f>A414</f>
        <v>44402</v>
      </c>
      <c r="B415" s="15" t="s">
        <v>4</v>
      </c>
      <c r="C415" s="48">
        <f>80*W415</f>
        <v>2000</v>
      </c>
      <c r="D415" s="13">
        <v>80</v>
      </c>
      <c r="E415" s="13">
        <v>35</v>
      </c>
      <c r="F415" s="13">
        <v>12</v>
      </c>
      <c r="G415" s="13">
        <v>10.5</v>
      </c>
      <c r="H415" s="13">
        <v>0</v>
      </c>
      <c r="I415" s="13">
        <v>0</v>
      </c>
      <c r="J415" s="13">
        <v>0</v>
      </c>
      <c r="K415" s="13">
        <v>0</v>
      </c>
      <c r="L415" s="45">
        <v>0</v>
      </c>
      <c r="M415" s="34"/>
      <c r="N415" s="13">
        <v>80</v>
      </c>
      <c r="O415" s="13">
        <v>35</v>
      </c>
      <c r="P415" s="13">
        <v>12</v>
      </c>
      <c r="Q415" s="13">
        <v>10.5</v>
      </c>
      <c r="R415" s="34"/>
      <c r="S415" s="13">
        <f t="shared" si="629"/>
        <v>137.5</v>
      </c>
      <c r="T415" s="13">
        <f t="shared" si="634"/>
        <v>137.5</v>
      </c>
      <c r="U415" s="13">
        <f>SUM(H415:K415)</f>
        <v>0</v>
      </c>
      <c r="V415" s="34"/>
      <c r="W415" s="45">
        <v>25</v>
      </c>
      <c r="X415" s="10">
        <f t="shared" si="631"/>
        <v>4175</v>
      </c>
      <c r="Y415" s="10">
        <f t="shared" si="627"/>
        <v>0</v>
      </c>
      <c r="Z415" s="10">
        <f t="shared" si="632"/>
        <v>0</v>
      </c>
      <c r="AA415" s="14">
        <f t="shared" si="635"/>
        <v>0</v>
      </c>
      <c r="AB415" s="14">
        <f t="shared" si="633"/>
        <v>4175</v>
      </c>
      <c r="AC415" s="11">
        <f t="shared" si="636"/>
        <v>0</v>
      </c>
      <c r="AD415" s="215"/>
      <c r="AE415" s="11">
        <f t="shared" si="637"/>
        <v>0</v>
      </c>
      <c r="AF415" s="212"/>
      <c r="AG415" s="8"/>
    </row>
    <row r="416" spans="1:33" x14ac:dyDescent="0.45">
      <c r="A416" s="22">
        <f t="shared" ref="A416:A421" si="638">A415</f>
        <v>44402</v>
      </c>
      <c r="B416" s="15" t="s">
        <v>5</v>
      </c>
      <c r="C416" s="48">
        <f>120*W416</f>
        <v>3360</v>
      </c>
      <c r="D416" s="13">
        <v>80</v>
      </c>
      <c r="E416" s="13">
        <v>28</v>
      </c>
      <c r="F416" s="13">
        <v>12</v>
      </c>
      <c r="G416" s="13">
        <v>14.5</v>
      </c>
      <c r="H416" s="13">
        <v>0</v>
      </c>
      <c r="I416" s="13">
        <v>0</v>
      </c>
      <c r="J416" s="13">
        <v>0</v>
      </c>
      <c r="K416" s="13">
        <v>0</v>
      </c>
      <c r="L416" s="45">
        <v>0</v>
      </c>
      <c r="M416" s="34"/>
      <c r="N416" s="13">
        <v>80</v>
      </c>
      <c r="O416" s="13">
        <v>28</v>
      </c>
      <c r="P416" s="13">
        <v>12</v>
      </c>
      <c r="Q416" s="13">
        <v>14.5</v>
      </c>
      <c r="R416" s="34"/>
      <c r="S416" s="13">
        <f t="shared" si="629"/>
        <v>134.5</v>
      </c>
      <c r="T416" s="13">
        <f t="shared" si="634"/>
        <v>134.5</v>
      </c>
      <c r="U416" s="13">
        <f t="shared" ref="U416:U418" si="639">SUM(H416:K416)</f>
        <v>0</v>
      </c>
      <c r="V416" s="34"/>
      <c r="W416" s="45">
        <v>28</v>
      </c>
      <c r="X416" s="10">
        <f t="shared" si="631"/>
        <v>4494</v>
      </c>
      <c r="Y416" s="10">
        <f t="shared" si="627"/>
        <v>0</v>
      </c>
      <c r="Z416" s="10">
        <f t="shared" si="632"/>
        <v>0</v>
      </c>
      <c r="AA416" s="14">
        <f t="shared" si="635"/>
        <v>0</v>
      </c>
      <c r="AB416" s="14">
        <f t="shared" si="633"/>
        <v>4494</v>
      </c>
      <c r="AC416" s="11">
        <f t="shared" si="636"/>
        <v>0</v>
      </c>
      <c r="AD416" s="215"/>
      <c r="AE416" s="11">
        <f t="shared" si="637"/>
        <v>0</v>
      </c>
      <c r="AF416" s="212"/>
      <c r="AG416" s="8"/>
    </row>
    <row r="417" spans="1:33" x14ac:dyDescent="0.45">
      <c r="A417" s="22">
        <f t="shared" si="638"/>
        <v>44402</v>
      </c>
      <c r="B417" s="15" t="s">
        <v>6</v>
      </c>
      <c r="C417" s="48">
        <f>80*W417</f>
        <v>2056</v>
      </c>
      <c r="D417" s="13">
        <v>80</v>
      </c>
      <c r="E417" s="13">
        <v>56</v>
      </c>
      <c r="F417" s="13">
        <v>24</v>
      </c>
      <c r="G417" s="13">
        <v>9</v>
      </c>
      <c r="H417" s="13">
        <v>0</v>
      </c>
      <c r="I417" s="13">
        <v>0</v>
      </c>
      <c r="J417" s="13">
        <v>0</v>
      </c>
      <c r="K417" s="13">
        <v>0</v>
      </c>
      <c r="L417" s="45">
        <v>0</v>
      </c>
      <c r="M417" s="34"/>
      <c r="N417" s="13">
        <v>80</v>
      </c>
      <c r="O417" s="13">
        <v>55</v>
      </c>
      <c r="P417" s="13">
        <v>25</v>
      </c>
      <c r="Q417" s="13">
        <v>9</v>
      </c>
      <c r="R417" s="34"/>
      <c r="S417" s="13">
        <f t="shared" si="629"/>
        <v>169</v>
      </c>
      <c r="T417" s="13">
        <f t="shared" si="634"/>
        <v>169</v>
      </c>
      <c r="U417" s="13">
        <f t="shared" si="639"/>
        <v>0</v>
      </c>
      <c r="V417" s="34"/>
      <c r="W417" s="45">
        <v>25.7</v>
      </c>
      <c r="X417" s="10">
        <f>(W417*1*D417)+(W417*1.5*E417)+(W417*2*F417)+(W417*1*G417)</f>
        <v>5679.7</v>
      </c>
      <c r="Y417" s="10">
        <f t="shared" si="627"/>
        <v>0</v>
      </c>
      <c r="Z417" s="10">
        <f t="shared" si="632"/>
        <v>0</v>
      </c>
      <c r="AA417" s="14">
        <f t="shared" si="635"/>
        <v>0</v>
      </c>
      <c r="AB417" s="14">
        <f t="shared" si="633"/>
        <v>5692.55</v>
      </c>
      <c r="AC417" s="11">
        <f t="shared" si="636"/>
        <v>0</v>
      </c>
      <c r="AD417" s="215"/>
      <c r="AE417" s="11">
        <f t="shared" si="637"/>
        <v>12.850000000000364</v>
      </c>
      <c r="AF417" s="212"/>
      <c r="AG417" s="8"/>
    </row>
    <row r="418" spans="1:33" x14ac:dyDescent="0.45">
      <c r="A418" s="22">
        <f>A417</f>
        <v>44402</v>
      </c>
      <c r="B418" s="15" t="s">
        <v>9</v>
      </c>
      <c r="C418" s="48">
        <f>120*W418</f>
        <v>3420</v>
      </c>
      <c r="D418" s="13">
        <v>80</v>
      </c>
      <c r="E418" s="13">
        <v>23</v>
      </c>
      <c r="F418" s="13">
        <v>0</v>
      </c>
      <c r="G418" s="13">
        <v>11</v>
      </c>
      <c r="H418" s="13">
        <v>0</v>
      </c>
      <c r="I418" s="13">
        <v>0</v>
      </c>
      <c r="J418" s="13">
        <v>0</v>
      </c>
      <c r="K418" s="13">
        <v>0</v>
      </c>
      <c r="L418" s="45">
        <v>0</v>
      </c>
      <c r="M418" s="34"/>
      <c r="N418" s="13">
        <v>80</v>
      </c>
      <c r="O418" s="13">
        <v>23</v>
      </c>
      <c r="P418" s="13">
        <v>0</v>
      </c>
      <c r="Q418" s="13">
        <v>11</v>
      </c>
      <c r="R418" s="34"/>
      <c r="S418" s="13">
        <f t="shared" si="629"/>
        <v>114</v>
      </c>
      <c r="T418" s="13">
        <f t="shared" si="634"/>
        <v>114</v>
      </c>
      <c r="U418" s="13">
        <f t="shared" si="639"/>
        <v>0</v>
      </c>
      <c r="V418" s="34"/>
      <c r="W418" s="45">
        <v>28.5</v>
      </c>
      <c r="X418" s="10">
        <f t="shared" ref="X418" si="640">(W418*1*D418)+(W418*1.5*E418)+(W418*2*F418)+(W418*1*G418)</f>
        <v>3576.75</v>
      </c>
      <c r="Y418" s="10">
        <f>(W418*0*H418)+(W418*1*I418)</f>
        <v>0</v>
      </c>
      <c r="Z418" s="10">
        <f t="shared" si="632"/>
        <v>0</v>
      </c>
      <c r="AA418" s="14">
        <f t="shared" si="635"/>
        <v>0</v>
      </c>
      <c r="AB418" s="14">
        <f t="shared" si="633"/>
        <v>3576.75</v>
      </c>
      <c r="AC418" s="11">
        <f t="shared" si="636"/>
        <v>0</v>
      </c>
      <c r="AD418" s="215"/>
      <c r="AE418" s="11">
        <f t="shared" si="637"/>
        <v>0</v>
      </c>
      <c r="AF418" s="212"/>
      <c r="AG418" s="8"/>
    </row>
    <row r="419" spans="1:33" x14ac:dyDescent="0.45">
      <c r="A419" s="22">
        <f t="shared" si="638"/>
        <v>44402</v>
      </c>
      <c r="B419" s="50" t="s">
        <v>31</v>
      </c>
      <c r="C419" s="48">
        <f>80*W419</f>
        <v>2160</v>
      </c>
      <c r="D419" s="51">
        <v>80</v>
      </c>
      <c r="E419" s="51">
        <v>8.25</v>
      </c>
      <c r="F419" s="51">
        <v>0</v>
      </c>
      <c r="G419" s="51">
        <v>8</v>
      </c>
      <c r="H419" s="51">
        <v>0</v>
      </c>
      <c r="I419" s="51">
        <v>0</v>
      </c>
      <c r="J419" s="51">
        <v>0</v>
      </c>
      <c r="K419" s="51">
        <v>0</v>
      </c>
      <c r="L419" s="52">
        <v>0</v>
      </c>
      <c r="M419" s="34"/>
      <c r="N419" s="51">
        <v>80</v>
      </c>
      <c r="O419" s="51">
        <v>8.25</v>
      </c>
      <c r="P419" s="51">
        <v>0</v>
      </c>
      <c r="Q419" s="51">
        <v>8</v>
      </c>
      <c r="R419" s="34"/>
      <c r="S419" s="51">
        <f t="shared" ref="S419" si="641">SUM(D419:G419)</f>
        <v>96.25</v>
      </c>
      <c r="T419" s="51">
        <f t="shared" si="634"/>
        <v>96.25</v>
      </c>
      <c r="U419" s="51">
        <f t="shared" ref="U419" si="642">SUM(H419:K419)</f>
        <v>0</v>
      </c>
      <c r="V419" s="34"/>
      <c r="W419" s="52">
        <v>27</v>
      </c>
      <c r="X419" s="53">
        <f>(W419*1*D419)+(W419*1.5*E419)+(W419*2*F419)+(W419*1*G419)</f>
        <v>2710.125</v>
      </c>
      <c r="Y419" s="53">
        <f t="shared" ref="Y419:Y426" si="643">(W419*0*H419)+(W419*1*I419)</f>
        <v>0</v>
      </c>
      <c r="Z419" s="53">
        <f>(W419*1*J419)+L419</f>
        <v>0</v>
      </c>
      <c r="AA419" s="54">
        <f t="shared" si="635"/>
        <v>0</v>
      </c>
      <c r="AB419" s="54">
        <f>(W419*1*N419)+(W419*1.5*O419)+(W419*2*P419)+(W419*1*Q419)</f>
        <v>2710.125</v>
      </c>
      <c r="AC419" s="55">
        <f t="shared" si="636"/>
        <v>0</v>
      </c>
      <c r="AD419" s="217"/>
      <c r="AE419" s="55">
        <f>AB419-(X419+Z419)</f>
        <v>0</v>
      </c>
      <c r="AF419" s="212"/>
      <c r="AG419" s="8"/>
    </row>
    <row r="420" spans="1:33" x14ac:dyDescent="0.45">
      <c r="A420" s="22">
        <f t="shared" si="638"/>
        <v>44402</v>
      </c>
      <c r="B420" s="50" t="s">
        <v>51</v>
      </c>
      <c r="C420" s="48">
        <f t="shared" ref="C420:C422" si="644">80*W420</f>
        <v>1600</v>
      </c>
      <c r="D420" s="51">
        <v>80</v>
      </c>
      <c r="E420" s="51">
        <v>13.25</v>
      </c>
      <c r="F420" s="51">
        <v>6.25</v>
      </c>
      <c r="G420" s="51">
        <v>0</v>
      </c>
      <c r="H420" s="51">
        <v>0</v>
      </c>
      <c r="I420" s="51">
        <v>0</v>
      </c>
      <c r="J420" s="51">
        <v>0</v>
      </c>
      <c r="K420" s="51">
        <v>0</v>
      </c>
      <c r="L420" s="52">
        <v>0</v>
      </c>
      <c r="M420" s="34"/>
      <c r="N420" s="51">
        <v>80</v>
      </c>
      <c r="O420" s="51">
        <v>13.25</v>
      </c>
      <c r="P420" s="51">
        <v>6.25</v>
      </c>
      <c r="Q420" s="51">
        <v>0</v>
      </c>
      <c r="R420" s="34"/>
      <c r="S420" s="51">
        <f t="shared" ref="S420:S427" si="645">SUM(D420:G420)</f>
        <v>99.5</v>
      </c>
      <c r="T420" s="51">
        <f>SUM(N420:Q420)</f>
        <v>99.5</v>
      </c>
      <c r="U420" s="51">
        <f t="shared" ref="U420:U423" si="646">SUM(H420:K420)</f>
        <v>0</v>
      </c>
      <c r="V420" s="34"/>
      <c r="W420" s="52">
        <v>20</v>
      </c>
      <c r="X420" s="53">
        <f t="shared" ref="X420:X425" si="647">(W420*1*D420)+(W420*1.5*E420)+(W420*2*F420)+(W420*1*G420)</f>
        <v>2247.5</v>
      </c>
      <c r="Y420" s="53">
        <f t="shared" si="643"/>
        <v>0</v>
      </c>
      <c r="Z420" s="53">
        <f t="shared" ref="Z420:Z427" si="648">(W420*1*J420)+L420</f>
        <v>0</v>
      </c>
      <c r="AA420" s="54">
        <f t="shared" si="635"/>
        <v>0</v>
      </c>
      <c r="AB420" s="54">
        <f t="shared" ref="AB420:AB427" si="649">(W420*1*N420)+(W420*1.5*O420)+(W420*2*P420)+(W420*1*Q420)</f>
        <v>2247.5</v>
      </c>
      <c r="AC420" s="55">
        <f t="shared" si="636"/>
        <v>0</v>
      </c>
      <c r="AD420" s="217"/>
      <c r="AE420" s="55">
        <f>AB420-(X420+Z420)</f>
        <v>0</v>
      </c>
      <c r="AF420" s="212"/>
      <c r="AG420" s="8"/>
    </row>
    <row r="421" spans="1:33" x14ac:dyDescent="0.45">
      <c r="A421" s="22">
        <f t="shared" si="638"/>
        <v>44402</v>
      </c>
      <c r="B421" s="50" t="s">
        <v>53</v>
      </c>
      <c r="C421" s="48">
        <f t="shared" si="644"/>
        <v>1440</v>
      </c>
      <c r="D421" s="51">
        <v>80</v>
      </c>
      <c r="E421" s="51">
        <v>0</v>
      </c>
      <c r="F421" s="51">
        <v>0</v>
      </c>
      <c r="G421" s="51">
        <v>0</v>
      </c>
      <c r="H421" s="51">
        <v>0</v>
      </c>
      <c r="I421" s="51">
        <v>0</v>
      </c>
      <c r="J421" s="51">
        <v>0</v>
      </c>
      <c r="K421" s="51">
        <v>0</v>
      </c>
      <c r="L421" s="52">
        <v>0</v>
      </c>
      <c r="M421" s="34"/>
      <c r="N421" s="51">
        <v>74</v>
      </c>
      <c r="O421" s="51">
        <v>0</v>
      </c>
      <c r="P421" s="51">
        <v>0</v>
      </c>
      <c r="Q421" s="51">
        <v>0</v>
      </c>
      <c r="R421" s="34"/>
      <c r="S421" s="51">
        <f t="shared" si="645"/>
        <v>80</v>
      </c>
      <c r="T421" s="51">
        <f>SUM(N421:Q421)</f>
        <v>74</v>
      </c>
      <c r="U421" s="51">
        <f t="shared" si="646"/>
        <v>0</v>
      </c>
      <c r="V421" s="34"/>
      <c r="W421" s="52">
        <v>18</v>
      </c>
      <c r="X421" s="53">
        <f t="shared" si="647"/>
        <v>1440</v>
      </c>
      <c r="Y421" s="53">
        <f t="shared" si="643"/>
        <v>0</v>
      </c>
      <c r="Z421" s="53">
        <f t="shared" si="648"/>
        <v>0</v>
      </c>
      <c r="AA421" s="54">
        <f t="shared" si="635"/>
        <v>0</v>
      </c>
      <c r="AB421" s="54">
        <f t="shared" si="649"/>
        <v>1332</v>
      </c>
      <c r="AC421" s="55">
        <f t="shared" si="636"/>
        <v>0</v>
      </c>
      <c r="AD421" s="217"/>
      <c r="AE421" s="55">
        <f>AB421-(X421+Z421)</f>
        <v>-108</v>
      </c>
      <c r="AF421" s="212"/>
      <c r="AG421" s="8"/>
    </row>
    <row r="422" spans="1:33" ht="14.65" thickBot="1" x14ac:dyDescent="0.5">
      <c r="A422" s="23">
        <f>A420</f>
        <v>44402</v>
      </c>
      <c r="B422" s="24" t="s">
        <v>54</v>
      </c>
      <c r="C422" s="49">
        <f t="shared" si="644"/>
        <v>1440</v>
      </c>
      <c r="D422" s="25">
        <v>80</v>
      </c>
      <c r="E422" s="25">
        <v>0</v>
      </c>
      <c r="F422" s="25">
        <v>0</v>
      </c>
      <c r="G422" s="25">
        <v>0</v>
      </c>
      <c r="H422" s="25">
        <v>0</v>
      </c>
      <c r="I422" s="25">
        <v>0</v>
      </c>
      <c r="J422" s="25">
        <v>0</v>
      </c>
      <c r="K422" s="25">
        <v>0</v>
      </c>
      <c r="L422" s="46">
        <v>0</v>
      </c>
      <c r="M422" s="35"/>
      <c r="N422" s="25">
        <v>72</v>
      </c>
      <c r="O422" s="25">
        <v>0</v>
      </c>
      <c r="P422" s="25">
        <v>0</v>
      </c>
      <c r="Q422" s="25">
        <v>0</v>
      </c>
      <c r="R422" s="35"/>
      <c r="S422" s="25">
        <f t="shared" si="645"/>
        <v>80</v>
      </c>
      <c r="T422" s="25">
        <f t="shared" ref="T422:T428" si="650">SUM(N422:Q422)</f>
        <v>72</v>
      </c>
      <c r="U422" s="25">
        <f t="shared" si="646"/>
        <v>0</v>
      </c>
      <c r="V422" s="35"/>
      <c r="W422" s="46">
        <v>18</v>
      </c>
      <c r="X422" s="26">
        <f t="shared" si="647"/>
        <v>1440</v>
      </c>
      <c r="Y422" s="26">
        <f t="shared" si="643"/>
        <v>0</v>
      </c>
      <c r="Z422" s="26">
        <f t="shared" si="648"/>
        <v>0</v>
      </c>
      <c r="AA422" s="27">
        <f t="shared" si="635"/>
        <v>0</v>
      </c>
      <c r="AB422" s="27">
        <f t="shared" si="649"/>
        <v>1296</v>
      </c>
      <c r="AC422" s="12">
        <f t="shared" si="636"/>
        <v>0</v>
      </c>
      <c r="AD422" s="216"/>
      <c r="AE422" s="12">
        <f>AB422-(X422+Z422)</f>
        <v>-144</v>
      </c>
      <c r="AF422" s="213"/>
      <c r="AG422" s="8"/>
    </row>
    <row r="423" spans="1:33" x14ac:dyDescent="0.45">
      <c r="A423" s="22">
        <f>A422+14</f>
        <v>44416</v>
      </c>
      <c r="B423" s="15" t="s">
        <v>30</v>
      </c>
      <c r="C423" s="48">
        <f>120*W423</f>
        <v>3780</v>
      </c>
      <c r="D423" s="13">
        <v>78</v>
      </c>
      <c r="E423" s="13">
        <v>9</v>
      </c>
      <c r="F423" s="13">
        <v>10.5</v>
      </c>
      <c r="G423" s="13">
        <v>8</v>
      </c>
      <c r="H423" s="13">
        <v>0</v>
      </c>
      <c r="I423" s="13">
        <v>8</v>
      </c>
      <c r="J423" s="13">
        <v>0</v>
      </c>
      <c r="K423" s="13">
        <v>0</v>
      </c>
      <c r="L423" s="45">
        <v>0</v>
      </c>
      <c r="M423" s="34"/>
      <c r="N423" s="13">
        <v>70</v>
      </c>
      <c r="O423" s="13">
        <v>25.25</v>
      </c>
      <c r="P423" s="13">
        <v>10.5</v>
      </c>
      <c r="Q423" s="13">
        <v>0</v>
      </c>
      <c r="R423" s="34"/>
      <c r="S423" s="13">
        <f t="shared" si="645"/>
        <v>105.5</v>
      </c>
      <c r="T423" s="13">
        <f t="shared" si="650"/>
        <v>105.75</v>
      </c>
      <c r="U423" s="13">
        <f t="shared" si="646"/>
        <v>8</v>
      </c>
      <c r="V423" s="34"/>
      <c r="W423" s="45">
        <v>31.5</v>
      </c>
      <c r="X423" s="10">
        <f t="shared" si="647"/>
        <v>3795.75</v>
      </c>
      <c r="Y423" s="10">
        <f t="shared" si="643"/>
        <v>252</v>
      </c>
      <c r="Z423" s="10">
        <f t="shared" si="648"/>
        <v>0</v>
      </c>
      <c r="AA423" s="14">
        <f t="shared" ref="AA423:AA431" si="651">(W423*1*K423)</f>
        <v>0</v>
      </c>
      <c r="AB423" s="14">
        <f t="shared" si="649"/>
        <v>4059.5625</v>
      </c>
      <c r="AC423" s="11">
        <f t="shared" ref="AC423:AC431" si="652">0-Y423-AA423</f>
        <v>-252</v>
      </c>
      <c r="AD423" s="215"/>
      <c r="AE423" s="11">
        <f t="shared" ref="AE423:AE427" si="653">AB423-(X423+Z423)</f>
        <v>263.8125</v>
      </c>
      <c r="AF423" s="211">
        <f>SUM(AE423:AE431)</f>
        <v>651.30000000000018</v>
      </c>
      <c r="AG423" s="8"/>
    </row>
    <row r="424" spans="1:33" x14ac:dyDescent="0.45">
      <c r="A424" s="22">
        <f>A423</f>
        <v>44416</v>
      </c>
      <c r="B424" s="15" t="s">
        <v>4</v>
      </c>
      <c r="C424" s="48">
        <f>80*W424</f>
        <v>2000</v>
      </c>
      <c r="D424" s="13">
        <v>40</v>
      </c>
      <c r="E424" s="13">
        <v>9</v>
      </c>
      <c r="F424" s="13">
        <v>0</v>
      </c>
      <c r="G424" s="13">
        <v>5</v>
      </c>
      <c r="H424" s="13">
        <v>0</v>
      </c>
      <c r="I424" s="13">
        <v>0</v>
      </c>
      <c r="J424" s="13">
        <v>0</v>
      </c>
      <c r="K424" s="13">
        <v>0</v>
      </c>
      <c r="L424" s="45">
        <v>0</v>
      </c>
      <c r="M424" s="34"/>
      <c r="N424" s="13">
        <v>45</v>
      </c>
      <c r="O424" s="13">
        <v>8.5</v>
      </c>
      <c r="P424" s="13">
        <v>1</v>
      </c>
      <c r="Q424" s="13">
        <v>0</v>
      </c>
      <c r="R424" s="34"/>
      <c r="S424" s="13">
        <f t="shared" si="645"/>
        <v>54</v>
      </c>
      <c r="T424" s="13">
        <f t="shared" si="650"/>
        <v>54.5</v>
      </c>
      <c r="U424" s="13">
        <f>SUM(H424:K424)</f>
        <v>0</v>
      </c>
      <c r="V424" s="34"/>
      <c r="W424" s="45">
        <v>25</v>
      </c>
      <c r="X424" s="10">
        <f t="shared" si="647"/>
        <v>1462.5</v>
      </c>
      <c r="Y424" s="10">
        <f t="shared" si="643"/>
        <v>0</v>
      </c>
      <c r="Z424" s="10">
        <f t="shared" si="648"/>
        <v>0</v>
      </c>
      <c r="AA424" s="14">
        <f t="shared" si="651"/>
        <v>0</v>
      </c>
      <c r="AB424" s="14">
        <f t="shared" si="649"/>
        <v>1493.75</v>
      </c>
      <c r="AC424" s="11">
        <f t="shared" si="652"/>
        <v>0</v>
      </c>
      <c r="AD424" s="215"/>
      <c r="AE424" s="11">
        <f t="shared" si="653"/>
        <v>31.25</v>
      </c>
      <c r="AF424" s="212"/>
      <c r="AG424" s="8"/>
    </row>
    <row r="425" spans="1:33" x14ac:dyDescent="0.45">
      <c r="A425" s="22">
        <f t="shared" ref="A425:A430" si="654">A424</f>
        <v>44416</v>
      </c>
      <c r="B425" s="15" t="s">
        <v>5</v>
      </c>
      <c r="C425" s="48">
        <f>120*W425</f>
        <v>3360</v>
      </c>
      <c r="D425" s="13">
        <v>80</v>
      </c>
      <c r="E425" s="13">
        <v>18</v>
      </c>
      <c r="F425" s="13">
        <v>12</v>
      </c>
      <c r="G425" s="13">
        <v>18</v>
      </c>
      <c r="H425" s="13">
        <v>0</v>
      </c>
      <c r="I425" s="13">
        <v>8</v>
      </c>
      <c r="J425" s="13">
        <v>0</v>
      </c>
      <c r="K425" s="13">
        <v>0</v>
      </c>
      <c r="L425" s="45">
        <v>0</v>
      </c>
      <c r="M425" s="34"/>
      <c r="N425" s="13">
        <v>92</v>
      </c>
      <c r="O425" s="13">
        <v>24.5</v>
      </c>
      <c r="P425" s="13">
        <v>12</v>
      </c>
      <c r="Q425" s="13">
        <v>0</v>
      </c>
      <c r="R425" s="34"/>
      <c r="S425" s="13">
        <f t="shared" si="645"/>
        <v>128</v>
      </c>
      <c r="T425" s="13">
        <f t="shared" si="650"/>
        <v>128.5</v>
      </c>
      <c r="U425" s="13">
        <f t="shared" ref="U425:U427" si="655">SUM(H425:K425)</f>
        <v>8</v>
      </c>
      <c r="V425" s="34"/>
      <c r="W425" s="45">
        <v>28</v>
      </c>
      <c r="X425" s="10">
        <f t="shared" si="647"/>
        <v>4172</v>
      </c>
      <c r="Y425" s="10">
        <f t="shared" si="643"/>
        <v>224</v>
      </c>
      <c r="Z425" s="10">
        <f t="shared" si="648"/>
        <v>0</v>
      </c>
      <c r="AA425" s="14">
        <f t="shared" si="651"/>
        <v>0</v>
      </c>
      <c r="AB425" s="14">
        <f t="shared" si="649"/>
        <v>4277</v>
      </c>
      <c r="AC425" s="11">
        <f t="shared" si="652"/>
        <v>-224</v>
      </c>
      <c r="AD425" s="215"/>
      <c r="AE425" s="11">
        <f t="shared" si="653"/>
        <v>105</v>
      </c>
      <c r="AF425" s="212"/>
      <c r="AG425" s="8"/>
    </row>
    <row r="426" spans="1:33" x14ac:dyDescent="0.45">
      <c r="A426" s="22">
        <f t="shared" si="654"/>
        <v>44416</v>
      </c>
      <c r="B426" s="15" t="s">
        <v>6</v>
      </c>
      <c r="C426" s="48">
        <f>80*W426</f>
        <v>2056</v>
      </c>
      <c r="D426" s="13">
        <v>77.75</v>
      </c>
      <c r="E426" s="13">
        <v>8</v>
      </c>
      <c r="F426" s="13">
        <v>0</v>
      </c>
      <c r="G426" s="13">
        <v>8</v>
      </c>
      <c r="H426" s="13">
        <v>0</v>
      </c>
      <c r="I426" s="13">
        <v>0</v>
      </c>
      <c r="J426" s="13">
        <v>0</v>
      </c>
      <c r="K426" s="13">
        <v>0</v>
      </c>
      <c r="L426" s="45">
        <v>0</v>
      </c>
      <c r="M426" s="34"/>
      <c r="N426" s="13">
        <v>80</v>
      </c>
      <c r="O426" s="13">
        <v>13.25</v>
      </c>
      <c r="P426" s="13">
        <v>0</v>
      </c>
      <c r="Q426" s="13">
        <v>0</v>
      </c>
      <c r="R426" s="34"/>
      <c r="S426" s="13">
        <f t="shared" si="645"/>
        <v>93.75</v>
      </c>
      <c r="T426" s="13">
        <f t="shared" si="650"/>
        <v>93.25</v>
      </c>
      <c r="U426" s="13">
        <f t="shared" si="655"/>
        <v>0</v>
      </c>
      <c r="V426" s="34"/>
      <c r="W426" s="45">
        <v>25.7</v>
      </c>
      <c r="X426" s="10">
        <f>(W426*1*D426)+(W426*1.5*E426)+(W426*2*F426)+(W426*1*G426)</f>
        <v>2512.1749999999997</v>
      </c>
      <c r="Y426" s="10">
        <f t="shared" si="643"/>
        <v>0</v>
      </c>
      <c r="Z426" s="10">
        <f t="shared" si="648"/>
        <v>0</v>
      </c>
      <c r="AA426" s="14">
        <f t="shared" si="651"/>
        <v>0</v>
      </c>
      <c r="AB426" s="14">
        <f t="shared" si="649"/>
        <v>2566.7874999999999</v>
      </c>
      <c r="AC426" s="11">
        <f t="shared" si="652"/>
        <v>0</v>
      </c>
      <c r="AD426" s="215"/>
      <c r="AE426" s="11">
        <f t="shared" si="653"/>
        <v>54.612500000000182</v>
      </c>
      <c r="AF426" s="212"/>
      <c r="AG426" s="8"/>
    </row>
    <row r="427" spans="1:33" x14ac:dyDescent="0.45">
      <c r="A427" s="22">
        <f>A426</f>
        <v>44416</v>
      </c>
      <c r="B427" s="15" t="s">
        <v>9</v>
      </c>
      <c r="C427" s="48">
        <f>120*W427</f>
        <v>3420</v>
      </c>
      <c r="D427" s="13">
        <v>80</v>
      </c>
      <c r="E427" s="13">
        <v>19</v>
      </c>
      <c r="F427" s="13">
        <v>0</v>
      </c>
      <c r="G427" s="13">
        <v>11</v>
      </c>
      <c r="H427" s="13">
        <v>0</v>
      </c>
      <c r="I427" s="13">
        <v>0</v>
      </c>
      <c r="J427" s="13">
        <v>0</v>
      </c>
      <c r="K427" s="13">
        <v>0</v>
      </c>
      <c r="L427" s="45">
        <v>0</v>
      </c>
      <c r="M427" s="34"/>
      <c r="N427" s="13">
        <v>80</v>
      </c>
      <c r="O427" s="13">
        <v>20</v>
      </c>
      <c r="P427" s="13">
        <v>0</v>
      </c>
      <c r="Q427" s="13">
        <v>11</v>
      </c>
      <c r="R427" s="34"/>
      <c r="S427" s="13">
        <f t="shared" si="645"/>
        <v>110</v>
      </c>
      <c r="T427" s="13">
        <f t="shared" si="650"/>
        <v>111</v>
      </c>
      <c r="U427" s="13">
        <f t="shared" si="655"/>
        <v>0</v>
      </c>
      <c r="V427" s="34"/>
      <c r="W427" s="45">
        <v>28.5</v>
      </c>
      <c r="X427" s="10">
        <f t="shared" ref="X427" si="656">(W427*1*D427)+(W427*1.5*E427)+(W427*2*F427)+(W427*1*G427)</f>
        <v>3405.75</v>
      </c>
      <c r="Y427" s="10">
        <f>(W427*0*H427)+(W427*1*I427)</f>
        <v>0</v>
      </c>
      <c r="Z427" s="10">
        <f t="shared" si="648"/>
        <v>0</v>
      </c>
      <c r="AA427" s="14">
        <f t="shared" si="651"/>
        <v>0</v>
      </c>
      <c r="AB427" s="14">
        <f t="shared" si="649"/>
        <v>3448.5</v>
      </c>
      <c r="AC427" s="11">
        <f t="shared" si="652"/>
        <v>0</v>
      </c>
      <c r="AD427" s="215"/>
      <c r="AE427" s="11">
        <f t="shared" si="653"/>
        <v>42.75</v>
      </c>
      <c r="AF427" s="212"/>
      <c r="AG427" s="8"/>
    </row>
    <row r="428" spans="1:33" x14ac:dyDescent="0.45">
      <c r="A428" s="22">
        <f t="shared" si="654"/>
        <v>44416</v>
      </c>
      <c r="B428" s="50" t="s">
        <v>31</v>
      </c>
      <c r="C428" s="48">
        <f>80*W428</f>
        <v>2160</v>
      </c>
      <c r="D428" s="51">
        <v>78.75</v>
      </c>
      <c r="E428" s="51">
        <v>10.5</v>
      </c>
      <c r="F428" s="51">
        <v>0</v>
      </c>
      <c r="G428" s="51">
        <v>15.5</v>
      </c>
      <c r="H428" s="51">
        <v>0</v>
      </c>
      <c r="I428" s="51">
        <v>0</v>
      </c>
      <c r="J428" s="51">
        <v>0</v>
      </c>
      <c r="K428" s="51">
        <v>0</v>
      </c>
      <c r="L428" s="52">
        <v>0</v>
      </c>
      <c r="M428" s="34"/>
      <c r="N428" s="51">
        <v>87.5</v>
      </c>
      <c r="O428" s="51">
        <v>17.25</v>
      </c>
      <c r="P428" s="51">
        <v>0</v>
      </c>
      <c r="Q428" s="51">
        <v>0</v>
      </c>
      <c r="R428" s="34"/>
      <c r="S428" s="51">
        <f t="shared" ref="S428" si="657">SUM(D428:G428)</f>
        <v>104.75</v>
      </c>
      <c r="T428" s="51">
        <f t="shared" si="650"/>
        <v>104.75</v>
      </c>
      <c r="U428" s="51">
        <f t="shared" ref="U428" si="658">SUM(H428:K428)</f>
        <v>0</v>
      </c>
      <c r="V428" s="34"/>
      <c r="W428" s="52">
        <v>27</v>
      </c>
      <c r="X428" s="53">
        <f>(W428*1*D428)+(W428*1.5*E428)+(W428*2*F428)+(W428*1*G428)</f>
        <v>2970</v>
      </c>
      <c r="Y428" s="53">
        <f t="shared" ref="Y428:Y435" si="659">(W428*0*H428)+(W428*1*I428)</f>
        <v>0</v>
      </c>
      <c r="Z428" s="53">
        <f>(W428*1*J428)+L428</f>
        <v>0</v>
      </c>
      <c r="AA428" s="54">
        <f t="shared" si="651"/>
        <v>0</v>
      </c>
      <c r="AB428" s="54">
        <f>(W428*1*N428)+(W428*1.5*O428)+(W428*2*P428)+(W428*1*Q428)</f>
        <v>3061.125</v>
      </c>
      <c r="AC428" s="55">
        <f t="shared" si="652"/>
        <v>0</v>
      </c>
      <c r="AD428" s="217"/>
      <c r="AE428" s="55">
        <f>AB428-(X428+Z428)</f>
        <v>91.125</v>
      </c>
      <c r="AF428" s="212"/>
      <c r="AG428" s="8"/>
    </row>
    <row r="429" spans="1:33" x14ac:dyDescent="0.45">
      <c r="A429" s="22">
        <f t="shared" si="654"/>
        <v>44416</v>
      </c>
      <c r="B429" s="50" t="s">
        <v>51</v>
      </c>
      <c r="C429" s="48">
        <f t="shared" ref="C429:C431" si="660">80*W429</f>
        <v>1600</v>
      </c>
      <c r="D429" s="51">
        <v>75.75</v>
      </c>
      <c r="E429" s="51">
        <v>12.5</v>
      </c>
      <c r="F429" s="51">
        <v>0</v>
      </c>
      <c r="G429" s="51">
        <v>0</v>
      </c>
      <c r="H429" s="51">
        <v>0</v>
      </c>
      <c r="I429" s="51">
        <v>0</v>
      </c>
      <c r="J429" s="51">
        <v>0</v>
      </c>
      <c r="K429" s="51">
        <v>0</v>
      </c>
      <c r="L429" s="52">
        <v>0</v>
      </c>
      <c r="M429" s="34"/>
      <c r="N429" s="51">
        <v>72</v>
      </c>
      <c r="O429" s="51">
        <v>15.75</v>
      </c>
      <c r="P429" s="51">
        <v>0.5</v>
      </c>
      <c r="Q429" s="51">
        <v>0</v>
      </c>
      <c r="R429" s="34"/>
      <c r="S429" s="51">
        <f t="shared" ref="S429:S436" si="661">SUM(D429:G429)</f>
        <v>88.25</v>
      </c>
      <c r="T429" s="51">
        <f>SUM(N429:Q429)</f>
        <v>88.25</v>
      </c>
      <c r="U429" s="51">
        <f t="shared" ref="U429:U432" si="662">SUM(H429:K429)</f>
        <v>0</v>
      </c>
      <c r="V429" s="34"/>
      <c r="W429" s="52">
        <v>20</v>
      </c>
      <c r="X429" s="53">
        <f t="shared" ref="X429:X434" si="663">(W429*1*D429)+(W429*1.5*E429)+(W429*2*F429)+(W429*1*G429)</f>
        <v>1890</v>
      </c>
      <c r="Y429" s="53">
        <f t="shared" si="659"/>
        <v>0</v>
      </c>
      <c r="Z429" s="53">
        <f t="shared" ref="Z429:Z436" si="664">(W429*1*J429)+L429</f>
        <v>0</v>
      </c>
      <c r="AA429" s="54">
        <f t="shared" si="651"/>
        <v>0</v>
      </c>
      <c r="AB429" s="54">
        <f t="shared" ref="AB429:AB436" si="665">(W429*1*N429)+(W429*1.5*O429)+(W429*2*P429)+(W429*1*Q429)</f>
        <v>1932.5</v>
      </c>
      <c r="AC429" s="55">
        <f t="shared" si="652"/>
        <v>0</v>
      </c>
      <c r="AD429" s="217"/>
      <c r="AE429" s="55">
        <f>AB429-(X429+Z429)</f>
        <v>42.5</v>
      </c>
      <c r="AF429" s="212"/>
      <c r="AG429" s="8"/>
    </row>
    <row r="430" spans="1:33" x14ac:dyDescent="0.45">
      <c r="A430" s="22">
        <f t="shared" si="654"/>
        <v>44416</v>
      </c>
      <c r="B430" s="50" t="s">
        <v>53</v>
      </c>
      <c r="C430" s="48">
        <f t="shared" si="660"/>
        <v>1440</v>
      </c>
      <c r="D430" s="51">
        <v>64</v>
      </c>
      <c r="E430" s="51">
        <v>0</v>
      </c>
      <c r="F430" s="51">
        <v>0</v>
      </c>
      <c r="G430" s="51">
        <v>0</v>
      </c>
      <c r="H430" s="51">
        <v>8</v>
      </c>
      <c r="I430" s="51">
        <v>0</v>
      </c>
      <c r="J430" s="51">
        <v>0</v>
      </c>
      <c r="K430" s="51">
        <v>8</v>
      </c>
      <c r="L430" s="52">
        <v>0</v>
      </c>
      <c r="M430" s="34"/>
      <c r="N430" s="51">
        <v>64</v>
      </c>
      <c r="O430" s="51">
        <v>0.25</v>
      </c>
      <c r="P430" s="51">
        <v>0</v>
      </c>
      <c r="Q430" s="51">
        <v>0</v>
      </c>
      <c r="R430" s="34"/>
      <c r="S430" s="51">
        <f t="shared" si="661"/>
        <v>64</v>
      </c>
      <c r="T430" s="51">
        <f>SUM(N430:Q430)</f>
        <v>64.25</v>
      </c>
      <c r="U430" s="51">
        <f t="shared" si="662"/>
        <v>16</v>
      </c>
      <c r="V430" s="34"/>
      <c r="W430" s="52">
        <v>18</v>
      </c>
      <c r="X430" s="53">
        <f t="shared" si="663"/>
        <v>1152</v>
      </c>
      <c r="Y430" s="53">
        <f t="shared" si="659"/>
        <v>0</v>
      </c>
      <c r="Z430" s="53">
        <f t="shared" si="664"/>
        <v>0</v>
      </c>
      <c r="AA430" s="54">
        <f t="shared" si="651"/>
        <v>144</v>
      </c>
      <c r="AB430" s="54">
        <f t="shared" si="665"/>
        <v>1158.75</v>
      </c>
      <c r="AC430" s="55">
        <f t="shared" si="652"/>
        <v>-144</v>
      </c>
      <c r="AD430" s="217"/>
      <c r="AE430" s="55">
        <f>AB430-(X430+Z430)</f>
        <v>6.75</v>
      </c>
      <c r="AF430" s="212"/>
      <c r="AG430" s="8"/>
    </row>
    <row r="431" spans="1:33" ht="14.65" thickBot="1" x14ac:dyDescent="0.5">
      <c r="A431" s="23">
        <f>A429</f>
        <v>44416</v>
      </c>
      <c r="B431" s="24" t="s">
        <v>54</v>
      </c>
      <c r="C431" s="49">
        <f t="shared" si="660"/>
        <v>1440</v>
      </c>
      <c r="D431" s="25">
        <v>72</v>
      </c>
      <c r="E431" s="25">
        <v>0.5</v>
      </c>
      <c r="F431" s="25">
        <v>0</v>
      </c>
      <c r="G431" s="25">
        <v>0</v>
      </c>
      <c r="H431" s="25">
        <v>0</v>
      </c>
      <c r="I431" s="25">
        <v>0</v>
      </c>
      <c r="J431" s="25">
        <v>0</v>
      </c>
      <c r="K431" s="25">
        <v>8</v>
      </c>
      <c r="L431" s="46">
        <v>0</v>
      </c>
      <c r="M431" s="35"/>
      <c r="N431" s="25">
        <v>72</v>
      </c>
      <c r="O431" s="25">
        <v>1</v>
      </c>
      <c r="P431" s="25">
        <v>0</v>
      </c>
      <c r="Q431" s="25">
        <v>0</v>
      </c>
      <c r="R431" s="35"/>
      <c r="S431" s="25">
        <f t="shared" si="661"/>
        <v>72.5</v>
      </c>
      <c r="T431" s="25">
        <f t="shared" ref="T431:T437" si="666">SUM(N431:Q431)</f>
        <v>73</v>
      </c>
      <c r="U431" s="25">
        <f t="shared" si="662"/>
        <v>8</v>
      </c>
      <c r="V431" s="35"/>
      <c r="W431" s="46">
        <v>18</v>
      </c>
      <c r="X431" s="26">
        <f t="shared" si="663"/>
        <v>1309.5</v>
      </c>
      <c r="Y431" s="26">
        <f t="shared" si="659"/>
        <v>0</v>
      </c>
      <c r="Z431" s="26">
        <f t="shared" si="664"/>
        <v>0</v>
      </c>
      <c r="AA431" s="27">
        <f t="shared" si="651"/>
        <v>144</v>
      </c>
      <c r="AB431" s="27">
        <f t="shared" si="665"/>
        <v>1323</v>
      </c>
      <c r="AC431" s="12">
        <f t="shared" si="652"/>
        <v>-144</v>
      </c>
      <c r="AD431" s="216"/>
      <c r="AE431" s="12">
        <f>AB431-(X431+Z431)</f>
        <v>13.5</v>
      </c>
      <c r="AF431" s="213"/>
      <c r="AG431" s="8"/>
    </row>
    <row r="432" spans="1:33" x14ac:dyDescent="0.45">
      <c r="A432" s="22">
        <f>A431+14</f>
        <v>44430</v>
      </c>
      <c r="B432" s="15" t="s">
        <v>30</v>
      </c>
      <c r="C432" s="48">
        <f>120*W432</f>
        <v>3780</v>
      </c>
      <c r="D432" s="13">
        <v>80</v>
      </c>
      <c r="E432" s="13">
        <v>18</v>
      </c>
      <c r="F432" s="13">
        <v>0</v>
      </c>
      <c r="G432" s="13">
        <v>4.5</v>
      </c>
      <c r="H432" s="13">
        <v>0</v>
      </c>
      <c r="I432" s="13">
        <v>0</v>
      </c>
      <c r="J432" s="13">
        <v>0</v>
      </c>
      <c r="K432" s="13">
        <v>0</v>
      </c>
      <c r="L432" s="45">
        <v>0</v>
      </c>
      <c r="M432" s="34"/>
      <c r="N432" s="13">
        <v>80</v>
      </c>
      <c r="O432" s="13">
        <v>18.25</v>
      </c>
      <c r="P432" s="13">
        <v>0</v>
      </c>
      <c r="Q432" s="13">
        <v>5.5</v>
      </c>
      <c r="R432" s="34"/>
      <c r="S432" s="13">
        <f t="shared" si="661"/>
        <v>102.5</v>
      </c>
      <c r="T432" s="13">
        <f t="shared" si="666"/>
        <v>103.75</v>
      </c>
      <c r="U432" s="13">
        <f t="shared" si="662"/>
        <v>0</v>
      </c>
      <c r="V432" s="34"/>
      <c r="W432" s="45">
        <v>31.5</v>
      </c>
      <c r="X432" s="10">
        <f t="shared" si="663"/>
        <v>3512.25</v>
      </c>
      <c r="Y432" s="10">
        <f t="shared" si="659"/>
        <v>0</v>
      </c>
      <c r="Z432" s="10">
        <f t="shared" si="664"/>
        <v>0</v>
      </c>
      <c r="AA432" s="14">
        <f t="shared" ref="AA432:AA440" si="667">(W432*1*K432)</f>
        <v>0</v>
      </c>
      <c r="AB432" s="14">
        <f t="shared" si="665"/>
        <v>3555.5625</v>
      </c>
      <c r="AC432" s="11">
        <f t="shared" ref="AC432:AC440" si="668">0-Y432-AA432</f>
        <v>0</v>
      </c>
      <c r="AD432" s="215"/>
      <c r="AE432" s="11">
        <f t="shared" ref="AE432:AE436" si="669">AB432-(X432+Z432)</f>
        <v>43.3125</v>
      </c>
      <c r="AF432" s="211">
        <f>SUM(AE432:AE440)</f>
        <v>141.87500000000091</v>
      </c>
      <c r="AG432" s="8"/>
    </row>
    <row r="433" spans="1:33" x14ac:dyDescent="0.45">
      <c r="A433" s="22">
        <f>A432</f>
        <v>44430</v>
      </c>
      <c r="B433" s="15" t="s">
        <v>4</v>
      </c>
      <c r="C433" s="48">
        <f>80*W433</f>
        <v>2000</v>
      </c>
      <c r="D433" s="13">
        <v>80</v>
      </c>
      <c r="E433" s="13">
        <v>33</v>
      </c>
      <c r="F433" s="13">
        <v>10</v>
      </c>
      <c r="G433" s="13">
        <v>12</v>
      </c>
      <c r="H433" s="13">
        <v>0</v>
      </c>
      <c r="I433" s="13">
        <v>0</v>
      </c>
      <c r="J433" s="13">
        <v>0</v>
      </c>
      <c r="K433" s="13">
        <v>0</v>
      </c>
      <c r="L433" s="45">
        <v>0</v>
      </c>
      <c r="M433" s="34"/>
      <c r="N433" s="13">
        <v>80</v>
      </c>
      <c r="O433" s="13">
        <v>32.5</v>
      </c>
      <c r="P433" s="13">
        <v>10</v>
      </c>
      <c r="Q433" s="13">
        <v>13</v>
      </c>
      <c r="R433" s="34"/>
      <c r="S433" s="13">
        <f t="shared" si="661"/>
        <v>135</v>
      </c>
      <c r="T433" s="13">
        <f t="shared" si="666"/>
        <v>135.5</v>
      </c>
      <c r="U433" s="13">
        <f>SUM(H433:K433)</f>
        <v>0</v>
      </c>
      <c r="V433" s="34"/>
      <c r="W433" s="45">
        <v>25</v>
      </c>
      <c r="X433" s="10">
        <f t="shared" si="663"/>
        <v>4037.5</v>
      </c>
      <c r="Y433" s="10">
        <f t="shared" si="659"/>
        <v>0</v>
      </c>
      <c r="Z433" s="10">
        <f t="shared" si="664"/>
        <v>0</v>
      </c>
      <c r="AA433" s="14">
        <f t="shared" si="667"/>
        <v>0</v>
      </c>
      <c r="AB433" s="14">
        <f t="shared" si="665"/>
        <v>4043.75</v>
      </c>
      <c r="AC433" s="11">
        <f t="shared" si="668"/>
        <v>0</v>
      </c>
      <c r="AD433" s="215"/>
      <c r="AE433" s="11">
        <f t="shared" si="669"/>
        <v>6.25</v>
      </c>
      <c r="AF433" s="212"/>
      <c r="AG433" s="8"/>
    </row>
    <row r="434" spans="1:33" x14ac:dyDescent="0.45">
      <c r="A434" s="22">
        <f t="shared" ref="A434:A439" si="670">A433</f>
        <v>44430</v>
      </c>
      <c r="B434" s="15" t="s">
        <v>5</v>
      </c>
      <c r="C434" s="48">
        <f>120*W434</f>
        <v>3360</v>
      </c>
      <c r="D434" s="13">
        <v>80</v>
      </c>
      <c r="E434" s="13">
        <v>27</v>
      </c>
      <c r="F434" s="13">
        <v>12</v>
      </c>
      <c r="G434" s="13">
        <v>16</v>
      </c>
      <c r="H434" s="13">
        <v>0</v>
      </c>
      <c r="I434" s="13">
        <v>0</v>
      </c>
      <c r="J434" s="13">
        <v>0</v>
      </c>
      <c r="K434" s="13">
        <v>0</v>
      </c>
      <c r="L434" s="45">
        <v>0</v>
      </c>
      <c r="M434" s="34"/>
      <c r="N434" s="13">
        <v>80</v>
      </c>
      <c r="O434" s="13">
        <v>25</v>
      </c>
      <c r="P434" s="13">
        <v>12</v>
      </c>
      <c r="Q434" s="13">
        <v>19</v>
      </c>
      <c r="R434" s="34"/>
      <c r="S434" s="13">
        <f t="shared" si="661"/>
        <v>135</v>
      </c>
      <c r="T434" s="13">
        <f t="shared" si="666"/>
        <v>136</v>
      </c>
      <c r="U434" s="13">
        <f t="shared" ref="U434:U436" si="671">SUM(H434:K434)</f>
        <v>0</v>
      </c>
      <c r="V434" s="34"/>
      <c r="W434" s="45">
        <v>28</v>
      </c>
      <c r="X434" s="10">
        <f t="shared" si="663"/>
        <v>4494</v>
      </c>
      <c r="Y434" s="10">
        <f t="shared" si="659"/>
        <v>0</v>
      </c>
      <c r="Z434" s="10">
        <f t="shared" si="664"/>
        <v>0</v>
      </c>
      <c r="AA434" s="14">
        <f t="shared" si="667"/>
        <v>0</v>
      </c>
      <c r="AB434" s="14">
        <f t="shared" si="665"/>
        <v>4494</v>
      </c>
      <c r="AC434" s="11">
        <f t="shared" si="668"/>
        <v>0</v>
      </c>
      <c r="AD434" s="215"/>
      <c r="AE434" s="11">
        <f t="shared" si="669"/>
        <v>0</v>
      </c>
      <c r="AF434" s="212"/>
      <c r="AG434" s="8"/>
    </row>
    <row r="435" spans="1:33" x14ac:dyDescent="0.45">
      <c r="A435" s="22">
        <f t="shared" si="670"/>
        <v>44430</v>
      </c>
      <c r="B435" s="15" t="s">
        <v>6</v>
      </c>
      <c r="C435" s="48">
        <f>80*W435</f>
        <v>2056</v>
      </c>
      <c r="D435" s="13">
        <v>80</v>
      </c>
      <c r="E435" s="13">
        <v>50.75</v>
      </c>
      <c r="F435" s="13">
        <v>24</v>
      </c>
      <c r="G435" s="13">
        <v>9.5</v>
      </c>
      <c r="H435" s="13">
        <v>0</v>
      </c>
      <c r="I435" s="13">
        <v>0</v>
      </c>
      <c r="J435" s="13">
        <v>0</v>
      </c>
      <c r="K435" s="13">
        <v>0</v>
      </c>
      <c r="L435" s="45">
        <v>0</v>
      </c>
      <c r="M435" s="34"/>
      <c r="N435" s="13">
        <v>80</v>
      </c>
      <c r="O435" s="13">
        <v>42</v>
      </c>
      <c r="P435" s="13">
        <v>28</v>
      </c>
      <c r="Q435" s="13">
        <v>14</v>
      </c>
      <c r="R435" s="34"/>
      <c r="S435" s="13">
        <f t="shared" si="661"/>
        <v>164.25</v>
      </c>
      <c r="T435" s="13">
        <f t="shared" si="666"/>
        <v>164</v>
      </c>
      <c r="U435" s="13">
        <f t="shared" si="671"/>
        <v>0</v>
      </c>
      <c r="V435" s="34"/>
      <c r="W435" s="45">
        <v>25.7</v>
      </c>
      <c r="X435" s="10">
        <f>(W435*1*D435)+(W435*1.5*E435)+(W435*2*F435)+(W435*1*G435)</f>
        <v>5490.1624999999995</v>
      </c>
      <c r="Y435" s="10">
        <f t="shared" si="659"/>
        <v>0</v>
      </c>
      <c r="Z435" s="10">
        <f t="shared" si="664"/>
        <v>0</v>
      </c>
      <c r="AA435" s="14">
        <f t="shared" si="667"/>
        <v>0</v>
      </c>
      <c r="AB435" s="14">
        <f t="shared" si="665"/>
        <v>5474.1</v>
      </c>
      <c r="AC435" s="11">
        <f t="shared" si="668"/>
        <v>0</v>
      </c>
      <c r="AD435" s="215"/>
      <c r="AE435" s="11">
        <f t="shared" si="669"/>
        <v>-16.062499999999091</v>
      </c>
      <c r="AF435" s="212"/>
      <c r="AG435" s="8"/>
    </row>
    <row r="436" spans="1:33" x14ac:dyDescent="0.45">
      <c r="A436" s="22">
        <f>A435</f>
        <v>44430</v>
      </c>
      <c r="B436" s="15" t="s">
        <v>9</v>
      </c>
      <c r="C436" s="48">
        <f>120*W436</f>
        <v>3420</v>
      </c>
      <c r="D436" s="13">
        <v>80</v>
      </c>
      <c r="E436" s="13">
        <v>12</v>
      </c>
      <c r="F436" s="13">
        <v>0</v>
      </c>
      <c r="G436" s="13">
        <v>10</v>
      </c>
      <c r="H436" s="13">
        <v>0</v>
      </c>
      <c r="I436" s="13">
        <v>0</v>
      </c>
      <c r="J436" s="13">
        <v>0</v>
      </c>
      <c r="K436" s="13">
        <v>0</v>
      </c>
      <c r="L436" s="45">
        <v>0</v>
      </c>
      <c r="M436" s="34"/>
      <c r="N436" s="13">
        <v>80</v>
      </c>
      <c r="O436" s="13">
        <v>12</v>
      </c>
      <c r="P436" s="13">
        <v>0</v>
      </c>
      <c r="Q436" s="13">
        <v>10</v>
      </c>
      <c r="R436" s="34"/>
      <c r="S436" s="13">
        <f t="shared" si="661"/>
        <v>102</v>
      </c>
      <c r="T436" s="13">
        <f t="shared" si="666"/>
        <v>102</v>
      </c>
      <c r="U436" s="13">
        <f t="shared" si="671"/>
        <v>0</v>
      </c>
      <c r="V436" s="34"/>
      <c r="W436" s="45">
        <v>28.5</v>
      </c>
      <c r="X436" s="10">
        <f t="shared" ref="X436" si="672">(W436*1*D436)+(W436*1.5*E436)+(W436*2*F436)+(W436*1*G436)</f>
        <v>3078</v>
      </c>
      <c r="Y436" s="10">
        <f>(W436*0*H436)+(W436*1*I436)</f>
        <v>0</v>
      </c>
      <c r="Z436" s="10">
        <f t="shared" si="664"/>
        <v>0</v>
      </c>
      <c r="AA436" s="14">
        <f t="shared" si="667"/>
        <v>0</v>
      </c>
      <c r="AB436" s="14">
        <f t="shared" si="665"/>
        <v>3078</v>
      </c>
      <c r="AC436" s="11">
        <f t="shared" si="668"/>
        <v>0</v>
      </c>
      <c r="AD436" s="215"/>
      <c r="AE436" s="11">
        <f t="shared" si="669"/>
        <v>0</v>
      </c>
      <c r="AF436" s="212"/>
      <c r="AG436" s="8"/>
    </row>
    <row r="437" spans="1:33" x14ac:dyDescent="0.45">
      <c r="A437" s="22">
        <f t="shared" si="670"/>
        <v>44430</v>
      </c>
      <c r="B437" s="50" t="s">
        <v>31</v>
      </c>
      <c r="C437" s="48">
        <f>80*W437</f>
        <v>2160</v>
      </c>
      <c r="D437" s="51">
        <v>80</v>
      </c>
      <c r="E437" s="51">
        <v>25</v>
      </c>
      <c r="F437" s="51">
        <v>0</v>
      </c>
      <c r="G437" s="51">
        <v>14.25</v>
      </c>
      <c r="H437" s="51">
        <v>0</v>
      </c>
      <c r="I437" s="51">
        <v>0</v>
      </c>
      <c r="J437" s="51">
        <v>0</v>
      </c>
      <c r="K437" s="51">
        <v>0</v>
      </c>
      <c r="L437" s="52">
        <v>0</v>
      </c>
      <c r="M437" s="34"/>
      <c r="N437" s="51">
        <v>80</v>
      </c>
      <c r="O437" s="51">
        <v>24.75</v>
      </c>
      <c r="P437" s="51">
        <v>0</v>
      </c>
      <c r="Q437" s="51">
        <v>14.5</v>
      </c>
      <c r="R437" s="34"/>
      <c r="S437" s="51">
        <f t="shared" ref="S437" si="673">SUM(D437:G437)</f>
        <v>119.25</v>
      </c>
      <c r="T437" s="51">
        <f t="shared" si="666"/>
        <v>119.25</v>
      </c>
      <c r="U437" s="51">
        <f t="shared" ref="U437" si="674">SUM(H437:K437)</f>
        <v>0</v>
      </c>
      <c r="V437" s="34"/>
      <c r="W437" s="52">
        <v>27</v>
      </c>
      <c r="X437" s="53">
        <f>(W437*1*D437)+(W437*1.5*E437)+(W437*2*F437)+(W437*1*G437)</f>
        <v>3557.25</v>
      </c>
      <c r="Y437" s="53">
        <f t="shared" ref="Y437:Y444" si="675">(W437*0*H437)+(W437*1*I437)</f>
        <v>0</v>
      </c>
      <c r="Z437" s="53">
        <f>(W437*1*J437)+L437</f>
        <v>0</v>
      </c>
      <c r="AA437" s="54">
        <f t="shared" si="667"/>
        <v>0</v>
      </c>
      <c r="AB437" s="54">
        <f>(W437*1*N437)+(W437*1.5*O437)+(W437*2*P437)+(W437*1*Q437)</f>
        <v>3553.875</v>
      </c>
      <c r="AC437" s="55">
        <f t="shared" si="668"/>
        <v>0</v>
      </c>
      <c r="AD437" s="217"/>
      <c r="AE437" s="55">
        <f>AB437-(X437+Z437)</f>
        <v>-3.375</v>
      </c>
      <c r="AF437" s="212"/>
      <c r="AG437" s="8"/>
    </row>
    <row r="438" spans="1:33" x14ac:dyDescent="0.45">
      <c r="A438" s="22">
        <f t="shared" si="670"/>
        <v>44430</v>
      </c>
      <c r="B438" s="50" t="s">
        <v>51</v>
      </c>
      <c r="C438" s="48">
        <f t="shared" ref="C438:C440" si="676">80*W438</f>
        <v>1600</v>
      </c>
      <c r="D438" s="51">
        <v>80</v>
      </c>
      <c r="E438" s="51">
        <v>35.25</v>
      </c>
      <c r="F438" s="51">
        <v>0</v>
      </c>
      <c r="G438" s="51">
        <v>0</v>
      </c>
      <c r="H438" s="51">
        <v>0</v>
      </c>
      <c r="I438" s="51">
        <v>0</v>
      </c>
      <c r="J438" s="51">
        <v>0</v>
      </c>
      <c r="K438" s="51">
        <v>0</v>
      </c>
      <c r="L438" s="52">
        <v>0</v>
      </c>
      <c r="M438" s="34"/>
      <c r="N438" s="51">
        <v>80</v>
      </c>
      <c r="O438" s="51">
        <v>35.5</v>
      </c>
      <c r="P438" s="51">
        <v>0.75</v>
      </c>
      <c r="Q438" s="51">
        <v>0</v>
      </c>
      <c r="R438" s="34"/>
      <c r="S438" s="51">
        <f t="shared" ref="S438:S445" si="677">SUM(D438:G438)</f>
        <v>115.25</v>
      </c>
      <c r="T438" s="51">
        <f>SUM(N438:Q438)</f>
        <v>116.25</v>
      </c>
      <c r="U438" s="51">
        <f t="shared" ref="U438:U441" si="678">SUM(H438:K438)</f>
        <v>0</v>
      </c>
      <c r="V438" s="34"/>
      <c r="W438" s="52">
        <v>20</v>
      </c>
      <c r="X438" s="53">
        <f t="shared" ref="X438:X443" si="679">(W438*1*D438)+(W438*1.5*E438)+(W438*2*F438)+(W438*1*G438)</f>
        <v>2657.5</v>
      </c>
      <c r="Y438" s="53">
        <f t="shared" si="675"/>
        <v>0</v>
      </c>
      <c r="Z438" s="53">
        <f t="shared" ref="Z438:Z445" si="680">(W438*1*J438)+L438</f>
        <v>0</v>
      </c>
      <c r="AA438" s="54">
        <f t="shared" si="667"/>
        <v>0</v>
      </c>
      <c r="AB438" s="54">
        <f t="shared" ref="AB438:AB445" si="681">(W438*1*N438)+(W438*1.5*O438)+(W438*2*P438)+(W438*1*Q438)</f>
        <v>2695</v>
      </c>
      <c r="AC438" s="55">
        <f t="shared" si="668"/>
        <v>0</v>
      </c>
      <c r="AD438" s="217"/>
      <c r="AE438" s="55">
        <f>AB438-(X438+Z438)</f>
        <v>37.5</v>
      </c>
      <c r="AF438" s="212"/>
      <c r="AG438" s="8"/>
    </row>
    <row r="439" spans="1:33" x14ac:dyDescent="0.45">
      <c r="A439" s="22">
        <f t="shared" si="670"/>
        <v>44430</v>
      </c>
      <c r="B439" s="50" t="s">
        <v>53</v>
      </c>
      <c r="C439" s="48">
        <f t="shared" si="676"/>
        <v>1440</v>
      </c>
      <c r="D439" s="51">
        <v>80</v>
      </c>
      <c r="E439" s="51">
        <v>23.25</v>
      </c>
      <c r="F439" s="51">
        <v>0</v>
      </c>
      <c r="G439" s="51">
        <v>0</v>
      </c>
      <c r="H439" s="51">
        <v>0</v>
      </c>
      <c r="I439" s="51">
        <v>0</v>
      </c>
      <c r="J439" s="51">
        <v>0</v>
      </c>
      <c r="K439" s="51">
        <v>0</v>
      </c>
      <c r="L439" s="52">
        <v>0</v>
      </c>
      <c r="M439" s="34"/>
      <c r="N439" s="51">
        <v>80</v>
      </c>
      <c r="O439" s="51">
        <v>23.25</v>
      </c>
      <c r="P439" s="51">
        <v>0</v>
      </c>
      <c r="Q439" s="51">
        <v>0</v>
      </c>
      <c r="R439" s="34"/>
      <c r="S439" s="51">
        <f t="shared" si="677"/>
        <v>103.25</v>
      </c>
      <c r="T439" s="51">
        <f>SUM(N439:Q439)</f>
        <v>103.25</v>
      </c>
      <c r="U439" s="51">
        <f t="shared" si="678"/>
        <v>0</v>
      </c>
      <c r="V439" s="34"/>
      <c r="W439" s="52">
        <v>18</v>
      </c>
      <c r="X439" s="53">
        <f t="shared" si="679"/>
        <v>2067.75</v>
      </c>
      <c r="Y439" s="53">
        <f t="shared" si="675"/>
        <v>0</v>
      </c>
      <c r="Z439" s="53">
        <f t="shared" si="680"/>
        <v>0</v>
      </c>
      <c r="AA439" s="54">
        <f t="shared" si="667"/>
        <v>0</v>
      </c>
      <c r="AB439" s="54">
        <f t="shared" si="681"/>
        <v>2067.75</v>
      </c>
      <c r="AC439" s="55">
        <f t="shared" si="668"/>
        <v>0</v>
      </c>
      <c r="AD439" s="217"/>
      <c r="AE439" s="55">
        <f>AB439-(X439+Z439)</f>
        <v>0</v>
      </c>
      <c r="AF439" s="212"/>
      <c r="AG439" s="8"/>
    </row>
    <row r="440" spans="1:33" ht="14.65" thickBot="1" x14ac:dyDescent="0.5">
      <c r="A440" s="23">
        <f>A438</f>
        <v>44430</v>
      </c>
      <c r="B440" s="24" t="s">
        <v>54</v>
      </c>
      <c r="C440" s="49">
        <f t="shared" si="676"/>
        <v>1440</v>
      </c>
      <c r="D440" s="25">
        <v>80</v>
      </c>
      <c r="E440" s="25">
        <v>28.75</v>
      </c>
      <c r="F440" s="25">
        <v>0</v>
      </c>
      <c r="G440" s="25">
        <v>0</v>
      </c>
      <c r="H440" s="25">
        <v>0</v>
      </c>
      <c r="I440" s="25">
        <v>0</v>
      </c>
      <c r="J440" s="25">
        <v>0</v>
      </c>
      <c r="K440" s="25">
        <v>0</v>
      </c>
      <c r="L440" s="46">
        <v>0</v>
      </c>
      <c r="M440" s="35"/>
      <c r="N440" s="25">
        <v>80</v>
      </c>
      <c r="O440" s="25">
        <v>31.5</v>
      </c>
      <c r="P440" s="25">
        <v>0</v>
      </c>
      <c r="Q440" s="25">
        <v>0</v>
      </c>
      <c r="R440" s="35"/>
      <c r="S440" s="25">
        <f t="shared" si="677"/>
        <v>108.75</v>
      </c>
      <c r="T440" s="25">
        <f t="shared" ref="T440:T446" si="682">SUM(N440:Q440)</f>
        <v>111.5</v>
      </c>
      <c r="U440" s="25">
        <f t="shared" si="678"/>
        <v>0</v>
      </c>
      <c r="V440" s="35"/>
      <c r="W440" s="46">
        <v>18</v>
      </c>
      <c r="X440" s="26">
        <f t="shared" si="679"/>
        <v>2216.25</v>
      </c>
      <c r="Y440" s="26">
        <f t="shared" si="675"/>
        <v>0</v>
      </c>
      <c r="Z440" s="26">
        <f t="shared" si="680"/>
        <v>0</v>
      </c>
      <c r="AA440" s="27">
        <f t="shared" si="667"/>
        <v>0</v>
      </c>
      <c r="AB440" s="27">
        <f t="shared" si="681"/>
        <v>2290.5</v>
      </c>
      <c r="AC440" s="12">
        <f t="shared" si="668"/>
        <v>0</v>
      </c>
      <c r="AD440" s="216"/>
      <c r="AE440" s="12">
        <f>AB440-(X440+Z440)</f>
        <v>74.25</v>
      </c>
      <c r="AF440" s="213"/>
      <c r="AG440" s="8"/>
    </row>
    <row r="441" spans="1:33" x14ac:dyDescent="0.45">
      <c r="A441" s="22">
        <f>A440+14</f>
        <v>44444</v>
      </c>
      <c r="B441" s="15" t="s">
        <v>30</v>
      </c>
      <c r="C441" s="48">
        <f>120*W441</f>
        <v>3780</v>
      </c>
      <c r="D441" s="13">
        <v>40</v>
      </c>
      <c r="E441" s="13">
        <v>5.5</v>
      </c>
      <c r="F441" s="13">
        <v>0</v>
      </c>
      <c r="G441" s="13">
        <v>0</v>
      </c>
      <c r="H441" s="13">
        <v>0</v>
      </c>
      <c r="I441" s="13">
        <v>40</v>
      </c>
      <c r="J441" s="13">
        <v>0</v>
      </c>
      <c r="K441" s="13">
        <v>0</v>
      </c>
      <c r="L441" s="45">
        <v>0</v>
      </c>
      <c r="M441" s="34"/>
      <c r="N441" s="13">
        <v>40</v>
      </c>
      <c r="O441" s="13">
        <v>5.5</v>
      </c>
      <c r="P441" s="13">
        <v>0</v>
      </c>
      <c r="Q441" s="13">
        <v>0</v>
      </c>
      <c r="R441" s="34"/>
      <c r="S441" s="13">
        <f t="shared" si="677"/>
        <v>45.5</v>
      </c>
      <c r="T441" s="13">
        <f t="shared" si="682"/>
        <v>45.5</v>
      </c>
      <c r="U441" s="13">
        <f t="shared" si="678"/>
        <v>40</v>
      </c>
      <c r="V441" s="34"/>
      <c r="W441" s="45">
        <v>31.5</v>
      </c>
      <c r="X441" s="10">
        <f t="shared" si="679"/>
        <v>1519.875</v>
      </c>
      <c r="Y441" s="10">
        <f t="shared" si="675"/>
        <v>1260</v>
      </c>
      <c r="Z441" s="10">
        <f t="shared" si="680"/>
        <v>0</v>
      </c>
      <c r="AA441" s="14">
        <f t="shared" ref="AA441:AA449" si="683">(W441*1*K441)</f>
        <v>0</v>
      </c>
      <c r="AB441" s="14">
        <f t="shared" si="681"/>
        <v>1519.875</v>
      </c>
      <c r="AC441" s="11">
        <f t="shared" ref="AC441:AC449" si="684">0-Y441-AA441</f>
        <v>-1260</v>
      </c>
      <c r="AD441" s="215"/>
      <c r="AE441" s="11">
        <f t="shared" ref="AE441:AE445" si="685">AB441-(X441+Z441)</f>
        <v>0</v>
      </c>
      <c r="AF441" s="211">
        <f>SUM(AE441:AE449)</f>
        <v>80.25</v>
      </c>
      <c r="AG441" s="8"/>
    </row>
    <row r="442" spans="1:33" x14ac:dyDescent="0.45">
      <c r="A442" s="22">
        <f>A441</f>
        <v>44444</v>
      </c>
      <c r="B442" s="15" t="s">
        <v>4</v>
      </c>
      <c r="C442" s="48">
        <f>80*W442</f>
        <v>2000</v>
      </c>
      <c r="D442" s="13">
        <v>73</v>
      </c>
      <c r="E442" s="13">
        <v>11.25</v>
      </c>
      <c r="F442" s="13">
        <v>0</v>
      </c>
      <c r="G442" s="13">
        <v>8</v>
      </c>
      <c r="H442" s="13">
        <v>0</v>
      </c>
      <c r="I442" s="13">
        <v>0</v>
      </c>
      <c r="J442" s="13">
        <v>0</v>
      </c>
      <c r="K442" s="13">
        <v>0</v>
      </c>
      <c r="L442" s="45">
        <v>0</v>
      </c>
      <c r="M442" s="34"/>
      <c r="N442" s="13">
        <v>76</v>
      </c>
      <c r="O442" s="13">
        <v>11.75</v>
      </c>
      <c r="P442" s="13">
        <v>0.5</v>
      </c>
      <c r="Q442" s="13">
        <v>5</v>
      </c>
      <c r="R442" s="34"/>
      <c r="S442" s="13">
        <f t="shared" si="677"/>
        <v>92.25</v>
      </c>
      <c r="T442" s="13">
        <f t="shared" si="682"/>
        <v>93.25</v>
      </c>
      <c r="U442" s="13">
        <f>SUM(H442:K442)</f>
        <v>0</v>
      </c>
      <c r="V442" s="34"/>
      <c r="W442" s="45">
        <v>25</v>
      </c>
      <c r="X442" s="10">
        <f t="shared" si="679"/>
        <v>2446.875</v>
      </c>
      <c r="Y442" s="10">
        <f t="shared" si="675"/>
        <v>0</v>
      </c>
      <c r="Z442" s="10">
        <f t="shared" si="680"/>
        <v>0</v>
      </c>
      <c r="AA442" s="14">
        <f t="shared" si="683"/>
        <v>0</v>
      </c>
      <c r="AB442" s="14">
        <f t="shared" si="681"/>
        <v>2490.625</v>
      </c>
      <c r="AC442" s="11">
        <f t="shared" si="684"/>
        <v>0</v>
      </c>
      <c r="AD442" s="215"/>
      <c r="AE442" s="11">
        <f t="shared" si="685"/>
        <v>43.75</v>
      </c>
      <c r="AF442" s="212"/>
      <c r="AG442" s="8"/>
    </row>
    <row r="443" spans="1:33" x14ac:dyDescent="0.45">
      <c r="A443" s="22">
        <f t="shared" ref="A443:A448" si="686">A442</f>
        <v>44444</v>
      </c>
      <c r="B443" s="15" t="s">
        <v>5</v>
      </c>
      <c r="C443" s="48">
        <f>120*W443</f>
        <v>3360</v>
      </c>
      <c r="D443" s="13">
        <v>40</v>
      </c>
      <c r="E443" s="13">
        <v>8.5</v>
      </c>
      <c r="F443" s="13">
        <v>0</v>
      </c>
      <c r="G443" s="13">
        <v>9</v>
      </c>
      <c r="H443" s="13">
        <v>0</v>
      </c>
      <c r="I443" s="13">
        <v>40</v>
      </c>
      <c r="J443" s="13">
        <v>0</v>
      </c>
      <c r="K443" s="13">
        <v>0</v>
      </c>
      <c r="L443" s="45">
        <v>0</v>
      </c>
      <c r="M443" s="34"/>
      <c r="N443" s="13">
        <v>40</v>
      </c>
      <c r="O443" s="13">
        <v>8</v>
      </c>
      <c r="P443" s="13">
        <v>0.5</v>
      </c>
      <c r="Q443" s="13">
        <v>9</v>
      </c>
      <c r="R443" s="34"/>
      <c r="S443" s="13">
        <f t="shared" si="677"/>
        <v>57.5</v>
      </c>
      <c r="T443" s="13">
        <f t="shared" si="682"/>
        <v>57.5</v>
      </c>
      <c r="U443" s="13">
        <f t="shared" ref="U443:U445" si="687">SUM(H443:K443)</f>
        <v>40</v>
      </c>
      <c r="V443" s="34"/>
      <c r="W443" s="45">
        <v>28</v>
      </c>
      <c r="X443" s="10">
        <f t="shared" si="679"/>
        <v>1729</v>
      </c>
      <c r="Y443" s="10">
        <f t="shared" si="675"/>
        <v>1120</v>
      </c>
      <c r="Z443" s="10">
        <f t="shared" si="680"/>
        <v>0</v>
      </c>
      <c r="AA443" s="14">
        <f t="shared" si="683"/>
        <v>0</v>
      </c>
      <c r="AB443" s="14">
        <f t="shared" si="681"/>
        <v>1736</v>
      </c>
      <c r="AC443" s="11">
        <f t="shared" si="684"/>
        <v>-1120</v>
      </c>
      <c r="AD443" s="215"/>
      <c r="AE443" s="11">
        <f t="shared" si="685"/>
        <v>7</v>
      </c>
      <c r="AF443" s="212"/>
      <c r="AG443" s="8"/>
    </row>
    <row r="444" spans="1:33" x14ac:dyDescent="0.45">
      <c r="A444" s="22">
        <f t="shared" si="686"/>
        <v>44444</v>
      </c>
      <c r="B444" s="15" t="s">
        <v>6</v>
      </c>
      <c r="C444" s="48">
        <f>80*W444</f>
        <v>2056</v>
      </c>
      <c r="D444" s="13">
        <v>80</v>
      </c>
      <c r="E444" s="13">
        <v>19.75</v>
      </c>
      <c r="F444" s="13">
        <v>0</v>
      </c>
      <c r="G444" s="13">
        <v>5.5</v>
      </c>
      <c r="H444" s="13">
        <v>0</v>
      </c>
      <c r="I444" s="13">
        <v>0</v>
      </c>
      <c r="J444" s="13">
        <v>0</v>
      </c>
      <c r="K444" s="13">
        <v>0</v>
      </c>
      <c r="L444" s="45">
        <v>0</v>
      </c>
      <c r="M444" s="34"/>
      <c r="N444" s="13">
        <v>80</v>
      </c>
      <c r="O444" s="13">
        <v>19.75</v>
      </c>
      <c r="P444" s="13">
        <v>0</v>
      </c>
      <c r="Q444" s="13">
        <v>5.5</v>
      </c>
      <c r="R444" s="34"/>
      <c r="S444" s="13">
        <f t="shared" si="677"/>
        <v>105.25</v>
      </c>
      <c r="T444" s="13">
        <f t="shared" si="682"/>
        <v>105.25</v>
      </c>
      <c r="U444" s="13">
        <f t="shared" si="687"/>
        <v>0</v>
      </c>
      <c r="V444" s="34"/>
      <c r="W444" s="45">
        <v>25.7</v>
      </c>
      <c r="X444" s="10">
        <f>(W444*1*D444)+(W444*1.5*E444)+(W444*2*F444)+(W444*1*G444)</f>
        <v>2958.7125000000001</v>
      </c>
      <c r="Y444" s="10">
        <f t="shared" si="675"/>
        <v>0</v>
      </c>
      <c r="Z444" s="10">
        <f t="shared" si="680"/>
        <v>0</v>
      </c>
      <c r="AA444" s="14">
        <f t="shared" si="683"/>
        <v>0</v>
      </c>
      <c r="AB444" s="14">
        <f t="shared" si="681"/>
        <v>2958.7125000000001</v>
      </c>
      <c r="AC444" s="11">
        <f t="shared" si="684"/>
        <v>0</v>
      </c>
      <c r="AD444" s="215"/>
      <c r="AE444" s="11">
        <f t="shared" si="685"/>
        <v>0</v>
      </c>
      <c r="AF444" s="212"/>
      <c r="AG444" s="8"/>
    </row>
    <row r="445" spans="1:33" x14ac:dyDescent="0.45">
      <c r="A445" s="22">
        <f>A444</f>
        <v>44444</v>
      </c>
      <c r="B445" s="15" t="s">
        <v>9</v>
      </c>
      <c r="C445" s="48">
        <f>120*W445</f>
        <v>3420</v>
      </c>
      <c r="D445" s="13">
        <v>0</v>
      </c>
      <c r="E445" s="13">
        <v>0</v>
      </c>
      <c r="F445" s="13">
        <v>0</v>
      </c>
      <c r="G445" s="13">
        <v>0</v>
      </c>
      <c r="H445" s="13">
        <v>0</v>
      </c>
      <c r="I445" s="13">
        <v>0</v>
      </c>
      <c r="J445" s="13">
        <v>0</v>
      </c>
      <c r="K445" s="13">
        <v>0</v>
      </c>
      <c r="L445" s="45">
        <v>0</v>
      </c>
      <c r="M445" s="34"/>
      <c r="N445" s="13">
        <v>0</v>
      </c>
      <c r="O445" s="13">
        <v>0</v>
      </c>
      <c r="P445" s="13">
        <v>0</v>
      </c>
      <c r="Q445" s="13">
        <v>0</v>
      </c>
      <c r="R445" s="34"/>
      <c r="S445" s="13">
        <f t="shared" si="677"/>
        <v>0</v>
      </c>
      <c r="T445" s="13">
        <f t="shared" si="682"/>
        <v>0</v>
      </c>
      <c r="U445" s="13">
        <f t="shared" si="687"/>
        <v>0</v>
      </c>
      <c r="V445" s="34"/>
      <c r="W445" s="45">
        <v>28.5</v>
      </c>
      <c r="X445" s="10">
        <f t="shared" ref="X445" si="688">(W445*1*D445)+(W445*1.5*E445)+(W445*2*F445)+(W445*1*G445)</f>
        <v>0</v>
      </c>
      <c r="Y445" s="10">
        <f>(W445*0*H445)+(W445*1*I445)</f>
        <v>0</v>
      </c>
      <c r="Z445" s="10">
        <f t="shared" si="680"/>
        <v>0</v>
      </c>
      <c r="AA445" s="14">
        <f t="shared" si="683"/>
        <v>0</v>
      </c>
      <c r="AB445" s="14">
        <f t="shared" si="681"/>
        <v>0</v>
      </c>
      <c r="AC445" s="11">
        <f t="shared" si="684"/>
        <v>0</v>
      </c>
      <c r="AD445" s="215"/>
      <c r="AE445" s="11">
        <f t="shared" si="685"/>
        <v>0</v>
      </c>
      <c r="AF445" s="212"/>
      <c r="AG445" s="8"/>
    </row>
    <row r="446" spans="1:33" x14ac:dyDescent="0.45">
      <c r="A446" s="22">
        <f t="shared" si="686"/>
        <v>44444</v>
      </c>
      <c r="B446" s="50" t="s">
        <v>31</v>
      </c>
      <c r="C446" s="48">
        <f>80*W446</f>
        <v>2160</v>
      </c>
      <c r="D446" s="51">
        <v>80</v>
      </c>
      <c r="E446" s="51">
        <v>33.25</v>
      </c>
      <c r="F446" s="51">
        <v>0</v>
      </c>
      <c r="G446" s="51">
        <v>14</v>
      </c>
      <c r="H446" s="51">
        <v>0</v>
      </c>
      <c r="I446" s="51">
        <v>0</v>
      </c>
      <c r="J446" s="51">
        <v>0</v>
      </c>
      <c r="K446" s="51">
        <v>0</v>
      </c>
      <c r="L446" s="52">
        <v>0</v>
      </c>
      <c r="M446" s="34"/>
      <c r="N446" s="51">
        <v>80</v>
      </c>
      <c r="O446" s="51">
        <v>31.25</v>
      </c>
      <c r="P446" s="51">
        <v>2</v>
      </c>
      <c r="Q446" s="51">
        <v>14</v>
      </c>
      <c r="R446" s="34"/>
      <c r="S446" s="51">
        <f t="shared" ref="S446" si="689">SUM(D446:G446)</f>
        <v>127.25</v>
      </c>
      <c r="T446" s="51">
        <f t="shared" si="682"/>
        <v>127.25</v>
      </c>
      <c r="U446" s="51">
        <f t="shared" ref="U446" si="690">SUM(H446:K446)</f>
        <v>0</v>
      </c>
      <c r="V446" s="34"/>
      <c r="W446" s="52">
        <v>27</v>
      </c>
      <c r="X446" s="53">
        <f>(W446*1*D446)+(W446*1.5*E446)+(W446*2*F446)+(W446*1*G446)</f>
        <v>3884.625</v>
      </c>
      <c r="Y446" s="53">
        <f t="shared" ref="Y446:Y453" si="691">(W446*0*H446)+(W446*1*I446)</f>
        <v>0</v>
      </c>
      <c r="Z446" s="53">
        <f>(W446*1*J446)+L446</f>
        <v>0</v>
      </c>
      <c r="AA446" s="54">
        <f t="shared" si="683"/>
        <v>0</v>
      </c>
      <c r="AB446" s="54">
        <f>(W446*1*N446)+(W446*1.5*O446)+(W446*2*P446)+(W446*1*Q446)</f>
        <v>3911.625</v>
      </c>
      <c r="AC446" s="55">
        <f t="shared" si="684"/>
        <v>0</v>
      </c>
      <c r="AD446" s="217"/>
      <c r="AE446" s="55">
        <f>AB446-(X446+Z446)</f>
        <v>27</v>
      </c>
      <c r="AF446" s="212"/>
      <c r="AG446" s="8"/>
    </row>
    <row r="447" spans="1:33" x14ac:dyDescent="0.45">
      <c r="A447" s="22">
        <f t="shared" si="686"/>
        <v>44444</v>
      </c>
      <c r="B447" s="50" t="s">
        <v>51</v>
      </c>
      <c r="C447" s="48">
        <f t="shared" ref="C447:C449" si="692">80*W447</f>
        <v>1600</v>
      </c>
      <c r="D447" s="51">
        <v>80</v>
      </c>
      <c r="E447" s="51">
        <v>34</v>
      </c>
      <c r="F447" s="51">
        <v>6.75</v>
      </c>
      <c r="G447" s="51">
        <v>0</v>
      </c>
      <c r="H447" s="51">
        <v>0</v>
      </c>
      <c r="I447" s="51">
        <v>0</v>
      </c>
      <c r="J447" s="51">
        <v>0</v>
      </c>
      <c r="K447" s="51">
        <v>0</v>
      </c>
      <c r="L447" s="52">
        <v>0</v>
      </c>
      <c r="M447" s="34"/>
      <c r="N447" s="51">
        <v>80</v>
      </c>
      <c r="O447" s="51">
        <v>33.75</v>
      </c>
      <c r="P447" s="51">
        <v>7</v>
      </c>
      <c r="Q447" s="51">
        <v>0</v>
      </c>
      <c r="R447" s="34"/>
      <c r="S447" s="51">
        <f t="shared" ref="S447:S454" si="693">SUM(D447:G447)</f>
        <v>120.75</v>
      </c>
      <c r="T447" s="51">
        <f>SUM(N447:Q447)</f>
        <v>120.75</v>
      </c>
      <c r="U447" s="51">
        <f t="shared" ref="U447:U450" si="694">SUM(H447:K447)</f>
        <v>0</v>
      </c>
      <c r="V447" s="34"/>
      <c r="W447" s="52">
        <v>20</v>
      </c>
      <c r="X447" s="53">
        <f t="shared" ref="X447:X452" si="695">(W447*1*D447)+(W447*1.5*E447)+(W447*2*F447)+(W447*1*G447)</f>
        <v>2890</v>
      </c>
      <c r="Y447" s="53">
        <f t="shared" si="691"/>
        <v>0</v>
      </c>
      <c r="Z447" s="53">
        <f t="shared" ref="Z447:Z454" si="696">(W447*1*J447)+L447</f>
        <v>0</v>
      </c>
      <c r="AA447" s="54">
        <f t="shared" si="683"/>
        <v>0</v>
      </c>
      <c r="AB447" s="54">
        <f t="shared" ref="AB447:AB454" si="697">(W447*1*N447)+(W447*1.5*O447)+(W447*2*P447)+(W447*1*Q447)</f>
        <v>2892.5</v>
      </c>
      <c r="AC447" s="55">
        <f t="shared" si="684"/>
        <v>0</v>
      </c>
      <c r="AD447" s="217"/>
      <c r="AE447" s="55">
        <f>AB447-(X447+Z447)</f>
        <v>2.5</v>
      </c>
      <c r="AF447" s="212"/>
      <c r="AG447" s="8"/>
    </row>
    <row r="448" spans="1:33" x14ac:dyDescent="0.45">
      <c r="A448" s="22">
        <f t="shared" si="686"/>
        <v>44444</v>
      </c>
      <c r="B448" s="50" t="s">
        <v>53</v>
      </c>
      <c r="C448" s="48">
        <f t="shared" si="692"/>
        <v>1600</v>
      </c>
      <c r="D448" s="51">
        <v>80</v>
      </c>
      <c r="E448" s="51">
        <v>28.5</v>
      </c>
      <c r="F448" s="51">
        <v>0</v>
      </c>
      <c r="G448" s="51">
        <v>0</v>
      </c>
      <c r="H448" s="51">
        <v>0</v>
      </c>
      <c r="I448" s="51">
        <v>0</v>
      </c>
      <c r="J448" s="51">
        <v>0</v>
      </c>
      <c r="K448" s="51">
        <v>0</v>
      </c>
      <c r="L448" s="52">
        <v>0</v>
      </c>
      <c r="M448" s="34"/>
      <c r="N448" s="51">
        <v>80</v>
      </c>
      <c r="O448" s="51">
        <v>28.5</v>
      </c>
      <c r="P448" s="51">
        <v>0</v>
      </c>
      <c r="Q448" s="51">
        <v>0</v>
      </c>
      <c r="R448" s="34"/>
      <c r="S448" s="51">
        <f t="shared" si="693"/>
        <v>108.5</v>
      </c>
      <c r="T448" s="51">
        <f>SUM(N448:Q448)</f>
        <v>108.5</v>
      </c>
      <c r="U448" s="51">
        <f t="shared" si="694"/>
        <v>0</v>
      </c>
      <c r="V448" s="34"/>
      <c r="W448" s="52">
        <v>20</v>
      </c>
      <c r="X448" s="53">
        <f t="shared" si="695"/>
        <v>2455</v>
      </c>
      <c r="Y448" s="53">
        <f t="shared" si="691"/>
        <v>0</v>
      </c>
      <c r="Z448" s="53">
        <f t="shared" si="696"/>
        <v>0</v>
      </c>
      <c r="AA448" s="54">
        <f t="shared" si="683"/>
        <v>0</v>
      </c>
      <c r="AB448" s="54">
        <f t="shared" si="697"/>
        <v>2455</v>
      </c>
      <c r="AC448" s="55">
        <f t="shared" si="684"/>
        <v>0</v>
      </c>
      <c r="AD448" s="217"/>
      <c r="AE448" s="55">
        <f>AB448-(X448+Z448)</f>
        <v>0</v>
      </c>
      <c r="AF448" s="212"/>
      <c r="AG448" s="8"/>
    </row>
    <row r="449" spans="1:33" ht="14.65" thickBot="1" x14ac:dyDescent="0.5">
      <c r="A449" s="23">
        <f>A447</f>
        <v>44444</v>
      </c>
      <c r="B449" s="24" t="s">
        <v>54</v>
      </c>
      <c r="C449" s="49">
        <f t="shared" si="692"/>
        <v>1440</v>
      </c>
      <c r="D449" s="25">
        <v>80</v>
      </c>
      <c r="E449" s="25">
        <v>22.5</v>
      </c>
      <c r="F449" s="25">
        <v>0</v>
      </c>
      <c r="G449" s="25">
        <v>0</v>
      </c>
      <c r="H449" s="25">
        <v>0</v>
      </c>
      <c r="I449" s="25">
        <v>0</v>
      </c>
      <c r="J449" s="25">
        <v>0</v>
      </c>
      <c r="K449" s="25">
        <v>0</v>
      </c>
      <c r="L449" s="46">
        <v>0</v>
      </c>
      <c r="M449" s="35"/>
      <c r="N449" s="25">
        <v>80</v>
      </c>
      <c r="O449" s="25">
        <v>22.5</v>
      </c>
      <c r="P449" s="25">
        <v>0</v>
      </c>
      <c r="Q449" s="25">
        <v>0</v>
      </c>
      <c r="R449" s="35"/>
      <c r="S449" s="25">
        <f t="shared" si="693"/>
        <v>102.5</v>
      </c>
      <c r="T449" s="25">
        <f t="shared" ref="T449:T455" si="698">SUM(N449:Q449)</f>
        <v>102.5</v>
      </c>
      <c r="U449" s="25">
        <f t="shared" si="694"/>
        <v>0</v>
      </c>
      <c r="V449" s="35"/>
      <c r="W449" s="46">
        <v>18</v>
      </c>
      <c r="X449" s="26">
        <f t="shared" si="695"/>
        <v>2047.5</v>
      </c>
      <c r="Y449" s="26">
        <f t="shared" si="691"/>
        <v>0</v>
      </c>
      <c r="Z449" s="26">
        <f t="shared" si="696"/>
        <v>0</v>
      </c>
      <c r="AA449" s="27">
        <f t="shared" si="683"/>
        <v>0</v>
      </c>
      <c r="AB449" s="27">
        <f t="shared" si="697"/>
        <v>2047.5</v>
      </c>
      <c r="AC449" s="12">
        <f t="shared" si="684"/>
        <v>0</v>
      </c>
      <c r="AD449" s="216"/>
      <c r="AE449" s="12">
        <f>AB449-(X449+Z449)</f>
        <v>0</v>
      </c>
      <c r="AF449" s="213"/>
      <c r="AG449" s="8"/>
    </row>
    <row r="450" spans="1:33" x14ac:dyDescent="0.45">
      <c r="A450" s="22">
        <f>A449+14</f>
        <v>44458</v>
      </c>
      <c r="B450" s="15" t="s">
        <v>30</v>
      </c>
      <c r="C450" s="48">
        <f>120*W450</f>
        <v>3780</v>
      </c>
      <c r="D450" s="13">
        <v>72</v>
      </c>
      <c r="E450" s="13">
        <v>4.75</v>
      </c>
      <c r="F450" s="13">
        <v>0</v>
      </c>
      <c r="G450" s="13">
        <v>0</v>
      </c>
      <c r="H450" s="13">
        <v>0</v>
      </c>
      <c r="I450" s="13">
        <v>0</v>
      </c>
      <c r="J450" s="13">
        <v>8</v>
      </c>
      <c r="K450" s="13">
        <v>0</v>
      </c>
      <c r="L450" s="45">
        <v>0</v>
      </c>
      <c r="M450" s="34"/>
      <c r="N450" s="13">
        <v>72</v>
      </c>
      <c r="O450" s="13">
        <v>8</v>
      </c>
      <c r="P450" s="13">
        <v>0</v>
      </c>
      <c r="Q450" s="13">
        <v>0</v>
      </c>
      <c r="R450" s="34"/>
      <c r="S450" s="13">
        <f t="shared" si="693"/>
        <v>76.75</v>
      </c>
      <c r="T450" s="13">
        <f t="shared" si="698"/>
        <v>80</v>
      </c>
      <c r="U450" s="13">
        <f t="shared" si="694"/>
        <v>8</v>
      </c>
      <c r="V450" s="34"/>
      <c r="W450" s="45">
        <v>31.5</v>
      </c>
      <c r="X450" s="10">
        <f t="shared" si="695"/>
        <v>2492.4375</v>
      </c>
      <c r="Y450" s="10">
        <f t="shared" si="691"/>
        <v>0</v>
      </c>
      <c r="Z450" s="10">
        <f t="shared" si="696"/>
        <v>252</v>
      </c>
      <c r="AA450" s="14">
        <f t="shared" ref="AA450:AA458" si="699">(W450*1*K450)</f>
        <v>0</v>
      </c>
      <c r="AB450" s="14">
        <f t="shared" si="697"/>
        <v>2646</v>
      </c>
      <c r="AC450" s="11">
        <f t="shared" ref="AC450:AC458" si="700">0-Y450-AA450</f>
        <v>0</v>
      </c>
      <c r="AD450" s="215"/>
      <c r="AE450" s="11">
        <f t="shared" ref="AE450:AE454" si="701">AB450-(X450+Z450)</f>
        <v>-98.4375</v>
      </c>
      <c r="AF450" s="211">
        <f>SUM(AE450:AE458)</f>
        <v>-1293.2124999999992</v>
      </c>
      <c r="AG450" s="8"/>
    </row>
    <row r="451" spans="1:33" x14ac:dyDescent="0.45">
      <c r="A451" s="22">
        <f>A450</f>
        <v>44458</v>
      </c>
      <c r="B451" s="15" t="s">
        <v>4</v>
      </c>
      <c r="C451" s="48">
        <f>80*W451</f>
        <v>2000</v>
      </c>
      <c r="D451" s="13">
        <v>72</v>
      </c>
      <c r="E451" s="13">
        <v>32.5</v>
      </c>
      <c r="F451" s="13">
        <v>0</v>
      </c>
      <c r="G451" s="13">
        <v>12</v>
      </c>
      <c r="H451" s="13">
        <v>0</v>
      </c>
      <c r="I451" s="13">
        <v>0</v>
      </c>
      <c r="J451" s="13">
        <v>8</v>
      </c>
      <c r="K451" s="13">
        <v>0</v>
      </c>
      <c r="L451" s="45">
        <v>0</v>
      </c>
      <c r="M451" s="34"/>
      <c r="N451" s="13">
        <v>72</v>
      </c>
      <c r="O451" s="13">
        <v>33.25</v>
      </c>
      <c r="P451" s="13">
        <v>0</v>
      </c>
      <c r="Q451" s="13">
        <v>12</v>
      </c>
      <c r="R451" s="34"/>
      <c r="S451" s="13">
        <f t="shared" si="693"/>
        <v>116.5</v>
      </c>
      <c r="T451" s="13">
        <f t="shared" si="698"/>
        <v>117.25</v>
      </c>
      <c r="U451" s="13">
        <f>SUM(H451:K451)</f>
        <v>8</v>
      </c>
      <c r="V451" s="34"/>
      <c r="W451" s="45">
        <v>25</v>
      </c>
      <c r="X451" s="10">
        <f t="shared" si="695"/>
        <v>3318.75</v>
      </c>
      <c r="Y451" s="10">
        <f t="shared" si="691"/>
        <v>0</v>
      </c>
      <c r="Z451" s="10">
        <f t="shared" si="696"/>
        <v>200</v>
      </c>
      <c r="AA451" s="14">
        <f t="shared" si="699"/>
        <v>0</v>
      </c>
      <c r="AB451" s="14">
        <f t="shared" si="697"/>
        <v>3346.875</v>
      </c>
      <c r="AC451" s="11">
        <f t="shared" si="700"/>
        <v>0</v>
      </c>
      <c r="AD451" s="215"/>
      <c r="AE451" s="11">
        <f t="shared" si="701"/>
        <v>-171.875</v>
      </c>
      <c r="AF451" s="212"/>
      <c r="AG451" s="8"/>
    </row>
    <row r="452" spans="1:33" x14ac:dyDescent="0.45">
      <c r="A452" s="22">
        <f t="shared" ref="A452:A457" si="702">A451</f>
        <v>44458</v>
      </c>
      <c r="B452" s="15" t="s">
        <v>5</v>
      </c>
      <c r="C452" s="48">
        <f>120*W452</f>
        <v>3360</v>
      </c>
      <c r="D452" s="13">
        <v>72</v>
      </c>
      <c r="E452" s="13">
        <v>31</v>
      </c>
      <c r="F452" s="13">
        <v>0</v>
      </c>
      <c r="G452" s="13">
        <v>0</v>
      </c>
      <c r="H452" s="13">
        <v>0</v>
      </c>
      <c r="I452" s="13">
        <v>0</v>
      </c>
      <c r="J452" s="13">
        <v>8</v>
      </c>
      <c r="K452" s="13">
        <v>0</v>
      </c>
      <c r="L452" s="45">
        <v>0</v>
      </c>
      <c r="M452" s="34"/>
      <c r="N452" s="13">
        <v>72</v>
      </c>
      <c r="O452" s="13">
        <v>29.25</v>
      </c>
      <c r="P452" s="13">
        <v>2</v>
      </c>
      <c r="Q452" s="13">
        <v>0</v>
      </c>
      <c r="R452" s="34"/>
      <c r="S452" s="13">
        <f t="shared" si="693"/>
        <v>103</v>
      </c>
      <c r="T452" s="13">
        <f t="shared" si="698"/>
        <v>103.25</v>
      </c>
      <c r="U452" s="13">
        <f t="shared" ref="U452:U454" si="703">SUM(H452:K452)</f>
        <v>8</v>
      </c>
      <c r="V452" s="34"/>
      <c r="W452" s="45">
        <v>28</v>
      </c>
      <c r="X452" s="10">
        <f t="shared" si="695"/>
        <v>3318</v>
      </c>
      <c r="Y452" s="10">
        <f t="shared" si="691"/>
        <v>0</v>
      </c>
      <c r="Z452" s="10">
        <f t="shared" si="696"/>
        <v>224</v>
      </c>
      <c r="AA452" s="14">
        <f t="shared" si="699"/>
        <v>0</v>
      </c>
      <c r="AB452" s="14">
        <f t="shared" si="697"/>
        <v>3356.5</v>
      </c>
      <c r="AC452" s="11">
        <f t="shared" si="700"/>
        <v>0</v>
      </c>
      <c r="AD452" s="215"/>
      <c r="AE452" s="11">
        <f t="shared" si="701"/>
        <v>-185.5</v>
      </c>
      <c r="AF452" s="212"/>
      <c r="AG452" s="8"/>
    </row>
    <row r="453" spans="1:33" x14ac:dyDescent="0.45">
      <c r="A453" s="22">
        <f t="shared" si="702"/>
        <v>44458</v>
      </c>
      <c r="B453" s="15" t="s">
        <v>6</v>
      </c>
      <c r="C453" s="48">
        <f>80*W453</f>
        <v>2056</v>
      </c>
      <c r="D453" s="13">
        <v>72</v>
      </c>
      <c r="E453" s="13">
        <v>51.5</v>
      </c>
      <c r="F453" s="13">
        <v>0</v>
      </c>
      <c r="G453" s="13">
        <v>0</v>
      </c>
      <c r="H453" s="13">
        <v>0</v>
      </c>
      <c r="I453" s="13">
        <v>0</v>
      </c>
      <c r="J453" s="13">
        <v>8</v>
      </c>
      <c r="K453" s="13">
        <v>0</v>
      </c>
      <c r="L453" s="45">
        <v>0</v>
      </c>
      <c r="M453" s="34"/>
      <c r="N453" s="13">
        <v>72</v>
      </c>
      <c r="O453" s="13">
        <v>49.5</v>
      </c>
      <c r="P453" s="13">
        <v>2</v>
      </c>
      <c r="Q453" s="13">
        <v>0</v>
      </c>
      <c r="R453" s="34"/>
      <c r="S453" s="13">
        <f t="shared" si="693"/>
        <v>123.5</v>
      </c>
      <c r="T453" s="13">
        <f t="shared" si="698"/>
        <v>123.5</v>
      </c>
      <c r="U453" s="13">
        <f t="shared" si="703"/>
        <v>8</v>
      </c>
      <c r="V453" s="34"/>
      <c r="W453" s="45">
        <v>25.7</v>
      </c>
      <c r="X453" s="10">
        <f>(W453*1*D453)+(W453*1.5*E453)+(W453*2*F453)+(W453*1*G453)</f>
        <v>3835.7249999999995</v>
      </c>
      <c r="Y453" s="10">
        <f t="shared" si="691"/>
        <v>0</v>
      </c>
      <c r="Z453" s="10">
        <f t="shared" si="696"/>
        <v>205.6</v>
      </c>
      <c r="AA453" s="14">
        <f t="shared" si="699"/>
        <v>0</v>
      </c>
      <c r="AB453" s="14">
        <f t="shared" si="697"/>
        <v>3861.4250000000002</v>
      </c>
      <c r="AC453" s="11">
        <f t="shared" si="700"/>
        <v>0</v>
      </c>
      <c r="AD453" s="215"/>
      <c r="AE453" s="11">
        <f t="shared" si="701"/>
        <v>-179.89999999999918</v>
      </c>
      <c r="AF453" s="212"/>
      <c r="AG453" s="8"/>
    </row>
    <row r="454" spans="1:33" x14ac:dyDescent="0.45">
      <c r="A454" s="22">
        <f>A453</f>
        <v>44458</v>
      </c>
      <c r="B454" s="15" t="s">
        <v>9</v>
      </c>
      <c r="C454" s="48">
        <f>120*W454</f>
        <v>3420</v>
      </c>
      <c r="D454" s="13">
        <v>40</v>
      </c>
      <c r="E454" s="13">
        <v>8</v>
      </c>
      <c r="F454" s="13">
        <v>0</v>
      </c>
      <c r="G454" s="13">
        <v>5</v>
      </c>
      <c r="H454" s="13">
        <v>0</v>
      </c>
      <c r="I454" s="13">
        <v>0</v>
      </c>
      <c r="J454" s="13">
        <v>0</v>
      </c>
      <c r="K454" s="13">
        <v>0</v>
      </c>
      <c r="L454" s="45">
        <v>0</v>
      </c>
      <c r="M454" s="34"/>
      <c r="N454" s="13">
        <v>40</v>
      </c>
      <c r="O454" s="13">
        <v>8</v>
      </c>
      <c r="P454" s="13">
        <v>0</v>
      </c>
      <c r="Q454" s="13">
        <v>5</v>
      </c>
      <c r="R454" s="34"/>
      <c r="S454" s="13">
        <f t="shared" si="693"/>
        <v>53</v>
      </c>
      <c r="T454" s="13">
        <f t="shared" si="698"/>
        <v>53</v>
      </c>
      <c r="U454" s="13">
        <f t="shared" si="703"/>
        <v>0</v>
      </c>
      <c r="V454" s="34"/>
      <c r="W454" s="45">
        <v>28.5</v>
      </c>
      <c r="X454" s="10">
        <f t="shared" ref="X454" si="704">(W454*1*D454)+(W454*1.5*E454)+(W454*2*F454)+(W454*1*G454)</f>
        <v>1624.5</v>
      </c>
      <c r="Y454" s="10">
        <f>(W454*0*H454)+(W454*1*I454)</f>
        <v>0</v>
      </c>
      <c r="Z454" s="10">
        <f t="shared" si="696"/>
        <v>0</v>
      </c>
      <c r="AA454" s="14">
        <f t="shared" si="699"/>
        <v>0</v>
      </c>
      <c r="AB454" s="14">
        <f t="shared" si="697"/>
        <v>1624.5</v>
      </c>
      <c r="AC454" s="11">
        <f t="shared" si="700"/>
        <v>0</v>
      </c>
      <c r="AD454" s="215"/>
      <c r="AE454" s="11">
        <f t="shared" si="701"/>
        <v>0</v>
      </c>
      <c r="AF454" s="212"/>
      <c r="AG454" s="8"/>
    </row>
    <row r="455" spans="1:33" x14ac:dyDescent="0.45">
      <c r="A455" s="22">
        <f t="shared" si="702"/>
        <v>44458</v>
      </c>
      <c r="B455" s="50" t="s">
        <v>31</v>
      </c>
      <c r="C455" s="48">
        <f>80*W455</f>
        <v>2160</v>
      </c>
      <c r="D455" s="51">
        <v>72</v>
      </c>
      <c r="E455" s="51">
        <v>34.75</v>
      </c>
      <c r="F455" s="51">
        <v>12</v>
      </c>
      <c r="G455" s="51">
        <v>10</v>
      </c>
      <c r="H455" s="51">
        <v>0</v>
      </c>
      <c r="I455" s="51">
        <v>0</v>
      </c>
      <c r="J455" s="51">
        <v>8</v>
      </c>
      <c r="K455" s="51">
        <v>0</v>
      </c>
      <c r="L455" s="52">
        <v>0</v>
      </c>
      <c r="M455" s="34"/>
      <c r="N455" s="51">
        <v>72</v>
      </c>
      <c r="O455" s="51">
        <v>34.75</v>
      </c>
      <c r="P455" s="51">
        <v>12.25</v>
      </c>
      <c r="Q455" s="51">
        <v>9.75</v>
      </c>
      <c r="R455" s="34"/>
      <c r="S455" s="51">
        <f t="shared" ref="S455" si="705">SUM(D455:G455)</f>
        <v>128.75</v>
      </c>
      <c r="T455" s="51">
        <f t="shared" si="698"/>
        <v>128.75</v>
      </c>
      <c r="U455" s="51">
        <f t="shared" ref="U455" si="706">SUM(H455:K455)</f>
        <v>8</v>
      </c>
      <c r="V455" s="34"/>
      <c r="W455" s="52">
        <v>27</v>
      </c>
      <c r="X455" s="53">
        <f>(W455*1*D455)+(W455*1.5*E455)+(W455*2*F455)+(W455*1*G455)</f>
        <v>4269.375</v>
      </c>
      <c r="Y455" s="53">
        <f t="shared" ref="Y455:Y462" si="707">(W455*0*H455)+(W455*1*I455)</f>
        <v>0</v>
      </c>
      <c r="Z455" s="53">
        <f>(W455*1*J455)+L455</f>
        <v>216</v>
      </c>
      <c r="AA455" s="54">
        <f t="shared" si="699"/>
        <v>0</v>
      </c>
      <c r="AB455" s="54">
        <f>(W455*1*N455)+(W455*1.5*O455)+(W455*2*P455)+(W455*1*Q455)</f>
        <v>4276.125</v>
      </c>
      <c r="AC455" s="55">
        <f t="shared" si="700"/>
        <v>0</v>
      </c>
      <c r="AD455" s="217"/>
      <c r="AE455" s="55">
        <f>AB455-(X455+Z455)</f>
        <v>-209.25</v>
      </c>
      <c r="AF455" s="212"/>
      <c r="AG455" s="8"/>
    </row>
    <row r="456" spans="1:33" x14ac:dyDescent="0.45">
      <c r="A456" s="22">
        <f t="shared" si="702"/>
        <v>44458</v>
      </c>
      <c r="B456" s="50" t="s">
        <v>51</v>
      </c>
      <c r="C456" s="48">
        <f t="shared" ref="C456:C458" si="708">80*W456</f>
        <v>1600</v>
      </c>
      <c r="D456" s="51">
        <v>51</v>
      </c>
      <c r="E456" s="51">
        <v>8</v>
      </c>
      <c r="F456" s="51">
        <v>0</v>
      </c>
      <c r="G456" s="51">
        <v>42</v>
      </c>
      <c r="H456" s="51">
        <v>0</v>
      </c>
      <c r="I456" s="51">
        <v>0</v>
      </c>
      <c r="J456" s="51">
        <v>8</v>
      </c>
      <c r="K456" s="51">
        <v>0</v>
      </c>
      <c r="L456" s="52">
        <v>0</v>
      </c>
      <c r="M456" s="34"/>
      <c r="N456" s="51">
        <v>51</v>
      </c>
      <c r="O456" s="51">
        <v>8</v>
      </c>
      <c r="P456" s="51">
        <v>0</v>
      </c>
      <c r="Q456" s="51">
        <v>42</v>
      </c>
      <c r="R456" s="34"/>
      <c r="S456" s="51">
        <f t="shared" ref="S456:S463" si="709">SUM(D456:G456)</f>
        <v>101</v>
      </c>
      <c r="T456" s="51">
        <f>SUM(N456:Q456)</f>
        <v>101</v>
      </c>
      <c r="U456" s="51">
        <f t="shared" ref="U456:U459" si="710">SUM(H456:K456)</f>
        <v>8</v>
      </c>
      <c r="V456" s="34"/>
      <c r="W456" s="52">
        <v>20</v>
      </c>
      <c r="X456" s="53">
        <f t="shared" ref="X456:X461" si="711">(W456*1*D456)+(W456*1.5*E456)+(W456*2*F456)+(W456*1*G456)</f>
        <v>2100</v>
      </c>
      <c r="Y456" s="53">
        <f t="shared" si="707"/>
        <v>0</v>
      </c>
      <c r="Z456" s="53">
        <f t="shared" ref="Z456:Z463" si="712">(W456*1*J456)+L456</f>
        <v>160</v>
      </c>
      <c r="AA456" s="54">
        <f t="shared" si="699"/>
        <v>0</v>
      </c>
      <c r="AB456" s="54">
        <f t="shared" ref="AB456:AB463" si="713">(W456*1*N456)+(W456*1.5*O456)+(W456*2*P456)+(W456*1*Q456)</f>
        <v>2100</v>
      </c>
      <c r="AC456" s="55">
        <f t="shared" si="700"/>
        <v>0</v>
      </c>
      <c r="AD456" s="217"/>
      <c r="AE456" s="55">
        <f>AB456-(X456+Z456)</f>
        <v>-160</v>
      </c>
      <c r="AF456" s="212"/>
      <c r="AG456" s="8"/>
    </row>
    <row r="457" spans="1:33" x14ac:dyDescent="0.45">
      <c r="A457" s="22">
        <f t="shared" si="702"/>
        <v>44458</v>
      </c>
      <c r="B457" s="50" t="s">
        <v>53</v>
      </c>
      <c r="C457" s="48">
        <f t="shared" si="708"/>
        <v>1600</v>
      </c>
      <c r="D457" s="51">
        <v>72</v>
      </c>
      <c r="E457" s="51">
        <v>12.75</v>
      </c>
      <c r="F457" s="51">
        <v>0</v>
      </c>
      <c r="G457" s="51">
        <v>0</v>
      </c>
      <c r="H457" s="51">
        <v>8</v>
      </c>
      <c r="I457" s="51">
        <v>0</v>
      </c>
      <c r="J457" s="51">
        <v>8</v>
      </c>
      <c r="K457" s="51">
        <v>0</v>
      </c>
      <c r="L457" s="52">
        <v>0</v>
      </c>
      <c r="M457" s="34"/>
      <c r="N457" s="51">
        <v>72</v>
      </c>
      <c r="O457" s="51">
        <v>12.75</v>
      </c>
      <c r="P457" s="51">
        <v>0</v>
      </c>
      <c r="Q457" s="51">
        <v>0</v>
      </c>
      <c r="R457" s="34"/>
      <c r="S457" s="51">
        <f t="shared" si="709"/>
        <v>84.75</v>
      </c>
      <c r="T457" s="51">
        <f>SUM(N457:Q457)</f>
        <v>84.75</v>
      </c>
      <c r="U457" s="51">
        <f t="shared" si="710"/>
        <v>16</v>
      </c>
      <c r="V457" s="34"/>
      <c r="W457" s="52">
        <v>20</v>
      </c>
      <c r="X457" s="53">
        <f t="shared" si="711"/>
        <v>1822.5</v>
      </c>
      <c r="Y457" s="53">
        <f t="shared" si="707"/>
        <v>0</v>
      </c>
      <c r="Z457" s="53">
        <f t="shared" si="712"/>
        <v>160</v>
      </c>
      <c r="AA457" s="54">
        <f t="shared" si="699"/>
        <v>0</v>
      </c>
      <c r="AB457" s="54">
        <f t="shared" si="713"/>
        <v>1822.5</v>
      </c>
      <c r="AC457" s="55">
        <f t="shared" si="700"/>
        <v>0</v>
      </c>
      <c r="AD457" s="217"/>
      <c r="AE457" s="55">
        <f>AB457-(X457+Z457)</f>
        <v>-160</v>
      </c>
      <c r="AF457" s="212"/>
      <c r="AG457" s="8"/>
    </row>
    <row r="458" spans="1:33" ht="14.65" thickBot="1" x14ac:dyDescent="0.5">
      <c r="A458" s="23">
        <f>A456</f>
        <v>44458</v>
      </c>
      <c r="B458" s="24" t="s">
        <v>54</v>
      </c>
      <c r="C458" s="49">
        <f t="shared" si="708"/>
        <v>1440</v>
      </c>
      <c r="D458" s="25">
        <v>72</v>
      </c>
      <c r="E458" s="25">
        <v>36</v>
      </c>
      <c r="F458" s="25">
        <v>0</v>
      </c>
      <c r="G458" s="25">
        <v>0</v>
      </c>
      <c r="H458" s="25">
        <v>0</v>
      </c>
      <c r="I458" s="25">
        <v>0</v>
      </c>
      <c r="J458" s="25">
        <v>8</v>
      </c>
      <c r="K458" s="25">
        <v>0</v>
      </c>
      <c r="L458" s="46">
        <v>0</v>
      </c>
      <c r="M458" s="35"/>
      <c r="N458" s="25">
        <v>72</v>
      </c>
      <c r="O458" s="25">
        <v>36.25</v>
      </c>
      <c r="P458" s="25">
        <v>0.25</v>
      </c>
      <c r="Q458" s="25">
        <v>0</v>
      </c>
      <c r="R458" s="35"/>
      <c r="S458" s="25">
        <f t="shared" si="709"/>
        <v>108</v>
      </c>
      <c r="T458" s="25">
        <f t="shared" ref="T458:T464" si="714">SUM(N458:Q458)</f>
        <v>108.5</v>
      </c>
      <c r="U458" s="25">
        <f t="shared" si="710"/>
        <v>8</v>
      </c>
      <c r="V458" s="35"/>
      <c r="W458" s="46">
        <v>18</v>
      </c>
      <c r="X458" s="26">
        <f t="shared" si="711"/>
        <v>2268</v>
      </c>
      <c r="Y458" s="26">
        <f t="shared" si="707"/>
        <v>0</v>
      </c>
      <c r="Z458" s="26">
        <f t="shared" si="712"/>
        <v>144</v>
      </c>
      <c r="AA458" s="27">
        <f t="shared" si="699"/>
        <v>0</v>
      </c>
      <c r="AB458" s="27">
        <f t="shared" si="713"/>
        <v>2283.75</v>
      </c>
      <c r="AC458" s="12">
        <f t="shared" si="700"/>
        <v>0</v>
      </c>
      <c r="AD458" s="216"/>
      <c r="AE458" s="12">
        <f>AB458-(X458+Z458)</f>
        <v>-128.25</v>
      </c>
      <c r="AF458" s="213"/>
      <c r="AG458" s="8"/>
    </row>
    <row r="459" spans="1:33" x14ac:dyDescent="0.45">
      <c r="A459" s="22">
        <f>A458+14</f>
        <v>44472</v>
      </c>
      <c r="B459" s="15" t="s">
        <v>30</v>
      </c>
      <c r="C459" s="48">
        <f>120*W459</f>
        <v>3780</v>
      </c>
      <c r="D459" s="13">
        <v>80</v>
      </c>
      <c r="E459" s="13">
        <v>17</v>
      </c>
      <c r="F459" s="13">
        <v>0</v>
      </c>
      <c r="G459" s="13">
        <v>10</v>
      </c>
      <c r="H459" s="13">
        <v>0</v>
      </c>
      <c r="I459" s="13">
        <v>0</v>
      </c>
      <c r="J459" s="13">
        <v>0</v>
      </c>
      <c r="K459" s="13">
        <v>0</v>
      </c>
      <c r="L459" s="45">
        <v>0</v>
      </c>
      <c r="M459" s="34"/>
      <c r="N459" s="13">
        <v>80</v>
      </c>
      <c r="O459" s="13">
        <v>17.5</v>
      </c>
      <c r="P459" s="13">
        <v>0</v>
      </c>
      <c r="Q459" s="13">
        <v>10</v>
      </c>
      <c r="R459" s="34"/>
      <c r="S459" s="13">
        <f t="shared" si="709"/>
        <v>107</v>
      </c>
      <c r="T459" s="13">
        <f t="shared" si="714"/>
        <v>107.5</v>
      </c>
      <c r="U459" s="13">
        <f t="shared" si="710"/>
        <v>0</v>
      </c>
      <c r="V459" s="34"/>
      <c r="W459" s="45">
        <v>31.5</v>
      </c>
      <c r="X459" s="10">
        <f t="shared" si="711"/>
        <v>3638.25</v>
      </c>
      <c r="Y459" s="10">
        <f t="shared" si="707"/>
        <v>0</v>
      </c>
      <c r="Z459" s="10">
        <f t="shared" si="712"/>
        <v>0</v>
      </c>
      <c r="AA459" s="14">
        <f t="shared" ref="AA459:AA467" si="715">(W459*1*K459)</f>
        <v>0</v>
      </c>
      <c r="AB459" s="14">
        <f t="shared" si="713"/>
        <v>3661.875</v>
      </c>
      <c r="AC459" s="11">
        <f t="shared" ref="AC459:AC467" si="716">0-Y459-AA459</f>
        <v>0</v>
      </c>
      <c r="AD459" s="215"/>
      <c r="AE459" s="11">
        <f t="shared" ref="AE459:AE463" si="717">AB459-(X459+Z459)</f>
        <v>23.625</v>
      </c>
      <c r="AF459" s="211">
        <f>SUM(AE459:AE467)</f>
        <v>165.625</v>
      </c>
      <c r="AG459" s="8"/>
    </row>
    <row r="460" spans="1:33" x14ac:dyDescent="0.45">
      <c r="A460" s="22">
        <f>A459</f>
        <v>44472</v>
      </c>
      <c r="B460" s="15" t="s">
        <v>4</v>
      </c>
      <c r="C460" s="48">
        <f>80*W460</f>
        <v>2000</v>
      </c>
      <c r="D460" s="13">
        <v>80</v>
      </c>
      <c r="E460" s="13">
        <v>43</v>
      </c>
      <c r="F460" s="13">
        <v>12</v>
      </c>
      <c r="G460" s="13">
        <v>11.5</v>
      </c>
      <c r="H460" s="13">
        <v>0</v>
      </c>
      <c r="I460" s="13">
        <v>0</v>
      </c>
      <c r="J460" s="13">
        <v>0</v>
      </c>
      <c r="K460" s="13">
        <v>0</v>
      </c>
      <c r="L460" s="45">
        <v>0</v>
      </c>
      <c r="M460" s="34"/>
      <c r="N460" s="13">
        <v>80</v>
      </c>
      <c r="O460" s="13">
        <v>48.5</v>
      </c>
      <c r="P460" s="13">
        <v>12.5</v>
      </c>
      <c r="Q460" s="13">
        <v>5.5</v>
      </c>
      <c r="R460" s="34"/>
      <c r="S460" s="13">
        <f t="shared" si="709"/>
        <v>146.5</v>
      </c>
      <c r="T460" s="13">
        <f t="shared" si="714"/>
        <v>146.5</v>
      </c>
      <c r="U460" s="13">
        <f>SUM(H460:K460)</f>
        <v>0</v>
      </c>
      <c r="V460" s="34"/>
      <c r="W460" s="45">
        <v>25</v>
      </c>
      <c r="X460" s="10">
        <f t="shared" si="711"/>
        <v>4500</v>
      </c>
      <c r="Y460" s="10">
        <f t="shared" si="707"/>
        <v>0</v>
      </c>
      <c r="Z460" s="10">
        <f t="shared" si="712"/>
        <v>0</v>
      </c>
      <c r="AA460" s="14">
        <f t="shared" si="715"/>
        <v>0</v>
      </c>
      <c r="AB460" s="14">
        <f t="shared" si="713"/>
        <v>4581.25</v>
      </c>
      <c r="AC460" s="11">
        <f t="shared" si="716"/>
        <v>0</v>
      </c>
      <c r="AD460" s="215"/>
      <c r="AE460" s="11">
        <f t="shared" si="717"/>
        <v>81.25</v>
      </c>
      <c r="AF460" s="212"/>
      <c r="AG460" s="8"/>
    </row>
    <row r="461" spans="1:33" x14ac:dyDescent="0.45">
      <c r="A461" s="22">
        <f t="shared" ref="A461:A466" si="718">A460</f>
        <v>44472</v>
      </c>
      <c r="B461" s="15" t="s">
        <v>5</v>
      </c>
      <c r="C461" s="48">
        <f>120*W461</f>
        <v>3360</v>
      </c>
      <c r="D461" s="13">
        <v>72</v>
      </c>
      <c r="E461" s="13">
        <v>10.75</v>
      </c>
      <c r="F461" s="13">
        <v>12</v>
      </c>
      <c r="G461" s="13">
        <v>4.5</v>
      </c>
      <c r="H461" s="13">
        <v>0</v>
      </c>
      <c r="I461" s="13">
        <v>8</v>
      </c>
      <c r="J461" s="13">
        <v>0</v>
      </c>
      <c r="K461" s="13">
        <v>0</v>
      </c>
      <c r="L461" s="45">
        <v>0</v>
      </c>
      <c r="M461" s="34"/>
      <c r="N461" s="13">
        <v>72</v>
      </c>
      <c r="O461" s="13">
        <v>10.75</v>
      </c>
      <c r="P461" s="13">
        <v>12</v>
      </c>
      <c r="Q461" s="13">
        <v>4.5</v>
      </c>
      <c r="R461" s="34"/>
      <c r="S461" s="13">
        <f t="shared" si="709"/>
        <v>99.25</v>
      </c>
      <c r="T461" s="13">
        <f t="shared" si="714"/>
        <v>99.25</v>
      </c>
      <c r="U461" s="13">
        <f t="shared" ref="U461:U463" si="719">SUM(H461:K461)</f>
        <v>8</v>
      </c>
      <c r="V461" s="34"/>
      <c r="W461" s="45">
        <v>28</v>
      </c>
      <c r="X461" s="10">
        <f t="shared" si="711"/>
        <v>3265.5</v>
      </c>
      <c r="Y461" s="10">
        <f t="shared" si="707"/>
        <v>224</v>
      </c>
      <c r="Z461" s="10">
        <f t="shared" si="712"/>
        <v>0</v>
      </c>
      <c r="AA461" s="14">
        <f t="shared" si="715"/>
        <v>0</v>
      </c>
      <c r="AB461" s="14">
        <f t="shared" si="713"/>
        <v>3265.5</v>
      </c>
      <c r="AC461" s="11">
        <f t="shared" si="716"/>
        <v>-224</v>
      </c>
      <c r="AD461" s="215"/>
      <c r="AE461" s="11">
        <f t="shared" si="717"/>
        <v>0</v>
      </c>
      <c r="AF461" s="212"/>
      <c r="AG461" s="8"/>
    </row>
    <row r="462" spans="1:33" x14ac:dyDescent="0.45">
      <c r="A462" s="22">
        <f t="shared" si="718"/>
        <v>44472</v>
      </c>
      <c r="B462" s="15" t="s">
        <v>6</v>
      </c>
      <c r="C462" s="48">
        <f>80*W462</f>
        <v>2056</v>
      </c>
      <c r="D462" s="13">
        <v>80</v>
      </c>
      <c r="E462" s="13">
        <v>35</v>
      </c>
      <c r="F462" s="13">
        <v>12</v>
      </c>
      <c r="G462" s="13">
        <v>7.75</v>
      </c>
      <c r="H462" s="13">
        <v>0</v>
      </c>
      <c r="I462" s="13">
        <v>0</v>
      </c>
      <c r="J462" s="13">
        <v>0</v>
      </c>
      <c r="K462" s="13">
        <v>0</v>
      </c>
      <c r="L462" s="45">
        <v>0</v>
      </c>
      <c r="M462" s="34"/>
      <c r="N462" s="13">
        <v>80</v>
      </c>
      <c r="O462" s="13">
        <v>35</v>
      </c>
      <c r="P462" s="13">
        <v>12</v>
      </c>
      <c r="Q462" s="13">
        <v>7.75</v>
      </c>
      <c r="R462" s="34"/>
      <c r="S462" s="13">
        <f t="shared" si="709"/>
        <v>134.75</v>
      </c>
      <c r="T462" s="13">
        <f t="shared" si="714"/>
        <v>134.75</v>
      </c>
      <c r="U462" s="13">
        <f t="shared" si="719"/>
        <v>0</v>
      </c>
      <c r="V462" s="34"/>
      <c r="W462" s="45">
        <v>25.7</v>
      </c>
      <c r="X462" s="10">
        <f>(W462*1*D462)+(W462*1.5*E462)+(W462*2*F462)+(W462*1*G462)</f>
        <v>4221.2250000000004</v>
      </c>
      <c r="Y462" s="10">
        <f t="shared" si="707"/>
        <v>0</v>
      </c>
      <c r="Z462" s="10">
        <f t="shared" si="712"/>
        <v>0</v>
      </c>
      <c r="AA462" s="14">
        <f t="shared" si="715"/>
        <v>0</v>
      </c>
      <c r="AB462" s="14">
        <f t="shared" si="713"/>
        <v>4221.2250000000004</v>
      </c>
      <c r="AC462" s="11">
        <f t="shared" si="716"/>
        <v>0</v>
      </c>
      <c r="AD462" s="215"/>
      <c r="AE462" s="11">
        <f t="shared" si="717"/>
        <v>0</v>
      </c>
      <c r="AF462" s="212"/>
      <c r="AG462" s="8"/>
    </row>
    <row r="463" spans="1:33" x14ac:dyDescent="0.45">
      <c r="A463" s="22">
        <f>A462</f>
        <v>44472</v>
      </c>
      <c r="B463" s="15" t="s">
        <v>9</v>
      </c>
      <c r="C463" s="48">
        <f>120*W463</f>
        <v>3420</v>
      </c>
      <c r="D463" s="13">
        <v>80</v>
      </c>
      <c r="E463" s="13">
        <v>26</v>
      </c>
      <c r="F463" s="13">
        <v>8</v>
      </c>
      <c r="G463" s="13">
        <v>13</v>
      </c>
      <c r="H463" s="13">
        <v>0</v>
      </c>
      <c r="I463" s="13">
        <v>0</v>
      </c>
      <c r="J463" s="13">
        <v>0</v>
      </c>
      <c r="K463" s="13">
        <v>0</v>
      </c>
      <c r="L463" s="45">
        <v>0</v>
      </c>
      <c r="M463" s="34"/>
      <c r="N463" s="13">
        <v>80</v>
      </c>
      <c r="O463" s="13">
        <v>26</v>
      </c>
      <c r="P463" s="13">
        <v>8</v>
      </c>
      <c r="Q463" s="13">
        <v>13</v>
      </c>
      <c r="R463" s="34"/>
      <c r="S463" s="13">
        <f t="shared" si="709"/>
        <v>127</v>
      </c>
      <c r="T463" s="13">
        <f t="shared" si="714"/>
        <v>127</v>
      </c>
      <c r="U463" s="13">
        <f t="shared" si="719"/>
        <v>0</v>
      </c>
      <c r="V463" s="34"/>
      <c r="W463" s="45">
        <v>28.5</v>
      </c>
      <c r="X463" s="10">
        <f t="shared" ref="X463" si="720">(W463*1*D463)+(W463*1.5*E463)+(W463*2*F463)+(W463*1*G463)</f>
        <v>4218</v>
      </c>
      <c r="Y463" s="10">
        <f>(W463*0*H463)+(W463*1*I463)</f>
        <v>0</v>
      </c>
      <c r="Z463" s="10">
        <f t="shared" si="712"/>
        <v>0</v>
      </c>
      <c r="AA463" s="14">
        <f t="shared" si="715"/>
        <v>0</v>
      </c>
      <c r="AB463" s="14">
        <f t="shared" si="713"/>
        <v>4218</v>
      </c>
      <c r="AC463" s="11">
        <f t="shared" si="716"/>
        <v>0</v>
      </c>
      <c r="AD463" s="215"/>
      <c r="AE463" s="11">
        <f t="shared" si="717"/>
        <v>0</v>
      </c>
      <c r="AF463" s="212"/>
      <c r="AG463" s="8"/>
    </row>
    <row r="464" spans="1:33" x14ac:dyDescent="0.45">
      <c r="A464" s="22">
        <f t="shared" si="718"/>
        <v>44472</v>
      </c>
      <c r="B464" s="50" t="s">
        <v>31</v>
      </c>
      <c r="C464" s="48">
        <f>80*W464</f>
        <v>2160</v>
      </c>
      <c r="D464" s="51">
        <v>80</v>
      </c>
      <c r="E464" s="51">
        <v>14.5</v>
      </c>
      <c r="F464" s="51">
        <v>0</v>
      </c>
      <c r="G464" s="51">
        <v>0</v>
      </c>
      <c r="H464" s="51">
        <v>0</v>
      </c>
      <c r="I464" s="51">
        <v>0</v>
      </c>
      <c r="J464" s="51">
        <v>0</v>
      </c>
      <c r="K464" s="51">
        <v>0</v>
      </c>
      <c r="L464" s="52">
        <v>0</v>
      </c>
      <c r="M464" s="34"/>
      <c r="N464" s="51">
        <v>80</v>
      </c>
      <c r="O464" s="51">
        <v>14.5</v>
      </c>
      <c r="P464" s="51">
        <v>0</v>
      </c>
      <c r="Q464" s="51">
        <v>0</v>
      </c>
      <c r="R464" s="34"/>
      <c r="S464" s="51">
        <f t="shared" ref="S464" si="721">SUM(D464:G464)</f>
        <v>94.5</v>
      </c>
      <c r="T464" s="51">
        <f t="shared" si="714"/>
        <v>94.5</v>
      </c>
      <c r="U464" s="51">
        <f t="shared" ref="U464" si="722">SUM(H464:K464)</f>
        <v>0</v>
      </c>
      <c r="V464" s="34"/>
      <c r="W464" s="52">
        <v>27</v>
      </c>
      <c r="X464" s="53">
        <f>(W464*1*D464)+(W464*1.5*E464)+(W464*2*F464)+(W464*1*G464)</f>
        <v>2747.25</v>
      </c>
      <c r="Y464" s="53">
        <f t="shared" ref="Y464:Y471" si="723">(W464*0*H464)+(W464*1*I464)</f>
        <v>0</v>
      </c>
      <c r="Z464" s="53">
        <f>(W464*1*J464)+L464</f>
        <v>0</v>
      </c>
      <c r="AA464" s="54">
        <f t="shared" si="715"/>
        <v>0</v>
      </c>
      <c r="AB464" s="54">
        <f>(W464*1*N464)+(W464*1.5*O464)+(W464*2*P464)+(W464*1*Q464)</f>
        <v>2747.25</v>
      </c>
      <c r="AC464" s="55">
        <f t="shared" si="716"/>
        <v>0</v>
      </c>
      <c r="AD464" s="217"/>
      <c r="AE464" s="55">
        <f>AB464-(X464+Z464)</f>
        <v>0</v>
      </c>
      <c r="AF464" s="212"/>
      <c r="AG464" s="8"/>
    </row>
    <row r="465" spans="1:33" x14ac:dyDescent="0.45">
      <c r="A465" s="22">
        <f t="shared" si="718"/>
        <v>44472</v>
      </c>
      <c r="B465" s="50" t="s">
        <v>51</v>
      </c>
      <c r="C465" s="48">
        <f t="shared" ref="C465:C467" si="724">80*W465</f>
        <v>1600</v>
      </c>
      <c r="D465" s="51">
        <v>80</v>
      </c>
      <c r="E465" s="51">
        <v>45.75</v>
      </c>
      <c r="F465" s="51">
        <v>16</v>
      </c>
      <c r="G465" s="51">
        <v>0</v>
      </c>
      <c r="H465" s="51">
        <v>0</v>
      </c>
      <c r="I465" s="51">
        <v>0</v>
      </c>
      <c r="J465" s="51">
        <v>0</v>
      </c>
      <c r="K465" s="51">
        <v>0</v>
      </c>
      <c r="L465" s="52">
        <v>0</v>
      </c>
      <c r="M465" s="34"/>
      <c r="N465" s="51">
        <v>80</v>
      </c>
      <c r="O465" s="51">
        <v>45.75</v>
      </c>
      <c r="P465" s="51">
        <v>16</v>
      </c>
      <c r="Q465" s="51">
        <v>0</v>
      </c>
      <c r="R465" s="34"/>
      <c r="S465" s="51">
        <f t="shared" ref="S465:S472" si="725">SUM(D465:G465)</f>
        <v>141.75</v>
      </c>
      <c r="T465" s="51">
        <f>SUM(N465:Q465)</f>
        <v>141.75</v>
      </c>
      <c r="U465" s="51">
        <f t="shared" ref="U465:U468" si="726">SUM(H465:K465)</f>
        <v>0</v>
      </c>
      <c r="V465" s="34"/>
      <c r="W465" s="52">
        <v>20</v>
      </c>
      <c r="X465" s="53">
        <f t="shared" ref="X465:X470" si="727">(W465*1*D465)+(W465*1.5*E465)+(W465*2*F465)+(W465*1*G465)</f>
        <v>3612.5</v>
      </c>
      <c r="Y465" s="53">
        <f t="shared" si="723"/>
        <v>0</v>
      </c>
      <c r="Z465" s="53">
        <f t="shared" ref="Z465:Z472" si="728">(W465*1*J465)+L465</f>
        <v>0</v>
      </c>
      <c r="AA465" s="54">
        <f t="shared" si="715"/>
        <v>0</v>
      </c>
      <c r="AB465" s="54">
        <f t="shared" ref="AB465:AB472" si="729">(W465*1*N465)+(W465*1.5*O465)+(W465*2*P465)+(W465*1*Q465)</f>
        <v>3612.5</v>
      </c>
      <c r="AC465" s="55">
        <f t="shared" si="716"/>
        <v>0</v>
      </c>
      <c r="AD465" s="217"/>
      <c r="AE465" s="55">
        <f>AB465-(X465+Z465)</f>
        <v>0</v>
      </c>
      <c r="AF465" s="212"/>
      <c r="AG465" s="8"/>
    </row>
    <row r="466" spans="1:33" x14ac:dyDescent="0.45">
      <c r="A466" s="22">
        <f t="shared" si="718"/>
        <v>44472</v>
      </c>
      <c r="B466" s="50" t="s">
        <v>53</v>
      </c>
      <c r="C466" s="48">
        <f t="shared" si="724"/>
        <v>1600</v>
      </c>
      <c r="D466" s="51">
        <v>80</v>
      </c>
      <c r="E466" s="51">
        <v>46.5</v>
      </c>
      <c r="F466" s="51">
        <v>14.25</v>
      </c>
      <c r="G466" s="51">
        <v>0</v>
      </c>
      <c r="H466" s="51">
        <v>0</v>
      </c>
      <c r="I466" s="51">
        <v>0</v>
      </c>
      <c r="J466" s="51">
        <v>0</v>
      </c>
      <c r="K466" s="51">
        <v>0</v>
      </c>
      <c r="L466" s="52">
        <v>0</v>
      </c>
      <c r="M466" s="34"/>
      <c r="N466" s="51">
        <v>80</v>
      </c>
      <c r="O466" s="51">
        <v>46.5</v>
      </c>
      <c r="P466" s="51">
        <v>14.25</v>
      </c>
      <c r="Q466" s="51">
        <v>0</v>
      </c>
      <c r="R466" s="34"/>
      <c r="S466" s="51">
        <f t="shared" si="725"/>
        <v>140.75</v>
      </c>
      <c r="T466" s="51">
        <f>SUM(N466:Q466)</f>
        <v>140.75</v>
      </c>
      <c r="U466" s="51">
        <f t="shared" si="726"/>
        <v>0</v>
      </c>
      <c r="V466" s="34"/>
      <c r="W466" s="52">
        <v>20</v>
      </c>
      <c r="X466" s="53">
        <f t="shared" si="727"/>
        <v>3565</v>
      </c>
      <c r="Y466" s="53">
        <f t="shared" si="723"/>
        <v>0</v>
      </c>
      <c r="Z466" s="53">
        <f t="shared" si="728"/>
        <v>0</v>
      </c>
      <c r="AA466" s="54">
        <f t="shared" si="715"/>
        <v>0</v>
      </c>
      <c r="AB466" s="54">
        <f t="shared" si="729"/>
        <v>3565</v>
      </c>
      <c r="AC466" s="55">
        <f t="shared" si="716"/>
        <v>0</v>
      </c>
      <c r="AD466" s="217"/>
      <c r="AE466" s="55">
        <f>AB466-(X466+Z466)</f>
        <v>0</v>
      </c>
      <c r="AF466" s="212"/>
      <c r="AG466" s="8"/>
    </row>
    <row r="467" spans="1:33" ht="14.65" thickBot="1" x14ac:dyDescent="0.5">
      <c r="A467" s="23">
        <f>A465</f>
        <v>44472</v>
      </c>
      <c r="B467" s="24" t="s">
        <v>54</v>
      </c>
      <c r="C467" s="49">
        <f t="shared" si="724"/>
        <v>1440</v>
      </c>
      <c r="D467" s="25">
        <v>80</v>
      </c>
      <c r="E467" s="25">
        <v>35.5</v>
      </c>
      <c r="F467" s="25">
        <v>0</v>
      </c>
      <c r="G467" s="25">
        <v>0</v>
      </c>
      <c r="H467" s="25">
        <v>0</v>
      </c>
      <c r="I467" s="25">
        <v>0</v>
      </c>
      <c r="J467" s="25">
        <v>0</v>
      </c>
      <c r="K467" s="25">
        <v>0</v>
      </c>
      <c r="L467" s="46">
        <v>0</v>
      </c>
      <c r="M467" s="35"/>
      <c r="N467" s="25">
        <v>80</v>
      </c>
      <c r="O467" s="25">
        <v>37.75</v>
      </c>
      <c r="P467" s="25">
        <v>0</v>
      </c>
      <c r="Q467" s="25">
        <v>0</v>
      </c>
      <c r="R467" s="35"/>
      <c r="S467" s="25">
        <f t="shared" si="725"/>
        <v>115.5</v>
      </c>
      <c r="T467" s="25">
        <f t="shared" ref="T467:T473" si="730">SUM(N467:Q467)</f>
        <v>117.75</v>
      </c>
      <c r="U467" s="25">
        <f t="shared" si="726"/>
        <v>0</v>
      </c>
      <c r="V467" s="35"/>
      <c r="W467" s="46">
        <v>18</v>
      </c>
      <c r="X467" s="26">
        <f t="shared" si="727"/>
        <v>2398.5</v>
      </c>
      <c r="Y467" s="26">
        <f t="shared" si="723"/>
        <v>0</v>
      </c>
      <c r="Z467" s="26">
        <f t="shared" si="728"/>
        <v>0</v>
      </c>
      <c r="AA467" s="27">
        <f t="shared" si="715"/>
        <v>0</v>
      </c>
      <c r="AB467" s="27">
        <f t="shared" si="729"/>
        <v>2459.25</v>
      </c>
      <c r="AC467" s="12">
        <f t="shared" si="716"/>
        <v>0</v>
      </c>
      <c r="AD467" s="216"/>
      <c r="AE467" s="12">
        <f>AB467-(X467+Z467)</f>
        <v>60.75</v>
      </c>
      <c r="AF467" s="213"/>
      <c r="AG467" s="8"/>
    </row>
    <row r="468" spans="1:33" x14ac:dyDescent="0.45">
      <c r="A468" s="22">
        <f>A467+14</f>
        <v>44486</v>
      </c>
      <c r="B468" s="15" t="s">
        <v>30</v>
      </c>
      <c r="C468" s="48">
        <f>120*W468</f>
        <v>3780</v>
      </c>
      <c r="D468" s="13">
        <v>72</v>
      </c>
      <c r="E468" s="13">
        <v>24</v>
      </c>
      <c r="F468" s="13">
        <v>0</v>
      </c>
      <c r="G468" s="13">
        <v>0</v>
      </c>
      <c r="H468" s="13">
        <v>0</v>
      </c>
      <c r="I468" s="13">
        <v>0</v>
      </c>
      <c r="J468" s="13">
        <v>8</v>
      </c>
      <c r="K468" s="13">
        <v>0</v>
      </c>
      <c r="L468" s="45">
        <v>0</v>
      </c>
      <c r="M468" s="34"/>
      <c r="N468" s="13">
        <v>72</v>
      </c>
      <c r="O468" s="13">
        <v>24</v>
      </c>
      <c r="P468" s="13">
        <v>0</v>
      </c>
      <c r="Q468" s="13">
        <v>0</v>
      </c>
      <c r="R468" s="34"/>
      <c r="S468" s="13">
        <f t="shared" si="725"/>
        <v>96</v>
      </c>
      <c r="T468" s="13">
        <f t="shared" si="730"/>
        <v>96</v>
      </c>
      <c r="U468" s="13">
        <f t="shared" si="726"/>
        <v>8</v>
      </c>
      <c r="V468" s="34"/>
      <c r="W468" s="45">
        <v>31.5</v>
      </c>
      <c r="X468" s="10">
        <f t="shared" si="727"/>
        <v>3402</v>
      </c>
      <c r="Y468" s="10">
        <f t="shared" si="723"/>
        <v>0</v>
      </c>
      <c r="Z468" s="10">
        <f t="shared" si="728"/>
        <v>252</v>
      </c>
      <c r="AA468" s="14">
        <f t="shared" ref="AA468:AA476" si="731">(W468*1*K468)</f>
        <v>0</v>
      </c>
      <c r="AB468" s="14">
        <f t="shared" si="729"/>
        <v>3402</v>
      </c>
      <c r="AC468" s="11">
        <f t="shared" ref="AC468:AC476" si="732">0-Y468-AA468</f>
        <v>0</v>
      </c>
      <c r="AD468" s="215"/>
      <c r="AE468" s="11">
        <f t="shared" ref="AE468:AE472" si="733">AB468-(X468+Z468)</f>
        <v>-252</v>
      </c>
      <c r="AF468" s="211">
        <f>SUM(AE468:AE476)</f>
        <v>-1805.6</v>
      </c>
      <c r="AG468" s="8"/>
    </row>
    <row r="469" spans="1:33" x14ac:dyDescent="0.45">
      <c r="A469" s="22">
        <f>A468</f>
        <v>44486</v>
      </c>
      <c r="B469" s="15" t="s">
        <v>4</v>
      </c>
      <c r="C469" s="48">
        <f>80*W469</f>
        <v>2000</v>
      </c>
      <c r="D469" s="13">
        <v>72</v>
      </c>
      <c r="E469" s="13">
        <v>35</v>
      </c>
      <c r="F469" s="13">
        <v>12</v>
      </c>
      <c r="G469" s="13">
        <v>7</v>
      </c>
      <c r="H469" s="13">
        <v>0</v>
      </c>
      <c r="I469" s="13">
        <v>0</v>
      </c>
      <c r="J469" s="13">
        <v>8</v>
      </c>
      <c r="K469" s="13">
        <v>0</v>
      </c>
      <c r="L469" s="45">
        <v>0</v>
      </c>
      <c r="M469" s="34"/>
      <c r="N469" s="13">
        <v>72</v>
      </c>
      <c r="O469" s="13">
        <v>35</v>
      </c>
      <c r="P469" s="13">
        <v>12</v>
      </c>
      <c r="Q469" s="13">
        <v>7</v>
      </c>
      <c r="R469" s="34"/>
      <c r="S469" s="13">
        <f t="shared" si="725"/>
        <v>126</v>
      </c>
      <c r="T469" s="13">
        <f t="shared" si="730"/>
        <v>126</v>
      </c>
      <c r="U469" s="13">
        <f>SUM(H469:K469)</f>
        <v>8</v>
      </c>
      <c r="V469" s="34"/>
      <c r="W469" s="45">
        <v>25</v>
      </c>
      <c r="X469" s="10">
        <f t="shared" si="727"/>
        <v>3887.5</v>
      </c>
      <c r="Y469" s="10">
        <f t="shared" si="723"/>
        <v>0</v>
      </c>
      <c r="Z469" s="10">
        <f t="shared" si="728"/>
        <v>200</v>
      </c>
      <c r="AA469" s="14">
        <f t="shared" si="731"/>
        <v>0</v>
      </c>
      <c r="AB469" s="14">
        <f t="shared" si="729"/>
        <v>3887.5</v>
      </c>
      <c r="AC469" s="11">
        <f t="shared" si="732"/>
        <v>0</v>
      </c>
      <c r="AD469" s="215"/>
      <c r="AE469" s="11">
        <f t="shared" si="733"/>
        <v>-200</v>
      </c>
      <c r="AF469" s="212"/>
      <c r="AG469" s="8"/>
    </row>
    <row r="470" spans="1:33" x14ac:dyDescent="0.45">
      <c r="A470" s="22">
        <f t="shared" ref="A470:A475" si="734">A469</f>
        <v>44486</v>
      </c>
      <c r="B470" s="15" t="s">
        <v>5</v>
      </c>
      <c r="C470" s="48">
        <f>120*W470</f>
        <v>3360</v>
      </c>
      <c r="D470" s="13">
        <v>72</v>
      </c>
      <c r="E470" s="13">
        <v>20.25</v>
      </c>
      <c r="F470" s="13">
        <v>0</v>
      </c>
      <c r="G470" s="13">
        <v>18.5</v>
      </c>
      <c r="H470" s="13">
        <v>0</v>
      </c>
      <c r="I470" s="13">
        <v>0</v>
      </c>
      <c r="J470" s="13">
        <v>8</v>
      </c>
      <c r="K470" s="13">
        <v>0</v>
      </c>
      <c r="L470" s="45">
        <v>0</v>
      </c>
      <c r="M470" s="34"/>
      <c r="N470" s="13">
        <v>72</v>
      </c>
      <c r="O470" s="13">
        <v>20.25</v>
      </c>
      <c r="P470" s="13">
        <v>0</v>
      </c>
      <c r="Q470" s="13">
        <v>18.5</v>
      </c>
      <c r="R470" s="34"/>
      <c r="S470" s="13">
        <f t="shared" si="725"/>
        <v>110.75</v>
      </c>
      <c r="T470" s="13">
        <f t="shared" si="730"/>
        <v>110.75</v>
      </c>
      <c r="U470" s="13">
        <f t="shared" ref="U470:U472" si="735">SUM(H470:K470)</f>
        <v>8</v>
      </c>
      <c r="V470" s="34"/>
      <c r="W470" s="45">
        <v>28</v>
      </c>
      <c r="X470" s="10">
        <f t="shared" si="727"/>
        <v>3384.5</v>
      </c>
      <c r="Y470" s="10">
        <f t="shared" si="723"/>
        <v>0</v>
      </c>
      <c r="Z470" s="10">
        <f t="shared" si="728"/>
        <v>224</v>
      </c>
      <c r="AA470" s="14">
        <f t="shared" si="731"/>
        <v>0</v>
      </c>
      <c r="AB470" s="14">
        <f t="shared" si="729"/>
        <v>3384.5</v>
      </c>
      <c r="AC470" s="11">
        <f t="shared" si="732"/>
        <v>0</v>
      </c>
      <c r="AD470" s="215"/>
      <c r="AE470" s="11">
        <f t="shared" si="733"/>
        <v>-224</v>
      </c>
      <c r="AF470" s="212"/>
      <c r="AG470" s="8"/>
    </row>
    <row r="471" spans="1:33" x14ac:dyDescent="0.45">
      <c r="A471" s="22">
        <f t="shared" si="734"/>
        <v>44486</v>
      </c>
      <c r="B471" s="15" t="s">
        <v>6</v>
      </c>
      <c r="C471" s="48">
        <f>80*W471</f>
        <v>2056</v>
      </c>
      <c r="D471" s="13">
        <v>72</v>
      </c>
      <c r="E471" s="13">
        <v>24.25</v>
      </c>
      <c r="F471" s="13">
        <v>0</v>
      </c>
      <c r="G471" s="13">
        <v>10.25</v>
      </c>
      <c r="H471" s="13">
        <v>0</v>
      </c>
      <c r="I471" s="13">
        <v>0</v>
      </c>
      <c r="J471" s="13">
        <v>8</v>
      </c>
      <c r="K471" s="13">
        <v>0</v>
      </c>
      <c r="L471" s="45">
        <v>0</v>
      </c>
      <c r="M471" s="34"/>
      <c r="N471" s="13">
        <v>72</v>
      </c>
      <c r="O471" s="13">
        <v>24.25</v>
      </c>
      <c r="P471" s="13">
        <v>0</v>
      </c>
      <c r="Q471" s="13">
        <v>10.25</v>
      </c>
      <c r="R471" s="34"/>
      <c r="S471" s="13">
        <f t="shared" si="725"/>
        <v>106.5</v>
      </c>
      <c r="T471" s="13">
        <f t="shared" si="730"/>
        <v>106.5</v>
      </c>
      <c r="U471" s="13">
        <f t="shared" si="735"/>
        <v>8</v>
      </c>
      <c r="V471" s="34"/>
      <c r="W471" s="45">
        <v>25.7</v>
      </c>
      <c r="X471" s="10">
        <f>(W471*1*D471)+(W471*1.5*E471)+(W471*2*F471)+(W471*1*G471)</f>
        <v>3048.6624999999999</v>
      </c>
      <c r="Y471" s="10">
        <f t="shared" si="723"/>
        <v>0</v>
      </c>
      <c r="Z471" s="10">
        <f t="shared" si="728"/>
        <v>205.6</v>
      </c>
      <c r="AA471" s="14">
        <f t="shared" si="731"/>
        <v>0</v>
      </c>
      <c r="AB471" s="14">
        <f t="shared" si="729"/>
        <v>3048.6624999999999</v>
      </c>
      <c r="AC471" s="11">
        <f t="shared" si="732"/>
        <v>0</v>
      </c>
      <c r="AD471" s="215"/>
      <c r="AE471" s="11">
        <f t="shared" si="733"/>
        <v>-205.59999999999991</v>
      </c>
      <c r="AF471" s="212"/>
      <c r="AG471" s="8"/>
    </row>
    <row r="472" spans="1:33" x14ac:dyDescent="0.45">
      <c r="A472" s="22">
        <f>A471</f>
        <v>44486</v>
      </c>
      <c r="B472" s="15" t="s">
        <v>9</v>
      </c>
      <c r="C472" s="48">
        <f>120*W472</f>
        <v>3420</v>
      </c>
      <c r="D472" s="13">
        <v>72</v>
      </c>
      <c r="E472" s="13">
        <v>11</v>
      </c>
      <c r="F472" s="13">
        <v>8</v>
      </c>
      <c r="G472" s="13">
        <v>11</v>
      </c>
      <c r="H472" s="13">
        <v>0</v>
      </c>
      <c r="I472" s="13">
        <v>0</v>
      </c>
      <c r="J472" s="13">
        <v>8</v>
      </c>
      <c r="K472" s="13">
        <v>0</v>
      </c>
      <c r="L472" s="45">
        <v>0</v>
      </c>
      <c r="M472" s="34"/>
      <c r="N472" s="13">
        <v>72</v>
      </c>
      <c r="O472" s="13">
        <v>11</v>
      </c>
      <c r="P472" s="13">
        <v>8</v>
      </c>
      <c r="Q472" s="13">
        <v>11</v>
      </c>
      <c r="R472" s="34"/>
      <c r="S472" s="13">
        <f t="shared" si="725"/>
        <v>102</v>
      </c>
      <c r="T472" s="13">
        <f t="shared" si="730"/>
        <v>102</v>
      </c>
      <c r="U472" s="13">
        <f t="shared" si="735"/>
        <v>8</v>
      </c>
      <c r="V472" s="34"/>
      <c r="W472" s="45">
        <v>28.5</v>
      </c>
      <c r="X472" s="10">
        <f t="shared" ref="X472" si="736">(W472*1*D472)+(W472*1.5*E472)+(W472*2*F472)+(W472*1*G472)</f>
        <v>3291.75</v>
      </c>
      <c r="Y472" s="10">
        <f>(W472*0*H472)+(W472*1*I472)</f>
        <v>0</v>
      </c>
      <c r="Z472" s="10">
        <f t="shared" si="728"/>
        <v>228</v>
      </c>
      <c r="AA472" s="14">
        <f t="shared" si="731"/>
        <v>0</v>
      </c>
      <c r="AB472" s="14">
        <f t="shared" si="729"/>
        <v>3291.75</v>
      </c>
      <c r="AC472" s="11">
        <f t="shared" si="732"/>
        <v>0</v>
      </c>
      <c r="AD472" s="215"/>
      <c r="AE472" s="11">
        <f t="shared" si="733"/>
        <v>-228</v>
      </c>
      <c r="AF472" s="212"/>
      <c r="AG472" s="8"/>
    </row>
    <row r="473" spans="1:33" x14ac:dyDescent="0.45">
      <c r="A473" s="22">
        <f t="shared" si="734"/>
        <v>44486</v>
      </c>
      <c r="B473" s="50" t="s">
        <v>31</v>
      </c>
      <c r="C473" s="48">
        <f>80*W473</f>
        <v>2160</v>
      </c>
      <c r="D473" s="51">
        <v>72</v>
      </c>
      <c r="E473" s="51">
        <v>10</v>
      </c>
      <c r="F473" s="51">
        <v>0</v>
      </c>
      <c r="G473" s="51">
        <v>0</v>
      </c>
      <c r="H473" s="51">
        <v>0</v>
      </c>
      <c r="I473" s="51">
        <v>0</v>
      </c>
      <c r="J473" s="51">
        <v>8</v>
      </c>
      <c r="K473" s="51">
        <v>0</v>
      </c>
      <c r="L473" s="52">
        <v>0</v>
      </c>
      <c r="M473" s="34"/>
      <c r="N473" s="51">
        <v>72</v>
      </c>
      <c r="O473" s="51">
        <v>10</v>
      </c>
      <c r="P473" s="51">
        <v>0</v>
      </c>
      <c r="Q473" s="51">
        <v>0</v>
      </c>
      <c r="R473" s="34"/>
      <c r="S473" s="51">
        <f t="shared" ref="S473" si="737">SUM(D473:G473)</f>
        <v>82</v>
      </c>
      <c r="T473" s="51">
        <f t="shared" si="730"/>
        <v>82</v>
      </c>
      <c r="U473" s="51">
        <f t="shared" ref="U473" si="738">SUM(H473:K473)</f>
        <v>8</v>
      </c>
      <c r="V473" s="34"/>
      <c r="W473" s="52">
        <v>27</v>
      </c>
      <c r="X473" s="53">
        <f>(W473*1*D473)+(W473*1.5*E473)+(W473*2*F473)+(W473*1*G473)</f>
        <v>2349</v>
      </c>
      <c r="Y473" s="53">
        <f t="shared" ref="Y473:Y480" si="739">(W473*0*H473)+(W473*1*I473)</f>
        <v>0</v>
      </c>
      <c r="Z473" s="53">
        <f>(W473*1*J473)+L473</f>
        <v>216</v>
      </c>
      <c r="AA473" s="54">
        <f t="shared" si="731"/>
        <v>0</v>
      </c>
      <c r="AB473" s="54">
        <f>(W473*1*N473)+(W473*1.5*O473)+(W473*2*P473)+(W473*1*Q473)</f>
        <v>2349</v>
      </c>
      <c r="AC473" s="55">
        <f t="shared" si="732"/>
        <v>0</v>
      </c>
      <c r="AD473" s="217"/>
      <c r="AE473" s="55">
        <f>AB473-(X473+Z473)</f>
        <v>-216</v>
      </c>
      <c r="AF473" s="212"/>
      <c r="AG473" s="8"/>
    </row>
    <row r="474" spans="1:33" x14ac:dyDescent="0.45">
      <c r="A474" s="22">
        <f t="shared" si="734"/>
        <v>44486</v>
      </c>
      <c r="B474" s="50" t="s">
        <v>51</v>
      </c>
      <c r="C474" s="48">
        <f t="shared" ref="C474:C476" si="740">80*W474</f>
        <v>1600</v>
      </c>
      <c r="D474" s="51">
        <v>72</v>
      </c>
      <c r="E474" s="51">
        <v>39</v>
      </c>
      <c r="F474" s="51">
        <v>10</v>
      </c>
      <c r="G474" s="51">
        <v>0</v>
      </c>
      <c r="H474" s="51">
        <v>0</v>
      </c>
      <c r="I474" s="51">
        <v>0</v>
      </c>
      <c r="J474" s="51">
        <v>8</v>
      </c>
      <c r="K474" s="51">
        <v>0</v>
      </c>
      <c r="L474" s="52">
        <v>0</v>
      </c>
      <c r="M474" s="34"/>
      <c r="N474" s="51">
        <v>72</v>
      </c>
      <c r="O474" s="51">
        <v>39</v>
      </c>
      <c r="P474" s="51">
        <v>10</v>
      </c>
      <c r="Q474" s="51">
        <v>0</v>
      </c>
      <c r="R474" s="34"/>
      <c r="S474" s="51">
        <f t="shared" ref="S474:S481" si="741">SUM(D474:G474)</f>
        <v>121</v>
      </c>
      <c r="T474" s="51">
        <f>SUM(N474:Q474)</f>
        <v>121</v>
      </c>
      <c r="U474" s="51">
        <f t="shared" ref="U474:U477" si="742">SUM(H474:K474)</f>
        <v>8</v>
      </c>
      <c r="V474" s="34"/>
      <c r="W474" s="52">
        <v>20</v>
      </c>
      <c r="X474" s="53">
        <f t="shared" ref="X474:X479" si="743">(W474*1*D474)+(W474*1.5*E474)+(W474*2*F474)+(W474*1*G474)</f>
        <v>3010</v>
      </c>
      <c r="Y474" s="53">
        <f t="shared" si="739"/>
        <v>0</v>
      </c>
      <c r="Z474" s="53">
        <f t="shared" ref="Z474:Z481" si="744">(W474*1*J474)+L474</f>
        <v>160</v>
      </c>
      <c r="AA474" s="54">
        <f t="shared" si="731"/>
        <v>0</v>
      </c>
      <c r="AB474" s="54">
        <f t="shared" ref="AB474:AB481" si="745">(W474*1*N474)+(W474*1.5*O474)+(W474*2*P474)+(W474*1*Q474)</f>
        <v>3010</v>
      </c>
      <c r="AC474" s="55">
        <f t="shared" si="732"/>
        <v>0</v>
      </c>
      <c r="AD474" s="217"/>
      <c r="AE474" s="55">
        <f>AB474-(X474+Z474)</f>
        <v>-160</v>
      </c>
      <c r="AF474" s="212"/>
      <c r="AG474" s="8"/>
    </row>
    <row r="475" spans="1:33" x14ac:dyDescent="0.45">
      <c r="A475" s="22">
        <f t="shared" si="734"/>
        <v>44486</v>
      </c>
      <c r="B475" s="50" t="s">
        <v>53</v>
      </c>
      <c r="C475" s="48">
        <f t="shared" si="740"/>
        <v>1600</v>
      </c>
      <c r="D475" s="51">
        <v>72</v>
      </c>
      <c r="E475" s="51">
        <v>29.5</v>
      </c>
      <c r="F475" s="51">
        <v>8.5</v>
      </c>
      <c r="G475" s="51">
        <v>0</v>
      </c>
      <c r="H475" s="51">
        <v>0</v>
      </c>
      <c r="I475" s="51">
        <v>0</v>
      </c>
      <c r="J475" s="51">
        <v>8</v>
      </c>
      <c r="K475" s="51">
        <v>0</v>
      </c>
      <c r="L475" s="52">
        <v>0</v>
      </c>
      <c r="M475" s="34"/>
      <c r="N475" s="51">
        <v>72</v>
      </c>
      <c r="O475" s="51">
        <v>29.5</v>
      </c>
      <c r="P475" s="51">
        <v>8.5</v>
      </c>
      <c r="Q475" s="51">
        <v>0</v>
      </c>
      <c r="R475" s="34"/>
      <c r="S475" s="51">
        <f t="shared" si="741"/>
        <v>110</v>
      </c>
      <c r="T475" s="51">
        <f>SUM(N475:Q475)</f>
        <v>110</v>
      </c>
      <c r="U475" s="51">
        <f t="shared" si="742"/>
        <v>8</v>
      </c>
      <c r="V475" s="34"/>
      <c r="W475" s="52">
        <v>20</v>
      </c>
      <c r="X475" s="53">
        <f t="shared" si="743"/>
        <v>2665</v>
      </c>
      <c r="Y475" s="53">
        <f t="shared" si="739"/>
        <v>0</v>
      </c>
      <c r="Z475" s="53">
        <f t="shared" si="744"/>
        <v>160</v>
      </c>
      <c r="AA475" s="54">
        <f t="shared" si="731"/>
        <v>0</v>
      </c>
      <c r="AB475" s="54">
        <f t="shared" si="745"/>
        <v>2665</v>
      </c>
      <c r="AC475" s="55">
        <f t="shared" si="732"/>
        <v>0</v>
      </c>
      <c r="AD475" s="217"/>
      <c r="AE475" s="55">
        <f>AB475-(X475+Z475)</f>
        <v>-160</v>
      </c>
      <c r="AF475" s="212"/>
      <c r="AG475" s="8"/>
    </row>
    <row r="476" spans="1:33" ht="14.65" thickBot="1" x14ac:dyDescent="0.5">
      <c r="A476" s="23">
        <f>A474</f>
        <v>44486</v>
      </c>
      <c r="B476" s="24" t="s">
        <v>54</v>
      </c>
      <c r="C476" s="49">
        <f t="shared" si="740"/>
        <v>1600</v>
      </c>
      <c r="D476" s="25">
        <v>72</v>
      </c>
      <c r="E476" s="25">
        <v>14.75</v>
      </c>
      <c r="F476" s="25">
        <v>0</v>
      </c>
      <c r="G476" s="25">
        <v>0</v>
      </c>
      <c r="H476" s="25">
        <v>0</v>
      </c>
      <c r="I476" s="25">
        <v>0</v>
      </c>
      <c r="J476" s="25">
        <v>8</v>
      </c>
      <c r="K476" s="25">
        <v>0</v>
      </c>
      <c r="L476" s="46">
        <v>0</v>
      </c>
      <c r="M476" s="35"/>
      <c r="N476" s="25">
        <v>72</v>
      </c>
      <c r="O476" s="25">
        <v>14.75</v>
      </c>
      <c r="P476" s="25">
        <v>0</v>
      </c>
      <c r="Q476" s="25">
        <v>0</v>
      </c>
      <c r="R476" s="35"/>
      <c r="S476" s="25">
        <f t="shared" si="741"/>
        <v>86.75</v>
      </c>
      <c r="T476" s="25">
        <f t="shared" ref="T476:T482" si="746">SUM(N476:Q476)</f>
        <v>86.75</v>
      </c>
      <c r="U476" s="25">
        <f t="shared" si="742"/>
        <v>8</v>
      </c>
      <c r="V476" s="35"/>
      <c r="W476" s="46">
        <v>20</v>
      </c>
      <c r="X476" s="26">
        <f t="shared" si="743"/>
        <v>1882.5</v>
      </c>
      <c r="Y476" s="26">
        <f t="shared" si="739"/>
        <v>0</v>
      </c>
      <c r="Z476" s="26">
        <f t="shared" si="744"/>
        <v>160</v>
      </c>
      <c r="AA476" s="27">
        <f t="shared" si="731"/>
        <v>0</v>
      </c>
      <c r="AB476" s="27">
        <f t="shared" si="745"/>
        <v>1882.5</v>
      </c>
      <c r="AC476" s="12">
        <f t="shared" si="732"/>
        <v>0</v>
      </c>
      <c r="AD476" s="216"/>
      <c r="AE476" s="12">
        <f>AB476-(X476+Z476)</f>
        <v>-160</v>
      </c>
      <c r="AF476" s="213"/>
      <c r="AG476" s="8"/>
    </row>
    <row r="477" spans="1:33" x14ac:dyDescent="0.45">
      <c r="A477" s="22">
        <f>A476+14</f>
        <v>44500</v>
      </c>
      <c r="B477" s="15" t="s">
        <v>30</v>
      </c>
      <c r="C477" s="48">
        <f>120*W477</f>
        <v>3780</v>
      </c>
      <c r="D477" s="13">
        <v>80</v>
      </c>
      <c r="E477" s="13">
        <v>24.5</v>
      </c>
      <c r="F477" s="13">
        <v>0</v>
      </c>
      <c r="G477" s="13">
        <v>0</v>
      </c>
      <c r="H477" s="13">
        <v>0</v>
      </c>
      <c r="I477" s="13">
        <v>0</v>
      </c>
      <c r="J477" s="13">
        <v>0</v>
      </c>
      <c r="K477" s="13">
        <v>0</v>
      </c>
      <c r="L477" s="45">
        <v>0</v>
      </c>
      <c r="M477" s="34"/>
      <c r="N477" s="13">
        <v>80</v>
      </c>
      <c r="O477" s="13">
        <v>24.5</v>
      </c>
      <c r="P477" s="13">
        <v>0</v>
      </c>
      <c r="Q477" s="13">
        <v>0</v>
      </c>
      <c r="R477" s="34"/>
      <c r="S477" s="13">
        <f t="shared" si="741"/>
        <v>104.5</v>
      </c>
      <c r="T477" s="13">
        <f t="shared" si="746"/>
        <v>104.5</v>
      </c>
      <c r="U477" s="13">
        <f t="shared" si="742"/>
        <v>0</v>
      </c>
      <c r="V477" s="34"/>
      <c r="W477" s="45">
        <v>31.5</v>
      </c>
      <c r="X477" s="10">
        <f t="shared" si="743"/>
        <v>3677.625</v>
      </c>
      <c r="Y477" s="10">
        <f t="shared" si="739"/>
        <v>0</v>
      </c>
      <c r="Z477" s="10">
        <f t="shared" si="744"/>
        <v>0</v>
      </c>
      <c r="AA477" s="14">
        <f t="shared" ref="AA477:AA485" si="747">(W477*1*K477)</f>
        <v>0</v>
      </c>
      <c r="AB477" s="14">
        <f t="shared" si="745"/>
        <v>3677.625</v>
      </c>
      <c r="AC477" s="11">
        <f t="shared" ref="AC477:AC485" si="748">0-Y477-AA477</f>
        <v>0</v>
      </c>
      <c r="AD477" s="215"/>
      <c r="AE477" s="11">
        <f t="shared" ref="AE477:AE481" si="749">AB477-(X477+Z477)</f>
        <v>0</v>
      </c>
      <c r="AF477" s="211">
        <f>SUM(AE477:AE485)</f>
        <v>-20</v>
      </c>
      <c r="AG477" s="8"/>
    </row>
    <row r="478" spans="1:33" x14ac:dyDescent="0.45">
      <c r="A478" s="22">
        <f>A477</f>
        <v>44500</v>
      </c>
      <c r="B478" s="15" t="s">
        <v>4</v>
      </c>
      <c r="C478" s="48">
        <f>80*W478</f>
        <v>2000</v>
      </c>
      <c r="D478" s="13">
        <v>80</v>
      </c>
      <c r="E478" s="13">
        <v>39.25</v>
      </c>
      <c r="F478" s="13">
        <v>12</v>
      </c>
      <c r="G478" s="13">
        <v>12.5</v>
      </c>
      <c r="H478" s="13">
        <v>0</v>
      </c>
      <c r="I478" s="13">
        <v>0</v>
      </c>
      <c r="J478" s="13">
        <v>0</v>
      </c>
      <c r="K478" s="13">
        <v>0</v>
      </c>
      <c r="L478" s="45">
        <v>0</v>
      </c>
      <c r="M478" s="34"/>
      <c r="N478" s="13">
        <v>80</v>
      </c>
      <c r="O478" s="13">
        <v>39.25</v>
      </c>
      <c r="P478" s="13">
        <v>12</v>
      </c>
      <c r="Q478" s="13">
        <v>12.5</v>
      </c>
      <c r="R478" s="34"/>
      <c r="S478" s="13">
        <f t="shared" si="741"/>
        <v>143.75</v>
      </c>
      <c r="T478" s="13">
        <f t="shared" si="746"/>
        <v>143.75</v>
      </c>
      <c r="U478" s="13">
        <f>SUM(H478:K478)</f>
        <v>0</v>
      </c>
      <c r="V478" s="34"/>
      <c r="W478" s="45">
        <v>25</v>
      </c>
      <c r="X478" s="10">
        <f t="shared" si="743"/>
        <v>4384.375</v>
      </c>
      <c r="Y478" s="10">
        <f t="shared" si="739"/>
        <v>0</v>
      </c>
      <c r="Z478" s="10">
        <f t="shared" si="744"/>
        <v>0</v>
      </c>
      <c r="AA478" s="14">
        <f t="shared" si="747"/>
        <v>0</v>
      </c>
      <c r="AB478" s="14">
        <f t="shared" si="745"/>
        <v>4384.375</v>
      </c>
      <c r="AC478" s="11">
        <f t="shared" si="748"/>
        <v>0</v>
      </c>
      <c r="AD478" s="215"/>
      <c r="AE478" s="11">
        <f t="shared" si="749"/>
        <v>0</v>
      </c>
      <c r="AF478" s="212"/>
      <c r="AG478" s="8"/>
    </row>
    <row r="479" spans="1:33" x14ac:dyDescent="0.45">
      <c r="A479" s="22">
        <f t="shared" ref="A479:A484" si="750">A478</f>
        <v>44500</v>
      </c>
      <c r="B479" s="15" t="s">
        <v>5</v>
      </c>
      <c r="C479" s="48">
        <f>120*W479</f>
        <v>3360</v>
      </c>
      <c r="D479" s="13">
        <v>80</v>
      </c>
      <c r="E479" s="13">
        <v>17.75</v>
      </c>
      <c r="F479" s="13">
        <v>0</v>
      </c>
      <c r="G479" s="13">
        <v>0</v>
      </c>
      <c r="H479" s="13">
        <v>0</v>
      </c>
      <c r="I479" s="13">
        <v>0</v>
      </c>
      <c r="J479" s="13">
        <v>0</v>
      </c>
      <c r="K479" s="13">
        <v>0</v>
      </c>
      <c r="L479" s="45">
        <v>0</v>
      </c>
      <c r="M479" s="34"/>
      <c r="N479" s="13">
        <v>80</v>
      </c>
      <c r="O479" s="13">
        <v>17.75</v>
      </c>
      <c r="P479" s="13">
        <v>0</v>
      </c>
      <c r="Q479" s="13">
        <v>0</v>
      </c>
      <c r="R479" s="34"/>
      <c r="S479" s="13">
        <f t="shared" si="741"/>
        <v>97.75</v>
      </c>
      <c r="T479" s="13">
        <f t="shared" si="746"/>
        <v>97.75</v>
      </c>
      <c r="U479" s="13">
        <f t="shared" ref="U479:U481" si="751">SUM(H479:K479)</f>
        <v>0</v>
      </c>
      <c r="V479" s="34"/>
      <c r="W479" s="45">
        <v>28</v>
      </c>
      <c r="X479" s="10">
        <f t="shared" si="743"/>
        <v>2985.5</v>
      </c>
      <c r="Y479" s="10">
        <f t="shared" si="739"/>
        <v>0</v>
      </c>
      <c r="Z479" s="10">
        <f t="shared" si="744"/>
        <v>0</v>
      </c>
      <c r="AA479" s="14">
        <f t="shared" si="747"/>
        <v>0</v>
      </c>
      <c r="AB479" s="14">
        <f t="shared" si="745"/>
        <v>2985.5</v>
      </c>
      <c r="AC479" s="11">
        <f t="shared" si="748"/>
        <v>0</v>
      </c>
      <c r="AD479" s="215"/>
      <c r="AE479" s="11">
        <f t="shared" si="749"/>
        <v>0</v>
      </c>
      <c r="AF479" s="212"/>
      <c r="AG479" s="8"/>
    </row>
    <row r="480" spans="1:33" x14ac:dyDescent="0.45">
      <c r="A480" s="22">
        <f t="shared" si="750"/>
        <v>44500</v>
      </c>
      <c r="B480" s="15" t="s">
        <v>6</v>
      </c>
      <c r="C480" s="48">
        <f>80*W480</f>
        <v>2056</v>
      </c>
      <c r="D480" s="13">
        <v>80</v>
      </c>
      <c r="E480" s="13">
        <v>21.5</v>
      </c>
      <c r="F480" s="13">
        <v>0</v>
      </c>
      <c r="G480" s="13">
        <v>0</v>
      </c>
      <c r="H480" s="13">
        <v>0</v>
      </c>
      <c r="I480" s="13">
        <v>0</v>
      </c>
      <c r="J480" s="13">
        <v>0</v>
      </c>
      <c r="K480" s="13">
        <v>0</v>
      </c>
      <c r="L480" s="45">
        <v>0</v>
      </c>
      <c r="M480" s="34"/>
      <c r="N480" s="13">
        <v>80</v>
      </c>
      <c r="O480" s="13">
        <v>21.5</v>
      </c>
      <c r="P480" s="13">
        <v>0</v>
      </c>
      <c r="Q480" s="13">
        <v>0</v>
      </c>
      <c r="R480" s="34"/>
      <c r="S480" s="13">
        <f t="shared" si="741"/>
        <v>101.5</v>
      </c>
      <c r="T480" s="13">
        <f t="shared" si="746"/>
        <v>101.5</v>
      </c>
      <c r="U480" s="13">
        <f t="shared" si="751"/>
        <v>0</v>
      </c>
      <c r="V480" s="34"/>
      <c r="W480" s="45">
        <v>25.7</v>
      </c>
      <c r="X480" s="10">
        <f>(W480*1*D480)+(W480*1.5*E480)+(W480*2*F480)+(W480*1*G480)</f>
        <v>2884.8249999999998</v>
      </c>
      <c r="Y480" s="10">
        <f t="shared" si="739"/>
        <v>0</v>
      </c>
      <c r="Z480" s="10">
        <f t="shared" si="744"/>
        <v>0</v>
      </c>
      <c r="AA480" s="14">
        <f t="shared" si="747"/>
        <v>0</v>
      </c>
      <c r="AB480" s="14">
        <f t="shared" si="745"/>
        <v>2884.8249999999998</v>
      </c>
      <c r="AC480" s="11">
        <f t="shared" si="748"/>
        <v>0</v>
      </c>
      <c r="AD480" s="215"/>
      <c r="AE480" s="11">
        <f t="shared" si="749"/>
        <v>0</v>
      </c>
      <c r="AF480" s="212"/>
      <c r="AG480" s="8"/>
    </row>
    <row r="481" spans="1:33" x14ac:dyDescent="0.45">
      <c r="A481" s="22">
        <f>A480</f>
        <v>44500</v>
      </c>
      <c r="B481" s="15" t="s">
        <v>9</v>
      </c>
      <c r="C481" s="48">
        <f>120*W481</f>
        <v>3420</v>
      </c>
      <c r="D481" s="13">
        <v>72</v>
      </c>
      <c r="E481" s="13">
        <v>4</v>
      </c>
      <c r="F481" s="13">
        <v>0</v>
      </c>
      <c r="G481" s="13">
        <v>9</v>
      </c>
      <c r="H481" s="13">
        <v>0</v>
      </c>
      <c r="I481" s="13">
        <v>0</v>
      </c>
      <c r="J481" s="13">
        <v>0</v>
      </c>
      <c r="K481" s="13">
        <v>0</v>
      </c>
      <c r="L481" s="45">
        <v>0</v>
      </c>
      <c r="M481" s="34"/>
      <c r="N481" s="13">
        <v>72</v>
      </c>
      <c r="O481" s="13">
        <v>4</v>
      </c>
      <c r="P481" s="13">
        <v>0</v>
      </c>
      <c r="Q481" s="13">
        <v>9</v>
      </c>
      <c r="R481" s="34"/>
      <c r="S481" s="13">
        <f t="shared" si="741"/>
        <v>85</v>
      </c>
      <c r="T481" s="13">
        <f t="shared" si="746"/>
        <v>85</v>
      </c>
      <c r="U481" s="13">
        <f t="shared" si="751"/>
        <v>0</v>
      </c>
      <c r="V481" s="34"/>
      <c r="W481" s="45">
        <v>28.5</v>
      </c>
      <c r="X481" s="10">
        <f t="shared" ref="X481" si="752">(W481*1*D481)+(W481*1.5*E481)+(W481*2*F481)+(W481*1*G481)</f>
        <v>2479.5</v>
      </c>
      <c r="Y481" s="10">
        <f>(W481*0*H481)+(W481*1*I481)</f>
        <v>0</v>
      </c>
      <c r="Z481" s="10">
        <f t="shared" si="744"/>
        <v>0</v>
      </c>
      <c r="AA481" s="14">
        <f t="shared" si="747"/>
        <v>0</v>
      </c>
      <c r="AB481" s="14">
        <f t="shared" si="745"/>
        <v>2479.5</v>
      </c>
      <c r="AC481" s="11">
        <f t="shared" si="748"/>
        <v>0</v>
      </c>
      <c r="AD481" s="215"/>
      <c r="AE481" s="11">
        <f t="shared" si="749"/>
        <v>0</v>
      </c>
      <c r="AF481" s="212"/>
      <c r="AG481" s="8"/>
    </row>
    <row r="482" spans="1:33" x14ac:dyDescent="0.45">
      <c r="A482" s="22">
        <f t="shared" si="750"/>
        <v>44500</v>
      </c>
      <c r="B482" s="50" t="s">
        <v>31</v>
      </c>
      <c r="C482" s="48">
        <f>80*W482</f>
        <v>2160</v>
      </c>
      <c r="D482" s="51">
        <v>80</v>
      </c>
      <c r="E482" s="51">
        <v>23</v>
      </c>
      <c r="F482" s="51">
        <v>0</v>
      </c>
      <c r="G482" s="51">
        <v>0</v>
      </c>
      <c r="H482" s="51">
        <v>0</v>
      </c>
      <c r="I482" s="51">
        <v>0</v>
      </c>
      <c r="J482" s="51">
        <v>0</v>
      </c>
      <c r="K482" s="51">
        <v>0</v>
      </c>
      <c r="L482" s="52">
        <v>0</v>
      </c>
      <c r="M482" s="34"/>
      <c r="N482" s="51">
        <v>80</v>
      </c>
      <c r="O482" s="51">
        <v>23</v>
      </c>
      <c r="P482" s="51">
        <v>0</v>
      </c>
      <c r="Q482" s="51">
        <v>0</v>
      </c>
      <c r="R482" s="34"/>
      <c r="S482" s="51">
        <f t="shared" ref="S482" si="753">SUM(D482:G482)</f>
        <v>103</v>
      </c>
      <c r="T482" s="51">
        <f t="shared" si="746"/>
        <v>103</v>
      </c>
      <c r="U482" s="51">
        <f t="shared" ref="U482" si="754">SUM(H482:K482)</f>
        <v>0</v>
      </c>
      <c r="V482" s="34"/>
      <c r="W482" s="52">
        <v>27</v>
      </c>
      <c r="X482" s="53">
        <f>(W482*1*D482)+(W482*1.5*E482)+(W482*2*F482)+(W482*1*G482)</f>
        <v>3091.5</v>
      </c>
      <c r="Y482" s="53">
        <f t="shared" ref="Y482:Y489" si="755">(W482*0*H482)+(W482*1*I482)</f>
        <v>0</v>
      </c>
      <c r="Z482" s="53">
        <f>(W482*1*J482)+L482</f>
        <v>0</v>
      </c>
      <c r="AA482" s="54">
        <f t="shared" si="747"/>
        <v>0</v>
      </c>
      <c r="AB482" s="54">
        <f>(W482*1*N482)+(W482*1.5*O482)+(W482*2*P482)+(W482*1*Q482)</f>
        <v>3091.5</v>
      </c>
      <c r="AC482" s="55">
        <f t="shared" si="748"/>
        <v>0</v>
      </c>
      <c r="AD482" s="217"/>
      <c r="AE482" s="55">
        <f>AB482-(X482+Z482)</f>
        <v>0</v>
      </c>
      <c r="AF482" s="212"/>
      <c r="AG482" s="8"/>
    </row>
    <row r="483" spans="1:33" x14ac:dyDescent="0.45">
      <c r="A483" s="22">
        <f t="shared" si="750"/>
        <v>44500</v>
      </c>
      <c r="B483" s="50" t="s">
        <v>51</v>
      </c>
      <c r="C483" s="48">
        <f t="shared" ref="C483:C485" si="756">80*W483</f>
        <v>1600</v>
      </c>
      <c r="D483" s="51">
        <v>80</v>
      </c>
      <c r="E483" s="51">
        <v>40.5</v>
      </c>
      <c r="F483" s="51">
        <v>0</v>
      </c>
      <c r="G483" s="51">
        <v>0</v>
      </c>
      <c r="H483" s="51">
        <v>0</v>
      </c>
      <c r="I483" s="51">
        <v>0</v>
      </c>
      <c r="J483" s="51">
        <v>0</v>
      </c>
      <c r="K483" s="51">
        <v>0</v>
      </c>
      <c r="L483" s="52">
        <v>0</v>
      </c>
      <c r="M483" s="34"/>
      <c r="N483" s="51">
        <v>80</v>
      </c>
      <c r="O483" s="51">
        <v>40.5</v>
      </c>
      <c r="P483" s="51">
        <v>0</v>
      </c>
      <c r="Q483" s="51">
        <v>0</v>
      </c>
      <c r="R483" s="34"/>
      <c r="S483" s="51">
        <f t="shared" ref="S483:S490" si="757">SUM(D483:G483)</f>
        <v>120.5</v>
      </c>
      <c r="T483" s="51">
        <f>SUM(N483:Q483)</f>
        <v>120.5</v>
      </c>
      <c r="U483" s="51">
        <f t="shared" ref="U483:U486" si="758">SUM(H483:K483)</f>
        <v>0</v>
      </c>
      <c r="V483" s="34"/>
      <c r="W483" s="52">
        <v>20</v>
      </c>
      <c r="X483" s="53">
        <f t="shared" ref="X483:X488" si="759">(W483*1*D483)+(W483*1.5*E483)+(W483*2*F483)+(W483*1*G483)</f>
        <v>2815</v>
      </c>
      <c r="Y483" s="53">
        <f t="shared" si="755"/>
        <v>0</v>
      </c>
      <c r="Z483" s="53">
        <f t="shared" ref="Z483:Z490" si="760">(W483*1*J483)+L483</f>
        <v>0</v>
      </c>
      <c r="AA483" s="54">
        <f t="shared" si="747"/>
        <v>0</v>
      </c>
      <c r="AB483" s="54">
        <f t="shared" ref="AB483:AB490" si="761">(W483*1*N483)+(W483*1.5*O483)+(W483*2*P483)+(W483*1*Q483)</f>
        <v>2815</v>
      </c>
      <c r="AC483" s="55">
        <f t="shared" si="748"/>
        <v>0</v>
      </c>
      <c r="AD483" s="217"/>
      <c r="AE483" s="55">
        <f>AB483-(X483+Z483)</f>
        <v>0</v>
      </c>
      <c r="AF483" s="212"/>
      <c r="AG483" s="8"/>
    </row>
    <row r="484" spans="1:33" x14ac:dyDescent="0.45">
      <c r="A484" s="22">
        <f t="shared" si="750"/>
        <v>44500</v>
      </c>
      <c r="B484" s="50" t="s">
        <v>53</v>
      </c>
      <c r="C484" s="48">
        <f t="shared" si="756"/>
        <v>1600</v>
      </c>
      <c r="D484" s="51">
        <v>78</v>
      </c>
      <c r="E484" s="51">
        <v>25.75</v>
      </c>
      <c r="F484" s="51">
        <v>0</v>
      </c>
      <c r="G484" s="51">
        <v>0</v>
      </c>
      <c r="H484" s="51">
        <v>0</v>
      </c>
      <c r="I484" s="51">
        <v>0</v>
      </c>
      <c r="J484" s="51">
        <v>0</v>
      </c>
      <c r="K484" s="51">
        <v>2</v>
      </c>
      <c r="L484" s="52">
        <v>0</v>
      </c>
      <c r="M484" s="34"/>
      <c r="N484" s="51">
        <v>80</v>
      </c>
      <c r="O484" s="51">
        <v>23.75</v>
      </c>
      <c r="P484" s="51">
        <v>0</v>
      </c>
      <c r="Q484" s="51">
        <v>0</v>
      </c>
      <c r="R484" s="34"/>
      <c r="S484" s="51">
        <f t="shared" si="757"/>
        <v>103.75</v>
      </c>
      <c r="T484" s="51">
        <f>SUM(N484:Q484)</f>
        <v>103.75</v>
      </c>
      <c r="U484" s="51">
        <f t="shared" si="758"/>
        <v>2</v>
      </c>
      <c r="V484" s="34"/>
      <c r="W484" s="52">
        <v>20</v>
      </c>
      <c r="X484" s="53">
        <f t="shared" si="759"/>
        <v>2332.5</v>
      </c>
      <c r="Y484" s="53">
        <f t="shared" si="755"/>
        <v>0</v>
      </c>
      <c r="Z484" s="53">
        <f t="shared" si="760"/>
        <v>0</v>
      </c>
      <c r="AA484" s="54">
        <f t="shared" si="747"/>
        <v>40</v>
      </c>
      <c r="AB484" s="54">
        <f t="shared" si="761"/>
        <v>2312.5</v>
      </c>
      <c r="AC484" s="55">
        <f t="shared" si="748"/>
        <v>-40</v>
      </c>
      <c r="AD484" s="217"/>
      <c r="AE484" s="55">
        <f>AB484-(X484+Z484)</f>
        <v>-20</v>
      </c>
      <c r="AF484" s="212"/>
      <c r="AG484" s="8"/>
    </row>
    <row r="485" spans="1:33" ht="14.65" thickBot="1" x14ac:dyDescent="0.5">
      <c r="A485" s="23">
        <f>A483</f>
        <v>44500</v>
      </c>
      <c r="B485" s="24" t="s">
        <v>54</v>
      </c>
      <c r="C485" s="49">
        <f t="shared" si="756"/>
        <v>1600</v>
      </c>
      <c r="D485" s="25">
        <v>80</v>
      </c>
      <c r="E485" s="25">
        <v>30</v>
      </c>
      <c r="F485" s="25">
        <v>0</v>
      </c>
      <c r="G485" s="25">
        <v>0</v>
      </c>
      <c r="H485" s="25">
        <v>0</v>
      </c>
      <c r="I485" s="25">
        <v>0</v>
      </c>
      <c r="J485" s="25">
        <v>0</v>
      </c>
      <c r="K485" s="25">
        <v>0</v>
      </c>
      <c r="L485" s="46">
        <v>0</v>
      </c>
      <c r="M485" s="35"/>
      <c r="N485" s="25">
        <v>80</v>
      </c>
      <c r="O485" s="25">
        <v>30</v>
      </c>
      <c r="P485" s="25">
        <v>0</v>
      </c>
      <c r="Q485" s="25">
        <v>0</v>
      </c>
      <c r="R485" s="35"/>
      <c r="S485" s="25">
        <f t="shared" si="757"/>
        <v>110</v>
      </c>
      <c r="T485" s="25">
        <f t="shared" ref="T485:T491" si="762">SUM(N485:Q485)</f>
        <v>110</v>
      </c>
      <c r="U485" s="25">
        <f t="shared" si="758"/>
        <v>0</v>
      </c>
      <c r="V485" s="35"/>
      <c r="W485" s="46">
        <v>20</v>
      </c>
      <c r="X485" s="26">
        <f t="shared" si="759"/>
        <v>2500</v>
      </c>
      <c r="Y485" s="26">
        <f t="shared" si="755"/>
        <v>0</v>
      </c>
      <c r="Z485" s="26">
        <f t="shared" si="760"/>
        <v>0</v>
      </c>
      <c r="AA485" s="27">
        <f t="shared" si="747"/>
        <v>0</v>
      </c>
      <c r="AB485" s="27">
        <f t="shared" si="761"/>
        <v>2500</v>
      </c>
      <c r="AC485" s="12">
        <f t="shared" si="748"/>
        <v>0</v>
      </c>
      <c r="AD485" s="216"/>
      <c r="AE485" s="12">
        <f>AB485-(X485+Z485)</f>
        <v>0</v>
      </c>
      <c r="AF485" s="213"/>
      <c r="AG485" s="8"/>
    </row>
    <row r="486" spans="1:33" x14ac:dyDescent="0.45">
      <c r="A486" s="22">
        <f>A485+14</f>
        <v>44514</v>
      </c>
      <c r="B486" s="15" t="s">
        <v>30</v>
      </c>
      <c r="C486" s="48">
        <f>120*W486</f>
        <v>3780</v>
      </c>
      <c r="D486" s="13">
        <v>80</v>
      </c>
      <c r="E486" s="13">
        <v>12.5</v>
      </c>
      <c r="F486" s="13">
        <v>0</v>
      </c>
      <c r="G486" s="13">
        <v>0</v>
      </c>
      <c r="H486" s="13">
        <v>0</v>
      </c>
      <c r="I486" s="13">
        <v>0</v>
      </c>
      <c r="J486" s="13">
        <v>0</v>
      </c>
      <c r="K486" s="13">
        <v>0</v>
      </c>
      <c r="L486" s="45">
        <v>0</v>
      </c>
      <c r="M486" s="34"/>
      <c r="N486" s="13">
        <v>80</v>
      </c>
      <c r="O486" s="13">
        <v>12.5</v>
      </c>
      <c r="P486" s="13">
        <v>0</v>
      </c>
      <c r="Q486" s="13">
        <v>0</v>
      </c>
      <c r="R486" s="34"/>
      <c r="S486" s="13">
        <f t="shared" si="757"/>
        <v>92.5</v>
      </c>
      <c r="T486" s="13">
        <f t="shared" si="762"/>
        <v>92.5</v>
      </c>
      <c r="U486" s="13">
        <f t="shared" si="758"/>
        <v>0</v>
      </c>
      <c r="V486" s="34"/>
      <c r="W486" s="45">
        <v>31.5</v>
      </c>
      <c r="X486" s="10">
        <f t="shared" si="759"/>
        <v>3110.625</v>
      </c>
      <c r="Y486" s="10">
        <f t="shared" si="755"/>
        <v>0</v>
      </c>
      <c r="Z486" s="10">
        <f t="shared" si="760"/>
        <v>0</v>
      </c>
      <c r="AA486" s="14">
        <f t="shared" ref="AA486:AA494" si="763">(W486*1*K486)</f>
        <v>0</v>
      </c>
      <c r="AB486" s="14">
        <f t="shared" si="761"/>
        <v>3110.625</v>
      </c>
      <c r="AC486" s="11">
        <f t="shared" ref="AC486:AC494" si="764">0-Y486-AA486</f>
        <v>0</v>
      </c>
      <c r="AD486" s="215"/>
      <c r="AE486" s="11">
        <f t="shared" ref="AE486:AE490" si="765">AB486-(X486+Z486)</f>
        <v>0</v>
      </c>
      <c r="AF486" s="211">
        <f>SUM(AE486:AE494)</f>
        <v>215.875</v>
      </c>
      <c r="AG486" s="8"/>
    </row>
    <row r="487" spans="1:33" x14ac:dyDescent="0.45">
      <c r="A487" s="22">
        <f>A486</f>
        <v>44514</v>
      </c>
      <c r="B487" s="15" t="s">
        <v>4</v>
      </c>
      <c r="C487" s="48">
        <f>80*W487</f>
        <v>2000</v>
      </c>
      <c r="D487" s="13">
        <v>78.25</v>
      </c>
      <c r="E487" s="13">
        <v>16.75</v>
      </c>
      <c r="F487" s="13">
        <v>0</v>
      </c>
      <c r="G487" s="13">
        <v>14.25</v>
      </c>
      <c r="H487" s="13">
        <v>0</v>
      </c>
      <c r="I487" s="13">
        <v>0</v>
      </c>
      <c r="J487" s="13">
        <v>0</v>
      </c>
      <c r="K487" s="13">
        <v>0</v>
      </c>
      <c r="L487" s="45">
        <v>0</v>
      </c>
      <c r="M487" s="34"/>
      <c r="N487" s="13">
        <v>80</v>
      </c>
      <c r="O487" s="13">
        <v>16</v>
      </c>
      <c r="P487" s="13">
        <v>0.75</v>
      </c>
      <c r="Q487" s="13">
        <v>13</v>
      </c>
      <c r="R487" s="34"/>
      <c r="S487" s="13">
        <f t="shared" si="757"/>
        <v>109.25</v>
      </c>
      <c r="T487" s="13">
        <f t="shared" si="762"/>
        <v>109.75</v>
      </c>
      <c r="U487" s="13">
        <f>SUM(H487:K487)</f>
        <v>0</v>
      </c>
      <c r="V487" s="34"/>
      <c r="W487" s="45">
        <v>25</v>
      </c>
      <c r="X487" s="10">
        <f t="shared" si="759"/>
        <v>2940.625</v>
      </c>
      <c r="Y487" s="10">
        <f t="shared" si="755"/>
        <v>0</v>
      </c>
      <c r="Z487" s="10">
        <f t="shared" si="760"/>
        <v>0</v>
      </c>
      <c r="AA487" s="14">
        <f t="shared" si="763"/>
        <v>0</v>
      </c>
      <c r="AB487" s="14">
        <f t="shared" si="761"/>
        <v>2962.5</v>
      </c>
      <c r="AC487" s="11">
        <f t="shared" si="764"/>
        <v>0</v>
      </c>
      <c r="AD487" s="215"/>
      <c r="AE487" s="11">
        <f t="shared" si="765"/>
        <v>21.875</v>
      </c>
      <c r="AF487" s="212"/>
      <c r="AG487" s="8"/>
    </row>
    <row r="488" spans="1:33" x14ac:dyDescent="0.45">
      <c r="A488" s="22">
        <f t="shared" ref="A488:A493" si="766">A487</f>
        <v>44514</v>
      </c>
      <c r="B488" s="15" t="s">
        <v>5</v>
      </c>
      <c r="C488" s="48">
        <f>120*W488</f>
        <v>3360</v>
      </c>
      <c r="D488" s="13">
        <v>75</v>
      </c>
      <c r="E488" s="13">
        <v>5.25</v>
      </c>
      <c r="F488" s="13">
        <v>0</v>
      </c>
      <c r="G488" s="43">
        <v>12</v>
      </c>
      <c r="H488" s="13">
        <v>0</v>
      </c>
      <c r="I488" s="13">
        <v>0</v>
      </c>
      <c r="J488" s="13">
        <v>0</v>
      </c>
      <c r="K488" s="13">
        <v>0</v>
      </c>
      <c r="L488" s="45">
        <v>0</v>
      </c>
      <c r="M488" s="34"/>
      <c r="N488" s="13">
        <v>80</v>
      </c>
      <c r="O488" s="13">
        <v>5.25</v>
      </c>
      <c r="P488" s="13">
        <v>0</v>
      </c>
      <c r="Q488" s="13">
        <v>7</v>
      </c>
      <c r="R488" s="34"/>
      <c r="S488" s="13">
        <f t="shared" si="757"/>
        <v>92.25</v>
      </c>
      <c r="T488" s="13">
        <f t="shared" si="762"/>
        <v>92.25</v>
      </c>
      <c r="U488" s="13">
        <f t="shared" ref="U488:U490" si="767">SUM(H488:K488)</f>
        <v>0</v>
      </c>
      <c r="V488" s="34"/>
      <c r="W488" s="45">
        <v>28</v>
      </c>
      <c r="X488" s="10">
        <f t="shared" si="759"/>
        <v>2656.5</v>
      </c>
      <c r="Y488" s="10">
        <f t="shared" si="755"/>
        <v>0</v>
      </c>
      <c r="Z488" s="10">
        <f t="shared" si="760"/>
        <v>0</v>
      </c>
      <c r="AA488" s="14">
        <f t="shared" si="763"/>
        <v>0</v>
      </c>
      <c r="AB488" s="14">
        <f t="shared" si="761"/>
        <v>2656.5</v>
      </c>
      <c r="AC488" s="11">
        <f t="shared" si="764"/>
        <v>0</v>
      </c>
      <c r="AD488" s="215"/>
      <c r="AE488" s="11">
        <f t="shared" si="765"/>
        <v>0</v>
      </c>
      <c r="AF488" s="212"/>
      <c r="AG488" s="8"/>
    </row>
    <row r="489" spans="1:33" x14ac:dyDescent="0.45">
      <c r="A489" s="22">
        <f t="shared" si="766"/>
        <v>44514</v>
      </c>
      <c r="B489" s="15" t="s">
        <v>6</v>
      </c>
      <c r="C489" s="48">
        <f>80*W489</f>
        <v>2056</v>
      </c>
      <c r="D489" s="13">
        <v>40</v>
      </c>
      <c r="E489" s="13">
        <v>9</v>
      </c>
      <c r="F489" s="13">
        <v>0</v>
      </c>
      <c r="G489" s="13">
        <v>0</v>
      </c>
      <c r="H489" s="13">
        <v>0</v>
      </c>
      <c r="I489" s="43">
        <v>40</v>
      </c>
      <c r="J489" s="13">
        <v>0</v>
      </c>
      <c r="K489" s="13">
        <v>0</v>
      </c>
      <c r="L489" s="45">
        <v>0</v>
      </c>
      <c r="M489" s="34"/>
      <c r="N489" s="13">
        <v>40</v>
      </c>
      <c r="O489" s="13">
        <v>9</v>
      </c>
      <c r="P489" s="13">
        <v>0</v>
      </c>
      <c r="Q489" s="13">
        <v>0</v>
      </c>
      <c r="R489" s="34"/>
      <c r="S489" s="13">
        <f t="shared" si="757"/>
        <v>49</v>
      </c>
      <c r="T489" s="13">
        <f t="shared" si="762"/>
        <v>49</v>
      </c>
      <c r="U489" s="13">
        <f t="shared" si="767"/>
        <v>40</v>
      </c>
      <c r="V489" s="34"/>
      <c r="W489" s="45">
        <v>25.7</v>
      </c>
      <c r="X489" s="10">
        <f>(W489*1*D489)+(W489*1.5*E489)+(W489*2*F489)+(W489*1*G489)</f>
        <v>1374.95</v>
      </c>
      <c r="Y489" s="10">
        <f t="shared" si="755"/>
        <v>1028</v>
      </c>
      <c r="Z489" s="10">
        <f t="shared" si="760"/>
        <v>0</v>
      </c>
      <c r="AA489" s="14">
        <f t="shared" si="763"/>
        <v>0</v>
      </c>
      <c r="AB489" s="14">
        <f t="shared" si="761"/>
        <v>1374.95</v>
      </c>
      <c r="AC489" s="11">
        <f t="shared" si="764"/>
        <v>-1028</v>
      </c>
      <c r="AD489" s="215"/>
      <c r="AE489" s="11">
        <f t="shared" si="765"/>
        <v>0</v>
      </c>
      <c r="AF489" s="212"/>
      <c r="AG489" s="8"/>
    </row>
    <row r="490" spans="1:33" x14ac:dyDescent="0.45">
      <c r="A490" s="22">
        <f>A489</f>
        <v>44514</v>
      </c>
      <c r="B490" s="15" t="s">
        <v>9</v>
      </c>
      <c r="C490" s="48">
        <f>120*W490</f>
        <v>3420</v>
      </c>
      <c r="D490" s="13">
        <v>72</v>
      </c>
      <c r="E490" s="13">
        <v>6</v>
      </c>
      <c r="F490" s="13">
        <v>8</v>
      </c>
      <c r="G490" s="13">
        <v>7</v>
      </c>
      <c r="H490" s="13">
        <v>0</v>
      </c>
      <c r="I490" s="13">
        <v>0</v>
      </c>
      <c r="J490" s="13">
        <v>0</v>
      </c>
      <c r="K490" s="13">
        <v>0</v>
      </c>
      <c r="L490" s="45">
        <v>0</v>
      </c>
      <c r="M490" s="34"/>
      <c r="N490" s="13">
        <v>72</v>
      </c>
      <c r="O490" s="13">
        <v>6</v>
      </c>
      <c r="P490" s="13">
        <v>8</v>
      </c>
      <c r="Q490" s="13">
        <v>7</v>
      </c>
      <c r="R490" s="34"/>
      <c r="S490" s="13">
        <f t="shared" si="757"/>
        <v>93</v>
      </c>
      <c r="T490" s="13">
        <f t="shared" si="762"/>
        <v>93</v>
      </c>
      <c r="U490" s="13">
        <f t="shared" si="767"/>
        <v>0</v>
      </c>
      <c r="V490" s="34"/>
      <c r="W490" s="45">
        <v>28.5</v>
      </c>
      <c r="X490" s="10">
        <f t="shared" ref="X490" si="768">(W490*1*D490)+(W490*1.5*E490)+(W490*2*F490)+(W490*1*G490)</f>
        <v>2964</v>
      </c>
      <c r="Y490" s="10">
        <f>(W490*0*H490)+(W490*1*I490)</f>
        <v>0</v>
      </c>
      <c r="Z490" s="10">
        <f t="shared" si="760"/>
        <v>0</v>
      </c>
      <c r="AA490" s="14">
        <f t="shared" si="763"/>
        <v>0</v>
      </c>
      <c r="AB490" s="14">
        <f t="shared" si="761"/>
        <v>2964</v>
      </c>
      <c r="AC490" s="11">
        <f t="shared" si="764"/>
        <v>0</v>
      </c>
      <c r="AD490" s="215"/>
      <c r="AE490" s="11">
        <f t="shared" si="765"/>
        <v>0</v>
      </c>
      <c r="AF490" s="212"/>
      <c r="AG490" s="8"/>
    </row>
    <row r="491" spans="1:33" x14ac:dyDescent="0.45">
      <c r="A491" s="22">
        <f t="shared" si="766"/>
        <v>44514</v>
      </c>
      <c r="B491" s="50" t="s">
        <v>31</v>
      </c>
      <c r="C491" s="48">
        <f>80*W491</f>
        <v>2160</v>
      </c>
      <c r="D491" s="51">
        <v>80</v>
      </c>
      <c r="E491" s="51">
        <v>18.75</v>
      </c>
      <c r="F491" s="51">
        <v>0</v>
      </c>
      <c r="G491" s="51">
        <v>8.5</v>
      </c>
      <c r="H491" s="51">
        <v>0</v>
      </c>
      <c r="I491" s="51">
        <v>0</v>
      </c>
      <c r="J491" s="51">
        <v>0</v>
      </c>
      <c r="K491" s="51">
        <v>0</v>
      </c>
      <c r="L491" s="52">
        <v>0</v>
      </c>
      <c r="M491" s="34"/>
      <c r="N491" s="51">
        <v>80</v>
      </c>
      <c r="O491" s="51">
        <v>26.75</v>
      </c>
      <c r="P491" s="51">
        <v>0.5</v>
      </c>
      <c r="Q491" s="51">
        <v>0</v>
      </c>
      <c r="R491" s="34"/>
      <c r="S491" s="51">
        <f t="shared" ref="S491" si="769">SUM(D491:G491)</f>
        <v>107.25</v>
      </c>
      <c r="T491" s="51">
        <f t="shared" si="762"/>
        <v>107.25</v>
      </c>
      <c r="U491" s="51">
        <f t="shared" ref="U491" si="770">SUM(H491:K491)</f>
        <v>0</v>
      </c>
      <c r="V491" s="34"/>
      <c r="W491" s="52">
        <v>27</v>
      </c>
      <c r="X491" s="53">
        <f>(W491*1*D491)+(W491*1.5*E491)+(W491*2*F491)+(W491*1*G491)</f>
        <v>3148.875</v>
      </c>
      <c r="Y491" s="53">
        <f t="shared" ref="Y491:Y498" si="771">(W491*0*H491)+(W491*1*I491)</f>
        <v>0</v>
      </c>
      <c r="Z491" s="53">
        <f>(W491*1*J491)+L491</f>
        <v>0</v>
      </c>
      <c r="AA491" s="54">
        <f t="shared" si="763"/>
        <v>0</v>
      </c>
      <c r="AB491" s="54">
        <f>(W491*1*N491)+(W491*1.5*O491)+(W491*2*P491)+(W491*1*Q491)</f>
        <v>3270.375</v>
      </c>
      <c r="AC491" s="55">
        <f t="shared" si="764"/>
        <v>0</v>
      </c>
      <c r="AD491" s="217"/>
      <c r="AE491" s="55">
        <f>AB491-(X491+Z491)</f>
        <v>121.5</v>
      </c>
      <c r="AF491" s="212"/>
      <c r="AG491" s="8"/>
    </row>
    <row r="492" spans="1:33" x14ac:dyDescent="0.45">
      <c r="A492" s="22">
        <f t="shared" si="766"/>
        <v>44514</v>
      </c>
      <c r="B492" s="50" t="s">
        <v>51</v>
      </c>
      <c r="C492" s="48">
        <f t="shared" ref="C492:C494" si="772">80*W492</f>
        <v>1600</v>
      </c>
      <c r="D492" s="51">
        <v>80</v>
      </c>
      <c r="E492" s="51">
        <v>45.25</v>
      </c>
      <c r="F492" s="51">
        <v>16</v>
      </c>
      <c r="G492" s="51">
        <v>0</v>
      </c>
      <c r="H492" s="51">
        <v>0</v>
      </c>
      <c r="I492" s="51">
        <v>0</v>
      </c>
      <c r="J492" s="51">
        <v>0</v>
      </c>
      <c r="K492" s="51">
        <v>0</v>
      </c>
      <c r="L492" s="52">
        <v>0</v>
      </c>
      <c r="M492" s="34"/>
      <c r="N492" s="51">
        <v>80</v>
      </c>
      <c r="O492" s="51">
        <v>45.5</v>
      </c>
      <c r="P492" s="51">
        <v>16.5</v>
      </c>
      <c r="Q492" s="51">
        <v>0</v>
      </c>
      <c r="R492" s="34"/>
      <c r="S492" s="51">
        <f t="shared" ref="S492:S499" si="773">SUM(D492:G492)</f>
        <v>141.25</v>
      </c>
      <c r="T492" s="51">
        <f>SUM(N492:Q492)</f>
        <v>142</v>
      </c>
      <c r="U492" s="51">
        <f t="shared" ref="U492:U495" si="774">SUM(H492:K492)</f>
        <v>0</v>
      </c>
      <c r="V492" s="34"/>
      <c r="W492" s="52">
        <v>20</v>
      </c>
      <c r="X492" s="53">
        <f t="shared" ref="X492:X497" si="775">(W492*1*D492)+(W492*1.5*E492)+(W492*2*F492)+(W492*1*G492)</f>
        <v>3597.5</v>
      </c>
      <c r="Y492" s="53">
        <f t="shared" si="771"/>
        <v>0</v>
      </c>
      <c r="Z492" s="53">
        <f t="shared" ref="Z492:Z499" si="776">(W492*1*J492)+L492</f>
        <v>0</v>
      </c>
      <c r="AA492" s="54">
        <f t="shared" si="763"/>
        <v>0</v>
      </c>
      <c r="AB492" s="54">
        <f t="shared" ref="AB492:AB499" si="777">(W492*1*N492)+(W492*1.5*O492)+(W492*2*P492)+(W492*1*Q492)</f>
        <v>3625</v>
      </c>
      <c r="AC492" s="55">
        <f t="shared" si="764"/>
        <v>0</v>
      </c>
      <c r="AD492" s="217"/>
      <c r="AE492" s="55">
        <f>AB492-(X492+Z492)</f>
        <v>27.5</v>
      </c>
      <c r="AF492" s="212"/>
      <c r="AG492" s="8"/>
    </row>
    <row r="493" spans="1:33" x14ac:dyDescent="0.45">
      <c r="A493" s="22">
        <f t="shared" si="766"/>
        <v>44514</v>
      </c>
      <c r="B493" s="50" t="s">
        <v>53</v>
      </c>
      <c r="C493" s="48">
        <f t="shared" si="772"/>
        <v>1600</v>
      </c>
      <c r="D493" s="51">
        <v>80</v>
      </c>
      <c r="E493" s="51">
        <v>20.5</v>
      </c>
      <c r="F493" s="51">
        <v>0</v>
      </c>
      <c r="G493" s="51">
        <v>0</v>
      </c>
      <c r="H493" s="51">
        <v>0</v>
      </c>
      <c r="I493" s="51">
        <v>0</v>
      </c>
      <c r="J493" s="51">
        <v>0</v>
      </c>
      <c r="K493" s="51">
        <v>0</v>
      </c>
      <c r="L493" s="52">
        <v>0</v>
      </c>
      <c r="M493" s="34"/>
      <c r="N493" s="51">
        <v>80</v>
      </c>
      <c r="O493" s="51">
        <v>21.75</v>
      </c>
      <c r="P493" s="51">
        <v>0</v>
      </c>
      <c r="Q493" s="51">
        <v>0</v>
      </c>
      <c r="R493" s="34"/>
      <c r="S493" s="51">
        <f t="shared" si="773"/>
        <v>100.5</v>
      </c>
      <c r="T493" s="51">
        <f>SUM(N493:Q493)</f>
        <v>101.75</v>
      </c>
      <c r="U493" s="51">
        <f t="shared" si="774"/>
        <v>0</v>
      </c>
      <c r="V493" s="34"/>
      <c r="W493" s="52">
        <v>20</v>
      </c>
      <c r="X493" s="53">
        <f t="shared" si="775"/>
        <v>2215</v>
      </c>
      <c r="Y493" s="53">
        <f t="shared" si="771"/>
        <v>0</v>
      </c>
      <c r="Z493" s="53">
        <f t="shared" si="776"/>
        <v>0</v>
      </c>
      <c r="AA493" s="54">
        <f t="shared" si="763"/>
        <v>0</v>
      </c>
      <c r="AB493" s="54">
        <f t="shared" si="777"/>
        <v>2252.5</v>
      </c>
      <c r="AC493" s="55">
        <f t="shared" si="764"/>
        <v>0</v>
      </c>
      <c r="AD493" s="217"/>
      <c r="AE493" s="55">
        <f>AB493-(X493+Z493)</f>
        <v>37.5</v>
      </c>
      <c r="AF493" s="212"/>
      <c r="AG493" s="8"/>
    </row>
    <row r="494" spans="1:33" ht="14.65" thickBot="1" x14ac:dyDescent="0.5">
      <c r="A494" s="23">
        <f>A492</f>
        <v>44514</v>
      </c>
      <c r="B494" s="24" t="s">
        <v>54</v>
      </c>
      <c r="C494" s="49">
        <f t="shared" si="772"/>
        <v>1600</v>
      </c>
      <c r="D494" s="25">
        <v>80</v>
      </c>
      <c r="E494" s="25">
        <v>38.5</v>
      </c>
      <c r="F494" s="25">
        <v>0</v>
      </c>
      <c r="G494" s="25">
        <v>0</v>
      </c>
      <c r="H494" s="25">
        <v>0</v>
      </c>
      <c r="I494" s="25">
        <v>0</v>
      </c>
      <c r="J494" s="25">
        <v>0</v>
      </c>
      <c r="K494" s="25">
        <v>0</v>
      </c>
      <c r="L494" s="46">
        <v>0</v>
      </c>
      <c r="M494" s="35"/>
      <c r="N494" s="25">
        <v>80</v>
      </c>
      <c r="O494" s="25">
        <v>38.75</v>
      </c>
      <c r="P494" s="25">
        <v>0</v>
      </c>
      <c r="Q494" s="25">
        <v>0</v>
      </c>
      <c r="R494" s="35"/>
      <c r="S494" s="25">
        <f t="shared" si="773"/>
        <v>118.5</v>
      </c>
      <c r="T494" s="25">
        <f t="shared" ref="T494:T500" si="778">SUM(N494:Q494)</f>
        <v>118.75</v>
      </c>
      <c r="U494" s="25">
        <f t="shared" si="774"/>
        <v>0</v>
      </c>
      <c r="V494" s="35"/>
      <c r="W494" s="46">
        <v>20</v>
      </c>
      <c r="X494" s="26">
        <f t="shared" si="775"/>
        <v>2755</v>
      </c>
      <c r="Y494" s="26">
        <f t="shared" si="771"/>
        <v>0</v>
      </c>
      <c r="Z494" s="26">
        <f t="shared" si="776"/>
        <v>0</v>
      </c>
      <c r="AA494" s="27">
        <f t="shared" si="763"/>
        <v>0</v>
      </c>
      <c r="AB494" s="27">
        <f t="shared" si="777"/>
        <v>2762.5</v>
      </c>
      <c r="AC494" s="12">
        <f t="shared" si="764"/>
        <v>0</v>
      </c>
      <c r="AD494" s="216"/>
      <c r="AE494" s="12">
        <f>AB494-(X494+Z494)</f>
        <v>7.5</v>
      </c>
      <c r="AF494" s="213"/>
      <c r="AG494" s="8"/>
    </row>
    <row r="495" spans="1:33" x14ac:dyDescent="0.45">
      <c r="A495" s="22">
        <f>A494+14</f>
        <v>44528</v>
      </c>
      <c r="B495" s="15" t="s">
        <v>30</v>
      </c>
      <c r="C495" s="48">
        <f>120*W495</f>
        <v>3780</v>
      </c>
      <c r="D495" s="13">
        <v>80</v>
      </c>
      <c r="E495" s="43">
        <v>27.5</v>
      </c>
      <c r="F495" s="13">
        <v>0</v>
      </c>
      <c r="G495" s="13">
        <v>0</v>
      </c>
      <c r="H495" s="13">
        <v>0</v>
      </c>
      <c r="I495" s="13">
        <v>0</v>
      </c>
      <c r="J495" s="13">
        <v>0</v>
      </c>
      <c r="K495" s="13">
        <v>0</v>
      </c>
      <c r="L495" s="45">
        <v>0</v>
      </c>
      <c r="M495" s="34"/>
      <c r="N495" s="13">
        <v>80</v>
      </c>
      <c r="O495" s="13">
        <v>27.5</v>
      </c>
      <c r="P495" s="13">
        <v>0</v>
      </c>
      <c r="Q495" s="13">
        <v>0</v>
      </c>
      <c r="R495" s="34"/>
      <c r="S495" s="13">
        <f t="shared" si="773"/>
        <v>107.5</v>
      </c>
      <c r="T495" s="13">
        <f t="shared" si="778"/>
        <v>107.5</v>
      </c>
      <c r="U495" s="13">
        <f t="shared" si="774"/>
        <v>0</v>
      </c>
      <c r="V495" s="34"/>
      <c r="W495" s="45">
        <v>31.5</v>
      </c>
      <c r="X495" s="10">
        <f t="shared" si="775"/>
        <v>3819.375</v>
      </c>
      <c r="Y495" s="10">
        <f t="shared" si="771"/>
        <v>0</v>
      </c>
      <c r="Z495" s="10">
        <f t="shared" si="776"/>
        <v>0</v>
      </c>
      <c r="AA495" s="14">
        <f t="shared" ref="AA495:AA503" si="779">(W495*1*K495)</f>
        <v>0</v>
      </c>
      <c r="AB495" s="14">
        <f t="shared" si="777"/>
        <v>3819.375</v>
      </c>
      <c r="AC495" s="11">
        <f t="shared" ref="AC495:AC503" si="780">0-Y495-AA495</f>
        <v>0</v>
      </c>
      <c r="AD495" s="215"/>
      <c r="AE495" s="11">
        <f t="shared" ref="AE495:AE499" si="781">AB495-(X495+Z495)</f>
        <v>0</v>
      </c>
      <c r="AF495" s="211">
        <f>SUM(AE495:AE503)</f>
        <v>78.199999999999818</v>
      </c>
      <c r="AG495" s="8"/>
    </row>
    <row r="496" spans="1:33" x14ac:dyDescent="0.45">
      <c r="A496" s="22">
        <f>A495</f>
        <v>44528</v>
      </c>
      <c r="B496" s="15" t="s">
        <v>4</v>
      </c>
      <c r="C496" s="48">
        <f>80*W496</f>
        <v>2000</v>
      </c>
      <c r="D496" s="43">
        <v>80</v>
      </c>
      <c r="E496" s="13">
        <v>0</v>
      </c>
      <c r="F496" s="13">
        <v>0</v>
      </c>
      <c r="G496" s="13">
        <v>0</v>
      </c>
      <c r="H496" s="13">
        <v>0</v>
      </c>
      <c r="I496" s="13">
        <v>0</v>
      </c>
      <c r="J496" s="13">
        <v>0</v>
      </c>
      <c r="K496" s="13">
        <v>0</v>
      </c>
      <c r="L496" s="45">
        <v>0</v>
      </c>
      <c r="M496" s="34"/>
      <c r="N496" s="13">
        <v>80</v>
      </c>
      <c r="O496" s="13">
        <v>0</v>
      </c>
      <c r="P496" s="13">
        <v>0</v>
      </c>
      <c r="Q496" s="13">
        <v>0</v>
      </c>
      <c r="R496" s="34"/>
      <c r="S496" s="13">
        <f t="shared" si="773"/>
        <v>80</v>
      </c>
      <c r="T496" s="13">
        <f t="shared" si="778"/>
        <v>80</v>
      </c>
      <c r="U496" s="13">
        <f>SUM(H496:K496)</f>
        <v>0</v>
      </c>
      <c r="V496" s="34"/>
      <c r="W496" s="45">
        <v>25</v>
      </c>
      <c r="X496" s="10">
        <f t="shared" si="775"/>
        <v>2000</v>
      </c>
      <c r="Y496" s="10">
        <f t="shared" si="771"/>
        <v>0</v>
      </c>
      <c r="Z496" s="10">
        <f t="shared" si="776"/>
        <v>0</v>
      </c>
      <c r="AA496" s="14">
        <f t="shared" si="779"/>
        <v>0</v>
      </c>
      <c r="AB496" s="14">
        <f t="shared" si="777"/>
        <v>2000</v>
      </c>
      <c r="AC496" s="11">
        <f t="shared" si="780"/>
        <v>0</v>
      </c>
      <c r="AD496" s="215"/>
      <c r="AE496" s="11">
        <f t="shared" si="781"/>
        <v>0</v>
      </c>
      <c r="AF496" s="212"/>
      <c r="AG496" s="8"/>
    </row>
    <row r="497" spans="1:33" x14ac:dyDescent="0.45">
      <c r="A497" s="22">
        <f t="shared" ref="A497:A502" si="782">A496</f>
        <v>44528</v>
      </c>
      <c r="B497" s="15" t="s">
        <v>5</v>
      </c>
      <c r="C497" s="48">
        <f>120*W497</f>
        <v>3360</v>
      </c>
      <c r="D497" s="13">
        <v>80</v>
      </c>
      <c r="E497" s="13">
        <v>7.75</v>
      </c>
      <c r="F497" s="13">
        <v>0</v>
      </c>
      <c r="G497" s="13">
        <v>12</v>
      </c>
      <c r="H497" s="13">
        <v>0</v>
      </c>
      <c r="I497" s="13">
        <v>0</v>
      </c>
      <c r="J497" s="13">
        <v>0</v>
      </c>
      <c r="K497" s="13">
        <v>0</v>
      </c>
      <c r="L497" s="45">
        <v>0</v>
      </c>
      <c r="M497" s="34"/>
      <c r="N497" s="13">
        <v>80</v>
      </c>
      <c r="O497" s="13">
        <v>8.5</v>
      </c>
      <c r="P497" s="13">
        <v>0</v>
      </c>
      <c r="Q497" s="13">
        <v>11.5</v>
      </c>
      <c r="R497" s="34"/>
      <c r="S497" s="13">
        <f t="shared" si="773"/>
        <v>99.75</v>
      </c>
      <c r="T497" s="13">
        <f t="shared" si="778"/>
        <v>100</v>
      </c>
      <c r="U497" s="13">
        <f t="shared" ref="U497:U499" si="783">SUM(H497:K497)</f>
        <v>0</v>
      </c>
      <c r="V497" s="34"/>
      <c r="W497" s="45">
        <v>28</v>
      </c>
      <c r="X497" s="10">
        <f t="shared" si="775"/>
        <v>2901.5</v>
      </c>
      <c r="Y497" s="10">
        <f t="shared" si="771"/>
        <v>0</v>
      </c>
      <c r="Z497" s="10">
        <f t="shared" si="776"/>
        <v>0</v>
      </c>
      <c r="AA497" s="14">
        <f t="shared" si="779"/>
        <v>0</v>
      </c>
      <c r="AB497" s="14">
        <f t="shared" si="777"/>
        <v>2919</v>
      </c>
      <c r="AC497" s="11">
        <f t="shared" si="780"/>
        <v>0</v>
      </c>
      <c r="AD497" s="215"/>
      <c r="AE497" s="11">
        <f t="shared" si="781"/>
        <v>17.5</v>
      </c>
      <c r="AF497" s="212"/>
      <c r="AG497" s="8"/>
    </row>
    <row r="498" spans="1:33" x14ac:dyDescent="0.45">
      <c r="A498" s="22">
        <f t="shared" si="782"/>
        <v>44528</v>
      </c>
      <c r="B498" s="15" t="s">
        <v>6</v>
      </c>
      <c r="C498" s="48">
        <f>80*W498</f>
        <v>2056</v>
      </c>
      <c r="D498" s="13">
        <v>80</v>
      </c>
      <c r="E498" s="13">
        <v>41.5</v>
      </c>
      <c r="F498" s="13">
        <v>10</v>
      </c>
      <c r="G498" s="13">
        <v>1</v>
      </c>
      <c r="H498" s="13">
        <v>0</v>
      </c>
      <c r="I498" s="13">
        <v>0</v>
      </c>
      <c r="J498" s="13">
        <v>0</v>
      </c>
      <c r="K498" s="13">
        <v>0</v>
      </c>
      <c r="L498" s="45">
        <v>0</v>
      </c>
      <c r="M498" s="34"/>
      <c r="N498" s="13">
        <v>80</v>
      </c>
      <c r="O498" s="13">
        <v>41.5</v>
      </c>
      <c r="P498" s="13">
        <v>11</v>
      </c>
      <c r="Q498" s="13">
        <v>0</v>
      </c>
      <c r="R498" s="34"/>
      <c r="S498" s="13">
        <f t="shared" si="773"/>
        <v>132.5</v>
      </c>
      <c r="T498" s="13">
        <f t="shared" si="778"/>
        <v>132.5</v>
      </c>
      <c r="U498" s="13">
        <f t="shared" si="783"/>
        <v>0</v>
      </c>
      <c r="V498" s="34"/>
      <c r="W498" s="45">
        <v>25.7</v>
      </c>
      <c r="X498" s="10">
        <f>(W498*1*D498)+(W498*1.5*E498)+(W498*2*F498)+(W498*1*G498)</f>
        <v>4195.5249999999996</v>
      </c>
      <c r="Y498" s="10">
        <f t="shared" si="771"/>
        <v>0</v>
      </c>
      <c r="Z498" s="10">
        <f t="shared" si="776"/>
        <v>0</v>
      </c>
      <c r="AA498" s="14">
        <f t="shared" si="779"/>
        <v>0</v>
      </c>
      <c r="AB498" s="14">
        <f t="shared" si="777"/>
        <v>4221.2249999999995</v>
      </c>
      <c r="AC498" s="11">
        <f t="shared" si="780"/>
        <v>0</v>
      </c>
      <c r="AD498" s="215"/>
      <c r="AE498" s="11">
        <f t="shared" si="781"/>
        <v>25.699999999999818</v>
      </c>
      <c r="AF498" s="212"/>
      <c r="AG498" s="8"/>
    </row>
    <row r="499" spans="1:33" x14ac:dyDescent="0.45">
      <c r="A499" s="22">
        <f>A498</f>
        <v>44528</v>
      </c>
      <c r="B499" s="15" t="s">
        <v>9</v>
      </c>
      <c r="C499" s="48">
        <f>120*W499</f>
        <v>3420</v>
      </c>
      <c r="D499" s="13">
        <v>74</v>
      </c>
      <c r="E499" s="13">
        <v>0</v>
      </c>
      <c r="F499" s="13">
        <v>0</v>
      </c>
      <c r="G499" s="13">
        <v>0</v>
      </c>
      <c r="H499" s="13">
        <v>0</v>
      </c>
      <c r="I499" s="13">
        <v>0</v>
      </c>
      <c r="J499" s="13">
        <v>0</v>
      </c>
      <c r="K499" s="13">
        <v>0</v>
      </c>
      <c r="L499" s="45">
        <v>0</v>
      </c>
      <c r="M499" s="34"/>
      <c r="N499" s="13">
        <v>74</v>
      </c>
      <c r="O499" s="13">
        <v>0</v>
      </c>
      <c r="P499" s="13">
        <v>0</v>
      </c>
      <c r="Q499" s="13">
        <v>0</v>
      </c>
      <c r="R499" s="34"/>
      <c r="S499" s="13">
        <f t="shared" si="773"/>
        <v>74</v>
      </c>
      <c r="T499" s="13">
        <f t="shared" si="778"/>
        <v>74</v>
      </c>
      <c r="U499" s="13">
        <f t="shared" si="783"/>
        <v>0</v>
      </c>
      <c r="V499" s="34"/>
      <c r="W499" s="45">
        <v>28.5</v>
      </c>
      <c r="X499" s="10">
        <f t="shared" ref="X499" si="784">(W499*1*D499)+(W499*1.5*E499)+(W499*2*F499)+(W499*1*G499)</f>
        <v>2109</v>
      </c>
      <c r="Y499" s="10">
        <f>(W499*0*H499)+(W499*1*I499)</f>
        <v>0</v>
      </c>
      <c r="Z499" s="10">
        <f t="shared" si="776"/>
        <v>0</v>
      </c>
      <c r="AA499" s="14">
        <f t="shared" si="779"/>
        <v>0</v>
      </c>
      <c r="AB499" s="14">
        <f t="shared" si="777"/>
        <v>2109</v>
      </c>
      <c r="AC499" s="11">
        <f t="shared" si="780"/>
        <v>0</v>
      </c>
      <c r="AD499" s="215"/>
      <c r="AE499" s="11">
        <f t="shared" si="781"/>
        <v>0</v>
      </c>
      <c r="AF499" s="212"/>
      <c r="AG499" s="8"/>
    </row>
    <row r="500" spans="1:33" x14ac:dyDescent="0.45">
      <c r="A500" s="22">
        <f t="shared" si="782"/>
        <v>44528</v>
      </c>
      <c r="B500" s="50" t="s">
        <v>31</v>
      </c>
      <c r="C500" s="48">
        <f>80*W500</f>
        <v>2160</v>
      </c>
      <c r="D500" s="51">
        <v>80</v>
      </c>
      <c r="E500" s="51">
        <v>15</v>
      </c>
      <c r="F500" s="51">
        <v>0</v>
      </c>
      <c r="G500" s="51">
        <v>13.5</v>
      </c>
      <c r="H500" s="51">
        <v>0</v>
      </c>
      <c r="I500" s="51">
        <v>0</v>
      </c>
      <c r="J500" s="51">
        <v>0</v>
      </c>
      <c r="K500" s="51">
        <v>0</v>
      </c>
      <c r="L500" s="52">
        <v>0</v>
      </c>
      <c r="M500" s="34"/>
      <c r="N500" s="51">
        <v>80</v>
      </c>
      <c r="O500" s="51">
        <v>15</v>
      </c>
      <c r="P500" s="51">
        <v>0</v>
      </c>
      <c r="Q500" s="51">
        <v>13.5</v>
      </c>
      <c r="R500" s="34"/>
      <c r="S500" s="51">
        <f t="shared" ref="S500" si="785">SUM(D500:G500)</f>
        <v>108.5</v>
      </c>
      <c r="T500" s="51">
        <f t="shared" si="778"/>
        <v>108.5</v>
      </c>
      <c r="U500" s="51">
        <f t="shared" ref="U500" si="786">SUM(H500:K500)</f>
        <v>0</v>
      </c>
      <c r="V500" s="34"/>
      <c r="W500" s="52">
        <v>27</v>
      </c>
      <c r="X500" s="53">
        <f>(W500*1*D500)+(W500*1.5*E500)+(W500*2*F500)+(W500*1*G500)</f>
        <v>3132</v>
      </c>
      <c r="Y500" s="53">
        <f t="shared" ref="Y500:Y507" si="787">(W500*0*H500)+(W500*1*I500)</f>
        <v>0</v>
      </c>
      <c r="Z500" s="53">
        <f>(W500*1*J500)+L500</f>
        <v>0</v>
      </c>
      <c r="AA500" s="54">
        <f t="shared" si="779"/>
        <v>0</v>
      </c>
      <c r="AB500" s="54">
        <f>(W500*1*N500)+(W500*1.5*O500)+(W500*2*P500)+(W500*1*Q500)</f>
        <v>3132</v>
      </c>
      <c r="AC500" s="55">
        <f t="shared" si="780"/>
        <v>0</v>
      </c>
      <c r="AD500" s="217"/>
      <c r="AE500" s="55">
        <f>AB500-(X500+Z500)</f>
        <v>0</v>
      </c>
      <c r="AF500" s="212"/>
      <c r="AG500" s="8"/>
    </row>
    <row r="501" spans="1:33" x14ac:dyDescent="0.45">
      <c r="A501" s="22">
        <f t="shared" si="782"/>
        <v>44528</v>
      </c>
      <c r="B501" s="50" t="s">
        <v>51</v>
      </c>
      <c r="C501" s="48">
        <f t="shared" ref="C501:C503" si="788">80*W501</f>
        <v>1600</v>
      </c>
      <c r="D501" s="51">
        <v>80</v>
      </c>
      <c r="E501" s="51">
        <v>34</v>
      </c>
      <c r="F501" s="51">
        <v>0</v>
      </c>
      <c r="G501" s="51">
        <v>8</v>
      </c>
      <c r="H501" s="51">
        <v>0</v>
      </c>
      <c r="I501" s="51">
        <v>0</v>
      </c>
      <c r="J501" s="51">
        <v>0</v>
      </c>
      <c r="K501" s="51">
        <v>0</v>
      </c>
      <c r="L501" s="52">
        <v>0</v>
      </c>
      <c r="M501" s="34"/>
      <c r="N501" s="51">
        <v>80</v>
      </c>
      <c r="O501" s="51">
        <v>33</v>
      </c>
      <c r="P501" s="51">
        <v>1.25</v>
      </c>
      <c r="Q501" s="51">
        <v>8</v>
      </c>
      <c r="R501" s="34"/>
      <c r="S501" s="51">
        <f t="shared" ref="S501:S508" si="789">SUM(D501:G501)</f>
        <v>122</v>
      </c>
      <c r="T501" s="51">
        <f>SUM(N501:Q501)</f>
        <v>122.25</v>
      </c>
      <c r="U501" s="51">
        <f t="shared" ref="U501:U504" si="790">SUM(H501:K501)</f>
        <v>0</v>
      </c>
      <c r="V501" s="34"/>
      <c r="W501" s="52">
        <v>20</v>
      </c>
      <c r="X501" s="53">
        <f t="shared" ref="X501:X506" si="791">(W501*1*D501)+(W501*1.5*E501)+(W501*2*F501)+(W501*1*G501)</f>
        <v>2780</v>
      </c>
      <c r="Y501" s="53">
        <f t="shared" si="787"/>
        <v>0</v>
      </c>
      <c r="Z501" s="53">
        <f t="shared" ref="Z501:Z508" si="792">(W501*1*J501)+L501</f>
        <v>0</v>
      </c>
      <c r="AA501" s="54">
        <f t="shared" si="779"/>
        <v>0</v>
      </c>
      <c r="AB501" s="54">
        <f t="shared" ref="AB501:AB508" si="793">(W501*1*N501)+(W501*1.5*O501)+(W501*2*P501)+(W501*1*Q501)</f>
        <v>2800</v>
      </c>
      <c r="AC501" s="55">
        <f t="shared" si="780"/>
        <v>0</v>
      </c>
      <c r="AD501" s="217"/>
      <c r="AE501" s="55">
        <f>AB501-(X501+Z501)</f>
        <v>20</v>
      </c>
      <c r="AF501" s="212"/>
      <c r="AG501" s="8"/>
    </row>
    <row r="502" spans="1:33" x14ac:dyDescent="0.45">
      <c r="A502" s="22">
        <f t="shared" si="782"/>
        <v>44528</v>
      </c>
      <c r="B502" s="50" t="s">
        <v>53</v>
      </c>
      <c r="C502" s="48">
        <f t="shared" si="788"/>
        <v>1600</v>
      </c>
      <c r="D502" s="51">
        <v>80</v>
      </c>
      <c r="E502" s="51">
        <v>35.5</v>
      </c>
      <c r="F502" s="51">
        <v>6.5</v>
      </c>
      <c r="G502" s="51">
        <v>0</v>
      </c>
      <c r="H502" s="51">
        <v>0</v>
      </c>
      <c r="I502" s="51">
        <v>0</v>
      </c>
      <c r="J502" s="51">
        <v>0</v>
      </c>
      <c r="K502" s="51">
        <v>0</v>
      </c>
      <c r="L502" s="52">
        <v>0</v>
      </c>
      <c r="M502" s="34"/>
      <c r="N502" s="51">
        <v>80</v>
      </c>
      <c r="O502" s="51">
        <v>36</v>
      </c>
      <c r="P502" s="51">
        <v>6.5</v>
      </c>
      <c r="Q502" s="51">
        <v>0</v>
      </c>
      <c r="R502" s="34"/>
      <c r="S502" s="51">
        <f t="shared" si="789"/>
        <v>122</v>
      </c>
      <c r="T502" s="51">
        <f>SUM(N502:Q502)</f>
        <v>122.5</v>
      </c>
      <c r="U502" s="51">
        <f t="shared" si="790"/>
        <v>0</v>
      </c>
      <c r="V502" s="34"/>
      <c r="W502" s="52">
        <v>20</v>
      </c>
      <c r="X502" s="53">
        <f t="shared" si="791"/>
        <v>2925</v>
      </c>
      <c r="Y502" s="53">
        <f t="shared" si="787"/>
        <v>0</v>
      </c>
      <c r="Z502" s="53">
        <f t="shared" si="792"/>
        <v>0</v>
      </c>
      <c r="AA502" s="54">
        <f t="shared" si="779"/>
        <v>0</v>
      </c>
      <c r="AB502" s="54">
        <f t="shared" si="793"/>
        <v>2940</v>
      </c>
      <c r="AC502" s="55">
        <f t="shared" si="780"/>
        <v>0</v>
      </c>
      <c r="AD502" s="217"/>
      <c r="AE502" s="55">
        <f>AB502-(X502+Z502)</f>
        <v>15</v>
      </c>
      <c r="AF502" s="212"/>
      <c r="AG502" s="8"/>
    </row>
    <row r="503" spans="1:33" ht="14.65" thickBot="1" x14ac:dyDescent="0.5">
      <c r="A503" s="23">
        <f>A501</f>
        <v>44528</v>
      </c>
      <c r="B503" s="24" t="s">
        <v>54</v>
      </c>
      <c r="C503" s="49">
        <f t="shared" si="788"/>
        <v>1600</v>
      </c>
      <c r="D503" s="25">
        <v>80</v>
      </c>
      <c r="E503" s="42">
        <v>15.75</v>
      </c>
      <c r="F503" s="25">
        <v>0</v>
      </c>
      <c r="G503" s="25">
        <v>13.5</v>
      </c>
      <c r="H503" s="25">
        <v>0</v>
      </c>
      <c r="I503" s="25">
        <v>0</v>
      </c>
      <c r="J503" s="25">
        <v>0</v>
      </c>
      <c r="K503" s="25">
        <v>0</v>
      </c>
      <c r="L503" s="46">
        <v>0</v>
      </c>
      <c r="M503" s="35"/>
      <c r="N503" s="25">
        <v>80</v>
      </c>
      <c r="O503" s="25">
        <v>15.75</v>
      </c>
      <c r="P503" s="25">
        <v>0</v>
      </c>
      <c r="Q503" s="25">
        <v>13.5</v>
      </c>
      <c r="R503" s="35"/>
      <c r="S503" s="25">
        <f t="shared" si="789"/>
        <v>109.25</v>
      </c>
      <c r="T503" s="25">
        <f t="shared" ref="T503:T509" si="794">SUM(N503:Q503)</f>
        <v>109.25</v>
      </c>
      <c r="U503" s="25">
        <f t="shared" si="790"/>
        <v>0</v>
      </c>
      <c r="V503" s="35"/>
      <c r="W503" s="46">
        <v>20</v>
      </c>
      <c r="X503" s="26">
        <f t="shared" si="791"/>
        <v>2342.5</v>
      </c>
      <c r="Y503" s="26">
        <f t="shared" si="787"/>
        <v>0</v>
      </c>
      <c r="Z503" s="26">
        <f t="shared" si="792"/>
        <v>0</v>
      </c>
      <c r="AA503" s="27">
        <f t="shared" si="779"/>
        <v>0</v>
      </c>
      <c r="AB503" s="27">
        <f t="shared" si="793"/>
        <v>2342.5</v>
      </c>
      <c r="AC503" s="12">
        <f t="shared" si="780"/>
        <v>0</v>
      </c>
      <c r="AD503" s="216"/>
      <c r="AE503" s="12">
        <f>AB503-(X503+Z503)</f>
        <v>0</v>
      </c>
      <c r="AF503" s="213"/>
      <c r="AG503" s="8"/>
    </row>
    <row r="504" spans="1:33" x14ac:dyDescent="0.45">
      <c r="A504" s="22">
        <f>A503+14</f>
        <v>44542</v>
      </c>
      <c r="B504" s="15" t="s">
        <v>30</v>
      </c>
      <c r="C504" s="48">
        <f>120*W504</f>
        <v>3780</v>
      </c>
      <c r="D504" s="13">
        <v>80</v>
      </c>
      <c r="E504" s="13">
        <v>20.5</v>
      </c>
      <c r="F504" s="13">
        <v>0</v>
      </c>
      <c r="G504" s="13">
        <v>0</v>
      </c>
      <c r="H504" s="13">
        <v>0</v>
      </c>
      <c r="I504" s="13">
        <v>0</v>
      </c>
      <c r="J504" s="13">
        <v>0</v>
      </c>
      <c r="K504" s="13">
        <v>0</v>
      </c>
      <c r="L504" s="45">
        <v>1000</v>
      </c>
      <c r="M504" s="34"/>
      <c r="N504" s="13">
        <v>80</v>
      </c>
      <c r="O504" s="13">
        <v>21</v>
      </c>
      <c r="P504" s="13">
        <v>0</v>
      </c>
      <c r="Q504" s="13">
        <v>0</v>
      </c>
      <c r="R504" s="34"/>
      <c r="S504" s="13">
        <f t="shared" si="789"/>
        <v>100.5</v>
      </c>
      <c r="T504" s="13">
        <f t="shared" si="794"/>
        <v>101</v>
      </c>
      <c r="U504" s="13">
        <f t="shared" si="790"/>
        <v>0</v>
      </c>
      <c r="V504" s="34"/>
      <c r="W504" s="45">
        <v>31.5</v>
      </c>
      <c r="X504" s="10">
        <f t="shared" si="791"/>
        <v>3488.625</v>
      </c>
      <c r="Y504" s="10">
        <f t="shared" si="787"/>
        <v>0</v>
      </c>
      <c r="Z504" s="10">
        <f t="shared" si="792"/>
        <v>1000</v>
      </c>
      <c r="AA504" s="14">
        <f t="shared" ref="AA504:AA512" si="795">(W504*1*K504)</f>
        <v>0</v>
      </c>
      <c r="AB504" s="14">
        <f t="shared" si="793"/>
        <v>3512.25</v>
      </c>
      <c r="AC504" s="11">
        <f t="shared" ref="AC504:AC512" si="796">0-Y504-AA504</f>
        <v>0</v>
      </c>
      <c r="AD504" s="215"/>
      <c r="AE504" s="11">
        <f t="shared" ref="AE504:AE508" si="797">AB504-(X504+Z504)</f>
        <v>-976.375</v>
      </c>
      <c r="AF504" s="211">
        <f>SUM(AE504:AE512)</f>
        <v>-8008.5</v>
      </c>
      <c r="AG504" s="8"/>
    </row>
    <row r="505" spans="1:33" x14ac:dyDescent="0.45">
      <c r="A505" s="22">
        <f>A504</f>
        <v>44542</v>
      </c>
      <c r="B505" s="15" t="s">
        <v>4</v>
      </c>
      <c r="C505" s="48">
        <f>80*W505</f>
        <v>2000</v>
      </c>
      <c r="D505" s="13">
        <v>80</v>
      </c>
      <c r="E505" s="13">
        <v>21.75</v>
      </c>
      <c r="F505" s="13">
        <v>8.5</v>
      </c>
      <c r="G505" s="13">
        <v>13</v>
      </c>
      <c r="H505" s="13">
        <v>0</v>
      </c>
      <c r="I505" s="13">
        <v>0</v>
      </c>
      <c r="J505" s="13">
        <v>0</v>
      </c>
      <c r="K505" s="13">
        <v>0</v>
      </c>
      <c r="L505" s="45">
        <v>1000</v>
      </c>
      <c r="M505" s="34"/>
      <c r="N505" s="13">
        <v>80</v>
      </c>
      <c r="O505" s="13">
        <v>21</v>
      </c>
      <c r="P505" s="13">
        <v>10.25</v>
      </c>
      <c r="Q505" s="13">
        <v>13.5</v>
      </c>
      <c r="R505" s="34"/>
      <c r="S505" s="13">
        <f t="shared" si="789"/>
        <v>123.25</v>
      </c>
      <c r="T505" s="13">
        <f t="shared" si="794"/>
        <v>124.75</v>
      </c>
      <c r="U505" s="13">
        <f>SUM(H505:K505)</f>
        <v>0</v>
      </c>
      <c r="V505" s="34"/>
      <c r="W505" s="45">
        <v>25</v>
      </c>
      <c r="X505" s="10">
        <f t="shared" si="791"/>
        <v>3565.625</v>
      </c>
      <c r="Y505" s="10">
        <f t="shared" si="787"/>
        <v>0</v>
      </c>
      <c r="Z505" s="10">
        <f t="shared" si="792"/>
        <v>1000</v>
      </c>
      <c r="AA505" s="14">
        <f t="shared" si="795"/>
        <v>0</v>
      </c>
      <c r="AB505" s="14">
        <f t="shared" si="793"/>
        <v>3637.5</v>
      </c>
      <c r="AC505" s="11">
        <f t="shared" si="796"/>
        <v>0</v>
      </c>
      <c r="AD505" s="215"/>
      <c r="AE505" s="11">
        <f t="shared" si="797"/>
        <v>-928.125</v>
      </c>
      <c r="AF505" s="212"/>
      <c r="AG505" s="8"/>
    </row>
    <row r="506" spans="1:33" x14ac:dyDescent="0.45">
      <c r="A506" s="22">
        <f t="shared" ref="A506:A511" si="798">A505</f>
        <v>44542</v>
      </c>
      <c r="B506" s="15" t="s">
        <v>5</v>
      </c>
      <c r="C506" s="48">
        <f>120*W506</f>
        <v>3360</v>
      </c>
      <c r="D506" s="13">
        <v>80</v>
      </c>
      <c r="E506" s="13">
        <v>30</v>
      </c>
      <c r="F506" s="13">
        <v>12</v>
      </c>
      <c r="G506" s="13">
        <v>18.75</v>
      </c>
      <c r="H506" s="13">
        <v>0</v>
      </c>
      <c r="I506" s="13">
        <v>0</v>
      </c>
      <c r="J506" s="13">
        <v>0</v>
      </c>
      <c r="K506" s="13">
        <v>0</v>
      </c>
      <c r="L506" s="45">
        <v>1000</v>
      </c>
      <c r="M506" s="34"/>
      <c r="N506" s="13">
        <v>80</v>
      </c>
      <c r="O506" s="13">
        <v>30</v>
      </c>
      <c r="P506" s="13">
        <v>12</v>
      </c>
      <c r="Q506" s="13">
        <v>18.75</v>
      </c>
      <c r="R506" s="34"/>
      <c r="S506" s="13">
        <f t="shared" si="789"/>
        <v>140.75</v>
      </c>
      <c r="T506" s="13">
        <f t="shared" si="794"/>
        <v>140.75</v>
      </c>
      <c r="U506" s="13">
        <f t="shared" ref="U506:U508" si="799">SUM(H506:K506)</f>
        <v>0</v>
      </c>
      <c r="V506" s="34"/>
      <c r="W506" s="45">
        <v>28</v>
      </c>
      <c r="X506" s="10">
        <f t="shared" si="791"/>
        <v>4697</v>
      </c>
      <c r="Y506" s="10">
        <f t="shared" si="787"/>
        <v>0</v>
      </c>
      <c r="Z506" s="10">
        <f t="shared" si="792"/>
        <v>1000</v>
      </c>
      <c r="AA506" s="14">
        <f t="shared" si="795"/>
        <v>0</v>
      </c>
      <c r="AB506" s="14">
        <f t="shared" si="793"/>
        <v>4697</v>
      </c>
      <c r="AC506" s="11">
        <f t="shared" si="796"/>
        <v>0</v>
      </c>
      <c r="AD506" s="215"/>
      <c r="AE506" s="11">
        <f t="shared" si="797"/>
        <v>-1000</v>
      </c>
      <c r="AF506" s="212"/>
      <c r="AG506" s="8"/>
    </row>
    <row r="507" spans="1:33" x14ac:dyDescent="0.45">
      <c r="A507" s="22">
        <f t="shared" si="798"/>
        <v>44542</v>
      </c>
      <c r="B507" s="15" t="s">
        <v>6</v>
      </c>
      <c r="C507" s="48">
        <f>80*W507</f>
        <v>2056</v>
      </c>
      <c r="D507" s="13">
        <v>80</v>
      </c>
      <c r="E507" s="13">
        <v>22.5</v>
      </c>
      <c r="F507" s="13">
        <v>0</v>
      </c>
      <c r="G507" s="13">
        <v>0</v>
      </c>
      <c r="H507" s="13">
        <v>0</v>
      </c>
      <c r="I507" s="13">
        <v>0</v>
      </c>
      <c r="J507" s="13">
        <v>0</v>
      </c>
      <c r="K507" s="13">
        <v>0</v>
      </c>
      <c r="L507" s="45">
        <v>1000</v>
      </c>
      <c r="M507" s="34"/>
      <c r="N507" s="13">
        <v>80</v>
      </c>
      <c r="O507" s="13">
        <v>22.5</v>
      </c>
      <c r="P507" s="13">
        <v>0</v>
      </c>
      <c r="Q507" s="13">
        <v>0</v>
      </c>
      <c r="R507" s="34"/>
      <c r="S507" s="13">
        <f t="shared" si="789"/>
        <v>102.5</v>
      </c>
      <c r="T507" s="13">
        <f t="shared" si="794"/>
        <v>102.5</v>
      </c>
      <c r="U507" s="13">
        <f t="shared" si="799"/>
        <v>0</v>
      </c>
      <c r="V507" s="34"/>
      <c r="W507" s="45">
        <v>25.7</v>
      </c>
      <c r="X507" s="10">
        <f>(W507*1*D507)+(W507*1.5*E507)+(W507*2*F507)+(W507*1*G507)</f>
        <v>2923.375</v>
      </c>
      <c r="Y507" s="10">
        <f t="shared" si="787"/>
        <v>0</v>
      </c>
      <c r="Z507" s="10">
        <f t="shared" si="792"/>
        <v>1000</v>
      </c>
      <c r="AA507" s="14">
        <f t="shared" si="795"/>
        <v>0</v>
      </c>
      <c r="AB507" s="14">
        <f t="shared" si="793"/>
        <v>2923.375</v>
      </c>
      <c r="AC507" s="11">
        <f t="shared" si="796"/>
        <v>0</v>
      </c>
      <c r="AD507" s="215"/>
      <c r="AE507" s="11">
        <f t="shared" si="797"/>
        <v>-1000</v>
      </c>
      <c r="AF507" s="212"/>
      <c r="AG507" s="8"/>
    </row>
    <row r="508" spans="1:33" x14ac:dyDescent="0.45">
      <c r="A508" s="22">
        <f>A507</f>
        <v>44542</v>
      </c>
      <c r="B508" s="15" t="s">
        <v>9</v>
      </c>
      <c r="C508" s="48">
        <f>120*W508</f>
        <v>3420</v>
      </c>
      <c r="D508" s="13">
        <v>80</v>
      </c>
      <c r="E508" s="13">
        <v>0</v>
      </c>
      <c r="F508" s="13">
        <v>8</v>
      </c>
      <c r="G508" s="13">
        <v>1</v>
      </c>
      <c r="H508" s="13">
        <v>0</v>
      </c>
      <c r="I508" s="13">
        <v>0</v>
      </c>
      <c r="J508" s="13">
        <v>0</v>
      </c>
      <c r="K508" s="13">
        <v>0</v>
      </c>
      <c r="L508" s="45">
        <v>1000</v>
      </c>
      <c r="M508" s="34"/>
      <c r="N508" s="13">
        <v>80</v>
      </c>
      <c r="O508" s="13">
        <v>8</v>
      </c>
      <c r="P508" s="13">
        <v>0</v>
      </c>
      <c r="Q508" s="13">
        <v>1</v>
      </c>
      <c r="R508" s="34"/>
      <c r="S508" s="13">
        <f t="shared" si="789"/>
        <v>89</v>
      </c>
      <c r="T508" s="13">
        <f t="shared" si="794"/>
        <v>89</v>
      </c>
      <c r="U508" s="13">
        <f t="shared" si="799"/>
        <v>0</v>
      </c>
      <c r="V508" s="34"/>
      <c r="W508" s="45">
        <v>28.5</v>
      </c>
      <c r="X508" s="10">
        <f t="shared" ref="X508" si="800">(W508*1*D508)+(W508*1.5*E508)+(W508*2*F508)+(W508*1*G508)</f>
        <v>2764.5</v>
      </c>
      <c r="Y508" s="10">
        <f>(W508*0*H508)+(W508*1*I508)</f>
        <v>0</v>
      </c>
      <c r="Z508" s="10">
        <f t="shared" si="792"/>
        <v>1000</v>
      </c>
      <c r="AA508" s="14">
        <f t="shared" si="795"/>
        <v>0</v>
      </c>
      <c r="AB508" s="14">
        <f t="shared" si="793"/>
        <v>2650.5</v>
      </c>
      <c r="AC508" s="11">
        <f t="shared" si="796"/>
        <v>0</v>
      </c>
      <c r="AD508" s="215"/>
      <c r="AE508" s="11">
        <f t="shared" si="797"/>
        <v>-1114</v>
      </c>
      <c r="AF508" s="212"/>
      <c r="AG508" s="8"/>
    </row>
    <row r="509" spans="1:33" x14ac:dyDescent="0.45">
      <c r="A509" s="22">
        <f t="shared" si="798"/>
        <v>44542</v>
      </c>
      <c r="B509" s="50" t="s">
        <v>31</v>
      </c>
      <c r="C509" s="48">
        <f>80*W509</f>
        <v>2160</v>
      </c>
      <c r="D509" s="51">
        <v>80</v>
      </c>
      <c r="E509" s="51">
        <v>27.75</v>
      </c>
      <c r="F509" s="51">
        <v>0</v>
      </c>
      <c r="G509" s="51">
        <v>6.5</v>
      </c>
      <c r="H509" s="51">
        <v>0</v>
      </c>
      <c r="I509" s="51">
        <v>0</v>
      </c>
      <c r="J509" s="51">
        <v>0</v>
      </c>
      <c r="K509" s="51">
        <v>0</v>
      </c>
      <c r="L509" s="52">
        <v>1000</v>
      </c>
      <c r="M509" s="34"/>
      <c r="N509" s="13">
        <v>80</v>
      </c>
      <c r="O509" s="13">
        <v>27.75</v>
      </c>
      <c r="P509" s="13">
        <v>0</v>
      </c>
      <c r="Q509" s="13">
        <v>6.5</v>
      </c>
      <c r="R509" s="34"/>
      <c r="S509" s="51">
        <f t="shared" ref="S509" si="801">SUM(D509:G509)</f>
        <v>114.25</v>
      </c>
      <c r="T509" s="51">
        <f t="shared" si="794"/>
        <v>114.25</v>
      </c>
      <c r="U509" s="51">
        <f t="shared" ref="U509" si="802">SUM(H509:K509)</f>
        <v>0</v>
      </c>
      <c r="V509" s="34"/>
      <c r="W509" s="52">
        <v>27</v>
      </c>
      <c r="X509" s="53">
        <f>(W509*1*D509)+(W509*1.5*E509)+(W509*2*F509)+(W509*1*G509)</f>
        <v>3459.375</v>
      </c>
      <c r="Y509" s="53">
        <f t="shared" ref="Y509:Y516" si="803">(W509*0*H509)+(W509*1*I509)</f>
        <v>0</v>
      </c>
      <c r="Z509" s="53">
        <f>(W509*1*J509)+L509</f>
        <v>1000</v>
      </c>
      <c r="AA509" s="54">
        <f t="shared" si="795"/>
        <v>0</v>
      </c>
      <c r="AB509" s="54">
        <f>(W509*1*N509)+(W509*1.5*O509)+(W509*2*P509)+(W509*1*Q509)</f>
        <v>3459.375</v>
      </c>
      <c r="AC509" s="55">
        <f t="shared" si="796"/>
        <v>0</v>
      </c>
      <c r="AD509" s="217"/>
      <c r="AE509" s="55">
        <f>AB509-(X509+Z509)</f>
        <v>-1000</v>
      </c>
      <c r="AF509" s="212"/>
      <c r="AG509" s="8"/>
    </row>
    <row r="510" spans="1:33" x14ac:dyDescent="0.45">
      <c r="A510" s="22">
        <f t="shared" si="798"/>
        <v>44542</v>
      </c>
      <c r="B510" s="50" t="s">
        <v>51</v>
      </c>
      <c r="C510" s="48">
        <f t="shared" ref="C510:C512" si="804">80*W510</f>
        <v>1600</v>
      </c>
      <c r="D510" s="51">
        <v>80</v>
      </c>
      <c r="E510" s="51">
        <v>34.5</v>
      </c>
      <c r="F510" s="51">
        <v>0</v>
      </c>
      <c r="G510" s="51">
        <v>0</v>
      </c>
      <c r="H510" s="51">
        <v>0</v>
      </c>
      <c r="I510" s="51">
        <v>0</v>
      </c>
      <c r="J510" s="51">
        <v>0</v>
      </c>
      <c r="K510" s="51">
        <v>0</v>
      </c>
      <c r="L510" s="52">
        <v>1000</v>
      </c>
      <c r="M510" s="34"/>
      <c r="N510" s="51">
        <v>80</v>
      </c>
      <c r="O510" s="51">
        <v>33.5</v>
      </c>
      <c r="P510" s="51">
        <v>1</v>
      </c>
      <c r="Q510" s="51">
        <v>0</v>
      </c>
      <c r="R510" s="34"/>
      <c r="S510" s="51">
        <f t="shared" ref="S510:S517" si="805">SUM(D510:G510)</f>
        <v>114.5</v>
      </c>
      <c r="T510" s="51">
        <f>SUM(N510:Q510)</f>
        <v>114.5</v>
      </c>
      <c r="U510" s="51">
        <f t="shared" ref="U510:U513" si="806">SUM(H510:K510)</f>
        <v>0</v>
      </c>
      <c r="V510" s="34"/>
      <c r="W510" s="52">
        <v>20</v>
      </c>
      <c r="X510" s="53">
        <f t="shared" ref="X510:X515" si="807">(W510*1*D510)+(W510*1.5*E510)+(W510*2*F510)+(W510*1*G510)</f>
        <v>2635</v>
      </c>
      <c r="Y510" s="53">
        <f t="shared" si="803"/>
        <v>0</v>
      </c>
      <c r="Z510" s="53">
        <f t="shared" ref="Z510:Z517" si="808">(W510*1*J510)+L510</f>
        <v>1000</v>
      </c>
      <c r="AA510" s="54">
        <f t="shared" si="795"/>
        <v>0</v>
      </c>
      <c r="AB510" s="54">
        <f t="shared" ref="AB510:AB517" si="809">(W510*1*N510)+(W510*1.5*O510)+(W510*2*P510)+(W510*1*Q510)</f>
        <v>2645</v>
      </c>
      <c r="AC510" s="55">
        <f t="shared" si="796"/>
        <v>0</v>
      </c>
      <c r="AD510" s="217"/>
      <c r="AE510" s="55">
        <f>AB510-(X510+Z510)</f>
        <v>-990</v>
      </c>
      <c r="AF510" s="212"/>
      <c r="AG510" s="8"/>
    </row>
    <row r="511" spans="1:33" x14ac:dyDescent="0.45">
      <c r="A511" s="22">
        <f t="shared" si="798"/>
        <v>44542</v>
      </c>
      <c r="B511" s="50" t="s">
        <v>53</v>
      </c>
      <c r="C511" s="48">
        <f t="shared" si="804"/>
        <v>1600</v>
      </c>
      <c r="D511" s="51">
        <v>80</v>
      </c>
      <c r="E511" s="51">
        <v>42</v>
      </c>
      <c r="F511" s="51">
        <v>0</v>
      </c>
      <c r="G511" s="51">
        <v>0</v>
      </c>
      <c r="H511" s="51">
        <v>0</v>
      </c>
      <c r="I511" s="51">
        <v>0</v>
      </c>
      <c r="J511" s="51">
        <v>0</v>
      </c>
      <c r="K511" s="51">
        <v>0</v>
      </c>
      <c r="L511" s="52">
        <v>500</v>
      </c>
      <c r="M511" s="34"/>
      <c r="N511" s="51">
        <v>80</v>
      </c>
      <c r="O511" s="51">
        <v>42</v>
      </c>
      <c r="P511" s="51">
        <v>0</v>
      </c>
      <c r="Q511" s="51">
        <v>0</v>
      </c>
      <c r="R511" s="34"/>
      <c r="S511" s="51">
        <f t="shared" si="805"/>
        <v>122</v>
      </c>
      <c r="T511" s="51">
        <f>SUM(N511:Q511)</f>
        <v>122</v>
      </c>
      <c r="U511" s="51">
        <f t="shared" si="806"/>
        <v>0</v>
      </c>
      <c r="V511" s="34"/>
      <c r="W511" s="52">
        <v>20</v>
      </c>
      <c r="X511" s="53">
        <f t="shared" si="807"/>
        <v>2860</v>
      </c>
      <c r="Y511" s="53">
        <f t="shared" si="803"/>
        <v>0</v>
      </c>
      <c r="Z511" s="53">
        <f t="shared" si="808"/>
        <v>500</v>
      </c>
      <c r="AA511" s="54">
        <f t="shared" si="795"/>
        <v>0</v>
      </c>
      <c r="AB511" s="54">
        <f t="shared" si="809"/>
        <v>2860</v>
      </c>
      <c r="AC511" s="55">
        <f t="shared" si="796"/>
        <v>0</v>
      </c>
      <c r="AD511" s="217"/>
      <c r="AE511" s="55">
        <f>AB511-(X511+Z511)</f>
        <v>-500</v>
      </c>
      <c r="AF511" s="212"/>
      <c r="AG511" s="8"/>
    </row>
    <row r="512" spans="1:33" ht="14.65" thickBot="1" x14ac:dyDescent="0.5">
      <c r="A512" s="23">
        <f>A510</f>
        <v>44542</v>
      </c>
      <c r="B512" s="24" t="s">
        <v>54</v>
      </c>
      <c r="C512" s="49">
        <f t="shared" si="804"/>
        <v>1600</v>
      </c>
      <c r="D512" s="25">
        <v>80</v>
      </c>
      <c r="E512" s="25">
        <v>43.25</v>
      </c>
      <c r="F512" s="25">
        <v>8</v>
      </c>
      <c r="G512" s="25">
        <v>6.5</v>
      </c>
      <c r="H512" s="25">
        <v>0</v>
      </c>
      <c r="I512" s="25">
        <v>0</v>
      </c>
      <c r="J512" s="25">
        <v>0</v>
      </c>
      <c r="K512" s="25">
        <v>0</v>
      </c>
      <c r="L512" s="46">
        <v>500</v>
      </c>
      <c r="M512" s="35"/>
      <c r="N512" s="25">
        <v>80</v>
      </c>
      <c r="O512" s="25">
        <v>43.25</v>
      </c>
      <c r="P512" s="25">
        <v>8</v>
      </c>
      <c r="Q512" s="25">
        <v>6.5</v>
      </c>
      <c r="R512" s="35"/>
      <c r="S512" s="25">
        <f t="shared" si="805"/>
        <v>137.75</v>
      </c>
      <c r="T512" s="25">
        <f t="shared" ref="T512:T518" si="810">SUM(N512:Q512)</f>
        <v>137.75</v>
      </c>
      <c r="U512" s="25">
        <f t="shared" si="806"/>
        <v>0</v>
      </c>
      <c r="V512" s="35"/>
      <c r="W512" s="46">
        <v>20</v>
      </c>
      <c r="X512" s="26">
        <f t="shared" si="807"/>
        <v>3347.5</v>
      </c>
      <c r="Y512" s="26">
        <f t="shared" si="803"/>
        <v>0</v>
      </c>
      <c r="Z512" s="26">
        <f t="shared" si="808"/>
        <v>500</v>
      </c>
      <c r="AA512" s="27">
        <f t="shared" si="795"/>
        <v>0</v>
      </c>
      <c r="AB512" s="27">
        <f t="shared" si="809"/>
        <v>3347.5</v>
      </c>
      <c r="AC512" s="12">
        <f t="shared" si="796"/>
        <v>0</v>
      </c>
      <c r="AD512" s="216"/>
      <c r="AE512" s="12">
        <f>AB512-(X512+Z512)</f>
        <v>-500</v>
      </c>
      <c r="AF512" s="213"/>
      <c r="AG512" s="8"/>
    </row>
    <row r="513" spans="1:33" x14ac:dyDescent="0.45">
      <c r="A513" s="22">
        <f>A512+14</f>
        <v>44556</v>
      </c>
      <c r="B513" s="15" t="s">
        <v>30</v>
      </c>
      <c r="C513" s="48">
        <f>120*W513</f>
        <v>3780</v>
      </c>
      <c r="D513" s="13">
        <v>72</v>
      </c>
      <c r="E513" s="13">
        <v>21</v>
      </c>
      <c r="F513" s="13">
        <v>0</v>
      </c>
      <c r="G513" s="13">
        <v>0</v>
      </c>
      <c r="H513" s="13">
        <v>0</v>
      </c>
      <c r="I513" s="13">
        <v>0</v>
      </c>
      <c r="J513" s="13">
        <v>8</v>
      </c>
      <c r="K513" s="13">
        <v>0</v>
      </c>
      <c r="L513" s="45">
        <v>0</v>
      </c>
      <c r="M513" s="34"/>
      <c r="N513" s="13">
        <v>72</v>
      </c>
      <c r="O513" s="13">
        <v>21.5</v>
      </c>
      <c r="P513" s="13">
        <v>0</v>
      </c>
      <c r="Q513" s="13">
        <v>0</v>
      </c>
      <c r="R513" s="34"/>
      <c r="S513" s="13">
        <f t="shared" si="805"/>
        <v>93</v>
      </c>
      <c r="T513" s="13">
        <f t="shared" si="810"/>
        <v>93.5</v>
      </c>
      <c r="U513" s="13">
        <f t="shared" si="806"/>
        <v>8</v>
      </c>
      <c r="V513" s="34"/>
      <c r="W513" s="45">
        <v>31.5</v>
      </c>
      <c r="X513" s="10">
        <f t="shared" si="807"/>
        <v>3260.25</v>
      </c>
      <c r="Y513" s="10">
        <f t="shared" si="803"/>
        <v>0</v>
      </c>
      <c r="Z513" s="10">
        <f t="shared" si="808"/>
        <v>252</v>
      </c>
      <c r="AA513" s="14">
        <f t="shared" ref="AA513:AA521" si="811">(W513*1*K513)</f>
        <v>0</v>
      </c>
      <c r="AB513" s="14">
        <f t="shared" si="809"/>
        <v>3283.875</v>
      </c>
      <c r="AC513" s="11">
        <f t="shared" ref="AC513:AC521" si="812">0-Y513-AA513</f>
        <v>0</v>
      </c>
      <c r="AD513" s="215"/>
      <c r="AE513" s="11">
        <f t="shared" ref="AE513:AE517" si="813">AB513-(X513+Z513)</f>
        <v>-228.375</v>
      </c>
      <c r="AF513" s="211">
        <f>SUM(AE513:AE521)</f>
        <v>-1447.3125000000005</v>
      </c>
      <c r="AG513" s="8"/>
    </row>
    <row r="514" spans="1:33" x14ac:dyDescent="0.45">
      <c r="A514" s="22">
        <f>A513</f>
        <v>44556</v>
      </c>
      <c r="B514" s="15" t="s">
        <v>4</v>
      </c>
      <c r="C514" s="48">
        <f>80*W514</f>
        <v>2000</v>
      </c>
      <c r="D514" s="13">
        <v>72</v>
      </c>
      <c r="E514" s="13">
        <v>30.5</v>
      </c>
      <c r="F514" s="13">
        <v>0</v>
      </c>
      <c r="G514" s="13">
        <v>0</v>
      </c>
      <c r="H514" s="13">
        <v>0</v>
      </c>
      <c r="I514" s="13">
        <v>0</v>
      </c>
      <c r="J514" s="13">
        <v>8</v>
      </c>
      <c r="K514" s="13">
        <v>0</v>
      </c>
      <c r="L514" s="45">
        <v>0</v>
      </c>
      <c r="M514" s="34"/>
      <c r="N514" s="13">
        <v>72</v>
      </c>
      <c r="O514" s="13">
        <v>31.25</v>
      </c>
      <c r="P514" s="13">
        <v>0</v>
      </c>
      <c r="Q514" s="13">
        <v>0</v>
      </c>
      <c r="R514" s="34"/>
      <c r="S514" s="13">
        <f t="shared" si="805"/>
        <v>102.5</v>
      </c>
      <c r="T514" s="13">
        <f t="shared" si="810"/>
        <v>103.25</v>
      </c>
      <c r="U514" s="13">
        <f>SUM(H514:K514)</f>
        <v>8</v>
      </c>
      <c r="V514" s="34"/>
      <c r="W514" s="45">
        <v>25</v>
      </c>
      <c r="X514" s="10">
        <f t="shared" si="807"/>
        <v>2943.75</v>
      </c>
      <c r="Y514" s="10">
        <f t="shared" si="803"/>
        <v>0</v>
      </c>
      <c r="Z514" s="10">
        <f t="shared" si="808"/>
        <v>200</v>
      </c>
      <c r="AA514" s="14">
        <f t="shared" si="811"/>
        <v>0</v>
      </c>
      <c r="AB514" s="14">
        <f t="shared" si="809"/>
        <v>2971.875</v>
      </c>
      <c r="AC514" s="11">
        <f t="shared" si="812"/>
        <v>0</v>
      </c>
      <c r="AD514" s="215"/>
      <c r="AE514" s="11">
        <f t="shared" si="813"/>
        <v>-171.875</v>
      </c>
      <c r="AF514" s="212"/>
      <c r="AG514" s="8"/>
    </row>
    <row r="515" spans="1:33" x14ac:dyDescent="0.45">
      <c r="A515" s="22">
        <f t="shared" ref="A515:A520" si="814">A514</f>
        <v>44556</v>
      </c>
      <c r="B515" s="15" t="s">
        <v>5</v>
      </c>
      <c r="C515" s="48">
        <f>120*W515</f>
        <v>3360</v>
      </c>
      <c r="D515" s="13">
        <v>72</v>
      </c>
      <c r="E515" s="13">
        <v>4</v>
      </c>
      <c r="F515" s="13">
        <v>0</v>
      </c>
      <c r="G515" s="13">
        <v>0</v>
      </c>
      <c r="H515" s="13">
        <v>0</v>
      </c>
      <c r="I515" s="13">
        <v>0</v>
      </c>
      <c r="J515" s="13">
        <v>8</v>
      </c>
      <c r="K515" s="13">
        <v>0</v>
      </c>
      <c r="L515" s="45">
        <v>0</v>
      </c>
      <c r="M515" s="34"/>
      <c r="N515" s="13">
        <v>72</v>
      </c>
      <c r="O515" s="13">
        <v>4</v>
      </c>
      <c r="P515" s="13">
        <v>0</v>
      </c>
      <c r="Q515" s="13">
        <v>0</v>
      </c>
      <c r="R515" s="34"/>
      <c r="S515" s="13">
        <f t="shared" si="805"/>
        <v>76</v>
      </c>
      <c r="T515" s="13">
        <f t="shared" si="810"/>
        <v>76</v>
      </c>
      <c r="U515" s="13">
        <f t="shared" ref="U515:U517" si="815">SUM(H515:K515)</f>
        <v>8</v>
      </c>
      <c r="V515" s="34"/>
      <c r="W515" s="45">
        <v>28</v>
      </c>
      <c r="X515" s="10">
        <f t="shared" si="807"/>
        <v>2184</v>
      </c>
      <c r="Y515" s="10">
        <f t="shared" si="803"/>
        <v>0</v>
      </c>
      <c r="Z515" s="10">
        <f t="shared" si="808"/>
        <v>224</v>
      </c>
      <c r="AA515" s="14">
        <f t="shared" si="811"/>
        <v>0</v>
      </c>
      <c r="AB515" s="14">
        <f t="shared" si="809"/>
        <v>2184</v>
      </c>
      <c r="AC515" s="11">
        <f t="shared" si="812"/>
        <v>0</v>
      </c>
      <c r="AD515" s="215"/>
      <c r="AE515" s="11">
        <f t="shared" si="813"/>
        <v>-224</v>
      </c>
      <c r="AF515" s="212"/>
      <c r="AG515" s="8"/>
    </row>
    <row r="516" spans="1:33" x14ac:dyDescent="0.45">
      <c r="A516" s="22">
        <f t="shared" si="814"/>
        <v>44556</v>
      </c>
      <c r="B516" s="15" t="s">
        <v>6</v>
      </c>
      <c r="C516" s="48">
        <f>80*W516</f>
        <v>2056</v>
      </c>
      <c r="D516" s="13">
        <v>72</v>
      </c>
      <c r="E516" s="13">
        <v>27</v>
      </c>
      <c r="F516" s="13">
        <v>0</v>
      </c>
      <c r="G516" s="13">
        <v>0</v>
      </c>
      <c r="H516" s="13">
        <v>0</v>
      </c>
      <c r="I516" s="13">
        <v>0</v>
      </c>
      <c r="J516" s="13">
        <v>8</v>
      </c>
      <c r="K516" s="13">
        <v>0</v>
      </c>
      <c r="L516" s="45">
        <v>0</v>
      </c>
      <c r="M516" s="34"/>
      <c r="N516" s="13">
        <v>72</v>
      </c>
      <c r="O516" s="13">
        <v>27.75</v>
      </c>
      <c r="P516" s="13">
        <v>0</v>
      </c>
      <c r="Q516" s="13">
        <v>0</v>
      </c>
      <c r="R516" s="34"/>
      <c r="S516" s="13">
        <f t="shared" si="805"/>
        <v>99</v>
      </c>
      <c r="T516" s="13">
        <f t="shared" si="810"/>
        <v>99.75</v>
      </c>
      <c r="U516" s="13">
        <f t="shared" si="815"/>
        <v>8</v>
      </c>
      <c r="V516" s="34"/>
      <c r="W516" s="45">
        <v>25.7</v>
      </c>
      <c r="X516" s="10">
        <f>(W516*1*D516)+(W516*1.5*E516)+(W516*2*F516)+(W516*1*G516)</f>
        <v>2891.25</v>
      </c>
      <c r="Y516" s="10">
        <f t="shared" si="803"/>
        <v>0</v>
      </c>
      <c r="Z516" s="10">
        <f t="shared" si="808"/>
        <v>205.6</v>
      </c>
      <c r="AA516" s="14">
        <f t="shared" si="811"/>
        <v>0</v>
      </c>
      <c r="AB516" s="14">
        <f t="shared" si="809"/>
        <v>2920.1624999999995</v>
      </c>
      <c r="AC516" s="11">
        <f t="shared" si="812"/>
        <v>0</v>
      </c>
      <c r="AD516" s="215"/>
      <c r="AE516" s="11">
        <f t="shared" si="813"/>
        <v>-176.68750000000045</v>
      </c>
      <c r="AF516" s="212"/>
      <c r="AG516" s="8"/>
    </row>
    <row r="517" spans="1:33" x14ac:dyDescent="0.45">
      <c r="A517" s="22">
        <f>A516</f>
        <v>44556</v>
      </c>
      <c r="B517" s="15" t="s">
        <v>9</v>
      </c>
      <c r="C517" s="48">
        <f>120*W517</f>
        <v>3420</v>
      </c>
      <c r="D517" s="13">
        <v>72</v>
      </c>
      <c r="E517" s="13">
        <v>5</v>
      </c>
      <c r="F517" s="13">
        <v>0</v>
      </c>
      <c r="G517" s="13">
        <v>0</v>
      </c>
      <c r="H517" s="13">
        <v>0</v>
      </c>
      <c r="I517" s="13">
        <v>0</v>
      </c>
      <c r="J517" s="13">
        <v>8</v>
      </c>
      <c r="K517" s="13">
        <v>0</v>
      </c>
      <c r="L517" s="45">
        <v>0</v>
      </c>
      <c r="M517" s="34"/>
      <c r="N517" s="13">
        <v>72</v>
      </c>
      <c r="O517" s="13">
        <v>10.5</v>
      </c>
      <c r="P517" s="13">
        <v>0</v>
      </c>
      <c r="Q517" s="13">
        <v>0</v>
      </c>
      <c r="R517" s="34"/>
      <c r="S517" s="13">
        <f t="shared" si="805"/>
        <v>77</v>
      </c>
      <c r="T517" s="13">
        <f t="shared" si="810"/>
        <v>82.5</v>
      </c>
      <c r="U517" s="13">
        <f t="shared" si="815"/>
        <v>8</v>
      </c>
      <c r="V517" s="34"/>
      <c r="W517" s="45">
        <v>28.5</v>
      </c>
      <c r="X517" s="10">
        <f t="shared" ref="X517" si="816">(W517*1*D517)+(W517*1.5*E517)+(W517*2*F517)+(W517*1*G517)</f>
        <v>2265.75</v>
      </c>
      <c r="Y517" s="10">
        <f>(W517*0*H517)+(W517*1*I517)</f>
        <v>0</v>
      </c>
      <c r="Z517" s="10">
        <f t="shared" si="808"/>
        <v>228</v>
      </c>
      <c r="AA517" s="14">
        <f t="shared" si="811"/>
        <v>0</v>
      </c>
      <c r="AB517" s="14">
        <f t="shared" si="809"/>
        <v>2500.875</v>
      </c>
      <c r="AC517" s="11">
        <f t="shared" si="812"/>
        <v>0</v>
      </c>
      <c r="AD517" s="215"/>
      <c r="AE517" s="11">
        <f t="shared" si="813"/>
        <v>7.125</v>
      </c>
      <c r="AF517" s="212"/>
      <c r="AG517" s="8"/>
    </row>
    <row r="518" spans="1:33" x14ac:dyDescent="0.45">
      <c r="A518" s="22">
        <f t="shared" si="814"/>
        <v>44556</v>
      </c>
      <c r="B518" s="50" t="s">
        <v>31</v>
      </c>
      <c r="C518" s="48">
        <f>80*W518</f>
        <v>2160</v>
      </c>
      <c r="D518" s="51">
        <v>72</v>
      </c>
      <c r="E518" s="51">
        <v>16.25</v>
      </c>
      <c r="F518" s="51">
        <v>0</v>
      </c>
      <c r="G518" s="51">
        <v>0</v>
      </c>
      <c r="H518" s="51">
        <v>0</v>
      </c>
      <c r="I518" s="51">
        <v>0</v>
      </c>
      <c r="J518" s="51">
        <v>8</v>
      </c>
      <c r="K518" s="51">
        <v>0</v>
      </c>
      <c r="L518" s="52">
        <v>0</v>
      </c>
      <c r="M518" s="34"/>
      <c r="N518" s="13">
        <v>72</v>
      </c>
      <c r="O518" s="13">
        <v>16.25</v>
      </c>
      <c r="P518" s="13">
        <v>0</v>
      </c>
      <c r="Q518" s="13">
        <v>0</v>
      </c>
      <c r="R518" s="34"/>
      <c r="S518" s="51">
        <f t="shared" ref="S518" si="817">SUM(D518:G518)</f>
        <v>88.25</v>
      </c>
      <c r="T518" s="51">
        <f t="shared" si="810"/>
        <v>88.25</v>
      </c>
      <c r="U518" s="51">
        <f t="shared" ref="U518" si="818">SUM(H518:K518)</f>
        <v>8</v>
      </c>
      <c r="V518" s="34"/>
      <c r="W518" s="52">
        <v>27</v>
      </c>
      <c r="X518" s="53">
        <f>(W518*1*D518)+(W518*1.5*E518)+(W518*2*F518)+(W518*1*G518)</f>
        <v>2602.125</v>
      </c>
      <c r="Y518" s="53">
        <f t="shared" ref="Y518:Y525" si="819">(W518*0*H518)+(W518*1*I518)</f>
        <v>0</v>
      </c>
      <c r="Z518" s="53">
        <f>(W518*1*J518)+L518</f>
        <v>216</v>
      </c>
      <c r="AA518" s="54">
        <f t="shared" si="811"/>
        <v>0</v>
      </c>
      <c r="AB518" s="54">
        <f>(W518*1*N518)+(W518*1.5*O518)+(W518*2*P518)+(W518*1*Q518)</f>
        <v>2602.125</v>
      </c>
      <c r="AC518" s="55">
        <f t="shared" si="812"/>
        <v>0</v>
      </c>
      <c r="AD518" s="217"/>
      <c r="AE518" s="55">
        <f>AB518-(X518+Z518)</f>
        <v>-216</v>
      </c>
      <c r="AF518" s="212"/>
      <c r="AG518" s="8"/>
    </row>
    <row r="519" spans="1:33" x14ac:dyDescent="0.45">
      <c r="A519" s="22">
        <f t="shared" si="814"/>
        <v>44556</v>
      </c>
      <c r="B519" s="50" t="s">
        <v>51</v>
      </c>
      <c r="C519" s="48">
        <f t="shared" ref="C519:C521" si="820">80*W519</f>
        <v>1600</v>
      </c>
      <c r="D519" s="51">
        <v>72</v>
      </c>
      <c r="E519" s="51">
        <v>24.5</v>
      </c>
      <c r="F519" s="51">
        <v>0</v>
      </c>
      <c r="G519" s="51">
        <v>0</v>
      </c>
      <c r="H519" s="51">
        <v>0</v>
      </c>
      <c r="I519" s="51">
        <v>0</v>
      </c>
      <c r="J519" s="51">
        <v>8</v>
      </c>
      <c r="K519" s="51">
        <v>0</v>
      </c>
      <c r="L519" s="52">
        <v>0</v>
      </c>
      <c r="M519" s="34"/>
      <c r="N519" s="51">
        <v>72</v>
      </c>
      <c r="O519" s="51">
        <v>24.5</v>
      </c>
      <c r="P519" s="51">
        <v>0</v>
      </c>
      <c r="Q519" s="51">
        <v>0</v>
      </c>
      <c r="R519" s="34"/>
      <c r="S519" s="51">
        <f t="shared" ref="S519:S521" si="821">SUM(D519:G519)</f>
        <v>96.5</v>
      </c>
      <c r="T519" s="51">
        <f>SUM(N519:Q519)</f>
        <v>96.5</v>
      </c>
      <c r="U519" s="51">
        <f t="shared" ref="U519:U522" si="822">SUM(H519:K519)</f>
        <v>8</v>
      </c>
      <c r="V519" s="34"/>
      <c r="W519" s="52">
        <v>20</v>
      </c>
      <c r="X519" s="53">
        <f t="shared" ref="X519:X524" si="823">(W519*1*D519)+(W519*1.5*E519)+(W519*2*F519)+(W519*1*G519)</f>
        <v>2175</v>
      </c>
      <c r="Y519" s="53">
        <f t="shared" si="819"/>
        <v>0</v>
      </c>
      <c r="Z519" s="53">
        <f t="shared" ref="Z519:Z526" si="824">(W519*1*J519)+L519</f>
        <v>160</v>
      </c>
      <c r="AA519" s="54">
        <f t="shared" si="811"/>
        <v>0</v>
      </c>
      <c r="AB519" s="54">
        <f t="shared" ref="AB519:AB526" si="825">(W519*1*N519)+(W519*1.5*O519)+(W519*2*P519)+(W519*1*Q519)</f>
        <v>2175</v>
      </c>
      <c r="AC519" s="55">
        <f t="shared" si="812"/>
        <v>0</v>
      </c>
      <c r="AD519" s="217"/>
      <c r="AE519" s="55">
        <f>AB519-(X519+Z519)</f>
        <v>-160</v>
      </c>
      <c r="AF519" s="212"/>
      <c r="AG519" s="8"/>
    </row>
    <row r="520" spans="1:33" x14ac:dyDescent="0.45">
      <c r="A520" s="22">
        <f t="shared" si="814"/>
        <v>44556</v>
      </c>
      <c r="B520" s="50" t="s">
        <v>53</v>
      </c>
      <c r="C520" s="48">
        <f t="shared" si="820"/>
        <v>1600</v>
      </c>
      <c r="D520" s="51">
        <v>72</v>
      </c>
      <c r="E520" s="51">
        <v>23.5</v>
      </c>
      <c r="F520" s="51">
        <v>0</v>
      </c>
      <c r="G520" s="51">
        <v>0</v>
      </c>
      <c r="H520" s="51">
        <v>0</v>
      </c>
      <c r="I520" s="51">
        <v>0</v>
      </c>
      <c r="J520" s="51">
        <v>8</v>
      </c>
      <c r="K520" s="51">
        <v>0</v>
      </c>
      <c r="L520" s="52">
        <v>0</v>
      </c>
      <c r="M520" s="34"/>
      <c r="N520" s="51">
        <v>72</v>
      </c>
      <c r="O520" s="51">
        <v>23.5</v>
      </c>
      <c r="P520" s="51">
        <v>0</v>
      </c>
      <c r="Q520" s="51">
        <v>0</v>
      </c>
      <c r="R520" s="34"/>
      <c r="S520" s="51">
        <f t="shared" si="821"/>
        <v>95.5</v>
      </c>
      <c r="T520" s="51">
        <f>SUM(N520:Q520)</f>
        <v>95.5</v>
      </c>
      <c r="U520" s="51">
        <f t="shared" si="822"/>
        <v>8</v>
      </c>
      <c r="V520" s="34"/>
      <c r="W520" s="52">
        <v>20</v>
      </c>
      <c r="X520" s="53">
        <f t="shared" si="823"/>
        <v>2145</v>
      </c>
      <c r="Y520" s="53">
        <f t="shared" si="819"/>
        <v>0</v>
      </c>
      <c r="Z520" s="53">
        <f t="shared" si="824"/>
        <v>160</v>
      </c>
      <c r="AA520" s="54">
        <f t="shared" si="811"/>
        <v>0</v>
      </c>
      <c r="AB520" s="54">
        <f t="shared" si="825"/>
        <v>2145</v>
      </c>
      <c r="AC520" s="55">
        <f t="shared" si="812"/>
        <v>0</v>
      </c>
      <c r="AD520" s="217"/>
      <c r="AE520" s="55">
        <f>AB520-(X520+Z520)</f>
        <v>-160</v>
      </c>
      <c r="AF520" s="212"/>
      <c r="AG520" s="8"/>
    </row>
    <row r="521" spans="1:33" ht="14.65" thickBot="1" x14ac:dyDescent="0.5">
      <c r="A521" s="23">
        <f>A519</f>
        <v>44556</v>
      </c>
      <c r="B521" s="24" t="s">
        <v>54</v>
      </c>
      <c r="C521" s="49">
        <f t="shared" si="820"/>
        <v>1600</v>
      </c>
      <c r="D521" s="25">
        <v>72</v>
      </c>
      <c r="E521" s="25">
        <v>24.75</v>
      </c>
      <c r="F521" s="25">
        <v>7.5</v>
      </c>
      <c r="G521" s="25">
        <v>0</v>
      </c>
      <c r="H521" s="25">
        <v>0</v>
      </c>
      <c r="I521" s="25">
        <v>16</v>
      </c>
      <c r="J521" s="25">
        <v>8</v>
      </c>
      <c r="K521" s="25">
        <v>0</v>
      </c>
      <c r="L521" s="46">
        <v>0</v>
      </c>
      <c r="M521" s="35"/>
      <c r="N521" s="25">
        <v>72</v>
      </c>
      <c r="O521" s="25">
        <v>25.5</v>
      </c>
      <c r="P521" s="25">
        <v>8</v>
      </c>
      <c r="Q521" s="25">
        <v>0</v>
      </c>
      <c r="R521" s="35"/>
      <c r="S521" s="25">
        <f t="shared" si="821"/>
        <v>104.25</v>
      </c>
      <c r="T521" s="25">
        <f t="shared" ref="T521" si="826">SUM(N521:Q521)</f>
        <v>105.5</v>
      </c>
      <c r="U521" s="25">
        <f t="shared" si="822"/>
        <v>24</v>
      </c>
      <c r="V521" s="35"/>
      <c r="W521" s="46">
        <v>20</v>
      </c>
      <c r="X521" s="26">
        <f t="shared" si="823"/>
        <v>2482.5</v>
      </c>
      <c r="Y521" s="26">
        <f t="shared" si="819"/>
        <v>320</v>
      </c>
      <c r="Z521" s="26">
        <f t="shared" si="824"/>
        <v>160</v>
      </c>
      <c r="AA521" s="27">
        <f t="shared" si="811"/>
        <v>0</v>
      </c>
      <c r="AB521" s="27">
        <f t="shared" si="825"/>
        <v>2525</v>
      </c>
      <c r="AC521" s="12">
        <f t="shared" si="812"/>
        <v>-320</v>
      </c>
      <c r="AD521" s="216"/>
      <c r="AE521" s="12">
        <f>AB521-(X521+Z521)</f>
        <v>-117.5</v>
      </c>
      <c r="AF521" s="213"/>
      <c r="AG521" s="8"/>
    </row>
    <row r="522" spans="1:33" x14ac:dyDescent="0.45">
      <c r="A522" s="22">
        <f>A521+14</f>
        <v>44570</v>
      </c>
      <c r="B522" s="15" t="s">
        <v>30</v>
      </c>
      <c r="C522" s="48">
        <f>120*W522</f>
        <v>3780</v>
      </c>
      <c r="D522" s="13">
        <v>40</v>
      </c>
      <c r="E522" s="13">
        <v>15</v>
      </c>
      <c r="F522" s="13">
        <v>0</v>
      </c>
      <c r="G522" s="13">
        <v>0</v>
      </c>
      <c r="H522" s="13">
        <v>0</v>
      </c>
      <c r="I522" s="13">
        <v>24</v>
      </c>
      <c r="J522" s="13">
        <v>16</v>
      </c>
      <c r="K522" s="13">
        <v>0</v>
      </c>
      <c r="L522" s="45">
        <v>0</v>
      </c>
      <c r="M522" s="34"/>
      <c r="N522" s="13">
        <v>40</v>
      </c>
      <c r="O522" s="13">
        <v>15</v>
      </c>
      <c r="P522" s="13">
        <v>0</v>
      </c>
      <c r="Q522" s="13">
        <v>0</v>
      </c>
      <c r="R522" s="34"/>
      <c r="S522" s="13">
        <f t="shared" ref="S522:S526" si="827">SUM(D522:G522)</f>
        <v>55</v>
      </c>
      <c r="T522" s="13">
        <f t="shared" ref="T522:T527" si="828">SUM(N522:Q522)</f>
        <v>55</v>
      </c>
      <c r="U522" s="13">
        <f t="shared" si="822"/>
        <v>40</v>
      </c>
      <c r="V522" s="34"/>
      <c r="W522" s="45">
        <v>31.5</v>
      </c>
      <c r="X522" s="10">
        <f t="shared" si="823"/>
        <v>1968.75</v>
      </c>
      <c r="Y522" s="10">
        <f t="shared" si="819"/>
        <v>756</v>
      </c>
      <c r="Z522" s="10">
        <f t="shared" si="824"/>
        <v>504</v>
      </c>
      <c r="AA522" s="14">
        <f t="shared" ref="AA522:AA530" si="829">(W522*1*K522)</f>
        <v>0</v>
      </c>
      <c r="AB522" s="14">
        <f t="shared" si="825"/>
        <v>1968.75</v>
      </c>
      <c r="AC522" s="11">
        <f t="shared" ref="AC522:AC530" si="830">0-Y522-AA522</f>
        <v>-756</v>
      </c>
      <c r="AD522" s="215"/>
      <c r="AE522" s="11">
        <f t="shared" ref="AE522:AE526" si="831">AB522-(X522+Z522)</f>
        <v>-504</v>
      </c>
      <c r="AF522" s="211">
        <f>SUM(AE522:AE530)</f>
        <v>-3183.7</v>
      </c>
      <c r="AG522" s="8"/>
    </row>
    <row r="523" spans="1:33" x14ac:dyDescent="0.45">
      <c r="A523" s="22">
        <f>A522</f>
        <v>44570</v>
      </c>
      <c r="B523" s="15" t="s">
        <v>4</v>
      </c>
      <c r="C523" s="48">
        <f>80*W523</f>
        <v>2000</v>
      </c>
      <c r="D523" s="13">
        <v>64</v>
      </c>
      <c r="E523" s="13">
        <v>44.75</v>
      </c>
      <c r="F523" s="13">
        <v>11.5</v>
      </c>
      <c r="G523" s="13">
        <v>0</v>
      </c>
      <c r="H523" s="13">
        <v>0</v>
      </c>
      <c r="I523" s="13">
        <v>0</v>
      </c>
      <c r="J523" s="13">
        <v>16</v>
      </c>
      <c r="K523" s="13">
        <v>0</v>
      </c>
      <c r="L523" s="45">
        <v>0</v>
      </c>
      <c r="M523" s="34"/>
      <c r="N523" s="13">
        <v>64</v>
      </c>
      <c r="O523" s="13">
        <v>44.75</v>
      </c>
      <c r="P523" s="13">
        <v>11.5</v>
      </c>
      <c r="Q523" s="13">
        <v>0</v>
      </c>
      <c r="R523" s="34"/>
      <c r="S523" s="13">
        <f t="shared" si="827"/>
        <v>120.25</v>
      </c>
      <c r="T523" s="13">
        <f t="shared" si="828"/>
        <v>120.25</v>
      </c>
      <c r="U523" s="13">
        <f>SUM(H523:K523)</f>
        <v>16</v>
      </c>
      <c r="V523" s="34"/>
      <c r="W523" s="45">
        <v>25</v>
      </c>
      <c r="X523" s="10">
        <f t="shared" si="823"/>
        <v>3853.125</v>
      </c>
      <c r="Y523" s="10">
        <f t="shared" si="819"/>
        <v>0</v>
      </c>
      <c r="Z523" s="10">
        <f t="shared" si="824"/>
        <v>400</v>
      </c>
      <c r="AA523" s="14">
        <f t="shared" si="829"/>
        <v>0</v>
      </c>
      <c r="AB523" s="14">
        <f t="shared" si="825"/>
        <v>3853.125</v>
      </c>
      <c r="AC523" s="11">
        <f t="shared" si="830"/>
        <v>0</v>
      </c>
      <c r="AD523" s="215"/>
      <c r="AE523" s="11">
        <f t="shared" si="831"/>
        <v>-400</v>
      </c>
      <c r="AF523" s="212"/>
      <c r="AG523" s="8"/>
    </row>
    <row r="524" spans="1:33" x14ac:dyDescent="0.45">
      <c r="A524" s="22">
        <f t="shared" ref="A524:A529" si="832">A523</f>
        <v>44570</v>
      </c>
      <c r="B524" s="15" t="s">
        <v>5</v>
      </c>
      <c r="C524" s="48">
        <f>120*W524</f>
        <v>3360</v>
      </c>
      <c r="D524" s="13">
        <v>40</v>
      </c>
      <c r="E524" s="13">
        <v>23</v>
      </c>
      <c r="F524" s="13">
        <v>12</v>
      </c>
      <c r="G524" s="13">
        <v>5</v>
      </c>
      <c r="H524" s="13">
        <v>0</v>
      </c>
      <c r="I524" s="13">
        <v>24</v>
      </c>
      <c r="J524" s="13">
        <v>16</v>
      </c>
      <c r="K524" s="13">
        <v>0</v>
      </c>
      <c r="L524" s="45">
        <v>0</v>
      </c>
      <c r="M524" s="34"/>
      <c r="N524" s="13">
        <v>45</v>
      </c>
      <c r="O524" s="13">
        <v>23</v>
      </c>
      <c r="P524" s="13">
        <v>12</v>
      </c>
      <c r="Q524" s="13">
        <v>0</v>
      </c>
      <c r="R524" s="34"/>
      <c r="S524" s="13">
        <f t="shared" si="827"/>
        <v>80</v>
      </c>
      <c r="T524" s="13">
        <f t="shared" si="828"/>
        <v>80</v>
      </c>
      <c r="U524" s="13">
        <f t="shared" ref="U524:U526" si="833">SUM(H524:K524)</f>
        <v>40</v>
      </c>
      <c r="V524" s="34"/>
      <c r="W524" s="45">
        <v>28</v>
      </c>
      <c r="X524" s="10">
        <f t="shared" si="823"/>
        <v>2898</v>
      </c>
      <c r="Y524" s="10">
        <f t="shared" si="819"/>
        <v>672</v>
      </c>
      <c r="Z524" s="10">
        <f t="shared" si="824"/>
        <v>448</v>
      </c>
      <c r="AA524" s="14">
        <f t="shared" si="829"/>
        <v>0</v>
      </c>
      <c r="AB524" s="14">
        <f t="shared" si="825"/>
        <v>2898</v>
      </c>
      <c r="AC524" s="11">
        <f t="shared" si="830"/>
        <v>-672</v>
      </c>
      <c r="AD524" s="215"/>
      <c r="AE524" s="11">
        <f t="shared" si="831"/>
        <v>-448</v>
      </c>
      <c r="AF524" s="212"/>
      <c r="AG524" s="8"/>
    </row>
    <row r="525" spans="1:33" x14ac:dyDescent="0.45">
      <c r="A525" s="22">
        <f t="shared" si="832"/>
        <v>44570</v>
      </c>
      <c r="B525" s="15" t="s">
        <v>6</v>
      </c>
      <c r="C525" s="48">
        <f>80*W525</f>
        <v>2056</v>
      </c>
      <c r="D525" s="13">
        <v>66.25</v>
      </c>
      <c r="E525" s="13">
        <v>24.75</v>
      </c>
      <c r="F525" s="13">
        <v>11.5</v>
      </c>
      <c r="G525" s="13">
        <v>0</v>
      </c>
      <c r="H525" s="13">
        <v>0</v>
      </c>
      <c r="I525" s="13">
        <v>0</v>
      </c>
      <c r="J525" s="13">
        <v>16</v>
      </c>
      <c r="K525" s="13">
        <v>0</v>
      </c>
      <c r="L525" s="45">
        <v>0</v>
      </c>
      <c r="M525" s="34"/>
      <c r="N525" s="13">
        <v>66.25</v>
      </c>
      <c r="O525" s="13">
        <v>24.75</v>
      </c>
      <c r="P525" s="13">
        <v>11.5</v>
      </c>
      <c r="Q525" s="13">
        <v>0</v>
      </c>
      <c r="R525" s="34"/>
      <c r="S525" s="13">
        <f t="shared" si="827"/>
        <v>102.5</v>
      </c>
      <c r="T525" s="13">
        <f t="shared" si="828"/>
        <v>102.5</v>
      </c>
      <c r="U525" s="13">
        <f t="shared" si="833"/>
        <v>16</v>
      </c>
      <c r="V525" s="34"/>
      <c r="W525" s="45">
        <v>25.7</v>
      </c>
      <c r="X525" s="10">
        <f>(W525*1*D525)+(W525*1.5*E525)+(W525*2*F525)+(W525*1*G525)</f>
        <v>3247.8375000000001</v>
      </c>
      <c r="Y525" s="10">
        <f t="shared" si="819"/>
        <v>0</v>
      </c>
      <c r="Z525" s="10">
        <f t="shared" si="824"/>
        <v>411.2</v>
      </c>
      <c r="AA525" s="14">
        <f t="shared" si="829"/>
        <v>0</v>
      </c>
      <c r="AB525" s="14">
        <f t="shared" si="825"/>
        <v>3247.8375000000001</v>
      </c>
      <c r="AC525" s="11">
        <f t="shared" si="830"/>
        <v>0</v>
      </c>
      <c r="AD525" s="215"/>
      <c r="AE525" s="11">
        <f t="shared" si="831"/>
        <v>-411.19999999999982</v>
      </c>
      <c r="AF525" s="212"/>
      <c r="AG525" s="8"/>
    </row>
    <row r="526" spans="1:33" x14ac:dyDescent="0.45">
      <c r="A526" s="22">
        <f>A525</f>
        <v>44570</v>
      </c>
      <c r="B526" s="15" t="s">
        <v>9</v>
      </c>
      <c r="C526" s="48">
        <f>120*W526</f>
        <v>3420</v>
      </c>
      <c r="D526" s="13">
        <v>42</v>
      </c>
      <c r="E526" s="13">
        <v>18</v>
      </c>
      <c r="F526" s="13">
        <v>0</v>
      </c>
      <c r="G526" s="13">
        <v>3.5</v>
      </c>
      <c r="H526" s="13">
        <v>0</v>
      </c>
      <c r="I526" s="13">
        <v>0</v>
      </c>
      <c r="J526" s="13">
        <v>16</v>
      </c>
      <c r="K526" s="13">
        <v>0</v>
      </c>
      <c r="L526" s="45">
        <v>0</v>
      </c>
      <c r="M526" s="34"/>
      <c r="N526" s="13">
        <v>32</v>
      </c>
      <c r="O526" s="13">
        <v>8</v>
      </c>
      <c r="P526" s="13">
        <v>20</v>
      </c>
      <c r="Q526" s="13">
        <v>3.5</v>
      </c>
      <c r="R526" s="34"/>
      <c r="S526" s="13">
        <f t="shared" si="827"/>
        <v>63.5</v>
      </c>
      <c r="T526" s="13">
        <f t="shared" si="828"/>
        <v>63.5</v>
      </c>
      <c r="U526" s="13">
        <f t="shared" si="833"/>
        <v>16</v>
      </c>
      <c r="V526" s="34"/>
      <c r="W526" s="45">
        <v>28.5</v>
      </c>
      <c r="X526" s="10">
        <f t="shared" ref="X526" si="834">(W526*1*D526)+(W526*1.5*E526)+(W526*2*F526)+(W526*1*G526)</f>
        <v>2066.25</v>
      </c>
      <c r="Y526" s="10">
        <f>(W526*0*H526)+(W526*1*I526)</f>
        <v>0</v>
      </c>
      <c r="Z526" s="10">
        <f t="shared" si="824"/>
        <v>456</v>
      </c>
      <c r="AA526" s="14">
        <f t="shared" si="829"/>
        <v>0</v>
      </c>
      <c r="AB526" s="14">
        <f t="shared" si="825"/>
        <v>2493.75</v>
      </c>
      <c r="AC526" s="11">
        <f t="shared" si="830"/>
        <v>0</v>
      </c>
      <c r="AD526" s="215"/>
      <c r="AE526" s="11">
        <f t="shared" si="831"/>
        <v>-28.5</v>
      </c>
      <c r="AF526" s="212"/>
      <c r="AG526" s="8"/>
    </row>
    <row r="527" spans="1:33" x14ac:dyDescent="0.45">
      <c r="A527" s="22">
        <f t="shared" si="832"/>
        <v>44570</v>
      </c>
      <c r="B527" s="50" t="s">
        <v>31</v>
      </c>
      <c r="C527" s="48">
        <f>80*W527</f>
        <v>2160</v>
      </c>
      <c r="D527" s="51">
        <v>64</v>
      </c>
      <c r="E527" s="51">
        <v>26.5</v>
      </c>
      <c r="F527" s="51">
        <v>10</v>
      </c>
      <c r="G527" s="51">
        <v>0</v>
      </c>
      <c r="H527" s="51">
        <v>0</v>
      </c>
      <c r="I527" s="51">
        <v>0</v>
      </c>
      <c r="J527" s="51">
        <v>16</v>
      </c>
      <c r="K527" s="51">
        <v>0</v>
      </c>
      <c r="L527" s="52">
        <v>0</v>
      </c>
      <c r="M527" s="34"/>
      <c r="N527" s="13">
        <v>64</v>
      </c>
      <c r="O527" s="13">
        <v>26.5</v>
      </c>
      <c r="P527" s="13">
        <v>10</v>
      </c>
      <c r="Q527" s="13">
        <v>0</v>
      </c>
      <c r="R527" s="34"/>
      <c r="S527" s="51">
        <f t="shared" ref="S527" si="835">SUM(D527:G527)</f>
        <v>100.5</v>
      </c>
      <c r="T527" s="51">
        <f t="shared" si="828"/>
        <v>100.5</v>
      </c>
      <c r="U527" s="51">
        <f t="shared" ref="U527" si="836">SUM(H527:K527)</f>
        <v>16</v>
      </c>
      <c r="V527" s="34"/>
      <c r="W527" s="52">
        <v>27</v>
      </c>
      <c r="X527" s="53">
        <f>(W527*1*D527)+(W527*1.5*E527)+(W527*2*F527)+(W527*1*G527)</f>
        <v>3341.25</v>
      </c>
      <c r="Y527" s="53">
        <f t="shared" ref="Y527:Y534" si="837">(W527*0*H527)+(W527*1*I527)</f>
        <v>0</v>
      </c>
      <c r="Z527" s="53">
        <f>(W527*1*J527)+L527</f>
        <v>432</v>
      </c>
      <c r="AA527" s="54">
        <f t="shared" si="829"/>
        <v>0</v>
      </c>
      <c r="AB527" s="54">
        <f>(W527*1*N527)+(W527*1.5*O527)+(W527*2*P527)+(W527*1*Q527)</f>
        <v>3341.25</v>
      </c>
      <c r="AC527" s="55">
        <f t="shared" si="830"/>
        <v>0</v>
      </c>
      <c r="AD527" s="217"/>
      <c r="AE527" s="55">
        <f>AB527-(X527+Z527)</f>
        <v>-432</v>
      </c>
      <c r="AF527" s="212"/>
      <c r="AG527" s="8"/>
    </row>
    <row r="528" spans="1:33" x14ac:dyDescent="0.45">
      <c r="A528" s="22">
        <f t="shared" si="832"/>
        <v>44570</v>
      </c>
      <c r="B528" s="50" t="s">
        <v>51</v>
      </c>
      <c r="C528" s="48">
        <f t="shared" ref="C528:C530" si="838">80*W528</f>
        <v>1600</v>
      </c>
      <c r="D528" s="51">
        <v>64</v>
      </c>
      <c r="E528" s="51">
        <v>19.75</v>
      </c>
      <c r="F528" s="51">
        <v>11.5</v>
      </c>
      <c r="G528" s="51">
        <v>0</v>
      </c>
      <c r="H528" s="51">
        <v>0</v>
      </c>
      <c r="I528" s="51">
        <v>0</v>
      </c>
      <c r="J528" s="51">
        <v>16</v>
      </c>
      <c r="K528" s="51">
        <v>0</v>
      </c>
      <c r="L528" s="52">
        <v>0</v>
      </c>
      <c r="M528" s="34"/>
      <c r="N528" s="51">
        <v>64</v>
      </c>
      <c r="O528" s="51">
        <v>19.75</v>
      </c>
      <c r="P528" s="51">
        <v>11.5</v>
      </c>
      <c r="Q528" s="51">
        <v>0</v>
      </c>
      <c r="R528" s="34"/>
      <c r="S528" s="51">
        <f t="shared" ref="S528:S535" si="839">SUM(D528:G528)</f>
        <v>95.25</v>
      </c>
      <c r="T528" s="51">
        <f>SUM(N528:Q528)</f>
        <v>95.25</v>
      </c>
      <c r="U528" s="51">
        <f t="shared" ref="U528:U531" si="840">SUM(H528:K528)</f>
        <v>16</v>
      </c>
      <c r="V528" s="34"/>
      <c r="W528" s="52">
        <v>20</v>
      </c>
      <c r="X528" s="53">
        <f t="shared" ref="X528:X533" si="841">(W528*1*D528)+(W528*1.5*E528)+(W528*2*F528)+(W528*1*G528)</f>
        <v>2332.5</v>
      </c>
      <c r="Y528" s="53">
        <f t="shared" si="837"/>
        <v>0</v>
      </c>
      <c r="Z528" s="53">
        <f t="shared" ref="Z528:Z535" si="842">(W528*1*J528)+L528</f>
        <v>320</v>
      </c>
      <c r="AA528" s="54">
        <f t="shared" si="829"/>
        <v>0</v>
      </c>
      <c r="AB528" s="54">
        <f t="shared" ref="AB528:AB535" si="843">(W528*1*N528)+(W528*1.5*O528)+(W528*2*P528)+(W528*1*Q528)</f>
        <v>2332.5</v>
      </c>
      <c r="AC528" s="55">
        <f t="shared" si="830"/>
        <v>0</v>
      </c>
      <c r="AD528" s="217"/>
      <c r="AE528" s="55">
        <f>AB528-(X528+Z528)</f>
        <v>-320</v>
      </c>
      <c r="AF528" s="212"/>
      <c r="AG528" s="8"/>
    </row>
    <row r="529" spans="1:33" x14ac:dyDescent="0.45">
      <c r="A529" s="22">
        <f t="shared" si="832"/>
        <v>44570</v>
      </c>
      <c r="B529" s="50" t="s">
        <v>53</v>
      </c>
      <c r="C529" s="48">
        <f t="shared" si="838"/>
        <v>1600</v>
      </c>
      <c r="D529" s="51">
        <v>59</v>
      </c>
      <c r="E529" s="51">
        <v>16.75</v>
      </c>
      <c r="F529" s="51">
        <v>0</v>
      </c>
      <c r="G529" s="51">
        <v>9</v>
      </c>
      <c r="H529" s="51">
        <v>0</v>
      </c>
      <c r="I529" s="51">
        <v>0</v>
      </c>
      <c r="J529" s="51">
        <v>16</v>
      </c>
      <c r="K529" s="51">
        <v>8</v>
      </c>
      <c r="L529" s="52">
        <v>0</v>
      </c>
      <c r="M529" s="34"/>
      <c r="N529" s="51">
        <v>59</v>
      </c>
      <c r="O529" s="51">
        <v>16.75</v>
      </c>
      <c r="P529" s="51">
        <v>0</v>
      </c>
      <c r="Q529" s="51">
        <v>9</v>
      </c>
      <c r="R529" s="34"/>
      <c r="S529" s="51">
        <f t="shared" si="839"/>
        <v>84.75</v>
      </c>
      <c r="T529" s="51">
        <f>SUM(N529:Q529)</f>
        <v>84.75</v>
      </c>
      <c r="U529" s="51">
        <f t="shared" si="840"/>
        <v>24</v>
      </c>
      <c r="V529" s="34"/>
      <c r="W529" s="52">
        <v>20</v>
      </c>
      <c r="X529" s="53">
        <f t="shared" si="841"/>
        <v>1862.5</v>
      </c>
      <c r="Y529" s="53">
        <f t="shared" si="837"/>
        <v>0</v>
      </c>
      <c r="Z529" s="53">
        <f t="shared" si="842"/>
        <v>320</v>
      </c>
      <c r="AA529" s="54">
        <f t="shared" si="829"/>
        <v>160</v>
      </c>
      <c r="AB529" s="54">
        <f t="shared" si="843"/>
        <v>1862.5</v>
      </c>
      <c r="AC529" s="55">
        <f t="shared" si="830"/>
        <v>-160</v>
      </c>
      <c r="AD529" s="217"/>
      <c r="AE529" s="55">
        <f>AB529-(X529+Z529)</f>
        <v>-320</v>
      </c>
      <c r="AF529" s="212"/>
      <c r="AG529" s="8"/>
    </row>
    <row r="530" spans="1:33" ht="14.65" thickBot="1" x14ac:dyDescent="0.5">
      <c r="A530" s="23">
        <f>A528</f>
        <v>44570</v>
      </c>
      <c r="B530" s="24" t="s">
        <v>54</v>
      </c>
      <c r="C530" s="49">
        <f t="shared" si="838"/>
        <v>1600</v>
      </c>
      <c r="D530" s="25">
        <v>64</v>
      </c>
      <c r="E530" s="25">
        <v>35.25</v>
      </c>
      <c r="F530" s="25">
        <v>0</v>
      </c>
      <c r="G530" s="25">
        <v>0</v>
      </c>
      <c r="H530" s="25">
        <v>0</v>
      </c>
      <c r="I530" s="25">
        <v>0</v>
      </c>
      <c r="J530" s="25">
        <v>16</v>
      </c>
      <c r="K530" s="25">
        <v>0</v>
      </c>
      <c r="L530" s="46">
        <v>0</v>
      </c>
      <c r="M530" s="35"/>
      <c r="N530" s="25">
        <v>64</v>
      </c>
      <c r="O530" s="25">
        <v>35.25</v>
      </c>
      <c r="P530" s="25">
        <v>0</v>
      </c>
      <c r="Q530" s="25">
        <v>0</v>
      </c>
      <c r="R530" s="35"/>
      <c r="S530" s="25">
        <f t="shared" si="839"/>
        <v>99.25</v>
      </c>
      <c r="T530" s="25">
        <f t="shared" ref="T530" si="844">SUM(N530:Q530)</f>
        <v>99.25</v>
      </c>
      <c r="U530" s="25">
        <f t="shared" si="840"/>
        <v>16</v>
      </c>
      <c r="V530" s="35"/>
      <c r="W530" s="46">
        <v>20</v>
      </c>
      <c r="X530" s="26">
        <f t="shared" si="841"/>
        <v>2337.5</v>
      </c>
      <c r="Y530" s="26">
        <f t="shared" si="837"/>
        <v>0</v>
      </c>
      <c r="Z530" s="26">
        <f t="shared" si="842"/>
        <v>320</v>
      </c>
      <c r="AA530" s="27">
        <f t="shared" si="829"/>
        <v>0</v>
      </c>
      <c r="AB530" s="27">
        <f t="shared" si="843"/>
        <v>2337.5</v>
      </c>
      <c r="AC530" s="12">
        <f t="shared" si="830"/>
        <v>0</v>
      </c>
      <c r="AD530" s="216"/>
      <c r="AE530" s="12">
        <f>AB530-(X530+Z530)</f>
        <v>-320</v>
      </c>
      <c r="AF530" s="213"/>
      <c r="AG530" s="8"/>
    </row>
    <row r="531" spans="1:33" x14ac:dyDescent="0.45">
      <c r="A531" s="22">
        <f>A530+14</f>
        <v>44584</v>
      </c>
      <c r="B531" s="15" t="s">
        <v>30</v>
      </c>
      <c r="C531" s="48">
        <f>120*W531</f>
        <v>3780</v>
      </c>
      <c r="D531" s="13">
        <v>80</v>
      </c>
      <c r="E531" s="13">
        <v>31.5</v>
      </c>
      <c r="F531" s="13">
        <v>8</v>
      </c>
      <c r="G531" s="13">
        <v>0</v>
      </c>
      <c r="H531" s="13">
        <v>0</v>
      </c>
      <c r="I531" s="13">
        <v>0</v>
      </c>
      <c r="J531" s="13">
        <v>0</v>
      </c>
      <c r="K531" s="13">
        <v>0</v>
      </c>
      <c r="L531" s="45">
        <v>0</v>
      </c>
      <c r="M531" s="34"/>
      <c r="N531" s="13">
        <v>80</v>
      </c>
      <c r="O531" s="13">
        <v>31.5</v>
      </c>
      <c r="P531" s="13">
        <v>8</v>
      </c>
      <c r="Q531" s="13">
        <v>0</v>
      </c>
      <c r="R531" s="34"/>
      <c r="S531" s="13">
        <f t="shared" si="839"/>
        <v>119.5</v>
      </c>
      <c r="T531" s="13">
        <f t="shared" ref="T531:T536" si="845">SUM(N531:Q531)</f>
        <v>119.5</v>
      </c>
      <c r="U531" s="13">
        <f t="shared" si="840"/>
        <v>0</v>
      </c>
      <c r="V531" s="34"/>
      <c r="W531" s="45">
        <v>31.5</v>
      </c>
      <c r="X531" s="10">
        <f t="shared" si="841"/>
        <v>4512.375</v>
      </c>
      <c r="Y531" s="10">
        <f t="shared" si="837"/>
        <v>0</v>
      </c>
      <c r="Z531" s="10">
        <f t="shared" si="842"/>
        <v>0</v>
      </c>
      <c r="AA531" s="14">
        <f t="shared" ref="AA531:AA539" si="846">(W531*1*K531)</f>
        <v>0</v>
      </c>
      <c r="AB531" s="14">
        <f t="shared" si="843"/>
        <v>4512.375</v>
      </c>
      <c r="AC531" s="11">
        <f t="shared" ref="AC531:AC539" si="847">0-Y531-AA531</f>
        <v>0</v>
      </c>
      <c r="AD531" s="215"/>
      <c r="AE531" s="11">
        <f t="shared" ref="AE531:AE535" si="848">AB531-(X531+Z531)</f>
        <v>0</v>
      </c>
      <c r="AF531" s="211">
        <f>SUM(AE531:AE539)</f>
        <v>176.375</v>
      </c>
      <c r="AG531" s="8"/>
    </row>
    <row r="532" spans="1:33" x14ac:dyDescent="0.45">
      <c r="A532" s="22">
        <f>A531</f>
        <v>44584</v>
      </c>
      <c r="B532" s="15" t="s">
        <v>4</v>
      </c>
      <c r="C532" s="48">
        <f>80*W532</f>
        <v>2000</v>
      </c>
      <c r="D532" s="13">
        <v>80</v>
      </c>
      <c r="E532" s="13">
        <v>42.75</v>
      </c>
      <c r="F532" s="13">
        <v>6.5</v>
      </c>
      <c r="G532" s="13">
        <v>0</v>
      </c>
      <c r="H532" s="13">
        <v>0</v>
      </c>
      <c r="I532" s="13">
        <v>0</v>
      </c>
      <c r="J532" s="13">
        <v>0</v>
      </c>
      <c r="K532" s="13">
        <v>0</v>
      </c>
      <c r="L532" s="45">
        <v>0</v>
      </c>
      <c r="M532" s="34"/>
      <c r="N532" s="13">
        <v>80</v>
      </c>
      <c r="O532" s="13">
        <v>43</v>
      </c>
      <c r="P532" s="13">
        <v>6.5</v>
      </c>
      <c r="Q532" s="13">
        <v>0</v>
      </c>
      <c r="R532" s="34"/>
      <c r="S532" s="13">
        <f t="shared" si="839"/>
        <v>129.25</v>
      </c>
      <c r="T532" s="13">
        <f t="shared" si="845"/>
        <v>129.5</v>
      </c>
      <c r="U532" s="13">
        <f>SUM(H532:K532)</f>
        <v>0</v>
      </c>
      <c r="V532" s="34"/>
      <c r="W532" s="45">
        <v>25</v>
      </c>
      <c r="X532" s="10">
        <f t="shared" si="841"/>
        <v>3928.125</v>
      </c>
      <c r="Y532" s="10">
        <f t="shared" si="837"/>
        <v>0</v>
      </c>
      <c r="Z532" s="10">
        <f t="shared" si="842"/>
        <v>0</v>
      </c>
      <c r="AA532" s="14">
        <f t="shared" si="846"/>
        <v>0</v>
      </c>
      <c r="AB532" s="14">
        <f t="shared" si="843"/>
        <v>3937.5</v>
      </c>
      <c r="AC532" s="11">
        <f t="shared" si="847"/>
        <v>0</v>
      </c>
      <c r="AD532" s="215"/>
      <c r="AE532" s="11">
        <f t="shared" si="848"/>
        <v>9.375</v>
      </c>
      <c r="AF532" s="212"/>
      <c r="AG532" s="8"/>
    </row>
    <row r="533" spans="1:33" x14ac:dyDescent="0.45">
      <c r="A533" s="22">
        <f t="shared" ref="A533:A538" si="849">A532</f>
        <v>44584</v>
      </c>
      <c r="B533" s="15" t="s">
        <v>5</v>
      </c>
      <c r="C533" s="48">
        <f>120*W533</f>
        <v>3360</v>
      </c>
      <c r="D533" s="13">
        <v>80</v>
      </c>
      <c r="E533" s="13">
        <v>29</v>
      </c>
      <c r="F533" s="13">
        <v>12</v>
      </c>
      <c r="G533" s="13">
        <v>17</v>
      </c>
      <c r="H533" s="13">
        <v>0</v>
      </c>
      <c r="I533" s="13">
        <v>0</v>
      </c>
      <c r="J533" s="13">
        <v>0</v>
      </c>
      <c r="K533" s="13">
        <v>0</v>
      </c>
      <c r="L533" s="45">
        <v>0</v>
      </c>
      <c r="M533" s="34"/>
      <c r="N533" s="13">
        <v>80</v>
      </c>
      <c r="O533" s="13">
        <v>30</v>
      </c>
      <c r="P533" s="13">
        <v>12</v>
      </c>
      <c r="Q533" s="13">
        <v>16</v>
      </c>
      <c r="R533" s="34"/>
      <c r="S533" s="13">
        <f t="shared" si="839"/>
        <v>138</v>
      </c>
      <c r="T533" s="13">
        <f t="shared" si="845"/>
        <v>138</v>
      </c>
      <c r="U533" s="13">
        <f t="shared" ref="U533:U535" si="850">SUM(H533:K533)</f>
        <v>0</v>
      </c>
      <c r="V533" s="34"/>
      <c r="W533" s="45">
        <v>28</v>
      </c>
      <c r="X533" s="10">
        <f t="shared" si="841"/>
        <v>4606</v>
      </c>
      <c r="Y533" s="10">
        <f t="shared" si="837"/>
        <v>0</v>
      </c>
      <c r="Z533" s="10">
        <f t="shared" si="842"/>
        <v>0</v>
      </c>
      <c r="AA533" s="14">
        <f t="shared" si="846"/>
        <v>0</v>
      </c>
      <c r="AB533" s="14">
        <f t="shared" si="843"/>
        <v>4620</v>
      </c>
      <c r="AC533" s="11">
        <f t="shared" si="847"/>
        <v>0</v>
      </c>
      <c r="AD533" s="215"/>
      <c r="AE533" s="11">
        <f t="shared" si="848"/>
        <v>14</v>
      </c>
      <c r="AF533" s="212"/>
      <c r="AG533" s="8"/>
    </row>
    <row r="534" spans="1:33" x14ac:dyDescent="0.45">
      <c r="A534" s="22">
        <f t="shared" si="849"/>
        <v>44584</v>
      </c>
      <c r="B534" s="15" t="s">
        <v>6</v>
      </c>
      <c r="C534" s="48">
        <f>80*W534</f>
        <v>2056</v>
      </c>
      <c r="D534" s="13">
        <v>80</v>
      </c>
      <c r="E534" s="13">
        <v>43</v>
      </c>
      <c r="F534" s="13">
        <v>19</v>
      </c>
      <c r="G534" s="13">
        <v>0</v>
      </c>
      <c r="H534" s="13">
        <v>0</v>
      </c>
      <c r="I534" s="13">
        <v>0</v>
      </c>
      <c r="J534" s="13">
        <v>0</v>
      </c>
      <c r="K534" s="13">
        <v>0</v>
      </c>
      <c r="L534" s="45">
        <v>0</v>
      </c>
      <c r="M534" s="34"/>
      <c r="N534" s="13">
        <v>80</v>
      </c>
      <c r="O534" s="13">
        <v>43</v>
      </c>
      <c r="P534" s="13">
        <v>19</v>
      </c>
      <c r="Q534" s="13">
        <v>0</v>
      </c>
      <c r="R534" s="34"/>
      <c r="S534" s="13">
        <f t="shared" si="839"/>
        <v>142</v>
      </c>
      <c r="T534" s="13">
        <f t="shared" si="845"/>
        <v>142</v>
      </c>
      <c r="U534" s="13">
        <f t="shared" si="850"/>
        <v>0</v>
      </c>
      <c r="V534" s="34"/>
      <c r="W534" s="45">
        <v>25.7</v>
      </c>
      <c r="X534" s="10">
        <f>(W534*1*D534)+(W534*1.5*E534)+(W534*2*F534)+(W534*1*G534)</f>
        <v>4690.25</v>
      </c>
      <c r="Y534" s="10">
        <f t="shared" si="837"/>
        <v>0</v>
      </c>
      <c r="Z534" s="10">
        <f t="shared" si="842"/>
        <v>0</v>
      </c>
      <c r="AA534" s="14">
        <f t="shared" si="846"/>
        <v>0</v>
      </c>
      <c r="AB534" s="14">
        <f t="shared" si="843"/>
        <v>4690.25</v>
      </c>
      <c r="AC534" s="11">
        <f t="shared" si="847"/>
        <v>0</v>
      </c>
      <c r="AD534" s="215"/>
      <c r="AE534" s="11">
        <f t="shared" si="848"/>
        <v>0</v>
      </c>
      <c r="AF534" s="212"/>
      <c r="AG534" s="8"/>
    </row>
    <row r="535" spans="1:33" x14ac:dyDescent="0.45">
      <c r="A535" s="22">
        <f>A534</f>
        <v>44584</v>
      </c>
      <c r="B535" s="15" t="s">
        <v>9</v>
      </c>
      <c r="C535" s="48">
        <f>120*W535</f>
        <v>3420</v>
      </c>
      <c r="D535" s="13">
        <v>80</v>
      </c>
      <c r="E535" s="13">
        <v>16</v>
      </c>
      <c r="F535" s="13">
        <v>8</v>
      </c>
      <c r="G535" s="13">
        <v>0</v>
      </c>
      <c r="H535" s="13">
        <v>0</v>
      </c>
      <c r="I535" s="13">
        <v>0</v>
      </c>
      <c r="J535" s="13">
        <v>0</v>
      </c>
      <c r="K535" s="13">
        <v>0</v>
      </c>
      <c r="L535" s="45">
        <v>0</v>
      </c>
      <c r="M535" s="34"/>
      <c r="N535" s="13">
        <v>80</v>
      </c>
      <c r="O535" s="13">
        <v>16</v>
      </c>
      <c r="P535" s="13">
        <v>8</v>
      </c>
      <c r="Q535" s="13">
        <v>0</v>
      </c>
      <c r="R535" s="34"/>
      <c r="S535" s="13">
        <f t="shared" si="839"/>
        <v>104</v>
      </c>
      <c r="T535" s="13">
        <f t="shared" si="845"/>
        <v>104</v>
      </c>
      <c r="U535" s="13">
        <f t="shared" si="850"/>
        <v>0</v>
      </c>
      <c r="V535" s="34"/>
      <c r="W535" s="45">
        <v>28.5</v>
      </c>
      <c r="X535" s="10">
        <f t="shared" ref="X535" si="851">(W535*1*D535)+(W535*1.5*E535)+(W535*2*F535)+(W535*1*G535)</f>
        <v>3420</v>
      </c>
      <c r="Y535" s="10">
        <f>(W535*0*H535)+(W535*1*I535)</f>
        <v>0</v>
      </c>
      <c r="Z535" s="10">
        <f t="shared" si="842"/>
        <v>0</v>
      </c>
      <c r="AA535" s="14">
        <f t="shared" si="846"/>
        <v>0</v>
      </c>
      <c r="AB535" s="14">
        <f t="shared" si="843"/>
        <v>3420</v>
      </c>
      <c r="AC535" s="11">
        <f t="shared" si="847"/>
        <v>0</v>
      </c>
      <c r="AD535" s="215"/>
      <c r="AE535" s="11">
        <f t="shared" si="848"/>
        <v>0</v>
      </c>
      <c r="AF535" s="212"/>
      <c r="AG535" s="8"/>
    </row>
    <row r="536" spans="1:33" x14ac:dyDescent="0.45">
      <c r="A536" s="22">
        <f t="shared" si="849"/>
        <v>44584</v>
      </c>
      <c r="B536" s="50" t="s">
        <v>31</v>
      </c>
      <c r="C536" s="48">
        <f>80*W536</f>
        <v>2160</v>
      </c>
      <c r="D536" s="51">
        <v>80</v>
      </c>
      <c r="E536" s="51">
        <v>30.75</v>
      </c>
      <c r="F536" s="51">
        <v>10.25</v>
      </c>
      <c r="G536" s="51">
        <v>0</v>
      </c>
      <c r="H536" s="51">
        <v>0</v>
      </c>
      <c r="I536" s="51">
        <v>0</v>
      </c>
      <c r="J536" s="51">
        <v>0</v>
      </c>
      <c r="K536" s="51">
        <v>0</v>
      </c>
      <c r="L536" s="52">
        <v>0</v>
      </c>
      <c r="M536" s="34"/>
      <c r="N536" s="13">
        <v>80</v>
      </c>
      <c r="O536" s="13">
        <v>31.75</v>
      </c>
      <c r="P536" s="13">
        <v>10.25</v>
      </c>
      <c r="Q536" s="13">
        <v>0</v>
      </c>
      <c r="R536" s="34"/>
      <c r="S536" s="51">
        <f t="shared" ref="S536" si="852">SUM(D536:G536)</f>
        <v>121</v>
      </c>
      <c r="T536" s="51">
        <f t="shared" si="845"/>
        <v>122</v>
      </c>
      <c r="U536" s="51">
        <f t="shared" ref="U536" si="853">SUM(H536:K536)</f>
        <v>0</v>
      </c>
      <c r="V536" s="34"/>
      <c r="W536" s="52">
        <v>27</v>
      </c>
      <c r="X536" s="53">
        <f>(W536*1*D536)+(W536*1.5*E536)+(W536*2*F536)+(W536*1*G536)</f>
        <v>3958.875</v>
      </c>
      <c r="Y536" s="53">
        <f t="shared" ref="Y536:Y543" si="854">(W536*0*H536)+(W536*1*I536)</f>
        <v>0</v>
      </c>
      <c r="Z536" s="53">
        <f>(W536*1*J536)+L536</f>
        <v>0</v>
      </c>
      <c r="AA536" s="54">
        <f t="shared" si="846"/>
        <v>0</v>
      </c>
      <c r="AB536" s="54">
        <f>(W536*1*N536)+(W536*1.5*O536)+(W536*2*P536)+(W536*1*Q536)</f>
        <v>3999.375</v>
      </c>
      <c r="AC536" s="55">
        <f t="shared" si="847"/>
        <v>0</v>
      </c>
      <c r="AD536" s="217"/>
      <c r="AE536" s="55">
        <f>AB536-(X536+Z536)</f>
        <v>40.5</v>
      </c>
      <c r="AF536" s="212"/>
      <c r="AG536" s="8"/>
    </row>
    <row r="537" spans="1:33" x14ac:dyDescent="0.45">
      <c r="A537" s="22">
        <f t="shared" si="849"/>
        <v>44584</v>
      </c>
      <c r="B537" s="50" t="s">
        <v>51</v>
      </c>
      <c r="C537" s="48">
        <f t="shared" ref="C537:C539" si="855">80*W537</f>
        <v>1600</v>
      </c>
      <c r="D537" s="51">
        <v>80</v>
      </c>
      <c r="E537" s="51">
        <v>26</v>
      </c>
      <c r="F537" s="51">
        <v>12</v>
      </c>
      <c r="G537" s="51">
        <v>8</v>
      </c>
      <c r="H537" s="51">
        <v>0</v>
      </c>
      <c r="I537" s="51">
        <v>0</v>
      </c>
      <c r="J537" s="51">
        <v>0</v>
      </c>
      <c r="K537" s="51">
        <v>0</v>
      </c>
      <c r="L537" s="52">
        <v>0</v>
      </c>
      <c r="M537" s="34"/>
      <c r="N537" s="51">
        <v>80</v>
      </c>
      <c r="O537" s="51">
        <v>26.75</v>
      </c>
      <c r="P537" s="51">
        <v>12</v>
      </c>
      <c r="Q537" s="51">
        <v>8</v>
      </c>
      <c r="R537" s="34"/>
      <c r="S537" s="51">
        <f t="shared" ref="S537:S544" si="856">SUM(D537:G537)</f>
        <v>126</v>
      </c>
      <c r="T537" s="51">
        <f>SUM(N537:Q537)</f>
        <v>126.75</v>
      </c>
      <c r="U537" s="51">
        <f t="shared" ref="U537:U540" si="857">SUM(H537:K537)</f>
        <v>0</v>
      </c>
      <c r="V537" s="34"/>
      <c r="W537" s="52">
        <v>20</v>
      </c>
      <c r="X537" s="53">
        <f t="shared" ref="X537:X542" si="858">(W537*1*D537)+(W537*1.5*E537)+(W537*2*F537)+(W537*1*G537)</f>
        <v>3020</v>
      </c>
      <c r="Y537" s="53">
        <f t="shared" si="854"/>
        <v>0</v>
      </c>
      <c r="Z537" s="53">
        <f t="shared" ref="Z537:Z544" si="859">(W537*1*J537)+L537</f>
        <v>0</v>
      </c>
      <c r="AA537" s="54">
        <f t="shared" si="846"/>
        <v>0</v>
      </c>
      <c r="AB537" s="54">
        <f t="shared" ref="AB537:AB544" si="860">(W537*1*N537)+(W537*1.5*O537)+(W537*2*P537)+(W537*1*Q537)</f>
        <v>3042.5</v>
      </c>
      <c r="AC537" s="55">
        <f t="shared" si="847"/>
        <v>0</v>
      </c>
      <c r="AD537" s="217"/>
      <c r="AE537" s="55">
        <f>AB537-(X537+Z537)</f>
        <v>22.5</v>
      </c>
      <c r="AF537" s="212"/>
      <c r="AG537" s="8"/>
    </row>
    <row r="538" spans="1:33" x14ac:dyDescent="0.45">
      <c r="A538" s="22">
        <f t="shared" si="849"/>
        <v>44584</v>
      </c>
      <c r="B538" s="50" t="s">
        <v>53</v>
      </c>
      <c r="C538" s="48">
        <f t="shared" si="855"/>
        <v>1600</v>
      </c>
      <c r="D538" s="51">
        <v>80</v>
      </c>
      <c r="E538" s="51">
        <v>14.75</v>
      </c>
      <c r="F538" s="51">
        <v>0</v>
      </c>
      <c r="G538" s="51">
        <v>18</v>
      </c>
      <c r="H538" s="51">
        <v>0</v>
      </c>
      <c r="I538" s="51">
        <v>0</v>
      </c>
      <c r="J538" s="51">
        <v>0</v>
      </c>
      <c r="K538" s="51">
        <v>0</v>
      </c>
      <c r="L538" s="52">
        <v>0</v>
      </c>
      <c r="M538" s="34"/>
      <c r="N538" s="51">
        <v>80</v>
      </c>
      <c r="O538" s="51">
        <v>16</v>
      </c>
      <c r="P538" s="51">
        <v>0</v>
      </c>
      <c r="Q538" s="51">
        <v>19</v>
      </c>
      <c r="R538" s="34"/>
      <c r="S538" s="51">
        <f t="shared" si="856"/>
        <v>112.75</v>
      </c>
      <c r="T538" s="51">
        <f>SUM(N538:Q538)</f>
        <v>115</v>
      </c>
      <c r="U538" s="51">
        <f t="shared" si="857"/>
        <v>0</v>
      </c>
      <c r="V538" s="34"/>
      <c r="W538" s="52">
        <v>20</v>
      </c>
      <c r="X538" s="53">
        <f t="shared" si="858"/>
        <v>2402.5</v>
      </c>
      <c r="Y538" s="53">
        <f t="shared" si="854"/>
        <v>0</v>
      </c>
      <c r="Z538" s="53">
        <f t="shared" si="859"/>
        <v>0</v>
      </c>
      <c r="AA538" s="54">
        <f t="shared" si="846"/>
        <v>0</v>
      </c>
      <c r="AB538" s="54">
        <f t="shared" si="860"/>
        <v>2460</v>
      </c>
      <c r="AC538" s="55">
        <f t="shared" si="847"/>
        <v>0</v>
      </c>
      <c r="AD538" s="217"/>
      <c r="AE538" s="55">
        <f>AB538-(X538+Z538)</f>
        <v>57.5</v>
      </c>
      <c r="AF538" s="212"/>
      <c r="AG538" s="8"/>
    </row>
    <row r="539" spans="1:33" ht="14.65" thickBot="1" x14ac:dyDescent="0.5">
      <c r="A539" s="23">
        <f>A537</f>
        <v>44584</v>
      </c>
      <c r="B539" s="24" t="s">
        <v>54</v>
      </c>
      <c r="C539" s="49">
        <f t="shared" si="855"/>
        <v>1600</v>
      </c>
      <c r="D539" s="25">
        <v>80</v>
      </c>
      <c r="E539" s="25">
        <v>35.75</v>
      </c>
      <c r="F539" s="25">
        <v>12.5</v>
      </c>
      <c r="G539" s="25">
        <v>0</v>
      </c>
      <c r="H539" s="25">
        <v>0</v>
      </c>
      <c r="I539" s="25">
        <v>0</v>
      </c>
      <c r="J539" s="25">
        <v>0</v>
      </c>
      <c r="K539" s="25">
        <v>0</v>
      </c>
      <c r="L539" s="46">
        <v>0</v>
      </c>
      <c r="M539" s="35"/>
      <c r="N539" s="25">
        <v>80</v>
      </c>
      <c r="O539" s="25">
        <v>33.5</v>
      </c>
      <c r="P539" s="25">
        <v>15</v>
      </c>
      <c r="Q539" s="25">
        <v>0</v>
      </c>
      <c r="R539" s="35"/>
      <c r="S539" s="25">
        <f t="shared" si="856"/>
        <v>128.25</v>
      </c>
      <c r="T539" s="25">
        <f t="shared" ref="T539:T545" si="861">SUM(N539:Q539)</f>
        <v>128.5</v>
      </c>
      <c r="U539" s="25">
        <f t="shared" si="857"/>
        <v>0</v>
      </c>
      <c r="V539" s="35"/>
      <c r="W539" s="46">
        <v>20</v>
      </c>
      <c r="X539" s="26">
        <f t="shared" si="858"/>
        <v>3172.5</v>
      </c>
      <c r="Y539" s="26">
        <f t="shared" si="854"/>
        <v>0</v>
      </c>
      <c r="Z539" s="26">
        <f t="shared" si="859"/>
        <v>0</v>
      </c>
      <c r="AA539" s="27">
        <f t="shared" si="846"/>
        <v>0</v>
      </c>
      <c r="AB539" s="27">
        <f t="shared" si="860"/>
        <v>3205</v>
      </c>
      <c r="AC539" s="12">
        <f t="shared" si="847"/>
        <v>0</v>
      </c>
      <c r="AD539" s="216"/>
      <c r="AE539" s="12">
        <f>AB539-(X539+Z539)</f>
        <v>32.5</v>
      </c>
      <c r="AF539" s="213"/>
      <c r="AG539" s="8"/>
    </row>
    <row r="540" spans="1:33" x14ac:dyDescent="0.45">
      <c r="A540" s="22">
        <f>A539+14</f>
        <v>44598</v>
      </c>
      <c r="B540" s="15" t="s">
        <v>30</v>
      </c>
      <c r="C540" s="48">
        <f>120*W540</f>
        <v>3780</v>
      </c>
      <c r="D540" s="13">
        <v>80</v>
      </c>
      <c r="E540" s="13">
        <v>19</v>
      </c>
      <c r="F540" s="13">
        <v>0</v>
      </c>
      <c r="G540" s="13">
        <v>0</v>
      </c>
      <c r="H540" s="13">
        <v>0</v>
      </c>
      <c r="I540" s="13">
        <v>0</v>
      </c>
      <c r="J540" s="13">
        <v>0</v>
      </c>
      <c r="K540" s="13">
        <v>0</v>
      </c>
      <c r="L540" s="45">
        <v>0</v>
      </c>
      <c r="M540" s="34"/>
      <c r="N540" s="13">
        <v>80</v>
      </c>
      <c r="O540" s="13">
        <v>19</v>
      </c>
      <c r="P540" s="13">
        <v>0</v>
      </c>
      <c r="Q540" s="13">
        <v>0</v>
      </c>
      <c r="R540" s="34"/>
      <c r="S540" s="13">
        <f t="shared" si="856"/>
        <v>99</v>
      </c>
      <c r="T540" s="13">
        <f t="shared" si="861"/>
        <v>99</v>
      </c>
      <c r="U540" s="13">
        <f t="shared" si="857"/>
        <v>0</v>
      </c>
      <c r="V540" s="34"/>
      <c r="W540" s="45">
        <v>31.5</v>
      </c>
      <c r="X540" s="10">
        <f t="shared" si="858"/>
        <v>3417.75</v>
      </c>
      <c r="Y540" s="10">
        <f t="shared" si="854"/>
        <v>0</v>
      </c>
      <c r="Z540" s="10">
        <f t="shared" si="859"/>
        <v>0</v>
      </c>
      <c r="AA540" s="14">
        <f t="shared" ref="AA540:AA548" si="862">(W540*1*K540)</f>
        <v>0</v>
      </c>
      <c r="AB540" s="14">
        <f t="shared" si="860"/>
        <v>3417.75</v>
      </c>
      <c r="AC540" s="11">
        <f t="shared" ref="AC540:AC548" si="863">0-Y540-AA540</f>
        <v>0</v>
      </c>
      <c r="AD540" s="215"/>
      <c r="AE540" s="11">
        <f t="shared" ref="AE540:AE544" si="864">AB540-(X540+Z540)</f>
        <v>0</v>
      </c>
      <c r="AF540" s="211">
        <f>SUM(AE540:AE548)</f>
        <v>75.087499999999636</v>
      </c>
      <c r="AG540" s="8"/>
    </row>
    <row r="541" spans="1:33" x14ac:dyDescent="0.45">
      <c r="A541" s="22">
        <f>A540</f>
        <v>44598</v>
      </c>
      <c r="B541" s="15" t="s">
        <v>4</v>
      </c>
      <c r="C541" s="48">
        <f>80*W541</f>
        <v>2000</v>
      </c>
      <c r="D541" s="13">
        <v>80</v>
      </c>
      <c r="E541" s="13">
        <v>41</v>
      </c>
      <c r="F541" s="13">
        <v>12</v>
      </c>
      <c r="G541" s="13">
        <v>4</v>
      </c>
      <c r="H541" s="13">
        <v>0</v>
      </c>
      <c r="I541" s="13">
        <v>0</v>
      </c>
      <c r="J541" s="13">
        <v>0</v>
      </c>
      <c r="K541" s="13">
        <v>0</v>
      </c>
      <c r="L541" s="45">
        <v>0</v>
      </c>
      <c r="M541" s="34"/>
      <c r="N541" s="13">
        <v>80</v>
      </c>
      <c r="O541" s="13">
        <v>41</v>
      </c>
      <c r="P541" s="13">
        <v>12</v>
      </c>
      <c r="Q541" s="13">
        <v>4</v>
      </c>
      <c r="R541" s="34"/>
      <c r="S541" s="13">
        <f t="shared" si="856"/>
        <v>137</v>
      </c>
      <c r="T541" s="13">
        <f t="shared" si="861"/>
        <v>137</v>
      </c>
      <c r="U541" s="13">
        <f>SUM(H541:K541)</f>
        <v>0</v>
      </c>
      <c r="V541" s="34"/>
      <c r="W541" s="45">
        <v>25</v>
      </c>
      <c r="X541" s="10">
        <f t="shared" si="858"/>
        <v>4237.5</v>
      </c>
      <c r="Y541" s="10">
        <f t="shared" si="854"/>
        <v>0</v>
      </c>
      <c r="Z541" s="10">
        <f t="shared" si="859"/>
        <v>0</v>
      </c>
      <c r="AA541" s="14">
        <f t="shared" si="862"/>
        <v>0</v>
      </c>
      <c r="AB541" s="14">
        <f t="shared" si="860"/>
        <v>4237.5</v>
      </c>
      <c r="AC541" s="11">
        <f t="shared" si="863"/>
        <v>0</v>
      </c>
      <c r="AD541" s="215"/>
      <c r="AE541" s="11">
        <f t="shared" si="864"/>
        <v>0</v>
      </c>
      <c r="AF541" s="212"/>
      <c r="AG541" s="8"/>
    </row>
    <row r="542" spans="1:33" x14ac:dyDescent="0.45">
      <c r="A542" s="22">
        <f t="shared" ref="A542:A547" si="865">A541</f>
        <v>44598</v>
      </c>
      <c r="B542" s="15" t="s">
        <v>5</v>
      </c>
      <c r="C542" s="48">
        <f>120*W542</f>
        <v>3360</v>
      </c>
      <c r="D542" s="13">
        <v>69.75</v>
      </c>
      <c r="E542" s="13">
        <v>8</v>
      </c>
      <c r="F542" s="13">
        <v>0</v>
      </c>
      <c r="G542" s="13">
        <v>10</v>
      </c>
      <c r="H542" s="13">
        <v>0</v>
      </c>
      <c r="I542" s="13">
        <v>11</v>
      </c>
      <c r="J542" s="13">
        <v>0</v>
      </c>
      <c r="K542" s="13">
        <v>0</v>
      </c>
      <c r="L542" s="45">
        <v>0</v>
      </c>
      <c r="M542" s="34"/>
      <c r="N542" s="13">
        <v>69.75</v>
      </c>
      <c r="O542" s="13">
        <v>10</v>
      </c>
      <c r="P542" s="13">
        <v>0</v>
      </c>
      <c r="Q542" s="13">
        <v>8</v>
      </c>
      <c r="R542" s="34"/>
      <c r="S542" s="13">
        <f t="shared" si="856"/>
        <v>87.75</v>
      </c>
      <c r="T542" s="13">
        <f t="shared" si="861"/>
        <v>87.75</v>
      </c>
      <c r="U542" s="13">
        <f t="shared" ref="U542:U544" si="866">SUM(H542:K542)</f>
        <v>11</v>
      </c>
      <c r="V542" s="34"/>
      <c r="W542" s="45">
        <v>28</v>
      </c>
      <c r="X542" s="10">
        <f t="shared" si="858"/>
        <v>2569</v>
      </c>
      <c r="Y542" s="10">
        <f t="shared" si="854"/>
        <v>308</v>
      </c>
      <c r="Z542" s="10">
        <f t="shared" si="859"/>
        <v>0</v>
      </c>
      <c r="AA542" s="14">
        <f t="shared" si="862"/>
        <v>0</v>
      </c>
      <c r="AB542" s="14">
        <f t="shared" si="860"/>
        <v>2597</v>
      </c>
      <c r="AC542" s="11">
        <f t="shared" si="863"/>
        <v>-308</v>
      </c>
      <c r="AD542" s="215"/>
      <c r="AE542" s="11">
        <f t="shared" si="864"/>
        <v>28</v>
      </c>
      <c r="AF542" s="212"/>
      <c r="AG542" s="8"/>
    </row>
    <row r="543" spans="1:33" x14ac:dyDescent="0.45">
      <c r="A543" s="22">
        <f t="shared" si="865"/>
        <v>44598</v>
      </c>
      <c r="B543" s="15" t="s">
        <v>6</v>
      </c>
      <c r="C543" s="48">
        <f>80*W543</f>
        <v>2056</v>
      </c>
      <c r="D543" s="13">
        <v>73.25</v>
      </c>
      <c r="E543" s="13">
        <v>14.5</v>
      </c>
      <c r="F543" s="13">
        <v>0</v>
      </c>
      <c r="G543" s="13">
        <v>1</v>
      </c>
      <c r="H543" s="13">
        <v>0</v>
      </c>
      <c r="I543" s="13">
        <v>0</v>
      </c>
      <c r="J543" s="13">
        <v>0</v>
      </c>
      <c r="K543" s="13">
        <v>0</v>
      </c>
      <c r="L543" s="45">
        <v>0</v>
      </c>
      <c r="M543" s="34"/>
      <c r="N543" s="13">
        <v>73.25</v>
      </c>
      <c r="O543" s="13">
        <v>13.75</v>
      </c>
      <c r="P543" s="13">
        <v>1.75</v>
      </c>
      <c r="Q543" s="13">
        <v>0</v>
      </c>
      <c r="R543" s="34"/>
      <c r="S543" s="13">
        <f t="shared" si="856"/>
        <v>88.75</v>
      </c>
      <c r="T543" s="13">
        <f t="shared" si="861"/>
        <v>88.75</v>
      </c>
      <c r="U543" s="13">
        <f t="shared" si="866"/>
        <v>0</v>
      </c>
      <c r="V543" s="34"/>
      <c r="W543" s="45">
        <v>25.7</v>
      </c>
      <c r="X543" s="10">
        <f>(W543*1*D543)+(W543*1.5*E543)+(W543*2*F543)+(W543*1*G543)</f>
        <v>2467.1999999999998</v>
      </c>
      <c r="Y543" s="10">
        <f t="shared" si="854"/>
        <v>0</v>
      </c>
      <c r="Z543" s="10">
        <f t="shared" si="859"/>
        <v>0</v>
      </c>
      <c r="AA543" s="14">
        <f t="shared" si="862"/>
        <v>0</v>
      </c>
      <c r="AB543" s="14">
        <f t="shared" si="860"/>
        <v>2502.5374999999995</v>
      </c>
      <c r="AC543" s="11">
        <f t="shared" si="863"/>
        <v>0</v>
      </c>
      <c r="AD543" s="215"/>
      <c r="AE543" s="11">
        <f t="shared" si="864"/>
        <v>35.337499999999636</v>
      </c>
      <c r="AF543" s="212"/>
      <c r="AG543" s="8"/>
    </row>
    <row r="544" spans="1:33" x14ac:dyDescent="0.45">
      <c r="A544" s="22">
        <f>A543</f>
        <v>44598</v>
      </c>
      <c r="B544" s="15" t="s">
        <v>9</v>
      </c>
      <c r="C544" s="48">
        <f>120*W544</f>
        <v>3420</v>
      </c>
      <c r="D544" s="13">
        <v>56</v>
      </c>
      <c r="E544" s="13">
        <v>6</v>
      </c>
      <c r="F544" s="13">
        <v>0</v>
      </c>
      <c r="G544" s="13">
        <v>0</v>
      </c>
      <c r="H544" s="13">
        <v>0</v>
      </c>
      <c r="I544" s="13">
        <v>0</v>
      </c>
      <c r="J544" s="13">
        <v>0</v>
      </c>
      <c r="K544" s="13">
        <v>24</v>
      </c>
      <c r="L544" s="45">
        <v>0</v>
      </c>
      <c r="M544" s="34"/>
      <c r="N544" s="13">
        <v>56</v>
      </c>
      <c r="O544" s="13">
        <v>6</v>
      </c>
      <c r="P544" s="13">
        <v>0</v>
      </c>
      <c r="Q544" s="13">
        <v>0</v>
      </c>
      <c r="R544" s="34"/>
      <c r="S544" s="13">
        <f t="shared" si="856"/>
        <v>62</v>
      </c>
      <c r="T544" s="13">
        <f t="shared" si="861"/>
        <v>62</v>
      </c>
      <c r="U544" s="13">
        <f t="shared" si="866"/>
        <v>24</v>
      </c>
      <c r="V544" s="34"/>
      <c r="W544" s="45">
        <v>28.5</v>
      </c>
      <c r="X544" s="10">
        <f t="shared" ref="X544" si="867">(W544*1*D544)+(W544*1.5*E544)+(W544*2*F544)+(W544*1*G544)</f>
        <v>1852.5</v>
      </c>
      <c r="Y544" s="10">
        <f>(W544*0*H544)+(W544*1*I544)</f>
        <v>0</v>
      </c>
      <c r="Z544" s="10">
        <f t="shared" si="859"/>
        <v>0</v>
      </c>
      <c r="AA544" s="14">
        <f t="shared" si="862"/>
        <v>684</v>
      </c>
      <c r="AB544" s="14">
        <f t="shared" si="860"/>
        <v>1852.5</v>
      </c>
      <c r="AC544" s="11">
        <f t="shared" si="863"/>
        <v>-684</v>
      </c>
      <c r="AD544" s="215"/>
      <c r="AE544" s="11">
        <f t="shared" si="864"/>
        <v>0</v>
      </c>
      <c r="AF544" s="212"/>
      <c r="AG544" s="8"/>
    </row>
    <row r="545" spans="1:33" x14ac:dyDescent="0.45">
      <c r="A545" s="22">
        <f t="shared" si="865"/>
        <v>44598</v>
      </c>
      <c r="B545" s="50" t="s">
        <v>31</v>
      </c>
      <c r="C545" s="48">
        <f>80*W545</f>
        <v>2160</v>
      </c>
      <c r="D545" s="51">
        <v>80</v>
      </c>
      <c r="E545" s="51">
        <v>14</v>
      </c>
      <c r="F545" s="51">
        <v>0</v>
      </c>
      <c r="G545" s="51">
        <v>9</v>
      </c>
      <c r="H545" s="51">
        <v>0</v>
      </c>
      <c r="I545" s="51">
        <v>0</v>
      </c>
      <c r="J545" s="51">
        <v>0</v>
      </c>
      <c r="K545" s="51">
        <v>0</v>
      </c>
      <c r="L545" s="52">
        <v>0</v>
      </c>
      <c r="M545" s="34"/>
      <c r="N545" s="13">
        <v>80</v>
      </c>
      <c r="O545" s="13">
        <v>14.5</v>
      </c>
      <c r="P545" s="13">
        <v>0</v>
      </c>
      <c r="Q545" s="13">
        <v>8.5</v>
      </c>
      <c r="R545" s="34"/>
      <c r="S545" s="51">
        <f t="shared" ref="S545" si="868">SUM(D545:G545)</f>
        <v>103</v>
      </c>
      <c r="T545" s="51">
        <f t="shared" si="861"/>
        <v>103</v>
      </c>
      <c r="U545" s="51">
        <f t="shared" ref="U545" si="869">SUM(H545:K545)</f>
        <v>0</v>
      </c>
      <c r="V545" s="34"/>
      <c r="W545" s="52">
        <v>27</v>
      </c>
      <c r="X545" s="53">
        <f>(W545*1*D545)+(W545*1.5*E545)+(W545*2*F545)+(W545*1*G545)</f>
        <v>2970</v>
      </c>
      <c r="Y545" s="53">
        <f t="shared" ref="Y545:Y552" si="870">(W545*0*H545)+(W545*1*I545)</f>
        <v>0</v>
      </c>
      <c r="Z545" s="53">
        <f>(W545*1*J545)+L545</f>
        <v>0</v>
      </c>
      <c r="AA545" s="54">
        <f t="shared" si="862"/>
        <v>0</v>
      </c>
      <c r="AB545" s="54">
        <f>(W545*1*N545)+(W545*1.5*O545)+(W545*2*P545)+(W545*1*Q545)</f>
        <v>2976.75</v>
      </c>
      <c r="AC545" s="55">
        <f t="shared" si="863"/>
        <v>0</v>
      </c>
      <c r="AD545" s="217"/>
      <c r="AE545" s="55">
        <f>AB545-(X545+Z545)</f>
        <v>6.75</v>
      </c>
      <c r="AF545" s="212"/>
      <c r="AG545" s="8"/>
    </row>
    <row r="546" spans="1:33" x14ac:dyDescent="0.45">
      <c r="A546" s="22">
        <f t="shared" si="865"/>
        <v>44598</v>
      </c>
      <c r="B546" s="50" t="s">
        <v>51</v>
      </c>
      <c r="C546" s="48">
        <f t="shared" ref="C546:C548" si="871">80*W546</f>
        <v>1600</v>
      </c>
      <c r="D546" s="51">
        <v>80</v>
      </c>
      <c r="E546" s="51">
        <v>33</v>
      </c>
      <c r="F546" s="51">
        <v>12</v>
      </c>
      <c r="G546" s="51">
        <v>11</v>
      </c>
      <c r="H546" s="51">
        <v>0</v>
      </c>
      <c r="I546" s="51">
        <v>0</v>
      </c>
      <c r="J546" s="51">
        <v>0</v>
      </c>
      <c r="K546" s="51">
        <v>0</v>
      </c>
      <c r="L546" s="52">
        <v>0</v>
      </c>
      <c r="M546" s="34"/>
      <c r="N546" s="51">
        <v>80</v>
      </c>
      <c r="O546" s="51">
        <v>33</v>
      </c>
      <c r="P546" s="51">
        <v>12</v>
      </c>
      <c r="Q546" s="51">
        <v>11</v>
      </c>
      <c r="R546" s="34"/>
      <c r="S546" s="51">
        <f t="shared" ref="S546:S553" si="872">SUM(D546:G546)</f>
        <v>136</v>
      </c>
      <c r="T546" s="51">
        <f>SUM(N546:Q546)</f>
        <v>136</v>
      </c>
      <c r="U546" s="51">
        <f t="shared" ref="U546:U549" si="873">SUM(H546:K546)</f>
        <v>0</v>
      </c>
      <c r="V546" s="34"/>
      <c r="W546" s="52">
        <v>20</v>
      </c>
      <c r="X546" s="53">
        <f t="shared" ref="X546:X551" si="874">(W546*1*D546)+(W546*1.5*E546)+(W546*2*F546)+(W546*1*G546)</f>
        <v>3290</v>
      </c>
      <c r="Y546" s="53">
        <f t="shared" si="870"/>
        <v>0</v>
      </c>
      <c r="Z546" s="53">
        <f t="shared" ref="Z546:Z553" si="875">(W546*1*J546)+L546</f>
        <v>0</v>
      </c>
      <c r="AA546" s="54">
        <f t="shared" si="862"/>
        <v>0</v>
      </c>
      <c r="AB546" s="54">
        <f t="shared" ref="AB546:AB553" si="876">(W546*1*N546)+(W546*1.5*O546)+(W546*2*P546)+(W546*1*Q546)</f>
        <v>3290</v>
      </c>
      <c r="AC546" s="55">
        <f t="shared" si="863"/>
        <v>0</v>
      </c>
      <c r="AD546" s="217"/>
      <c r="AE546" s="55">
        <f>AB546-(X546+Z546)</f>
        <v>0</v>
      </c>
      <c r="AF546" s="212"/>
      <c r="AG546" s="8"/>
    </row>
    <row r="547" spans="1:33" x14ac:dyDescent="0.45">
      <c r="A547" s="22">
        <f t="shared" si="865"/>
        <v>44598</v>
      </c>
      <c r="B547" s="50" t="s">
        <v>53</v>
      </c>
      <c r="C547" s="48">
        <f t="shared" si="871"/>
        <v>1600</v>
      </c>
      <c r="D547" s="51">
        <v>80</v>
      </c>
      <c r="E547" s="51">
        <v>24.5</v>
      </c>
      <c r="F547" s="51">
        <v>0</v>
      </c>
      <c r="G547" s="51">
        <v>16</v>
      </c>
      <c r="H547" s="51">
        <v>0</v>
      </c>
      <c r="I547" s="51">
        <v>0</v>
      </c>
      <c r="J547" s="51">
        <v>0</v>
      </c>
      <c r="K547" s="51">
        <v>0</v>
      </c>
      <c r="L547" s="52">
        <v>0</v>
      </c>
      <c r="M547" s="34"/>
      <c r="N547" s="51">
        <v>80</v>
      </c>
      <c r="O547" s="51">
        <v>24.5</v>
      </c>
      <c r="P547" s="51">
        <v>0</v>
      </c>
      <c r="Q547" s="51">
        <v>16</v>
      </c>
      <c r="R547" s="34"/>
      <c r="S547" s="51">
        <f t="shared" si="872"/>
        <v>120.5</v>
      </c>
      <c r="T547" s="51">
        <f>SUM(N547:Q547)</f>
        <v>120.5</v>
      </c>
      <c r="U547" s="51">
        <f t="shared" si="873"/>
        <v>0</v>
      </c>
      <c r="V547" s="34"/>
      <c r="W547" s="52">
        <v>20</v>
      </c>
      <c r="X547" s="53">
        <f t="shared" si="874"/>
        <v>2655</v>
      </c>
      <c r="Y547" s="53">
        <f t="shared" si="870"/>
        <v>0</v>
      </c>
      <c r="Z547" s="53">
        <f t="shared" si="875"/>
        <v>0</v>
      </c>
      <c r="AA547" s="54">
        <f t="shared" si="862"/>
        <v>0</v>
      </c>
      <c r="AB547" s="54">
        <f t="shared" si="876"/>
        <v>2655</v>
      </c>
      <c r="AC547" s="55">
        <f t="shared" si="863"/>
        <v>0</v>
      </c>
      <c r="AD547" s="217"/>
      <c r="AE547" s="55">
        <f>AB547-(X547+Z547)</f>
        <v>0</v>
      </c>
      <c r="AF547" s="212"/>
      <c r="AG547" s="8"/>
    </row>
    <row r="548" spans="1:33" ht="14.65" thickBot="1" x14ac:dyDescent="0.5">
      <c r="A548" s="23">
        <f>A546</f>
        <v>44598</v>
      </c>
      <c r="B548" s="24" t="s">
        <v>54</v>
      </c>
      <c r="C548" s="49">
        <f t="shared" si="871"/>
        <v>1600</v>
      </c>
      <c r="D548" s="25">
        <v>80</v>
      </c>
      <c r="E548" s="25">
        <v>38</v>
      </c>
      <c r="F548" s="25">
        <v>12</v>
      </c>
      <c r="G548" s="25">
        <v>4</v>
      </c>
      <c r="H548" s="25">
        <v>0</v>
      </c>
      <c r="I548" s="25">
        <v>0</v>
      </c>
      <c r="J548" s="25">
        <v>0</v>
      </c>
      <c r="K548" s="25">
        <v>0</v>
      </c>
      <c r="L548" s="46">
        <v>0</v>
      </c>
      <c r="M548" s="35"/>
      <c r="N548" s="25">
        <v>80</v>
      </c>
      <c r="O548" s="25">
        <v>37.5</v>
      </c>
      <c r="P548" s="25">
        <v>12.5</v>
      </c>
      <c r="Q548" s="25">
        <v>4</v>
      </c>
      <c r="R548" s="35"/>
      <c r="S548" s="25">
        <f t="shared" si="872"/>
        <v>134</v>
      </c>
      <c r="T548" s="25">
        <f t="shared" ref="T548:T553" si="877">SUM(N548:Q548)</f>
        <v>134</v>
      </c>
      <c r="U548" s="25">
        <f t="shared" si="873"/>
        <v>0</v>
      </c>
      <c r="V548" s="35"/>
      <c r="W548" s="46">
        <v>20</v>
      </c>
      <c r="X548" s="26">
        <f t="shared" si="874"/>
        <v>3300</v>
      </c>
      <c r="Y548" s="26">
        <f t="shared" si="870"/>
        <v>0</v>
      </c>
      <c r="Z548" s="26">
        <f t="shared" si="875"/>
        <v>0</v>
      </c>
      <c r="AA548" s="27">
        <f t="shared" si="862"/>
        <v>0</v>
      </c>
      <c r="AB548" s="27">
        <f t="shared" si="876"/>
        <v>3305</v>
      </c>
      <c r="AC548" s="12">
        <f t="shared" si="863"/>
        <v>0</v>
      </c>
      <c r="AD548" s="216"/>
      <c r="AE548" s="12">
        <f>AB548-(X548+Z548)</f>
        <v>5</v>
      </c>
      <c r="AF548" s="213"/>
      <c r="AG548" s="8"/>
    </row>
    <row r="549" spans="1:33" x14ac:dyDescent="0.45">
      <c r="A549" s="22">
        <f>A548+14</f>
        <v>44612</v>
      </c>
      <c r="B549" s="15" t="s">
        <v>30</v>
      </c>
      <c r="C549" s="48">
        <f>120*W549</f>
        <v>3900</v>
      </c>
      <c r="D549" s="13">
        <v>80</v>
      </c>
      <c r="E549" s="13">
        <v>30</v>
      </c>
      <c r="F549" s="13">
        <v>12</v>
      </c>
      <c r="G549" s="13">
        <v>3</v>
      </c>
      <c r="H549" s="13">
        <v>0</v>
      </c>
      <c r="I549" s="13">
        <v>0</v>
      </c>
      <c r="J549" s="13">
        <v>0</v>
      </c>
      <c r="K549" s="13">
        <v>0</v>
      </c>
      <c r="L549" s="45">
        <v>0</v>
      </c>
      <c r="M549" s="34"/>
      <c r="N549" s="13">
        <v>80</v>
      </c>
      <c r="O549" s="13">
        <v>30</v>
      </c>
      <c r="P549" s="13">
        <v>12</v>
      </c>
      <c r="Q549" s="13">
        <v>3</v>
      </c>
      <c r="R549" s="34"/>
      <c r="S549" s="13">
        <f t="shared" si="872"/>
        <v>125</v>
      </c>
      <c r="T549" s="13">
        <f t="shared" si="877"/>
        <v>125</v>
      </c>
      <c r="U549" s="13">
        <f t="shared" si="873"/>
        <v>0</v>
      </c>
      <c r="V549" s="34"/>
      <c r="W549" s="45">
        <v>32.5</v>
      </c>
      <c r="X549" s="10">
        <f t="shared" si="874"/>
        <v>4940</v>
      </c>
      <c r="Y549" s="10">
        <f t="shared" si="870"/>
        <v>0</v>
      </c>
      <c r="Z549" s="10">
        <f t="shared" si="875"/>
        <v>0</v>
      </c>
      <c r="AA549" s="14">
        <f t="shared" ref="AA549:AA557" si="878">(W549*1*K549)</f>
        <v>0</v>
      </c>
      <c r="AB549" s="14">
        <f t="shared" si="876"/>
        <v>4940</v>
      </c>
      <c r="AC549" s="11">
        <f t="shared" ref="AC549:AC557" si="879">0-Y549-AA549</f>
        <v>0</v>
      </c>
      <c r="AD549" s="215"/>
      <c r="AE549" s="11">
        <f t="shared" ref="AE549:AE553" si="880">AB549-(X549+Z549)</f>
        <v>0</v>
      </c>
      <c r="AF549" s="211">
        <f>SUM(AE549:AE557)</f>
        <v>37</v>
      </c>
      <c r="AG549" s="8"/>
    </row>
    <row r="550" spans="1:33" x14ac:dyDescent="0.45">
      <c r="A550" s="22">
        <f>A549</f>
        <v>44612</v>
      </c>
      <c r="B550" s="15" t="s">
        <v>4</v>
      </c>
      <c r="C550" s="48">
        <f>80*W550</f>
        <v>2400</v>
      </c>
      <c r="D550" s="13">
        <v>80</v>
      </c>
      <c r="E550" s="13">
        <v>36.5</v>
      </c>
      <c r="F550" s="13">
        <v>12</v>
      </c>
      <c r="G550" s="13">
        <v>10</v>
      </c>
      <c r="H550" s="13">
        <v>0</v>
      </c>
      <c r="I550" s="13">
        <v>0</v>
      </c>
      <c r="J550" s="13">
        <v>0</v>
      </c>
      <c r="K550" s="13">
        <v>0</v>
      </c>
      <c r="L550" s="45">
        <v>0</v>
      </c>
      <c r="M550" s="34"/>
      <c r="N550" s="13">
        <v>80</v>
      </c>
      <c r="O550" s="13">
        <v>36</v>
      </c>
      <c r="P550" s="13">
        <v>12.5</v>
      </c>
      <c r="Q550" s="13">
        <v>10</v>
      </c>
      <c r="R550" s="34"/>
      <c r="S550" s="13">
        <f t="shared" si="872"/>
        <v>138.5</v>
      </c>
      <c r="T550" s="13">
        <f t="shared" si="877"/>
        <v>138.5</v>
      </c>
      <c r="U550" s="13">
        <f>SUM(H550:K550)</f>
        <v>0</v>
      </c>
      <c r="V550" s="34"/>
      <c r="W550" s="45">
        <v>30</v>
      </c>
      <c r="X550" s="10">
        <f t="shared" si="874"/>
        <v>5062.5</v>
      </c>
      <c r="Y550" s="10">
        <f t="shared" si="870"/>
        <v>0</v>
      </c>
      <c r="Z550" s="10">
        <f t="shared" si="875"/>
        <v>0</v>
      </c>
      <c r="AA550" s="14">
        <f t="shared" si="878"/>
        <v>0</v>
      </c>
      <c r="AB550" s="14">
        <f t="shared" si="876"/>
        <v>5070</v>
      </c>
      <c r="AC550" s="11">
        <f t="shared" si="879"/>
        <v>0</v>
      </c>
      <c r="AD550" s="215"/>
      <c r="AE550" s="11">
        <f t="shared" si="880"/>
        <v>7.5</v>
      </c>
      <c r="AF550" s="212"/>
      <c r="AG550" s="8"/>
    </row>
    <row r="551" spans="1:33" x14ac:dyDescent="0.45">
      <c r="A551" s="22">
        <f t="shared" ref="A551:A556" si="881">A550</f>
        <v>44612</v>
      </c>
      <c r="B551" s="15" t="s">
        <v>5</v>
      </c>
      <c r="C551" s="48">
        <f>120*W551</f>
        <v>3480</v>
      </c>
      <c r="D551" s="13">
        <v>66.75</v>
      </c>
      <c r="E551" s="13">
        <v>23</v>
      </c>
      <c r="F551" s="13">
        <v>12</v>
      </c>
      <c r="G551" s="13">
        <v>9</v>
      </c>
      <c r="H551" s="13">
        <v>0</v>
      </c>
      <c r="I551" s="13">
        <v>16</v>
      </c>
      <c r="J551" s="13">
        <v>0</v>
      </c>
      <c r="K551" s="13">
        <v>0</v>
      </c>
      <c r="L551" s="45">
        <v>0</v>
      </c>
      <c r="M551" s="34"/>
      <c r="N551" s="13">
        <v>66.75</v>
      </c>
      <c r="O551" s="13">
        <v>23</v>
      </c>
      <c r="P551" s="13">
        <v>12</v>
      </c>
      <c r="Q551" s="13">
        <v>9</v>
      </c>
      <c r="R551" s="34"/>
      <c r="S551" s="13">
        <f t="shared" si="872"/>
        <v>110.75</v>
      </c>
      <c r="T551" s="13">
        <f t="shared" si="877"/>
        <v>110.75</v>
      </c>
      <c r="U551" s="13">
        <f t="shared" ref="U551:U553" si="882">SUM(H551:K551)</f>
        <v>16</v>
      </c>
      <c r="V551" s="34"/>
      <c r="W551" s="45">
        <v>29</v>
      </c>
      <c r="X551" s="10">
        <f t="shared" si="874"/>
        <v>3893.25</v>
      </c>
      <c r="Y551" s="10">
        <f t="shared" si="870"/>
        <v>464</v>
      </c>
      <c r="Z551" s="10">
        <f t="shared" si="875"/>
        <v>0</v>
      </c>
      <c r="AA551" s="14">
        <f t="shared" si="878"/>
        <v>0</v>
      </c>
      <c r="AB551" s="14">
        <f t="shared" si="876"/>
        <v>3893.25</v>
      </c>
      <c r="AC551" s="11">
        <f t="shared" si="879"/>
        <v>-464</v>
      </c>
      <c r="AD551" s="215"/>
      <c r="AE551" s="11">
        <f t="shared" si="880"/>
        <v>0</v>
      </c>
      <c r="AF551" s="212"/>
      <c r="AG551" s="8"/>
    </row>
    <row r="552" spans="1:33" x14ac:dyDescent="0.45">
      <c r="A552" s="22">
        <f t="shared" si="881"/>
        <v>44612</v>
      </c>
      <c r="B552" s="15" t="s">
        <v>6</v>
      </c>
      <c r="C552" s="48">
        <f>80*W552</f>
        <v>2400</v>
      </c>
      <c r="D552" s="13">
        <v>80</v>
      </c>
      <c r="E552" s="13">
        <v>38.25</v>
      </c>
      <c r="F552" s="13">
        <v>8</v>
      </c>
      <c r="G552" s="13">
        <v>10</v>
      </c>
      <c r="H552" s="13">
        <v>0</v>
      </c>
      <c r="I552" s="13">
        <v>0</v>
      </c>
      <c r="J552" s="13">
        <v>0</v>
      </c>
      <c r="K552" s="13">
        <v>0</v>
      </c>
      <c r="L552" s="45">
        <v>0</v>
      </c>
      <c r="M552" s="34"/>
      <c r="N552" s="13">
        <v>80</v>
      </c>
      <c r="O552" s="13">
        <v>37.75</v>
      </c>
      <c r="P552" s="13">
        <v>8.5</v>
      </c>
      <c r="Q552" s="13">
        <v>10</v>
      </c>
      <c r="R552" s="34"/>
      <c r="S552" s="13">
        <f t="shared" si="872"/>
        <v>136.25</v>
      </c>
      <c r="T552" s="13">
        <f t="shared" si="877"/>
        <v>136.25</v>
      </c>
      <c r="U552" s="13">
        <f t="shared" si="882"/>
        <v>0</v>
      </c>
      <c r="V552" s="34"/>
      <c r="W552" s="45">
        <v>30</v>
      </c>
      <c r="X552" s="10">
        <f>(W552*1*D552)+(W552*1.5*E552)+(W552*2*F552)+(W552*1*G552)</f>
        <v>4901.25</v>
      </c>
      <c r="Y552" s="10">
        <f t="shared" si="870"/>
        <v>0</v>
      </c>
      <c r="Z552" s="10">
        <f t="shared" si="875"/>
        <v>0</v>
      </c>
      <c r="AA552" s="14">
        <f t="shared" si="878"/>
        <v>0</v>
      </c>
      <c r="AB552" s="14">
        <f t="shared" si="876"/>
        <v>4908.75</v>
      </c>
      <c r="AC552" s="11">
        <f t="shared" si="879"/>
        <v>0</v>
      </c>
      <c r="AD552" s="215"/>
      <c r="AE552" s="11">
        <f t="shared" si="880"/>
        <v>7.5</v>
      </c>
      <c r="AF552" s="212"/>
      <c r="AG552" s="8"/>
    </row>
    <row r="553" spans="1:33" x14ac:dyDescent="0.45">
      <c r="A553" s="22">
        <f>A552</f>
        <v>44612</v>
      </c>
      <c r="B553" s="15" t="s">
        <v>9</v>
      </c>
      <c r="C553" s="48">
        <f>120*W553</f>
        <v>3600</v>
      </c>
      <c r="D553" s="13">
        <v>80</v>
      </c>
      <c r="E553" s="13">
        <v>0</v>
      </c>
      <c r="F553" s="13">
        <v>0</v>
      </c>
      <c r="G553" s="13">
        <v>0</v>
      </c>
      <c r="H553" s="13">
        <v>0</v>
      </c>
      <c r="I553" s="13">
        <v>0</v>
      </c>
      <c r="J553" s="13">
        <v>0</v>
      </c>
      <c r="K553" s="13">
        <v>0</v>
      </c>
      <c r="L553" s="45">
        <v>0</v>
      </c>
      <c r="M553" s="34"/>
      <c r="N553" s="13">
        <v>80</v>
      </c>
      <c r="O553" s="13">
        <v>0</v>
      </c>
      <c r="P553" s="13">
        <v>0</v>
      </c>
      <c r="Q553" s="13">
        <v>0</v>
      </c>
      <c r="R553" s="34"/>
      <c r="S553" s="13">
        <f t="shared" si="872"/>
        <v>80</v>
      </c>
      <c r="T553" s="13">
        <f t="shared" si="877"/>
        <v>80</v>
      </c>
      <c r="U553" s="13">
        <f t="shared" si="882"/>
        <v>0</v>
      </c>
      <c r="V553" s="34"/>
      <c r="W553" s="62">
        <v>30</v>
      </c>
      <c r="X553" s="10">
        <f t="shared" ref="X553" si="883">(W553*1*D553)+(W553*1.5*E553)+(W553*2*F553)+(W553*1*G553)</f>
        <v>2400</v>
      </c>
      <c r="Y553" s="10">
        <f>(W553*0*H553)+(W553*1*I553)</f>
        <v>0</v>
      </c>
      <c r="Z553" s="10">
        <f t="shared" si="875"/>
        <v>0</v>
      </c>
      <c r="AA553" s="14">
        <f t="shared" si="878"/>
        <v>0</v>
      </c>
      <c r="AB553" s="14">
        <f t="shared" si="876"/>
        <v>2400</v>
      </c>
      <c r="AC553" s="11">
        <f t="shared" si="879"/>
        <v>0</v>
      </c>
      <c r="AD553" s="215"/>
      <c r="AE553" s="11">
        <f t="shared" si="880"/>
        <v>0</v>
      </c>
      <c r="AF553" s="212"/>
      <c r="AG553" s="8"/>
    </row>
    <row r="554" spans="1:33" x14ac:dyDescent="0.45">
      <c r="A554" s="22">
        <f t="shared" si="881"/>
        <v>44612</v>
      </c>
      <c r="B554" s="50" t="s">
        <v>31</v>
      </c>
      <c r="C554" s="48">
        <f>80*W554</f>
        <v>2400</v>
      </c>
      <c r="D554" s="51">
        <v>80</v>
      </c>
      <c r="E554" s="51">
        <v>28</v>
      </c>
      <c r="F554" s="51">
        <v>12</v>
      </c>
      <c r="G554" s="51">
        <v>12</v>
      </c>
      <c r="H554" s="51">
        <v>0</v>
      </c>
      <c r="I554" s="51">
        <v>0</v>
      </c>
      <c r="J554" s="51">
        <v>0</v>
      </c>
      <c r="K554" s="51">
        <v>0</v>
      </c>
      <c r="L554" s="52">
        <v>0</v>
      </c>
      <c r="M554" s="34"/>
      <c r="N554" s="13">
        <v>80</v>
      </c>
      <c r="O554" s="13">
        <v>26</v>
      </c>
      <c r="P554" s="13">
        <v>12.5</v>
      </c>
      <c r="Q554" s="13">
        <v>13.5</v>
      </c>
      <c r="R554" s="34"/>
      <c r="S554" s="51">
        <f t="shared" ref="S554" si="884">SUM(D554:G554)</f>
        <v>132</v>
      </c>
      <c r="T554" s="51">
        <f>SUM(N554:Q554)</f>
        <v>132</v>
      </c>
      <c r="U554" s="51">
        <f t="shared" ref="U554" si="885">SUM(H554:K554)</f>
        <v>0</v>
      </c>
      <c r="V554" s="34"/>
      <c r="W554" s="52">
        <v>30</v>
      </c>
      <c r="X554" s="53">
        <f>(W554*1*D554)+(W554*1.5*E554)+(W554*2*F554)+(W554*1*G554)</f>
        <v>4740</v>
      </c>
      <c r="Y554" s="53">
        <f t="shared" ref="Y554:Y561" si="886">(W554*0*H554)+(W554*1*I554)</f>
        <v>0</v>
      </c>
      <c r="Z554" s="53">
        <f>(W554*1*J554)+L554</f>
        <v>0</v>
      </c>
      <c r="AA554" s="54">
        <f t="shared" si="878"/>
        <v>0</v>
      </c>
      <c r="AB554" s="54">
        <f>(W554*1*N554)+(W554*1.5*O554)+(W554*2*P554)+(W554*1*Q554)</f>
        <v>4725</v>
      </c>
      <c r="AC554" s="55">
        <f t="shared" si="879"/>
        <v>0</v>
      </c>
      <c r="AD554" s="217"/>
      <c r="AE554" s="55">
        <f>AB554-(X554+Z554)</f>
        <v>-15</v>
      </c>
      <c r="AF554" s="212"/>
      <c r="AG554" s="8"/>
    </row>
    <row r="555" spans="1:33" x14ac:dyDescent="0.45">
      <c r="A555" s="22">
        <f t="shared" si="881"/>
        <v>44612</v>
      </c>
      <c r="B555" s="50" t="s">
        <v>51</v>
      </c>
      <c r="C555" s="48">
        <f t="shared" ref="C555:C557" si="887">80*W555</f>
        <v>1920</v>
      </c>
      <c r="D555" s="51">
        <v>80</v>
      </c>
      <c r="E555" s="51">
        <v>38</v>
      </c>
      <c r="F555" s="51">
        <v>9</v>
      </c>
      <c r="G555" s="51">
        <v>10</v>
      </c>
      <c r="H555" s="51">
        <v>0</v>
      </c>
      <c r="I555" s="51">
        <v>0</v>
      </c>
      <c r="J555" s="51">
        <v>0</v>
      </c>
      <c r="K555" s="51">
        <v>0</v>
      </c>
      <c r="L555" s="52">
        <v>0</v>
      </c>
      <c r="M555" s="34"/>
      <c r="N555" s="51">
        <v>80</v>
      </c>
      <c r="O555" s="51">
        <v>37</v>
      </c>
      <c r="P555" s="51">
        <v>10</v>
      </c>
      <c r="Q555" s="51">
        <v>10</v>
      </c>
      <c r="R555" s="34"/>
      <c r="S555" s="51">
        <f t="shared" ref="S555:S562" si="888">SUM(D555:G555)</f>
        <v>137</v>
      </c>
      <c r="T555" s="51">
        <f>SUM(N555:Q555)</f>
        <v>137</v>
      </c>
      <c r="U555" s="51">
        <f t="shared" ref="U555:U558" si="889">SUM(H555:K555)</f>
        <v>0</v>
      </c>
      <c r="V555" s="34"/>
      <c r="W555" s="52">
        <v>24</v>
      </c>
      <c r="X555" s="53">
        <f t="shared" ref="X555:X560" si="890">(W555*1*D555)+(W555*1.5*E555)+(W555*2*F555)+(W555*1*G555)</f>
        <v>3960</v>
      </c>
      <c r="Y555" s="53">
        <f t="shared" si="886"/>
        <v>0</v>
      </c>
      <c r="Z555" s="53">
        <f t="shared" ref="Z555:Z562" si="891">(W555*1*J555)+L555</f>
        <v>0</v>
      </c>
      <c r="AA555" s="54">
        <f t="shared" si="878"/>
        <v>0</v>
      </c>
      <c r="AB555" s="54">
        <f t="shared" ref="AB555:AB562" si="892">(W555*1*N555)+(W555*1.5*O555)+(W555*2*P555)+(W555*1*Q555)</f>
        <v>3972</v>
      </c>
      <c r="AC555" s="55">
        <f t="shared" si="879"/>
        <v>0</v>
      </c>
      <c r="AD555" s="217"/>
      <c r="AE555" s="55">
        <f>AB555-(X555+Z555)</f>
        <v>12</v>
      </c>
      <c r="AF555" s="212"/>
      <c r="AG555" s="8"/>
    </row>
    <row r="556" spans="1:33" x14ac:dyDescent="0.45">
      <c r="A556" s="22">
        <f t="shared" si="881"/>
        <v>44612</v>
      </c>
      <c r="B556" s="50" t="s">
        <v>53</v>
      </c>
      <c r="C556" s="48">
        <f t="shared" si="887"/>
        <v>1600</v>
      </c>
      <c r="D556" s="51">
        <v>80</v>
      </c>
      <c r="E556" s="51">
        <v>14.5</v>
      </c>
      <c r="F556" s="51">
        <v>12</v>
      </c>
      <c r="G556" s="51">
        <v>13</v>
      </c>
      <c r="H556" s="51">
        <v>0</v>
      </c>
      <c r="I556" s="51">
        <v>0</v>
      </c>
      <c r="J556" s="51">
        <v>0</v>
      </c>
      <c r="K556" s="51">
        <v>0</v>
      </c>
      <c r="L556" s="52">
        <v>0</v>
      </c>
      <c r="M556" s="34"/>
      <c r="N556" s="51">
        <v>80</v>
      </c>
      <c r="O556" s="51">
        <v>14.5</v>
      </c>
      <c r="P556" s="51">
        <v>13</v>
      </c>
      <c r="Q556" s="51">
        <v>12</v>
      </c>
      <c r="R556" s="34"/>
      <c r="S556" s="51">
        <f t="shared" si="888"/>
        <v>119.5</v>
      </c>
      <c r="T556" s="51">
        <f>SUM(N556:Q556)</f>
        <v>119.5</v>
      </c>
      <c r="U556" s="51">
        <f t="shared" si="889"/>
        <v>0</v>
      </c>
      <c r="V556" s="34"/>
      <c r="W556" s="52">
        <v>20</v>
      </c>
      <c r="X556" s="53">
        <f t="shared" si="890"/>
        <v>2775</v>
      </c>
      <c r="Y556" s="53">
        <f t="shared" si="886"/>
        <v>0</v>
      </c>
      <c r="Z556" s="53">
        <f t="shared" si="891"/>
        <v>0</v>
      </c>
      <c r="AA556" s="54">
        <f t="shared" si="878"/>
        <v>0</v>
      </c>
      <c r="AB556" s="54">
        <f t="shared" si="892"/>
        <v>2795</v>
      </c>
      <c r="AC556" s="55">
        <f t="shared" si="879"/>
        <v>0</v>
      </c>
      <c r="AD556" s="217"/>
      <c r="AE556" s="55">
        <f>AB556-(X556+Z556)</f>
        <v>20</v>
      </c>
      <c r="AF556" s="212"/>
      <c r="AG556" s="8"/>
    </row>
    <row r="557" spans="1:33" ht="14.65" thickBot="1" x14ac:dyDescent="0.5">
      <c r="A557" s="23">
        <f>A555</f>
        <v>44612</v>
      </c>
      <c r="B557" s="24" t="s">
        <v>54</v>
      </c>
      <c r="C557" s="49">
        <f t="shared" si="887"/>
        <v>1600</v>
      </c>
      <c r="D557" s="25">
        <v>80</v>
      </c>
      <c r="E557" s="25">
        <v>39.5</v>
      </c>
      <c r="F557" s="25">
        <v>12</v>
      </c>
      <c r="G557" s="25">
        <v>10</v>
      </c>
      <c r="H557" s="25">
        <v>0</v>
      </c>
      <c r="I557" s="25">
        <v>0</v>
      </c>
      <c r="J557" s="25">
        <v>0</v>
      </c>
      <c r="K557" s="25">
        <v>0</v>
      </c>
      <c r="L557" s="46">
        <v>0</v>
      </c>
      <c r="M557" s="35"/>
      <c r="N557" s="25">
        <v>80</v>
      </c>
      <c r="O557" s="25">
        <v>39</v>
      </c>
      <c r="P557" s="25">
        <v>12.5</v>
      </c>
      <c r="Q557" s="25">
        <v>10</v>
      </c>
      <c r="R557" s="35"/>
      <c r="S557" s="25">
        <f t="shared" si="888"/>
        <v>141.5</v>
      </c>
      <c r="T557" s="25">
        <f t="shared" ref="T557:T562" si="893">SUM(N557:Q557)</f>
        <v>141.5</v>
      </c>
      <c r="U557" s="25">
        <f t="shared" si="889"/>
        <v>0</v>
      </c>
      <c r="V557" s="35"/>
      <c r="W557" s="46">
        <v>20</v>
      </c>
      <c r="X557" s="26">
        <f t="shared" si="890"/>
        <v>3465</v>
      </c>
      <c r="Y557" s="26">
        <f t="shared" si="886"/>
        <v>0</v>
      </c>
      <c r="Z557" s="26">
        <f t="shared" si="891"/>
        <v>0</v>
      </c>
      <c r="AA557" s="27">
        <f t="shared" si="878"/>
        <v>0</v>
      </c>
      <c r="AB557" s="27">
        <f t="shared" si="892"/>
        <v>3470</v>
      </c>
      <c r="AC557" s="12">
        <f t="shared" si="879"/>
        <v>0</v>
      </c>
      <c r="AD557" s="216"/>
      <c r="AE557" s="12">
        <f>AB557-(X557+Z557)</f>
        <v>5</v>
      </c>
      <c r="AF557" s="213"/>
      <c r="AG557" s="8"/>
    </row>
    <row r="558" spans="1:33" x14ac:dyDescent="0.45">
      <c r="A558" s="22">
        <f>A557+14</f>
        <v>44626</v>
      </c>
      <c r="B558" s="15" t="s">
        <v>30</v>
      </c>
      <c r="C558" s="48">
        <f>120*W558</f>
        <v>3900</v>
      </c>
      <c r="D558" s="13">
        <v>71</v>
      </c>
      <c r="E558" s="13">
        <v>16</v>
      </c>
      <c r="F558" s="13">
        <v>0</v>
      </c>
      <c r="G558" s="13">
        <v>3</v>
      </c>
      <c r="H558" s="13">
        <v>0</v>
      </c>
      <c r="I558" s="13">
        <v>8</v>
      </c>
      <c r="J558" s="13">
        <v>8</v>
      </c>
      <c r="K558" s="13">
        <v>0</v>
      </c>
      <c r="L558" s="45">
        <v>0</v>
      </c>
      <c r="M558" s="34"/>
      <c r="N558" s="13">
        <v>80</v>
      </c>
      <c r="O558" s="13">
        <v>7</v>
      </c>
      <c r="P558" s="13">
        <v>0</v>
      </c>
      <c r="Q558" s="13">
        <v>3</v>
      </c>
      <c r="R558" s="34"/>
      <c r="S558" s="13">
        <f t="shared" si="888"/>
        <v>90</v>
      </c>
      <c r="T558" s="13">
        <f t="shared" si="893"/>
        <v>90</v>
      </c>
      <c r="U558" s="13">
        <f t="shared" si="889"/>
        <v>16</v>
      </c>
      <c r="V558" s="34"/>
      <c r="W558" s="45">
        <v>32.5</v>
      </c>
      <c r="X558" s="10">
        <f t="shared" si="890"/>
        <v>3185</v>
      </c>
      <c r="Y558" s="10">
        <f t="shared" si="886"/>
        <v>260</v>
      </c>
      <c r="Z558" s="10">
        <f t="shared" si="891"/>
        <v>260</v>
      </c>
      <c r="AA558" s="14">
        <f t="shared" ref="AA558:AA566" si="894">(W558*1*K558)</f>
        <v>0</v>
      </c>
      <c r="AB558" s="14">
        <f t="shared" si="892"/>
        <v>3038.75</v>
      </c>
      <c r="AC558" s="11">
        <f t="shared" ref="AC558:AC566" si="895">0-Y558-AA558</f>
        <v>-260</v>
      </c>
      <c r="AD558" s="215"/>
      <c r="AE558" s="11">
        <f t="shared" ref="AE558:AE562" si="896">AB558-(X558+Z558)</f>
        <v>-406.25</v>
      </c>
      <c r="AF558" s="211">
        <f>SUM(AE558:AE566)</f>
        <v>-2814.75</v>
      </c>
      <c r="AG558" s="8"/>
    </row>
    <row r="559" spans="1:33" x14ac:dyDescent="0.45">
      <c r="A559" s="22">
        <f>A558</f>
        <v>44626</v>
      </c>
      <c r="B559" s="15" t="s">
        <v>4</v>
      </c>
      <c r="C559" s="48">
        <f>80*W559</f>
        <v>2400</v>
      </c>
      <c r="D559" s="13">
        <v>57</v>
      </c>
      <c r="E559" s="13">
        <v>35.75</v>
      </c>
      <c r="F559" s="13">
        <v>12</v>
      </c>
      <c r="G559" s="13">
        <v>12</v>
      </c>
      <c r="H559" s="13">
        <v>0</v>
      </c>
      <c r="I559" s="13">
        <v>0</v>
      </c>
      <c r="J559" s="13">
        <v>8</v>
      </c>
      <c r="K559" s="13">
        <v>0</v>
      </c>
      <c r="L559" s="45">
        <v>0</v>
      </c>
      <c r="M559" s="34"/>
      <c r="N559" s="13">
        <v>69</v>
      </c>
      <c r="O559" s="13">
        <v>23.75</v>
      </c>
      <c r="P559" s="13">
        <v>12</v>
      </c>
      <c r="Q559" s="13">
        <v>12</v>
      </c>
      <c r="R559" s="34"/>
      <c r="S559" s="13">
        <f t="shared" si="888"/>
        <v>116.75</v>
      </c>
      <c r="T559" s="13">
        <f t="shared" si="893"/>
        <v>116.75</v>
      </c>
      <c r="U559" s="13">
        <f>SUM(H559:K559)</f>
        <v>8</v>
      </c>
      <c r="V559" s="34"/>
      <c r="W559" s="45">
        <v>30</v>
      </c>
      <c r="X559" s="10">
        <f t="shared" si="890"/>
        <v>4398.75</v>
      </c>
      <c r="Y559" s="10">
        <f t="shared" si="886"/>
        <v>0</v>
      </c>
      <c r="Z559" s="10">
        <f t="shared" si="891"/>
        <v>240</v>
      </c>
      <c r="AA559" s="14">
        <f t="shared" si="894"/>
        <v>0</v>
      </c>
      <c r="AB559" s="14">
        <f t="shared" si="892"/>
        <v>4218.75</v>
      </c>
      <c r="AC559" s="11">
        <f t="shared" si="895"/>
        <v>0</v>
      </c>
      <c r="AD559" s="215"/>
      <c r="AE559" s="11">
        <f t="shared" si="896"/>
        <v>-420</v>
      </c>
      <c r="AF559" s="212"/>
      <c r="AG559" s="8"/>
    </row>
    <row r="560" spans="1:33" x14ac:dyDescent="0.45">
      <c r="A560" s="22">
        <f t="shared" ref="A560:A565" si="897">A559</f>
        <v>44626</v>
      </c>
      <c r="B560" s="15" t="s">
        <v>5</v>
      </c>
      <c r="C560" s="48">
        <f>120*W560</f>
        <v>3480</v>
      </c>
      <c r="D560" s="13">
        <v>72</v>
      </c>
      <c r="E560" s="13">
        <v>19.25</v>
      </c>
      <c r="F560" s="13">
        <v>0</v>
      </c>
      <c r="G560" s="13">
        <v>10</v>
      </c>
      <c r="H560" s="13">
        <v>0</v>
      </c>
      <c r="I560" s="13">
        <v>0</v>
      </c>
      <c r="J560" s="13">
        <v>8</v>
      </c>
      <c r="K560" s="13">
        <v>0</v>
      </c>
      <c r="L560" s="45">
        <v>0</v>
      </c>
      <c r="M560" s="34"/>
      <c r="N560" s="13">
        <v>80</v>
      </c>
      <c r="O560" s="13">
        <v>11.25</v>
      </c>
      <c r="P560" s="13">
        <v>0</v>
      </c>
      <c r="Q560" s="13">
        <v>10</v>
      </c>
      <c r="R560" s="34"/>
      <c r="S560" s="13">
        <f t="shared" si="888"/>
        <v>101.25</v>
      </c>
      <c r="T560" s="13">
        <f t="shared" si="893"/>
        <v>101.25</v>
      </c>
      <c r="U560" s="13">
        <f t="shared" ref="U560:U562" si="898">SUM(H560:K560)</f>
        <v>8</v>
      </c>
      <c r="V560" s="34"/>
      <c r="W560" s="45">
        <v>29</v>
      </c>
      <c r="X560" s="10">
        <f t="shared" si="890"/>
        <v>3215.375</v>
      </c>
      <c r="Y560" s="10">
        <f t="shared" si="886"/>
        <v>0</v>
      </c>
      <c r="Z560" s="10">
        <f t="shared" si="891"/>
        <v>232</v>
      </c>
      <c r="AA560" s="14">
        <f t="shared" si="894"/>
        <v>0</v>
      </c>
      <c r="AB560" s="14">
        <f t="shared" si="892"/>
        <v>3099.375</v>
      </c>
      <c r="AC560" s="11">
        <f t="shared" si="895"/>
        <v>0</v>
      </c>
      <c r="AD560" s="215"/>
      <c r="AE560" s="11">
        <f t="shared" si="896"/>
        <v>-348</v>
      </c>
      <c r="AF560" s="212"/>
      <c r="AG560" s="8"/>
    </row>
    <row r="561" spans="1:33" x14ac:dyDescent="0.45">
      <c r="A561" s="22">
        <f t="shared" si="897"/>
        <v>44626</v>
      </c>
      <c r="B561" s="15" t="s">
        <v>6</v>
      </c>
      <c r="C561" s="48">
        <f>80*W561</f>
        <v>2400</v>
      </c>
      <c r="D561" s="13">
        <v>48.5</v>
      </c>
      <c r="E561" s="13">
        <v>43</v>
      </c>
      <c r="F561" s="13">
        <v>12</v>
      </c>
      <c r="G561" s="13">
        <v>9.5</v>
      </c>
      <c r="H561" s="13">
        <v>0</v>
      </c>
      <c r="I561" s="13">
        <v>0</v>
      </c>
      <c r="J561" s="13">
        <v>8</v>
      </c>
      <c r="K561" s="13">
        <v>0</v>
      </c>
      <c r="L561" s="45">
        <v>0</v>
      </c>
      <c r="M561" s="34"/>
      <c r="N561" s="13">
        <v>56.75</v>
      </c>
      <c r="O561" s="13">
        <v>32</v>
      </c>
      <c r="P561" s="13">
        <v>15</v>
      </c>
      <c r="Q561" s="13">
        <v>9.5</v>
      </c>
      <c r="R561" s="34"/>
      <c r="S561" s="13">
        <f t="shared" si="888"/>
        <v>113</v>
      </c>
      <c r="T561" s="13">
        <f t="shared" si="893"/>
        <v>113.25</v>
      </c>
      <c r="U561" s="13">
        <f t="shared" si="898"/>
        <v>8</v>
      </c>
      <c r="V561" s="34"/>
      <c r="W561" s="45">
        <v>30</v>
      </c>
      <c r="X561" s="10">
        <f>(W561*1*D561)+(W561*1.5*E561)+(W561*2*F561)+(W561*1*G561)</f>
        <v>4395</v>
      </c>
      <c r="Y561" s="10">
        <f t="shared" si="886"/>
        <v>0</v>
      </c>
      <c r="Z561" s="10">
        <f t="shared" si="891"/>
        <v>240</v>
      </c>
      <c r="AA561" s="14">
        <f t="shared" si="894"/>
        <v>0</v>
      </c>
      <c r="AB561" s="14">
        <f t="shared" si="892"/>
        <v>4327.5</v>
      </c>
      <c r="AC561" s="11">
        <f t="shared" si="895"/>
        <v>0</v>
      </c>
      <c r="AD561" s="215"/>
      <c r="AE561" s="11">
        <f t="shared" si="896"/>
        <v>-307.5</v>
      </c>
      <c r="AF561" s="212"/>
      <c r="AG561" s="8"/>
    </row>
    <row r="562" spans="1:33" x14ac:dyDescent="0.45">
      <c r="A562" s="22">
        <f>A561</f>
        <v>44626</v>
      </c>
      <c r="B562" s="15" t="s">
        <v>9</v>
      </c>
      <c r="C562" s="48">
        <f>120*W562</f>
        <v>3600</v>
      </c>
      <c r="D562" s="13">
        <v>72</v>
      </c>
      <c r="E562" s="13">
        <v>33</v>
      </c>
      <c r="F562" s="13">
        <v>18</v>
      </c>
      <c r="G562" s="13">
        <v>15.75</v>
      </c>
      <c r="H562" s="13">
        <v>0</v>
      </c>
      <c r="I562" s="13">
        <v>0</v>
      </c>
      <c r="J562" s="13">
        <v>8</v>
      </c>
      <c r="K562" s="13">
        <v>0</v>
      </c>
      <c r="L562" s="45">
        <v>0</v>
      </c>
      <c r="M562" s="34"/>
      <c r="N562" s="13">
        <v>72</v>
      </c>
      <c r="O562" s="13">
        <v>33</v>
      </c>
      <c r="P562" s="13">
        <v>18</v>
      </c>
      <c r="Q562" s="13">
        <v>15.75</v>
      </c>
      <c r="R562" s="34"/>
      <c r="S562" s="13">
        <f t="shared" si="888"/>
        <v>138.75</v>
      </c>
      <c r="T562" s="13">
        <f t="shared" si="893"/>
        <v>138.75</v>
      </c>
      <c r="U562" s="13">
        <f t="shared" si="898"/>
        <v>8</v>
      </c>
      <c r="V562" s="34"/>
      <c r="W562" s="45">
        <v>30</v>
      </c>
      <c r="X562" s="10">
        <f t="shared" ref="X562" si="899">(W562*1*D562)+(W562*1.5*E562)+(W562*2*F562)+(W562*1*G562)</f>
        <v>5197.5</v>
      </c>
      <c r="Y562" s="10">
        <f>(W562*0*H562)+(W562*1*I562)</f>
        <v>0</v>
      </c>
      <c r="Z562" s="10">
        <f t="shared" si="891"/>
        <v>240</v>
      </c>
      <c r="AA562" s="14">
        <f t="shared" si="894"/>
        <v>0</v>
      </c>
      <c r="AB562" s="14">
        <f t="shared" si="892"/>
        <v>5197.5</v>
      </c>
      <c r="AC562" s="11">
        <f t="shared" si="895"/>
        <v>0</v>
      </c>
      <c r="AD562" s="215"/>
      <c r="AE562" s="11">
        <f t="shared" si="896"/>
        <v>-240</v>
      </c>
      <c r="AF562" s="212"/>
      <c r="AG562" s="8"/>
    </row>
    <row r="563" spans="1:33" x14ac:dyDescent="0.45">
      <c r="A563" s="22">
        <f t="shared" si="897"/>
        <v>44626</v>
      </c>
      <c r="B563" s="50" t="s">
        <v>31</v>
      </c>
      <c r="C563" s="48">
        <f>80*W563</f>
        <v>2400</v>
      </c>
      <c r="D563" s="51">
        <v>64</v>
      </c>
      <c r="E563" s="51">
        <v>13</v>
      </c>
      <c r="F563" s="51">
        <v>0</v>
      </c>
      <c r="G563" s="51">
        <v>3</v>
      </c>
      <c r="H563" s="51">
        <v>0</v>
      </c>
      <c r="I563" s="51">
        <v>0</v>
      </c>
      <c r="J563" s="51">
        <v>8</v>
      </c>
      <c r="K563" s="51">
        <v>0</v>
      </c>
      <c r="L563" s="52">
        <v>0</v>
      </c>
      <c r="M563" s="34"/>
      <c r="N563" s="13">
        <v>76</v>
      </c>
      <c r="O563" s="13">
        <v>1</v>
      </c>
      <c r="P563" s="13">
        <v>0</v>
      </c>
      <c r="Q563" s="13">
        <v>3</v>
      </c>
      <c r="R563" s="34"/>
      <c r="S563" s="51">
        <f t="shared" ref="S563" si="900">SUM(D563:G563)</f>
        <v>80</v>
      </c>
      <c r="T563" s="51">
        <f>SUM(N563:Q563)</f>
        <v>80</v>
      </c>
      <c r="U563" s="51">
        <f t="shared" ref="U563" si="901">SUM(H563:K563)</f>
        <v>8</v>
      </c>
      <c r="V563" s="34"/>
      <c r="W563" s="52">
        <v>30</v>
      </c>
      <c r="X563" s="53">
        <f>(W563*1*D563)+(W563*1.5*E563)+(W563*2*F563)+(W563*1*G563)</f>
        <v>2595</v>
      </c>
      <c r="Y563" s="53">
        <f t="shared" ref="Y563:Y570" si="902">(W563*0*H563)+(W563*1*I563)</f>
        <v>0</v>
      </c>
      <c r="Z563" s="53">
        <f>(W563*1*J563)+L563</f>
        <v>240</v>
      </c>
      <c r="AA563" s="54">
        <f t="shared" si="894"/>
        <v>0</v>
      </c>
      <c r="AB563" s="54">
        <f>(W563*1*N563)+(W563*1.5*O563)+(W563*2*P563)+(W563*1*Q563)</f>
        <v>2415</v>
      </c>
      <c r="AC563" s="55">
        <f t="shared" si="895"/>
        <v>0</v>
      </c>
      <c r="AD563" s="217"/>
      <c r="AE563" s="55">
        <f>AB563-(X563+Z563)</f>
        <v>-420</v>
      </c>
      <c r="AF563" s="212"/>
      <c r="AG563" s="8"/>
    </row>
    <row r="564" spans="1:33" x14ac:dyDescent="0.45">
      <c r="A564" s="22">
        <f t="shared" si="897"/>
        <v>44626</v>
      </c>
      <c r="B564" s="50" t="s">
        <v>51</v>
      </c>
      <c r="C564" s="48">
        <f t="shared" ref="C564:C566" si="903">80*W564</f>
        <v>1920</v>
      </c>
      <c r="D564" s="51">
        <v>72</v>
      </c>
      <c r="E564" s="51">
        <v>41.5</v>
      </c>
      <c r="F564" s="51">
        <v>8.5</v>
      </c>
      <c r="G564" s="51">
        <v>10.5</v>
      </c>
      <c r="H564" s="51">
        <v>0</v>
      </c>
      <c r="I564" s="51">
        <v>0</v>
      </c>
      <c r="J564" s="51">
        <v>8</v>
      </c>
      <c r="K564" s="51">
        <v>0</v>
      </c>
      <c r="L564" s="52">
        <v>0</v>
      </c>
      <c r="M564" s="34"/>
      <c r="N564" s="51">
        <v>80</v>
      </c>
      <c r="O564" s="51">
        <v>33.5</v>
      </c>
      <c r="P564" s="51">
        <v>8.5</v>
      </c>
      <c r="Q564" s="51">
        <v>10.5</v>
      </c>
      <c r="R564" s="34"/>
      <c r="S564" s="51">
        <f t="shared" ref="S564:S571" si="904">SUM(D564:G564)</f>
        <v>132.5</v>
      </c>
      <c r="T564" s="51">
        <f>SUM(N564:Q564)</f>
        <v>132.5</v>
      </c>
      <c r="U564" s="51">
        <f t="shared" ref="U564:U567" si="905">SUM(H564:K564)</f>
        <v>8</v>
      </c>
      <c r="V564" s="34"/>
      <c r="W564" s="52">
        <v>24</v>
      </c>
      <c r="X564" s="53">
        <f t="shared" ref="X564:X569" si="906">(W564*1*D564)+(W564*1.5*E564)+(W564*2*F564)+(W564*1*G564)</f>
        <v>3882</v>
      </c>
      <c r="Y564" s="53">
        <f t="shared" si="902"/>
        <v>0</v>
      </c>
      <c r="Z564" s="53">
        <f t="shared" ref="Z564:Z571" si="907">(W564*1*J564)+L564</f>
        <v>192</v>
      </c>
      <c r="AA564" s="54">
        <f t="shared" si="894"/>
        <v>0</v>
      </c>
      <c r="AB564" s="54">
        <f t="shared" ref="AB564:AB571" si="908">(W564*1*N564)+(W564*1.5*O564)+(W564*2*P564)+(W564*1*Q564)</f>
        <v>3786</v>
      </c>
      <c r="AC564" s="55">
        <f t="shared" si="895"/>
        <v>0</v>
      </c>
      <c r="AD564" s="217"/>
      <c r="AE564" s="55">
        <f>AB564-(X564+Z564)</f>
        <v>-288</v>
      </c>
      <c r="AF564" s="212"/>
      <c r="AG564" s="8"/>
    </row>
    <row r="565" spans="1:33" x14ac:dyDescent="0.45">
      <c r="A565" s="22">
        <f t="shared" si="897"/>
        <v>44626</v>
      </c>
      <c r="B565" s="50" t="s">
        <v>53</v>
      </c>
      <c r="C565" s="48">
        <f t="shared" si="903"/>
        <v>1600</v>
      </c>
      <c r="D565" s="51">
        <v>52</v>
      </c>
      <c r="E565" s="51">
        <v>40</v>
      </c>
      <c r="F565" s="51">
        <v>24</v>
      </c>
      <c r="G565" s="51">
        <v>8.5</v>
      </c>
      <c r="H565" s="51">
        <v>0</v>
      </c>
      <c r="I565" s="51">
        <v>0</v>
      </c>
      <c r="J565" s="51">
        <v>8</v>
      </c>
      <c r="K565" s="51">
        <v>0</v>
      </c>
      <c r="L565" s="52">
        <v>0</v>
      </c>
      <c r="M565" s="34"/>
      <c r="N565" s="51">
        <v>60</v>
      </c>
      <c r="O565" s="51">
        <v>32</v>
      </c>
      <c r="P565" s="51">
        <v>24</v>
      </c>
      <c r="Q565" s="51">
        <v>8.5</v>
      </c>
      <c r="R565" s="34"/>
      <c r="S565" s="51">
        <f t="shared" si="904"/>
        <v>124.5</v>
      </c>
      <c r="T565" s="51">
        <f>SUM(N565:Q565)</f>
        <v>124.5</v>
      </c>
      <c r="U565" s="51">
        <f t="shared" si="905"/>
        <v>8</v>
      </c>
      <c r="V565" s="34"/>
      <c r="W565" s="52">
        <v>20</v>
      </c>
      <c r="X565" s="53">
        <f t="shared" si="906"/>
        <v>3370</v>
      </c>
      <c r="Y565" s="53">
        <f t="shared" si="902"/>
        <v>0</v>
      </c>
      <c r="Z565" s="53">
        <f t="shared" si="907"/>
        <v>160</v>
      </c>
      <c r="AA565" s="54">
        <f t="shared" si="894"/>
        <v>0</v>
      </c>
      <c r="AB565" s="54">
        <f t="shared" si="908"/>
        <v>3290</v>
      </c>
      <c r="AC565" s="55">
        <f t="shared" si="895"/>
        <v>0</v>
      </c>
      <c r="AD565" s="217"/>
      <c r="AE565" s="55">
        <f>AB565-(X565+Z565)</f>
        <v>-240</v>
      </c>
      <c r="AF565" s="212"/>
      <c r="AG565" s="8"/>
    </row>
    <row r="566" spans="1:33" ht="14.65" thickBot="1" x14ac:dyDescent="0.5">
      <c r="A566" s="23">
        <f>A564</f>
        <v>44626</v>
      </c>
      <c r="B566" s="24" t="s">
        <v>54</v>
      </c>
      <c r="C566" s="49">
        <f t="shared" si="903"/>
        <v>1600</v>
      </c>
      <c r="D566" s="25">
        <v>72</v>
      </c>
      <c r="E566" s="25">
        <v>38.5</v>
      </c>
      <c r="F566" s="25">
        <v>12</v>
      </c>
      <c r="G566" s="25">
        <v>10.5</v>
      </c>
      <c r="H566" s="25">
        <v>0</v>
      </c>
      <c r="I566" s="25">
        <v>0</v>
      </c>
      <c r="J566" s="25">
        <v>8</v>
      </c>
      <c r="K566" s="25">
        <v>0</v>
      </c>
      <c r="L566" s="46">
        <v>0</v>
      </c>
      <c r="M566" s="35"/>
      <c r="N566" s="25">
        <v>80</v>
      </c>
      <c r="O566" s="25">
        <v>32</v>
      </c>
      <c r="P566" s="25">
        <v>12.5</v>
      </c>
      <c r="Q566" s="25">
        <v>12</v>
      </c>
      <c r="R566" s="35"/>
      <c r="S566" s="25">
        <f t="shared" si="904"/>
        <v>133</v>
      </c>
      <c r="T566" s="25">
        <f t="shared" ref="T566:T571" si="909">SUM(N566:Q566)</f>
        <v>136.5</v>
      </c>
      <c r="U566" s="25">
        <f t="shared" si="905"/>
        <v>8</v>
      </c>
      <c r="V566" s="35"/>
      <c r="W566" s="46">
        <v>20</v>
      </c>
      <c r="X566" s="26">
        <f t="shared" si="906"/>
        <v>3285</v>
      </c>
      <c r="Y566" s="26">
        <f t="shared" si="902"/>
        <v>0</v>
      </c>
      <c r="Z566" s="26">
        <f t="shared" si="907"/>
        <v>160</v>
      </c>
      <c r="AA566" s="27">
        <f t="shared" si="894"/>
        <v>0</v>
      </c>
      <c r="AB566" s="27">
        <f t="shared" si="908"/>
        <v>3300</v>
      </c>
      <c r="AC566" s="12">
        <f t="shared" si="895"/>
        <v>0</v>
      </c>
      <c r="AD566" s="216"/>
      <c r="AE566" s="12">
        <f>AB566-(X566+Z566)</f>
        <v>-145</v>
      </c>
      <c r="AF566" s="213"/>
      <c r="AG566" s="8"/>
    </row>
    <row r="567" spans="1:33" x14ac:dyDescent="0.45">
      <c r="A567" s="22">
        <f>A566+14</f>
        <v>44640</v>
      </c>
      <c r="B567" s="15" t="s">
        <v>30</v>
      </c>
      <c r="C567" s="48">
        <f>120*W567</f>
        <v>3900</v>
      </c>
      <c r="D567" s="13">
        <v>80</v>
      </c>
      <c r="E567" s="13">
        <v>6.5</v>
      </c>
      <c r="F567" s="13">
        <v>0</v>
      </c>
      <c r="G567" s="13">
        <v>0</v>
      </c>
      <c r="H567" s="13">
        <v>0</v>
      </c>
      <c r="I567" s="13">
        <v>0</v>
      </c>
      <c r="J567" s="13">
        <v>0</v>
      </c>
      <c r="K567" s="13">
        <v>0</v>
      </c>
      <c r="L567" s="45">
        <v>0</v>
      </c>
      <c r="M567" s="34"/>
      <c r="N567" s="13">
        <v>80</v>
      </c>
      <c r="O567" s="13">
        <v>6.5</v>
      </c>
      <c r="P567" s="13">
        <v>0</v>
      </c>
      <c r="Q567" s="13">
        <v>0</v>
      </c>
      <c r="R567" s="34"/>
      <c r="S567" s="13">
        <f t="shared" si="904"/>
        <v>86.5</v>
      </c>
      <c r="T567" s="13">
        <f t="shared" si="909"/>
        <v>86.5</v>
      </c>
      <c r="U567" s="13">
        <f t="shared" si="905"/>
        <v>0</v>
      </c>
      <c r="V567" s="34"/>
      <c r="W567" s="45">
        <v>32.5</v>
      </c>
      <c r="X567" s="10">
        <f t="shared" si="906"/>
        <v>2916.875</v>
      </c>
      <c r="Y567" s="10">
        <f t="shared" si="902"/>
        <v>0</v>
      </c>
      <c r="Z567" s="10">
        <f t="shared" si="907"/>
        <v>0</v>
      </c>
      <c r="AA567" s="14">
        <f t="shared" ref="AA567:AA575" si="910">(W567*1*K567)</f>
        <v>0</v>
      </c>
      <c r="AB567" s="14">
        <f t="shared" si="908"/>
        <v>2916.875</v>
      </c>
      <c r="AC567" s="11">
        <f t="shared" ref="AC567:AC575" si="911">0-Y567-AA567</f>
        <v>0</v>
      </c>
      <c r="AD567" s="215"/>
      <c r="AE567" s="11">
        <f t="shared" ref="AE567:AE571" si="912">AB567-(X567+Z567)</f>
        <v>0</v>
      </c>
      <c r="AF567" s="211">
        <f>SUM(AE567:AE575)</f>
        <v>36.75</v>
      </c>
      <c r="AG567" s="8"/>
    </row>
    <row r="568" spans="1:33" x14ac:dyDescent="0.45">
      <c r="A568" s="22">
        <f>A567</f>
        <v>44640</v>
      </c>
      <c r="B568" s="15" t="s">
        <v>4</v>
      </c>
      <c r="C568" s="48">
        <f>80*W568</f>
        <v>2400</v>
      </c>
      <c r="D568" s="13">
        <v>80</v>
      </c>
      <c r="E568" s="13">
        <v>18.5</v>
      </c>
      <c r="F568" s="13">
        <v>8.5</v>
      </c>
      <c r="G568" s="13">
        <v>6.5</v>
      </c>
      <c r="H568" s="13">
        <v>0</v>
      </c>
      <c r="I568" s="13">
        <v>0</v>
      </c>
      <c r="J568" s="13">
        <v>0</v>
      </c>
      <c r="K568" s="13">
        <v>0</v>
      </c>
      <c r="L568" s="45">
        <v>0</v>
      </c>
      <c r="M568" s="34"/>
      <c r="N568" s="13">
        <v>80</v>
      </c>
      <c r="O568" s="13">
        <v>18.5</v>
      </c>
      <c r="P568" s="13">
        <v>8.5</v>
      </c>
      <c r="Q568" s="13">
        <v>6.5</v>
      </c>
      <c r="R568" s="34"/>
      <c r="S568" s="13">
        <f t="shared" si="904"/>
        <v>113.5</v>
      </c>
      <c r="T568" s="13">
        <f t="shared" si="909"/>
        <v>113.5</v>
      </c>
      <c r="U568" s="13">
        <f>SUM(H568:K568)</f>
        <v>0</v>
      </c>
      <c r="V568" s="34"/>
      <c r="W568" s="45">
        <v>30</v>
      </c>
      <c r="X568" s="10">
        <f t="shared" si="906"/>
        <v>3937.5</v>
      </c>
      <c r="Y568" s="10">
        <f t="shared" si="902"/>
        <v>0</v>
      </c>
      <c r="Z568" s="10">
        <f t="shared" si="907"/>
        <v>0</v>
      </c>
      <c r="AA568" s="14">
        <f t="shared" si="910"/>
        <v>0</v>
      </c>
      <c r="AB568" s="14">
        <f t="shared" si="908"/>
        <v>3937.5</v>
      </c>
      <c r="AC568" s="11">
        <f t="shared" si="911"/>
        <v>0</v>
      </c>
      <c r="AD568" s="215"/>
      <c r="AE568" s="11">
        <f t="shared" si="912"/>
        <v>0</v>
      </c>
      <c r="AF568" s="212"/>
      <c r="AG568" s="8"/>
    </row>
    <row r="569" spans="1:33" x14ac:dyDescent="0.45">
      <c r="A569" s="22">
        <f t="shared" ref="A569:A574" si="913">A568</f>
        <v>44640</v>
      </c>
      <c r="B569" s="15" t="s">
        <v>5</v>
      </c>
      <c r="C569" s="48">
        <f>120*W569</f>
        <v>3480</v>
      </c>
      <c r="D569" s="13">
        <v>80</v>
      </c>
      <c r="E569" s="13">
        <v>28</v>
      </c>
      <c r="F569" s="13">
        <v>12</v>
      </c>
      <c r="G569" s="13">
        <v>23.5</v>
      </c>
      <c r="H569" s="13">
        <v>0</v>
      </c>
      <c r="I569" s="13">
        <v>0</v>
      </c>
      <c r="J569" s="13">
        <v>0</v>
      </c>
      <c r="K569" s="13">
        <v>0</v>
      </c>
      <c r="L569" s="45">
        <v>0</v>
      </c>
      <c r="M569" s="34"/>
      <c r="N569" s="13">
        <v>80</v>
      </c>
      <c r="O569" s="13">
        <v>25.5</v>
      </c>
      <c r="P569" s="13">
        <v>14</v>
      </c>
      <c r="Q569" s="13">
        <v>24</v>
      </c>
      <c r="R569" s="34"/>
      <c r="S569" s="13">
        <f t="shared" si="904"/>
        <v>143.5</v>
      </c>
      <c r="T569" s="13">
        <f t="shared" si="909"/>
        <v>143.5</v>
      </c>
      <c r="U569" s="13">
        <f t="shared" ref="U569:U571" si="914">SUM(H569:K569)</f>
        <v>0</v>
      </c>
      <c r="V569" s="34"/>
      <c r="W569" s="45">
        <v>29</v>
      </c>
      <c r="X569" s="10">
        <f t="shared" si="906"/>
        <v>4915.5</v>
      </c>
      <c r="Y569" s="10">
        <f t="shared" si="902"/>
        <v>0</v>
      </c>
      <c r="Z569" s="10">
        <f t="shared" si="907"/>
        <v>0</v>
      </c>
      <c r="AA569" s="14">
        <f t="shared" si="910"/>
        <v>0</v>
      </c>
      <c r="AB569" s="14">
        <f t="shared" si="908"/>
        <v>4937.25</v>
      </c>
      <c r="AC569" s="11">
        <f t="shared" si="911"/>
        <v>0</v>
      </c>
      <c r="AD569" s="215"/>
      <c r="AE569" s="11">
        <f t="shared" si="912"/>
        <v>21.75</v>
      </c>
      <c r="AF569" s="212"/>
      <c r="AG569" s="8"/>
    </row>
    <row r="570" spans="1:33" x14ac:dyDescent="0.45">
      <c r="A570" s="22">
        <f t="shared" si="913"/>
        <v>44640</v>
      </c>
      <c r="B570" s="15" t="s">
        <v>6</v>
      </c>
      <c r="C570" s="48">
        <f>80*W570</f>
        <v>2400</v>
      </c>
      <c r="D570" s="13">
        <v>80</v>
      </c>
      <c r="E570" s="13">
        <v>25.25</v>
      </c>
      <c r="F570" s="13">
        <v>20.5</v>
      </c>
      <c r="G570" s="13">
        <v>11.5</v>
      </c>
      <c r="H570" s="13">
        <v>0</v>
      </c>
      <c r="I570" s="13">
        <v>0</v>
      </c>
      <c r="J570" s="13">
        <v>0</v>
      </c>
      <c r="K570" s="13">
        <v>0</v>
      </c>
      <c r="L570" s="45">
        <v>0</v>
      </c>
      <c r="M570" s="34"/>
      <c r="N570" s="13">
        <v>80</v>
      </c>
      <c r="O570" s="13">
        <v>25.25</v>
      </c>
      <c r="P570" s="13">
        <v>20.5</v>
      </c>
      <c r="Q570" s="13">
        <v>11.5</v>
      </c>
      <c r="R570" s="34"/>
      <c r="S570" s="13">
        <f t="shared" si="904"/>
        <v>137.25</v>
      </c>
      <c r="T570" s="13">
        <f t="shared" si="909"/>
        <v>137.25</v>
      </c>
      <c r="U570" s="13">
        <f t="shared" si="914"/>
        <v>0</v>
      </c>
      <c r="V570" s="34"/>
      <c r="W570" s="45">
        <v>30</v>
      </c>
      <c r="X570" s="10">
        <f>(W570*1*D570)+(W570*1.5*E570)+(W570*2*F570)+(W570*1*G570)</f>
        <v>5111.25</v>
      </c>
      <c r="Y570" s="10">
        <f t="shared" si="902"/>
        <v>0</v>
      </c>
      <c r="Z570" s="10">
        <f t="shared" si="907"/>
        <v>0</v>
      </c>
      <c r="AA570" s="14">
        <f t="shared" si="910"/>
        <v>0</v>
      </c>
      <c r="AB570" s="14">
        <f t="shared" si="908"/>
        <v>5111.25</v>
      </c>
      <c r="AC570" s="11">
        <f t="shared" si="911"/>
        <v>0</v>
      </c>
      <c r="AD570" s="215"/>
      <c r="AE570" s="11">
        <f t="shared" si="912"/>
        <v>0</v>
      </c>
      <c r="AF570" s="212"/>
      <c r="AG570" s="8"/>
    </row>
    <row r="571" spans="1:33" x14ac:dyDescent="0.45">
      <c r="A571" s="22">
        <f>A570</f>
        <v>44640</v>
      </c>
      <c r="B571" s="15" t="s">
        <v>9</v>
      </c>
      <c r="C571" s="48">
        <f>120*W571</f>
        <v>3600</v>
      </c>
      <c r="D571" s="13">
        <v>40</v>
      </c>
      <c r="E571" s="13">
        <v>4</v>
      </c>
      <c r="F571" s="13">
        <v>0</v>
      </c>
      <c r="G571" s="13">
        <v>3.5</v>
      </c>
      <c r="H571" s="13">
        <v>0</v>
      </c>
      <c r="I571" s="13">
        <v>40</v>
      </c>
      <c r="J571" s="13">
        <v>0</v>
      </c>
      <c r="K571" s="13">
        <v>0</v>
      </c>
      <c r="L571" s="45">
        <v>0</v>
      </c>
      <c r="M571" s="34"/>
      <c r="N571" s="13">
        <v>40</v>
      </c>
      <c r="O571" s="13">
        <v>4</v>
      </c>
      <c r="P571" s="13">
        <v>0</v>
      </c>
      <c r="Q571" s="13">
        <v>3.5</v>
      </c>
      <c r="R571" s="34"/>
      <c r="S571" s="13">
        <f t="shared" si="904"/>
        <v>47.5</v>
      </c>
      <c r="T571" s="13">
        <f t="shared" si="909"/>
        <v>47.5</v>
      </c>
      <c r="U571" s="13">
        <f t="shared" si="914"/>
        <v>40</v>
      </c>
      <c r="V571" s="34"/>
      <c r="W571" s="45">
        <v>30</v>
      </c>
      <c r="X571" s="10">
        <f t="shared" ref="X571" si="915">(W571*1*D571)+(W571*1.5*E571)+(W571*2*F571)+(W571*1*G571)</f>
        <v>1485</v>
      </c>
      <c r="Y571" s="10">
        <f>(W571*0*H571)+(W571*1*I571)</f>
        <v>1200</v>
      </c>
      <c r="Z571" s="10">
        <f t="shared" si="907"/>
        <v>0</v>
      </c>
      <c r="AA571" s="14">
        <f t="shared" si="910"/>
        <v>0</v>
      </c>
      <c r="AB571" s="14">
        <f t="shared" si="908"/>
        <v>1485</v>
      </c>
      <c r="AC571" s="11">
        <f t="shared" si="911"/>
        <v>-1200</v>
      </c>
      <c r="AD571" s="215"/>
      <c r="AE571" s="11">
        <f t="shared" si="912"/>
        <v>0</v>
      </c>
      <c r="AF571" s="212"/>
      <c r="AG571" s="8"/>
    </row>
    <row r="572" spans="1:33" x14ac:dyDescent="0.45">
      <c r="A572" s="22">
        <f t="shared" si="913"/>
        <v>44640</v>
      </c>
      <c r="B572" s="50" t="s">
        <v>31</v>
      </c>
      <c r="C572" s="48">
        <f>80*W572</f>
        <v>2400</v>
      </c>
      <c r="D572" s="51">
        <v>80</v>
      </c>
      <c r="E572" s="51">
        <v>17</v>
      </c>
      <c r="F572" s="51">
        <v>8.5</v>
      </c>
      <c r="G572" s="51">
        <v>6</v>
      </c>
      <c r="H572" s="51">
        <v>0</v>
      </c>
      <c r="I572" s="51">
        <v>0</v>
      </c>
      <c r="J572" s="51">
        <v>0</v>
      </c>
      <c r="K572" s="51">
        <v>0</v>
      </c>
      <c r="L572" s="52">
        <v>0</v>
      </c>
      <c r="M572" s="34"/>
      <c r="N572" s="13">
        <v>79</v>
      </c>
      <c r="O572" s="13">
        <v>14</v>
      </c>
      <c r="P572" s="13">
        <v>10.5</v>
      </c>
      <c r="Q572" s="13">
        <v>8</v>
      </c>
      <c r="R572" s="34"/>
      <c r="S572" s="51">
        <f t="shared" ref="S572" si="916">SUM(D572:G572)</f>
        <v>111.5</v>
      </c>
      <c r="T572" s="51">
        <f>SUM(N572:Q572)</f>
        <v>111.5</v>
      </c>
      <c r="U572" s="51">
        <f t="shared" ref="U572" si="917">SUM(H572:K572)</f>
        <v>0</v>
      </c>
      <c r="V572" s="34"/>
      <c r="W572" s="52">
        <v>30</v>
      </c>
      <c r="X572" s="53">
        <f>(W572*1*D572)+(W572*1.5*E572)+(W572*2*F572)+(W572*1*G572)</f>
        <v>3855</v>
      </c>
      <c r="Y572" s="53">
        <f t="shared" ref="Y572:Y579" si="918">(W572*0*H572)+(W572*1*I572)</f>
        <v>0</v>
      </c>
      <c r="Z572" s="53">
        <f>(W572*1*J572)+L572</f>
        <v>0</v>
      </c>
      <c r="AA572" s="54">
        <f t="shared" si="910"/>
        <v>0</v>
      </c>
      <c r="AB572" s="54">
        <f>(W572*1*N572)+(W572*1.5*O572)+(W572*2*P572)+(W572*1*Q572)</f>
        <v>3870</v>
      </c>
      <c r="AC572" s="55">
        <f t="shared" si="911"/>
        <v>0</v>
      </c>
      <c r="AD572" s="217"/>
      <c r="AE572" s="55">
        <f>AB572-(X572+Z572)</f>
        <v>15</v>
      </c>
      <c r="AF572" s="212"/>
      <c r="AG572" s="8"/>
    </row>
    <row r="573" spans="1:33" x14ac:dyDescent="0.45">
      <c r="A573" s="22">
        <f t="shared" si="913"/>
        <v>44640</v>
      </c>
      <c r="B573" s="50" t="s">
        <v>51</v>
      </c>
      <c r="C573" s="48">
        <f t="shared" ref="C573:C575" si="919">80*W573</f>
        <v>1920</v>
      </c>
      <c r="D573" s="51">
        <v>80</v>
      </c>
      <c r="E573" s="51">
        <v>37.5</v>
      </c>
      <c r="F573" s="51">
        <v>12</v>
      </c>
      <c r="G573" s="51">
        <v>10.5</v>
      </c>
      <c r="H573" s="51">
        <v>0</v>
      </c>
      <c r="I573" s="51">
        <v>0</v>
      </c>
      <c r="J573" s="51">
        <v>0</v>
      </c>
      <c r="K573" s="51">
        <v>0</v>
      </c>
      <c r="L573" s="52">
        <v>0</v>
      </c>
      <c r="M573" s="34"/>
      <c r="N573" s="51">
        <v>80</v>
      </c>
      <c r="O573" s="51">
        <v>37.5</v>
      </c>
      <c r="P573" s="51">
        <v>12</v>
      </c>
      <c r="Q573" s="51">
        <v>10.5</v>
      </c>
      <c r="R573" s="34"/>
      <c r="S573" s="51">
        <f t="shared" ref="S573:S580" si="920">SUM(D573:G573)</f>
        <v>140</v>
      </c>
      <c r="T573" s="51">
        <f>SUM(N573:Q573)</f>
        <v>140</v>
      </c>
      <c r="U573" s="51">
        <f t="shared" ref="U573:U576" si="921">SUM(H573:K573)</f>
        <v>0</v>
      </c>
      <c r="V573" s="34"/>
      <c r="W573" s="52">
        <v>24</v>
      </c>
      <c r="X573" s="53">
        <f t="shared" ref="X573:X578" si="922">(W573*1*D573)+(W573*1.5*E573)+(W573*2*F573)+(W573*1*G573)</f>
        <v>4098</v>
      </c>
      <c r="Y573" s="53">
        <f t="shared" si="918"/>
        <v>0</v>
      </c>
      <c r="Z573" s="53">
        <f t="shared" ref="Z573:Z580" si="923">(W573*1*J573)+L573</f>
        <v>0</v>
      </c>
      <c r="AA573" s="54">
        <f t="shared" si="910"/>
        <v>0</v>
      </c>
      <c r="AB573" s="54">
        <f t="shared" ref="AB573:AB580" si="924">(W573*1*N573)+(W573*1.5*O573)+(W573*2*P573)+(W573*1*Q573)</f>
        <v>4098</v>
      </c>
      <c r="AC573" s="55">
        <f t="shared" si="911"/>
        <v>0</v>
      </c>
      <c r="AD573" s="217"/>
      <c r="AE573" s="55">
        <f>AB573-(X573+Z573)</f>
        <v>0</v>
      </c>
      <c r="AF573" s="212"/>
      <c r="AG573" s="8"/>
    </row>
    <row r="574" spans="1:33" x14ac:dyDescent="0.45">
      <c r="A574" s="22">
        <f t="shared" si="913"/>
        <v>44640</v>
      </c>
      <c r="B574" s="50" t="s">
        <v>53</v>
      </c>
      <c r="C574" s="48">
        <f t="shared" si="919"/>
        <v>1600</v>
      </c>
      <c r="D574" s="51">
        <v>80</v>
      </c>
      <c r="E574" s="51">
        <v>9.75</v>
      </c>
      <c r="F574" s="51">
        <v>0</v>
      </c>
      <c r="G574" s="51">
        <v>12</v>
      </c>
      <c r="H574" s="51">
        <v>0</v>
      </c>
      <c r="I574" s="51">
        <v>0</v>
      </c>
      <c r="J574" s="51">
        <v>0</v>
      </c>
      <c r="K574" s="51">
        <v>0</v>
      </c>
      <c r="L574" s="52">
        <v>0</v>
      </c>
      <c r="M574" s="34"/>
      <c r="N574" s="51">
        <v>80</v>
      </c>
      <c r="O574" s="51">
        <v>9.75</v>
      </c>
      <c r="P574" s="51">
        <v>0</v>
      </c>
      <c r="Q574" s="51">
        <v>12</v>
      </c>
      <c r="R574" s="34"/>
      <c r="S574" s="51">
        <f t="shared" si="920"/>
        <v>101.75</v>
      </c>
      <c r="T574" s="51">
        <f>SUM(N574:Q574)</f>
        <v>101.75</v>
      </c>
      <c r="U574" s="51">
        <f t="shared" si="921"/>
        <v>0</v>
      </c>
      <c r="V574" s="34"/>
      <c r="W574" s="52">
        <v>20</v>
      </c>
      <c r="X574" s="53">
        <f t="shared" si="922"/>
        <v>2132.5</v>
      </c>
      <c r="Y574" s="53">
        <f t="shared" si="918"/>
        <v>0</v>
      </c>
      <c r="Z574" s="53">
        <f t="shared" si="923"/>
        <v>0</v>
      </c>
      <c r="AA574" s="54">
        <f t="shared" si="910"/>
        <v>0</v>
      </c>
      <c r="AB574" s="54">
        <f t="shared" si="924"/>
        <v>2132.5</v>
      </c>
      <c r="AC574" s="55">
        <f t="shared" si="911"/>
        <v>0</v>
      </c>
      <c r="AD574" s="217"/>
      <c r="AE574" s="55">
        <f>AB574-(X574+Z574)</f>
        <v>0</v>
      </c>
      <c r="AF574" s="212"/>
      <c r="AG574" s="8"/>
    </row>
    <row r="575" spans="1:33" ht="14.65" thickBot="1" x14ac:dyDescent="0.5">
      <c r="A575" s="23">
        <f>A573</f>
        <v>44640</v>
      </c>
      <c r="B575" s="24" t="s">
        <v>54</v>
      </c>
      <c r="C575" s="49">
        <f t="shared" si="919"/>
        <v>1600</v>
      </c>
      <c r="D575" s="25">
        <v>80</v>
      </c>
      <c r="E575" s="25">
        <v>11</v>
      </c>
      <c r="F575" s="25">
        <v>0</v>
      </c>
      <c r="G575" s="25">
        <v>12.5</v>
      </c>
      <c r="H575" s="25">
        <v>0</v>
      </c>
      <c r="I575" s="25">
        <v>0</v>
      </c>
      <c r="J575" s="25">
        <v>0</v>
      </c>
      <c r="K575" s="25">
        <v>0</v>
      </c>
      <c r="L575" s="46">
        <v>0</v>
      </c>
      <c r="M575" s="35"/>
      <c r="N575" s="25">
        <v>80</v>
      </c>
      <c r="O575" s="25">
        <v>11</v>
      </c>
      <c r="P575" s="25">
        <v>0</v>
      </c>
      <c r="Q575" s="25">
        <v>12.5</v>
      </c>
      <c r="R575" s="35"/>
      <c r="S575" s="25">
        <f t="shared" si="920"/>
        <v>103.5</v>
      </c>
      <c r="T575" s="25">
        <f t="shared" ref="T575:T580" si="925">SUM(N575:Q575)</f>
        <v>103.5</v>
      </c>
      <c r="U575" s="25">
        <f t="shared" si="921"/>
        <v>0</v>
      </c>
      <c r="V575" s="35"/>
      <c r="W575" s="46">
        <v>20</v>
      </c>
      <c r="X575" s="26">
        <f t="shared" si="922"/>
        <v>2180</v>
      </c>
      <c r="Y575" s="26">
        <f t="shared" si="918"/>
        <v>0</v>
      </c>
      <c r="Z575" s="26">
        <f t="shared" si="923"/>
        <v>0</v>
      </c>
      <c r="AA575" s="27">
        <f t="shared" si="910"/>
        <v>0</v>
      </c>
      <c r="AB575" s="27">
        <f t="shared" si="924"/>
        <v>2180</v>
      </c>
      <c r="AC575" s="12">
        <f t="shared" si="911"/>
        <v>0</v>
      </c>
      <c r="AD575" s="216"/>
      <c r="AE575" s="12">
        <f>AB575-(X575+Z575)</f>
        <v>0</v>
      </c>
      <c r="AF575" s="213"/>
      <c r="AG575" s="8"/>
    </row>
    <row r="576" spans="1:33" x14ac:dyDescent="0.45">
      <c r="A576" s="22">
        <f>A575+14</f>
        <v>44654</v>
      </c>
      <c r="B576" s="15" t="s">
        <v>30</v>
      </c>
      <c r="C576" s="48">
        <f>120*W576</f>
        <v>3900</v>
      </c>
      <c r="D576" s="13">
        <v>80</v>
      </c>
      <c r="E576" s="13">
        <v>24.5</v>
      </c>
      <c r="F576" s="13">
        <v>11</v>
      </c>
      <c r="G576" s="13">
        <v>11.75</v>
      </c>
      <c r="H576" s="13">
        <v>0</v>
      </c>
      <c r="I576" s="13">
        <v>0</v>
      </c>
      <c r="J576" s="13">
        <v>0</v>
      </c>
      <c r="K576" s="13">
        <v>0</v>
      </c>
      <c r="L576" s="45">
        <v>0</v>
      </c>
      <c r="M576" s="34"/>
      <c r="N576" s="13">
        <v>80</v>
      </c>
      <c r="O576" s="13">
        <v>24.5</v>
      </c>
      <c r="P576" s="13">
        <v>11</v>
      </c>
      <c r="Q576" s="13">
        <v>11.75</v>
      </c>
      <c r="R576" s="34"/>
      <c r="S576" s="13">
        <f t="shared" si="920"/>
        <v>127.25</v>
      </c>
      <c r="T576" s="13">
        <f t="shared" si="925"/>
        <v>127.25</v>
      </c>
      <c r="U576" s="13">
        <f t="shared" si="921"/>
        <v>0</v>
      </c>
      <c r="V576" s="34"/>
      <c r="W576" s="45">
        <v>32.5</v>
      </c>
      <c r="X576" s="10">
        <f t="shared" si="922"/>
        <v>4891.25</v>
      </c>
      <c r="Y576" s="10">
        <f t="shared" si="918"/>
        <v>0</v>
      </c>
      <c r="Z576" s="10">
        <f t="shared" si="923"/>
        <v>0</v>
      </c>
      <c r="AA576" s="14">
        <f t="shared" ref="AA576:AA584" si="926">(W576*1*K576)</f>
        <v>0</v>
      </c>
      <c r="AB576" s="14">
        <f t="shared" si="924"/>
        <v>4891.25</v>
      </c>
      <c r="AC576" s="11">
        <f t="shared" ref="AC576:AC584" si="927">0-Y576-AA576</f>
        <v>0</v>
      </c>
      <c r="AD576" s="215"/>
      <c r="AE576" s="11">
        <f t="shared" ref="AE576:AE580" si="928">AB576-(X576+Z576)</f>
        <v>0</v>
      </c>
      <c r="AF576" s="211">
        <f>SUM(AE576:AE584)</f>
        <v>43</v>
      </c>
      <c r="AG576" s="8"/>
    </row>
    <row r="577" spans="1:33" x14ac:dyDescent="0.45">
      <c r="A577" s="22">
        <f>A576</f>
        <v>44654</v>
      </c>
      <c r="B577" s="15" t="s">
        <v>4</v>
      </c>
      <c r="C577" s="48">
        <f>80*W577</f>
        <v>2400</v>
      </c>
      <c r="D577" s="13">
        <v>80</v>
      </c>
      <c r="E577" s="13">
        <v>13.5</v>
      </c>
      <c r="F577" s="13">
        <v>0</v>
      </c>
      <c r="G577" s="13">
        <v>0</v>
      </c>
      <c r="H577" s="13">
        <v>0</v>
      </c>
      <c r="I577" s="13">
        <v>0</v>
      </c>
      <c r="J577" s="13">
        <v>0</v>
      </c>
      <c r="K577" s="13">
        <v>0</v>
      </c>
      <c r="L577" s="45">
        <v>0</v>
      </c>
      <c r="M577" s="34"/>
      <c r="N577" s="13">
        <v>80</v>
      </c>
      <c r="O577" s="13">
        <v>13.5</v>
      </c>
      <c r="P577" s="13">
        <v>0</v>
      </c>
      <c r="Q577" s="13">
        <v>0</v>
      </c>
      <c r="R577" s="34"/>
      <c r="S577" s="13">
        <f t="shared" si="920"/>
        <v>93.5</v>
      </c>
      <c r="T577" s="13">
        <f t="shared" si="925"/>
        <v>93.5</v>
      </c>
      <c r="U577" s="13">
        <f>SUM(H577:K577)</f>
        <v>0</v>
      </c>
      <c r="V577" s="34"/>
      <c r="W577" s="45">
        <v>30</v>
      </c>
      <c r="X577" s="10">
        <f t="shared" si="922"/>
        <v>3007.5</v>
      </c>
      <c r="Y577" s="10">
        <f t="shared" si="918"/>
        <v>0</v>
      </c>
      <c r="Z577" s="10">
        <f t="shared" si="923"/>
        <v>0</v>
      </c>
      <c r="AA577" s="14">
        <f t="shared" si="926"/>
        <v>0</v>
      </c>
      <c r="AB577" s="14">
        <f t="shared" si="924"/>
        <v>3007.5</v>
      </c>
      <c r="AC577" s="11">
        <f t="shared" si="927"/>
        <v>0</v>
      </c>
      <c r="AD577" s="215"/>
      <c r="AE577" s="11">
        <f t="shared" si="928"/>
        <v>0</v>
      </c>
      <c r="AF577" s="212"/>
      <c r="AG577" s="8"/>
    </row>
    <row r="578" spans="1:33" x14ac:dyDescent="0.45">
      <c r="A578" s="22">
        <f t="shared" ref="A578:A583" si="929">A577</f>
        <v>44654</v>
      </c>
      <c r="B578" s="15" t="s">
        <v>5</v>
      </c>
      <c r="C578" s="48">
        <f>120*W578</f>
        <v>3480</v>
      </c>
      <c r="D578" s="13">
        <v>80</v>
      </c>
      <c r="E578" s="13">
        <v>30</v>
      </c>
      <c r="F578" s="13">
        <v>12</v>
      </c>
      <c r="G578" s="13">
        <v>18.5</v>
      </c>
      <c r="H578" s="13">
        <v>0</v>
      </c>
      <c r="I578" s="13">
        <v>0</v>
      </c>
      <c r="J578" s="13">
        <v>0</v>
      </c>
      <c r="K578" s="13">
        <v>0</v>
      </c>
      <c r="L578" s="45">
        <v>0</v>
      </c>
      <c r="M578" s="34"/>
      <c r="N578" s="13">
        <v>80</v>
      </c>
      <c r="O578" s="13">
        <v>30</v>
      </c>
      <c r="P578" s="13">
        <v>12</v>
      </c>
      <c r="Q578" s="13">
        <v>18.5</v>
      </c>
      <c r="R578" s="34"/>
      <c r="S578" s="13">
        <f t="shared" si="920"/>
        <v>140.5</v>
      </c>
      <c r="T578" s="13">
        <f t="shared" si="925"/>
        <v>140.5</v>
      </c>
      <c r="U578" s="13">
        <f t="shared" ref="U578:U580" si="930">SUM(H578:K578)</f>
        <v>0</v>
      </c>
      <c r="V578" s="34"/>
      <c r="W578" s="45">
        <v>29</v>
      </c>
      <c r="X578" s="10">
        <f t="shared" si="922"/>
        <v>4857.5</v>
      </c>
      <c r="Y578" s="10">
        <f t="shared" si="918"/>
        <v>0</v>
      </c>
      <c r="Z578" s="10">
        <f t="shared" si="923"/>
        <v>0</v>
      </c>
      <c r="AA578" s="14">
        <f t="shared" si="926"/>
        <v>0</v>
      </c>
      <c r="AB578" s="14">
        <f t="shared" si="924"/>
        <v>4857.5</v>
      </c>
      <c r="AC578" s="11">
        <f t="shared" si="927"/>
        <v>0</v>
      </c>
      <c r="AD578" s="215"/>
      <c r="AE578" s="11">
        <f t="shared" si="928"/>
        <v>0</v>
      </c>
      <c r="AF578" s="212"/>
      <c r="AG578" s="8"/>
    </row>
    <row r="579" spans="1:33" x14ac:dyDescent="0.45">
      <c r="A579" s="22">
        <f t="shared" si="929"/>
        <v>44654</v>
      </c>
      <c r="B579" s="15" t="s">
        <v>6</v>
      </c>
      <c r="C579" s="48">
        <f>80*W579</f>
        <v>2400</v>
      </c>
      <c r="D579" s="13">
        <v>76</v>
      </c>
      <c r="E579" s="13">
        <v>7.25</v>
      </c>
      <c r="F579" s="13">
        <v>0</v>
      </c>
      <c r="G579" s="13">
        <v>0</v>
      </c>
      <c r="H579" s="13">
        <v>0</v>
      </c>
      <c r="I579" s="13">
        <v>0</v>
      </c>
      <c r="J579" s="13">
        <v>0</v>
      </c>
      <c r="K579" s="13">
        <v>0</v>
      </c>
      <c r="L579" s="45">
        <v>0</v>
      </c>
      <c r="M579" s="34"/>
      <c r="N579" s="13">
        <v>76</v>
      </c>
      <c r="O579" s="13">
        <v>7.25</v>
      </c>
      <c r="P579" s="13">
        <v>0</v>
      </c>
      <c r="Q579" s="13">
        <v>0</v>
      </c>
      <c r="R579" s="34"/>
      <c r="S579" s="13">
        <f t="shared" si="920"/>
        <v>83.25</v>
      </c>
      <c r="T579" s="13">
        <f t="shared" si="925"/>
        <v>83.25</v>
      </c>
      <c r="U579" s="13">
        <f t="shared" si="930"/>
        <v>0</v>
      </c>
      <c r="V579" s="34"/>
      <c r="W579" s="45">
        <v>30</v>
      </c>
      <c r="X579" s="10">
        <f>(W579*1*D579)+(W579*1.5*E579)+(W579*2*F579)+(W579*1*G579)</f>
        <v>2606.25</v>
      </c>
      <c r="Y579" s="10">
        <f t="shared" si="918"/>
        <v>0</v>
      </c>
      <c r="Z579" s="10">
        <f t="shared" si="923"/>
        <v>0</v>
      </c>
      <c r="AA579" s="14">
        <f t="shared" si="926"/>
        <v>0</v>
      </c>
      <c r="AB579" s="14">
        <f t="shared" si="924"/>
        <v>2606.25</v>
      </c>
      <c r="AC579" s="11">
        <f t="shared" si="927"/>
        <v>0</v>
      </c>
      <c r="AD579" s="215"/>
      <c r="AE579" s="11">
        <f t="shared" si="928"/>
        <v>0</v>
      </c>
      <c r="AF579" s="212"/>
      <c r="AG579" s="8"/>
    </row>
    <row r="580" spans="1:33" x14ac:dyDescent="0.45">
      <c r="A580" s="22">
        <f>A579</f>
        <v>44654</v>
      </c>
      <c r="B580" s="15" t="s">
        <v>9</v>
      </c>
      <c r="C580" s="48">
        <f>120*W580</f>
        <v>3600</v>
      </c>
      <c r="D580" s="13">
        <v>57</v>
      </c>
      <c r="E580" s="13">
        <v>8</v>
      </c>
      <c r="F580" s="13">
        <v>8</v>
      </c>
      <c r="G580" s="13">
        <v>11.75</v>
      </c>
      <c r="H580" s="13">
        <v>0</v>
      </c>
      <c r="I580" s="13">
        <v>0</v>
      </c>
      <c r="J580" s="13">
        <v>0</v>
      </c>
      <c r="K580" s="13">
        <v>0</v>
      </c>
      <c r="L580" s="45">
        <v>0</v>
      </c>
      <c r="M580" s="34"/>
      <c r="N580" s="13">
        <v>57</v>
      </c>
      <c r="O580" s="13">
        <v>8</v>
      </c>
      <c r="P580" s="13">
        <v>8</v>
      </c>
      <c r="Q580" s="13">
        <v>11.75</v>
      </c>
      <c r="R580" s="34"/>
      <c r="S580" s="13">
        <f t="shared" si="920"/>
        <v>84.75</v>
      </c>
      <c r="T580" s="13">
        <f t="shared" si="925"/>
        <v>84.75</v>
      </c>
      <c r="U580" s="13">
        <f t="shared" si="930"/>
        <v>0</v>
      </c>
      <c r="V580" s="34"/>
      <c r="W580" s="45">
        <v>30</v>
      </c>
      <c r="X580" s="10">
        <f t="shared" ref="X580" si="931">(W580*1*D580)+(W580*1.5*E580)+(W580*2*F580)+(W580*1*G580)</f>
        <v>2902.5</v>
      </c>
      <c r="Y580" s="10">
        <f>(W580*0*H580)+(W580*1*I580)</f>
        <v>0</v>
      </c>
      <c r="Z580" s="10">
        <f t="shared" si="923"/>
        <v>0</v>
      </c>
      <c r="AA580" s="14">
        <f t="shared" si="926"/>
        <v>0</v>
      </c>
      <c r="AB580" s="14">
        <f t="shared" si="924"/>
        <v>2902.5</v>
      </c>
      <c r="AC580" s="11">
        <f t="shared" si="927"/>
        <v>0</v>
      </c>
      <c r="AD580" s="215"/>
      <c r="AE580" s="11">
        <f t="shared" si="928"/>
        <v>0</v>
      </c>
      <c r="AF580" s="212"/>
      <c r="AG580" s="8"/>
    </row>
    <row r="581" spans="1:33" x14ac:dyDescent="0.45">
      <c r="A581" s="22">
        <f t="shared" si="929"/>
        <v>44654</v>
      </c>
      <c r="B581" s="50" t="s">
        <v>31</v>
      </c>
      <c r="C581" s="48">
        <f>80*W581</f>
        <v>2400</v>
      </c>
      <c r="D581" s="51">
        <v>80</v>
      </c>
      <c r="E581" s="51">
        <v>35</v>
      </c>
      <c r="F581" s="51">
        <v>12</v>
      </c>
      <c r="G581" s="51">
        <v>3</v>
      </c>
      <c r="H581" s="51">
        <v>0</v>
      </c>
      <c r="I581" s="51">
        <v>0</v>
      </c>
      <c r="J581" s="51">
        <v>0</v>
      </c>
      <c r="K581" s="51">
        <v>0</v>
      </c>
      <c r="L581" s="52">
        <v>0</v>
      </c>
      <c r="M581" s="34"/>
      <c r="N581" s="13">
        <v>80</v>
      </c>
      <c r="O581" s="13">
        <v>38</v>
      </c>
      <c r="P581" s="13">
        <v>12</v>
      </c>
      <c r="Q581" s="13">
        <v>0</v>
      </c>
      <c r="R581" s="34"/>
      <c r="S581" s="51">
        <f t="shared" ref="S581" si="932">SUM(D581:G581)</f>
        <v>130</v>
      </c>
      <c r="T581" s="51">
        <f>SUM(N581:Q581)</f>
        <v>130</v>
      </c>
      <c r="U581" s="51">
        <f t="shared" ref="U581" si="933">SUM(H581:K581)</f>
        <v>0</v>
      </c>
      <c r="V581" s="34"/>
      <c r="W581" s="52">
        <v>30</v>
      </c>
      <c r="X581" s="53">
        <f>(W581*1*D581)+(W581*1.5*E581)+(W581*2*F581)+(W581*1*G581)</f>
        <v>4785</v>
      </c>
      <c r="Y581" s="53">
        <f t="shared" ref="Y581:Y588" si="934">(W581*0*H581)+(W581*1*I581)</f>
        <v>0</v>
      </c>
      <c r="Z581" s="53">
        <f>(W581*1*J581)+L581</f>
        <v>0</v>
      </c>
      <c r="AA581" s="54">
        <f t="shared" si="926"/>
        <v>0</v>
      </c>
      <c r="AB581" s="54">
        <f>(W581*1*N581)+(W581*1.5*O581)+(W581*2*P581)+(W581*1*Q581)</f>
        <v>4830</v>
      </c>
      <c r="AC581" s="55">
        <f t="shared" si="927"/>
        <v>0</v>
      </c>
      <c r="AD581" s="217"/>
      <c r="AE581" s="55">
        <f>AB581-(X581+Z581)</f>
        <v>45</v>
      </c>
      <c r="AF581" s="212"/>
      <c r="AG581" s="8"/>
    </row>
    <row r="582" spans="1:33" x14ac:dyDescent="0.45">
      <c r="A582" s="22">
        <f t="shared" si="929"/>
        <v>44654</v>
      </c>
      <c r="B582" s="50" t="s">
        <v>51</v>
      </c>
      <c r="C582" s="48">
        <f t="shared" ref="C582:C584" si="935">80*W582</f>
        <v>1920</v>
      </c>
      <c r="D582" s="51">
        <v>76</v>
      </c>
      <c r="E582" s="51">
        <v>16.5</v>
      </c>
      <c r="F582" s="51">
        <v>12</v>
      </c>
      <c r="G582" s="51">
        <v>17.5</v>
      </c>
      <c r="H582" s="51">
        <v>0</v>
      </c>
      <c r="I582" s="51">
        <v>0</v>
      </c>
      <c r="J582" s="51">
        <v>0</v>
      </c>
      <c r="K582" s="51">
        <v>0</v>
      </c>
      <c r="L582" s="52">
        <v>0</v>
      </c>
      <c r="M582" s="34"/>
      <c r="N582" s="51">
        <v>80</v>
      </c>
      <c r="O582" s="51">
        <v>13.5</v>
      </c>
      <c r="P582" s="51">
        <v>12.5</v>
      </c>
      <c r="Q582" s="51">
        <v>16.5</v>
      </c>
      <c r="R582" s="34"/>
      <c r="S582" s="51">
        <f t="shared" ref="S582:S589" si="936">SUM(D582:G582)</f>
        <v>122</v>
      </c>
      <c r="T582" s="51">
        <f>SUM(N582:Q582)</f>
        <v>122.5</v>
      </c>
      <c r="U582" s="51">
        <f t="shared" ref="U582:U585" si="937">SUM(H582:K582)</f>
        <v>0</v>
      </c>
      <c r="V582" s="34"/>
      <c r="W582" s="52">
        <v>24</v>
      </c>
      <c r="X582" s="53">
        <f t="shared" ref="X582:X587" si="938">(W582*1*D582)+(W582*1.5*E582)+(W582*2*F582)+(W582*1*G582)</f>
        <v>3414</v>
      </c>
      <c r="Y582" s="53">
        <f t="shared" si="934"/>
        <v>0</v>
      </c>
      <c r="Z582" s="53">
        <f t="shared" ref="Z582:Z589" si="939">(W582*1*J582)+L582</f>
        <v>0</v>
      </c>
      <c r="AA582" s="54">
        <f t="shared" si="926"/>
        <v>0</v>
      </c>
      <c r="AB582" s="54">
        <f t="shared" ref="AB582:AB589" si="940">(W582*1*N582)+(W582*1.5*O582)+(W582*2*P582)+(W582*1*Q582)</f>
        <v>3402</v>
      </c>
      <c r="AC582" s="55">
        <f t="shared" si="927"/>
        <v>0</v>
      </c>
      <c r="AD582" s="217"/>
      <c r="AE582" s="55">
        <f>AB582-(X582+Z582)</f>
        <v>-12</v>
      </c>
      <c r="AF582" s="212"/>
      <c r="AG582" s="8"/>
    </row>
    <row r="583" spans="1:33" x14ac:dyDescent="0.45">
      <c r="A583" s="22">
        <f t="shared" si="929"/>
        <v>44654</v>
      </c>
      <c r="B583" s="50" t="s">
        <v>53</v>
      </c>
      <c r="C583" s="48">
        <f t="shared" si="935"/>
        <v>1600</v>
      </c>
      <c r="D583" s="51">
        <v>80</v>
      </c>
      <c r="E583" s="51">
        <v>19</v>
      </c>
      <c r="F583" s="51">
        <v>0</v>
      </c>
      <c r="G583" s="51">
        <v>8</v>
      </c>
      <c r="H583" s="51">
        <v>0</v>
      </c>
      <c r="I583" s="51">
        <v>0</v>
      </c>
      <c r="J583" s="51">
        <v>0</v>
      </c>
      <c r="K583" s="51">
        <v>0</v>
      </c>
      <c r="L583" s="52">
        <v>0</v>
      </c>
      <c r="M583" s="34"/>
      <c r="N583" s="51">
        <v>80</v>
      </c>
      <c r="O583" s="51">
        <v>19</v>
      </c>
      <c r="P583" s="51">
        <v>0</v>
      </c>
      <c r="Q583" s="51">
        <v>8</v>
      </c>
      <c r="R583" s="34"/>
      <c r="S583" s="51">
        <f t="shared" si="936"/>
        <v>107</v>
      </c>
      <c r="T583" s="51">
        <f>SUM(N583:Q583)</f>
        <v>107</v>
      </c>
      <c r="U583" s="51">
        <f t="shared" si="937"/>
        <v>0</v>
      </c>
      <c r="V583" s="34"/>
      <c r="W583" s="52">
        <v>20</v>
      </c>
      <c r="X583" s="53">
        <f t="shared" si="938"/>
        <v>2330</v>
      </c>
      <c r="Y583" s="53">
        <f t="shared" si="934"/>
        <v>0</v>
      </c>
      <c r="Z583" s="53">
        <f t="shared" si="939"/>
        <v>0</v>
      </c>
      <c r="AA583" s="54">
        <f t="shared" si="926"/>
        <v>0</v>
      </c>
      <c r="AB583" s="54">
        <f t="shared" si="940"/>
        <v>2330</v>
      </c>
      <c r="AC583" s="55">
        <f t="shared" si="927"/>
        <v>0</v>
      </c>
      <c r="AD583" s="217"/>
      <c r="AE583" s="55">
        <f>AB583-(X583+Z583)</f>
        <v>0</v>
      </c>
      <c r="AF583" s="212"/>
      <c r="AG583" s="8"/>
    </row>
    <row r="584" spans="1:33" ht="14.65" thickBot="1" x14ac:dyDescent="0.5">
      <c r="A584" s="23">
        <f>A582</f>
        <v>44654</v>
      </c>
      <c r="B584" s="24" t="s">
        <v>54</v>
      </c>
      <c r="C584" s="49">
        <f t="shared" si="935"/>
        <v>1600</v>
      </c>
      <c r="D584" s="25">
        <v>80</v>
      </c>
      <c r="E584" s="25">
        <v>17</v>
      </c>
      <c r="F584" s="25">
        <v>11</v>
      </c>
      <c r="G584" s="25">
        <v>12</v>
      </c>
      <c r="H584" s="25">
        <v>0</v>
      </c>
      <c r="I584" s="25">
        <v>0</v>
      </c>
      <c r="J584" s="25">
        <v>0</v>
      </c>
      <c r="K584" s="25">
        <v>0</v>
      </c>
      <c r="L584" s="46">
        <v>0</v>
      </c>
      <c r="M584" s="35"/>
      <c r="N584" s="25">
        <v>80</v>
      </c>
      <c r="O584" s="25">
        <v>17.5</v>
      </c>
      <c r="P584" s="25">
        <v>11</v>
      </c>
      <c r="Q584" s="25">
        <v>11.75</v>
      </c>
      <c r="R584" s="35"/>
      <c r="S584" s="25">
        <f t="shared" si="936"/>
        <v>120</v>
      </c>
      <c r="T584" s="25">
        <f t="shared" ref="T584:T589" si="941">SUM(N584:Q584)</f>
        <v>120.25</v>
      </c>
      <c r="U584" s="25">
        <f t="shared" si="937"/>
        <v>0</v>
      </c>
      <c r="V584" s="35"/>
      <c r="W584" s="46">
        <v>20</v>
      </c>
      <c r="X584" s="26">
        <f t="shared" si="938"/>
        <v>2790</v>
      </c>
      <c r="Y584" s="26">
        <f t="shared" si="934"/>
        <v>0</v>
      </c>
      <c r="Z584" s="26">
        <f t="shared" si="939"/>
        <v>0</v>
      </c>
      <c r="AA584" s="27">
        <f t="shared" si="926"/>
        <v>0</v>
      </c>
      <c r="AB584" s="27">
        <f t="shared" si="940"/>
        <v>2800</v>
      </c>
      <c r="AC584" s="12">
        <f t="shared" si="927"/>
        <v>0</v>
      </c>
      <c r="AD584" s="216"/>
      <c r="AE584" s="12">
        <f>AB584-(X584+Z584)</f>
        <v>10</v>
      </c>
      <c r="AF584" s="213"/>
      <c r="AG584" s="8"/>
    </row>
    <row r="585" spans="1:33" x14ac:dyDescent="0.45">
      <c r="A585" s="22">
        <f>A584+14</f>
        <v>44668</v>
      </c>
      <c r="B585" s="15" t="s">
        <v>30</v>
      </c>
      <c r="C585" s="48">
        <f>120*W585</f>
        <v>3900</v>
      </c>
      <c r="D585" s="13">
        <v>72</v>
      </c>
      <c r="E585" s="13">
        <v>0</v>
      </c>
      <c r="F585" s="13">
        <v>0</v>
      </c>
      <c r="G585" s="13">
        <v>0</v>
      </c>
      <c r="H585" s="13">
        <v>0</v>
      </c>
      <c r="I585" s="13">
        <v>0</v>
      </c>
      <c r="J585" s="13">
        <v>8</v>
      </c>
      <c r="K585" s="13">
        <v>0</v>
      </c>
      <c r="L585" s="45">
        <v>0</v>
      </c>
      <c r="M585" s="34"/>
      <c r="N585" s="13">
        <v>72</v>
      </c>
      <c r="O585" s="13">
        <v>0</v>
      </c>
      <c r="P585" s="13">
        <v>0</v>
      </c>
      <c r="Q585" s="13">
        <v>0</v>
      </c>
      <c r="R585" s="34"/>
      <c r="S585" s="13">
        <f t="shared" si="936"/>
        <v>72</v>
      </c>
      <c r="T585" s="13">
        <f t="shared" si="941"/>
        <v>72</v>
      </c>
      <c r="U585" s="13">
        <f t="shared" si="937"/>
        <v>8</v>
      </c>
      <c r="V585" s="34"/>
      <c r="W585" s="45">
        <v>32.5</v>
      </c>
      <c r="X585" s="10">
        <f t="shared" si="938"/>
        <v>2340</v>
      </c>
      <c r="Y585" s="10">
        <f t="shared" si="934"/>
        <v>0</v>
      </c>
      <c r="Z585" s="10">
        <f t="shared" si="939"/>
        <v>260</v>
      </c>
      <c r="AA585" s="14">
        <f t="shared" ref="AA585:AA593" si="942">(W585*1*K585)</f>
        <v>0</v>
      </c>
      <c r="AB585" s="14">
        <f t="shared" si="940"/>
        <v>2340</v>
      </c>
      <c r="AC585" s="11">
        <f t="shared" ref="AC585:AC593" si="943">0-Y585-AA585</f>
        <v>0</v>
      </c>
      <c r="AD585" s="215"/>
      <c r="AE585" s="11">
        <f t="shared" ref="AE585:AE589" si="944">AB585-(X585+Z585)</f>
        <v>-260</v>
      </c>
      <c r="AF585" s="211">
        <f>SUM(AE585:AE593)</f>
        <v>-1832.75</v>
      </c>
      <c r="AG585" s="8"/>
    </row>
    <row r="586" spans="1:33" x14ac:dyDescent="0.45">
      <c r="A586" s="22">
        <f>A585</f>
        <v>44668</v>
      </c>
      <c r="B586" s="15" t="s">
        <v>4</v>
      </c>
      <c r="C586" s="48">
        <f>80*W586</f>
        <v>2400</v>
      </c>
      <c r="D586" s="13">
        <v>72</v>
      </c>
      <c r="E586" s="13">
        <v>6.25</v>
      </c>
      <c r="F586" s="13">
        <v>11.5</v>
      </c>
      <c r="G586" s="13">
        <v>0</v>
      </c>
      <c r="H586" s="13">
        <v>0</v>
      </c>
      <c r="I586" s="13">
        <v>0</v>
      </c>
      <c r="J586" s="13">
        <v>8</v>
      </c>
      <c r="K586" s="13">
        <v>0</v>
      </c>
      <c r="L586" s="45">
        <v>0</v>
      </c>
      <c r="M586" s="34"/>
      <c r="N586" s="13">
        <v>72</v>
      </c>
      <c r="O586" s="13">
        <v>6.25</v>
      </c>
      <c r="P586" s="13">
        <v>11.5</v>
      </c>
      <c r="Q586" s="13">
        <v>0</v>
      </c>
      <c r="R586" s="34"/>
      <c r="S586" s="13">
        <f t="shared" si="936"/>
        <v>89.75</v>
      </c>
      <c r="T586" s="13">
        <f t="shared" si="941"/>
        <v>89.75</v>
      </c>
      <c r="U586" s="13">
        <f>SUM(H586:K586)</f>
        <v>8</v>
      </c>
      <c r="V586" s="34"/>
      <c r="W586" s="45">
        <v>30</v>
      </c>
      <c r="X586" s="10">
        <f t="shared" si="938"/>
        <v>3131.25</v>
      </c>
      <c r="Y586" s="10">
        <f t="shared" si="934"/>
        <v>0</v>
      </c>
      <c r="Z586" s="10">
        <f t="shared" si="939"/>
        <v>240</v>
      </c>
      <c r="AA586" s="14">
        <f t="shared" si="942"/>
        <v>0</v>
      </c>
      <c r="AB586" s="14">
        <f t="shared" si="940"/>
        <v>3131.25</v>
      </c>
      <c r="AC586" s="11">
        <f t="shared" si="943"/>
        <v>0</v>
      </c>
      <c r="AD586" s="215"/>
      <c r="AE586" s="11">
        <f t="shared" si="944"/>
        <v>-240</v>
      </c>
      <c r="AF586" s="212"/>
      <c r="AG586" s="8"/>
    </row>
    <row r="587" spans="1:33" x14ac:dyDescent="0.45">
      <c r="A587" s="22">
        <f t="shared" ref="A587:A592" si="945">A586</f>
        <v>44668</v>
      </c>
      <c r="B587" s="15" t="s">
        <v>5</v>
      </c>
      <c r="C587" s="48">
        <f>120*W587</f>
        <v>3480</v>
      </c>
      <c r="D587" s="13">
        <v>66</v>
      </c>
      <c r="E587" s="13">
        <v>0.25</v>
      </c>
      <c r="F587" s="13">
        <v>0</v>
      </c>
      <c r="G587" s="13">
        <v>20.5</v>
      </c>
      <c r="H587" s="13">
        <v>0</v>
      </c>
      <c r="I587" s="13">
        <v>0</v>
      </c>
      <c r="J587" s="13">
        <v>8</v>
      </c>
      <c r="K587" s="13">
        <v>0</v>
      </c>
      <c r="L587" s="45">
        <v>0</v>
      </c>
      <c r="M587" s="34"/>
      <c r="N587" s="13">
        <v>66</v>
      </c>
      <c r="O587" s="13">
        <v>0.25</v>
      </c>
      <c r="P587" s="13">
        <v>0</v>
      </c>
      <c r="Q587" s="13">
        <v>20.5</v>
      </c>
      <c r="R587" s="34"/>
      <c r="S587" s="13">
        <f t="shared" si="936"/>
        <v>86.75</v>
      </c>
      <c r="T587" s="13">
        <f t="shared" si="941"/>
        <v>86.75</v>
      </c>
      <c r="U587" s="13">
        <f t="shared" ref="U587:U589" si="946">SUM(H587:K587)</f>
        <v>8</v>
      </c>
      <c r="V587" s="34"/>
      <c r="W587" s="45">
        <v>29</v>
      </c>
      <c r="X587" s="10">
        <f t="shared" si="938"/>
        <v>2519.375</v>
      </c>
      <c r="Y587" s="10">
        <f t="shared" si="934"/>
        <v>0</v>
      </c>
      <c r="Z587" s="10">
        <f t="shared" si="939"/>
        <v>232</v>
      </c>
      <c r="AA587" s="14">
        <f t="shared" si="942"/>
        <v>0</v>
      </c>
      <c r="AB587" s="14">
        <f t="shared" si="940"/>
        <v>2519.375</v>
      </c>
      <c r="AC587" s="11">
        <f t="shared" si="943"/>
        <v>0</v>
      </c>
      <c r="AD587" s="215"/>
      <c r="AE587" s="11">
        <f t="shared" si="944"/>
        <v>-232</v>
      </c>
      <c r="AF587" s="212"/>
      <c r="AG587" s="8"/>
    </row>
    <row r="588" spans="1:33" x14ac:dyDescent="0.45">
      <c r="A588" s="22">
        <f t="shared" si="945"/>
        <v>44668</v>
      </c>
      <c r="B588" s="15" t="s">
        <v>6</v>
      </c>
      <c r="C588" s="48">
        <f>80*W588</f>
        <v>2400</v>
      </c>
      <c r="D588" s="13">
        <v>72</v>
      </c>
      <c r="E588" s="13">
        <v>10.5</v>
      </c>
      <c r="F588" s="13">
        <v>0</v>
      </c>
      <c r="G588" s="13">
        <v>0</v>
      </c>
      <c r="H588" s="13">
        <v>0</v>
      </c>
      <c r="I588" s="13">
        <v>0</v>
      </c>
      <c r="J588" s="13">
        <v>8</v>
      </c>
      <c r="K588" s="13">
        <v>0</v>
      </c>
      <c r="L588" s="45">
        <v>0</v>
      </c>
      <c r="M588" s="34"/>
      <c r="N588" s="13">
        <v>72</v>
      </c>
      <c r="O588" s="13">
        <v>10.75</v>
      </c>
      <c r="P588" s="13">
        <v>0</v>
      </c>
      <c r="Q588" s="13">
        <v>0</v>
      </c>
      <c r="R588" s="34"/>
      <c r="S588" s="13">
        <f t="shared" si="936"/>
        <v>82.5</v>
      </c>
      <c r="T588" s="13">
        <f t="shared" si="941"/>
        <v>82.75</v>
      </c>
      <c r="U588" s="13">
        <f t="shared" si="946"/>
        <v>8</v>
      </c>
      <c r="V588" s="34"/>
      <c r="W588" s="45">
        <v>30</v>
      </c>
      <c r="X588" s="10">
        <f>(W588*1*D588)+(W588*1.5*E588)+(W588*2*F588)+(W588*1*G588)</f>
        <v>2632.5</v>
      </c>
      <c r="Y588" s="10">
        <f t="shared" si="934"/>
        <v>0</v>
      </c>
      <c r="Z588" s="10">
        <f t="shared" si="939"/>
        <v>240</v>
      </c>
      <c r="AA588" s="14">
        <f t="shared" si="942"/>
        <v>0</v>
      </c>
      <c r="AB588" s="14">
        <f t="shared" si="940"/>
        <v>2643.75</v>
      </c>
      <c r="AC588" s="11">
        <f t="shared" si="943"/>
        <v>0</v>
      </c>
      <c r="AD588" s="215"/>
      <c r="AE588" s="11">
        <f t="shared" si="944"/>
        <v>-228.75</v>
      </c>
      <c r="AF588" s="212"/>
      <c r="AG588" s="8"/>
    </row>
    <row r="589" spans="1:33" x14ac:dyDescent="0.45">
      <c r="A589" s="22">
        <f>A588</f>
        <v>44668</v>
      </c>
      <c r="B589" s="15" t="s">
        <v>9</v>
      </c>
      <c r="C589" s="48">
        <f>120*W589</f>
        <v>3600</v>
      </c>
      <c r="D589" s="13">
        <v>72</v>
      </c>
      <c r="E589" s="13">
        <v>39</v>
      </c>
      <c r="F589" s="13">
        <v>20</v>
      </c>
      <c r="G589" s="13">
        <v>12</v>
      </c>
      <c r="H589" s="13">
        <v>0</v>
      </c>
      <c r="I589" s="13">
        <v>0</v>
      </c>
      <c r="J589" s="13">
        <v>8</v>
      </c>
      <c r="K589" s="13">
        <v>0</v>
      </c>
      <c r="L589" s="45">
        <v>0</v>
      </c>
      <c r="M589" s="34"/>
      <c r="N589" s="13">
        <v>72</v>
      </c>
      <c r="O589" s="13">
        <v>31</v>
      </c>
      <c r="P589" s="13">
        <v>28</v>
      </c>
      <c r="Q589" s="13">
        <v>12</v>
      </c>
      <c r="R589" s="34"/>
      <c r="S589" s="13">
        <f t="shared" si="936"/>
        <v>143</v>
      </c>
      <c r="T589" s="13">
        <f t="shared" si="941"/>
        <v>143</v>
      </c>
      <c r="U589" s="13">
        <f t="shared" si="946"/>
        <v>8</v>
      </c>
      <c r="V589" s="34"/>
      <c r="W589" s="45">
        <v>30</v>
      </c>
      <c r="X589" s="10">
        <f t="shared" ref="X589" si="947">(W589*1*D589)+(W589*1.5*E589)+(W589*2*F589)+(W589*1*G589)</f>
        <v>5475</v>
      </c>
      <c r="Y589" s="10">
        <f>(W589*0*H589)+(W589*1*I589)</f>
        <v>0</v>
      </c>
      <c r="Z589" s="10">
        <f t="shared" si="939"/>
        <v>240</v>
      </c>
      <c r="AA589" s="14">
        <f t="shared" si="942"/>
        <v>0</v>
      </c>
      <c r="AB589" s="14">
        <f t="shared" si="940"/>
        <v>5595</v>
      </c>
      <c r="AC589" s="11">
        <f t="shared" si="943"/>
        <v>0</v>
      </c>
      <c r="AD589" s="215"/>
      <c r="AE589" s="11">
        <f t="shared" si="944"/>
        <v>-120</v>
      </c>
      <c r="AF589" s="212"/>
      <c r="AG589" s="8"/>
    </row>
    <row r="590" spans="1:33" x14ac:dyDescent="0.45">
      <c r="A590" s="22">
        <f t="shared" si="945"/>
        <v>44668</v>
      </c>
      <c r="B590" s="50" t="s">
        <v>31</v>
      </c>
      <c r="C590" s="48">
        <f>80*W590</f>
        <v>2400</v>
      </c>
      <c r="D590" s="51">
        <v>27.5</v>
      </c>
      <c r="E590" s="51">
        <v>0</v>
      </c>
      <c r="F590" s="51">
        <v>11.5</v>
      </c>
      <c r="G590" s="51">
        <v>4</v>
      </c>
      <c r="H590" s="51">
        <v>0</v>
      </c>
      <c r="I590" s="51">
        <v>0</v>
      </c>
      <c r="J590" s="51">
        <v>8</v>
      </c>
      <c r="K590" s="51">
        <v>24</v>
      </c>
      <c r="L590" s="52">
        <v>0</v>
      </c>
      <c r="M590" s="34"/>
      <c r="N590" s="13">
        <v>27.5</v>
      </c>
      <c r="O590" s="13">
        <v>0</v>
      </c>
      <c r="P590" s="13">
        <v>11.5</v>
      </c>
      <c r="Q590" s="13">
        <v>4</v>
      </c>
      <c r="R590" s="34"/>
      <c r="S590" s="51">
        <f t="shared" ref="S590" si="948">SUM(D590:G590)</f>
        <v>43</v>
      </c>
      <c r="T590" s="51">
        <f>SUM(N590:Q590)</f>
        <v>43</v>
      </c>
      <c r="U590" s="51">
        <f t="shared" ref="U590" si="949">SUM(H590:K590)</f>
        <v>32</v>
      </c>
      <c r="V590" s="34"/>
      <c r="W590" s="52">
        <v>30</v>
      </c>
      <c r="X590" s="53">
        <f>(W590*1*D590)+(W590*1.5*E590)+(W590*2*F590)+(W590*1*G590)</f>
        <v>1635</v>
      </c>
      <c r="Y590" s="53">
        <f t="shared" ref="Y590:Y597" si="950">(W590*0*H590)+(W590*1*I590)</f>
        <v>0</v>
      </c>
      <c r="Z590" s="53">
        <f>(W590*1*J590)+L590</f>
        <v>240</v>
      </c>
      <c r="AA590" s="54">
        <f t="shared" si="942"/>
        <v>720</v>
      </c>
      <c r="AB590" s="54">
        <f>(W590*1*N590)+(W590*1.5*O590)+(W590*2*P590)+(W590*1*Q590)</f>
        <v>1635</v>
      </c>
      <c r="AC590" s="55">
        <f t="shared" si="943"/>
        <v>-720</v>
      </c>
      <c r="AD590" s="217"/>
      <c r="AE590" s="55">
        <f>AB590-(X590+Z590)</f>
        <v>-240</v>
      </c>
      <c r="AF590" s="212"/>
      <c r="AG590" s="8"/>
    </row>
    <row r="591" spans="1:33" x14ac:dyDescent="0.45">
      <c r="A591" s="22">
        <f t="shared" si="945"/>
        <v>44668</v>
      </c>
      <c r="B591" s="50" t="s">
        <v>51</v>
      </c>
      <c r="C591" s="48">
        <f t="shared" ref="C591:C593" si="951">80*W591</f>
        <v>1920</v>
      </c>
      <c r="D591" s="51">
        <v>72</v>
      </c>
      <c r="E591" s="51">
        <v>28</v>
      </c>
      <c r="F591" s="51">
        <v>11.5</v>
      </c>
      <c r="G591" s="51">
        <v>11</v>
      </c>
      <c r="H591" s="51">
        <v>0</v>
      </c>
      <c r="I591" s="51">
        <v>0</v>
      </c>
      <c r="J591" s="51">
        <v>8</v>
      </c>
      <c r="K591" s="51">
        <v>0</v>
      </c>
      <c r="L591" s="52">
        <v>0</v>
      </c>
      <c r="M591" s="34"/>
      <c r="N591" s="51">
        <v>72</v>
      </c>
      <c r="O591" s="51">
        <v>28</v>
      </c>
      <c r="P591" s="51">
        <v>11.5</v>
      </c>
      <c r="Q591" s="51">
        <v>11</v>
      </c>
      <c r="R591" s="34"/>
      <c r="S591" s="51">
        <f t="shared" ref="S591:S598" si="952">SUM(D591:G591)</f>
        <v>122.5</v>
      </c>
      <c r="T591" s="51">
        <f>SUM(N591:Q591)</f>
        <v>122.5</v>
      </c>
      <c r="U591" s="51">
        <f t="shared" ref="U591:U594" si="953">SUM(H591:K591)</f>
        <v>8</v>
      </c>
      <c r="V591" s="34"/>
      <c r="W591" s="52">
        <v>24</v>
      </c>
      <c r="X591" s="53">
        <f t="shared" ref="X591:X596" si="954">(W591*1*D591)+(W591*1.5*E591)+(W591*2*F591)+(W591*1*G591)</f>
        <v>3552</v>
      </c>
      <c r="Y591" s="53">
        <f t="shared" si="950"/>
        <v>0</v>
      </c>
      <c r="Z591" s="53">
        <f t="shared" ref="Z591:Z598" si="955">(W591*1*J591)+L591</f>
        <v>192</v>
      </c>
      <c r="AA591" s="54">
        <f t="shared" si="942"/>
        <v>0</v>
      </c>
      <c r="AB591" s="54">
        <f t="shared" ref="AB591:AB598" si="956">(W591*1*N591)+(W591*1.5*O591)+(W591*2*P591)+(W591*1*Q591)</f>
        <v>3552</v>
      </c>
      <c r="AC591" s="55">
        <f t="shared" si="943"/>
        <v>0</v>
      </c>
      <c r="AD591" s="217"/>
      <c r="AE591" s="55">
        <f>AB591-(X591+Z591)</f>
        <v>-192</v>
      </c>
      <c r="AF591" s="212"/>
      <c r="AG591" s="8"/>
    </row>
    <row r="592" spans="1:33" x14ac:dyDescent="0.45">
      <c r="A592" s="22">
        <f t="shared" si="945"/>
        <v>44668</v>
      </c>
      <c r="B592" s="50" t="s">
        <v>53</v>
      </c>
      <c r="C592" s="48">
        <f t="shared" si="951"/>
        <v>1600</v>
      </c>
      <c r="D592" s="51">
        <v>72</v>
      </c>
      <c r="E592" s="51">
        <v>18</v>
      </c>
      <c r="F592" s="51">
        <v>0</v>
      </c>
      <c r="G592" s="51">
        <v>8</v>
      </c>
      <c r="H592" s="51">
        <v>0</v>
      </c>
      <c r="I592" s="51">
        <v>0</v>
      </c>
      <c r="J592" s="51">
        <v>8</v>
      </c>
      <c r="K592" s="51">
        <v>0</v>
      </c>
      <c r="L592" s="52">
        <v>0</v>
      </c>
      <c r="M592" s="34"/>
      <c r="N592" s="51">
        <v>72</v>
      </c>
      <c r="O592" s="51">
        <v>18</v>
      </c>
      <c r="P592" s="51">
        <v>0</v>
      </c>
      <c r="Q592" s="51">
        <v>8</v>
      </c>
      <c r="R592" s="34"/>
      <c r="S592" s="51">
        <f t="shared" si="952"/>
        <v>98</v>
      </c>
      <c r="T592" s="51">
        <f>SUM(N592:Q592)</f>
        <v>98</v>
      </c>
      <c r="U592" s="51">
        <f t="shared" si="953"/>
        <v>8</v>
      </c>
      <c r="V592" s="34"/>
      <c r="W592" s="52">
        <v>20</v>
      </c>
      <c r="X592" s="53">
        <f t="shared" si="954"/>
        <v>2140</v>
      </c>
      <c r="Y592" s="53">
        <f t="shared" si="950"/>
        <v>0</v>
      </c>
      <c r="Z592" s="53">
        <f t="shared" si="955"/>
        <v>160</v>
      </c>
      <c r="AA592" s="54">
        <f t="shared" si="942"/>
        <v>0</v>
      </c>
      <c r="AB592" s="54">
        <f t="shared" si="956"/>
        <v>2140</v>
      </c>
      <c r="AC592" s="55">
        <f t="shared" si="943"/>
        <v>0</v>
      </c>
      <c r="AD592" s="217"/>
      <c r="AE592" s="55">
        <f>AB592-(X592+Z592)</f>
        <v>-160</v>
      </c>
      <c r="AF592" s="212"/>
      <c r="AG592" s="8"/>
    </row>
    <row r="593" spans="1:33" ht="14.65" thickBot="1" x14ac:dyDescent="0.5">
      <c r="A593" s="23">
        <f>A591</f>
        <v>44668</v>
      </c>
      <c r="B593" s="24" t="s">
        <v>54</v>
      </c>
      <c r="C593" s="49">
        <f t="shared" si="951"/>
        <v>1600</v>
      </c>
      <c r="D593" s="25">
        <v>72</v>
      </c>
      <c r="E593" s="25">
        <v>23.5</v>
      </c>
      <c r="F593" s="25">
        <v>0</v>
      </c>
      <c r="G593" s="25">
        <v>0</v>
      </c>
      <c r="H593" s="25">
        <v>0</v>
      </c>
      <c r="I593" s="25">
        <v>0</v>
      </c>
      <c r="J593" s="25">
        <v>8</v>
      </c>
      <c r="K593" s="25">
        <v>0</v>
      </c>
      <c r="L593" s="46">
        <v>0</v>
      </c>
      <c r="M593" s="35"/>
      <c r="N593" s="25">
        <v>72</v>
      </c>
      <c r="O593" s="25">
        <v>23.5</v>
      </c>
      <c r="P593" s="25">
        <v>0</v>
      </c>
      <c r="Q593" s="25">
        <v>0</v>
      </c>
      <c r="R593" s="35"/>
      <c r="S593" s="25">
        <f t="shared" si="952"/>
        <v>95.5</v>
      </c>
      <c r="T593" s="25">
        <f t="shared" ref="T593:T598" si="957">SUM(N593:Q593)</f>
        <v>95.5</v>
      </c>
      <c r="U593" s="25">
        <f t="shared" si="953"/>
        <v>8</v>
      </c>
      <c r="V593" s="35"/>
      <c r="W593" s="46">
        <v>20</v>
      </c>
      <c r="X593" s="26">
        <f t="shared" si="954"/>
        <v>2145</v>
      </c>
      <c r="Y593" s="26">
        <f t="shared" si="950"/>
        <v>0</v>
      </c>
      <c r="Z593" s="26">
        <f t="shared" si="955"/>
        <v>160</v>
      </c>
      <c r="AA593" s="27">
        <f t="shared" si="942"/>
        <v>0</v>
      </c>
      <c r="AB593" s="27">
        <f t="shared" si="956"/>
        <v>2145</v>
      </c>
      <c r="AC593" s="12">
        <f t="shared" si="943"/>
        <v>0</v>
      </c>
      <c r="AD593" s="216"/>
      <c r="AE593" s="12">
        <f>AB593-(X593+Z593)</f>
        <v>-160</v>
      </c>
      <c r="AF593" s="213"/>
      <c r="AG593" s="8"/>
    </row>
    <row r="594" spans="1:33" x14ac:dyDescent="0.45">
      <c r="A594" s="22">
        <f>A593+14</f>
        <v>44682</v>
      </c>
      <c r="B594" s="15" t="s">
        <v>30</v>
      </c>
      <c r="C594" s="48">
        <f>120*W594</f>
        <v>3900</v>
      </c>
      <c r="D594" s="13">
        <v>80</v>
      </c>
      <c r="E594" s="13">
        <v>11.75</v>
      </c>
      <c r="F594" s="13">
        <v>12</v>
      </c>
      <c r="G594" s="13">
        <v>4</v>
      </c>
      <c r="H594" s="13">
        <v>0</v>
      </c>
      <c r="I594" s="13">
        <v>0</v>
      </c>
      <c r="J594" s="13">
        <v>0</v>
      </c>
      <c r="K594" s="13">
        <v>0</v>
      </c>
      <c r="L594" s="45">
        <v>0</v>
      </c>
      <c r="M594" s="34"/>
      <c r="N594" s="13">
        <v>80</v>
      </c>
      <c r="O594" s="13">
        <v>11.75</v>
      </c>
      <c r="P594" s="13">
        <v>12</v>
      </c>
      <c r="Q594" s="13">
        <v>4</v>
      </c>
      <c r="R594" s="34"/>
      <c r="S594" s="13">
        <f t="shared" si="952"/>
        <v>107.75</v>
      </c>
      <c r="T594" s="13">
        <f t="shared" si="957"/>
        <v>107.75</v>
      </c>
      <c r="U594" s="13">
        <f t="shared" si="953"/>
        <v>0</v>
      </c>
      <c r="V594" s="34"/>
      <c r="W594" s="45">
        <v>32.5</v>
      </c>
      <c r="X594" s="10">
        <f t="shared" si="954"/>
        <v>4082.8125</v>
      </c>
      <c r="Y594" s="10">
        <f t="shared" si="950"/>
        <v>0</v>
      </c>
      <c r="Z594" s="10">
        <f t="shared" si="955"/>
        <v>0</v>
      </c>
      <c r="AA594" s="14">
        <f t="shared" ref="AA594:AA602" si="958">(W594*1*K594)</f>
        <v>0</v>
      </c>
      <c r="AB594" s="14">
        <f t="shared" si="956"/>
        <v>4082.8125</v>
      </c>
      <c r="AC594" s="11">
        <f t="shared" ref="AC594:AC602" si="959">0-Y594-AA594</f>
        <v>0</v>
      </c>
      <c r="AD594" s="215"/>
      <c r="AE594" s="11">
        <f t="shared" ref="AE594:AE598" si="960">AB594-(X594+Z594)</f>
        <v>0</v>
      </c>
      <c r="AF594" s="211">
        <f>SUM(AE594:AE602)</f>
        <v>85</v>
      </c>
      <c r="AG594" s="8"/>
    </row>
    <row r="595" spans="1:33" x14ac:dyDescent="0.45">
      <c r="A595" s="22">
        <f>A594</f>
        <v>44682</v>
      </c>
      <c r="B595" s="15" t="s">
        <v>4</v>
      </c>
      <c r="C595" s="48">
        <f>80*W595</f>
        <v>2400</v>
      </c>
      <c r="D595" s="13">
        <v>80</v>
      </c>
      <c r="E595" s="13">
        <v>14.75</v>
      </c>
      <c r="F595" s="13">
        <v>0</v>
      </c>
      <c r="G595" s="13">
        <v>0</v>
      </c>
      <c r="H595" s="13">
        <v>0</v>
      </c>
      <c r="I595" s="13">
        <v>0</v>
      </c>
      <c r="J595" s="13">
        <v>0</v>
      </c>
      <c r="K595" s="13">
        <v>0</v>
      </c>
      <c r="L595" s="45">
        <v>0</v>
      </c>
      <c r="M595" s="34"/>
      <c r="N595" s="13">
        <v>80</v>
      </c>
      <c r="O595" s="13">
        <v>14.75</v>
      </c>
      <c r="P595" s="13">
        <v>0</v>
      </c>
      <c r="Q595" s="13">
        <v>0</v>
      </c>
      <c r="R595" s="34"/>
      <c r="S595" s="13">
        <f t="shared" si="952"/>
        <v>94.75</v>
      </c>
      <c r="T595" s="13">
        <f t="shared" si="957"/>
        <v>94.75</v>
      </c>
      <c r="U595" s="13">
        <f>SUM(H595:K595)</f>
        <v>0</v>
      </c>
      <c r="V595" s="34"/>
      <c r="W595" s="45">
        <v>30</v>
      </c>
      <c r="X595" s="10">
        <f t="shared" si="954"/>
        <v>3063.75</v>
      </c>
      <c r="Y595" s="10">
        <f t="shared" si="950"/>
        <v>0</v>
      </c>
      <c r="Z595" s="10">
        <f t="shared" si="955"/>
        <v>0</v>
      </c>
      <c r="AA595" s="14">
        <f t="shared" si="958"/>
        <v>0</v>
      </c>
      <c r="AB595" s="14">
        <f t="shared" si="956"/>
        <v>3063.75</v>
      </c>
      <c r="AC595" s="11">
        <f t="shared" si="959"/>
        <v>0</v>
      </c>
      <c r="AD595" s="215"/>
      <c r="AE595" s="11">
        <f t="shared" si="960"/>
        <v>0</v>
      </c>
      <c r="AF595" s="212"/>
      <c r="AG595" s="8"/>
    </row>
    <row r="596" spans="1:33" x14ac:dyDescent="0.45">
      <c r="A596" s="22">
        <f t="shared" ref="A596:A601" si="961">A595</f>
        <v>44682</v>
      </c>
      <c r="B596" s="15" t="s">
        <v>5</v>
      </c>
      <c r="C596" s="48">
        <f>120*W596</f>
        <v>3480</v>
      </c>
      <c r="D596" s="13">
        <v>80</v>
      </c>
      <c r="E596" s="13">
        <v>38</v>
      </c>
      <c r="F596" s="13">
        <v>12</v>
      </c>
      <c r="G596" s="13">
        <v>10</v>
      </c>
      <c r="H596" s="13">
        <v>0</v>
      </c>
      <c r="I596" s="13">
        <v>0</v>
      </c>
      <c r="J596" s="13">
        <v>0</v>
      </c>
      <c r="K596" s="13">
        <v>0</v>
      </c>
      <c r="L596" s="45">
        <v>0</v>
      </c>
      <c r="M596" s="34"/>
      <c r="N596" s="13">
        <v>80</v>
      </c>
      <c r="O596" s="13">
        <v>40.5</v>
      </c>
      <c r="P596" s="13">
        <v>12</v>
      </c>
      <c r="Q596" s="13">
        <v>7.5</v>
      </c>
      <c r="R596" s="34"/>
      <c r="S596" s="13">
        <f t="shared" si="952"/>
        <v>140</v>
      </c>
      <c r="T596" s="13">
        <f t="shared" si="957"/>
        <v>140</v>
      </c>
      <c r="U596" s="13">
        <f t="shared" ref="U596:U598" si="962">SUM(H596:K596)</f>
        <v>0</v>
      </c>
      <c r="V596" s="34"/>
      <c r="W596" s="45">
        <v>29</v>
      </c>
      <c r="X596" s="10">
        <f t="shared" si="954"/>
        <v>4959</v>
      </c>
      <c r="Y596" s="10">
        <f t="shared" si="950"/>
        <v>0</v>
      </c>
      <c r="Z596" s="10">
        <f t="shared" si="955"/>
        <v>0</v>
      </c>
      <c r="AA596" s="14">
        <f t="shared" si="958"/>
        <v>0</v>
      </c>
      <c r="AB596" s="14">
        <f t="shared" si="956"/>
        <v>4995.25</v>
      </c>
      <c r="AC596" s="11">
        <f t="shared" si="959"/>
        <v>0</v>
      </c>
      <c r="AD596" s="215"/>
      <c r="AE596" s="11">
        <f t="shared" si="960"/>
        <v>36.25</v>
      </c>
      <c r="AF596" s="212"/>
      <c r="AG596" s="8"/>
    </row>
    <row r="597" spans="1:33" x14ac:dyDescent="0.45">
      <c r="A597" s="22">
        <f t="shared" si="961"/>
        <v>44682</v>
      </c>
      <c r="B597" s="15" t="s">
        <v>6</v>
      </c>
      <c r="C597" s="48">
        <f>80*W597</f>
        <v>2400</v>
      </c>
      <c r="D597" s="13">
        <v>80</v>
      </c>
      <c r="E597" s="13">
        <v>31.5</v>
      </c>
      <c r="F597" s="13">
        <v>14.5</v>
      </c>
      <c r="G597" s="13">
        <v>6</v>
      </c>
      <c r="H597" s="13">
        <v>0</v>
      </c>
      <c r="I597" s="13">
        <v>0</v>
      </c>
      <c r="J597" s="13">
        <v>0</v>
      </c>
      <c r="K597" s="13">
        <v>0</v>
      </c>
      <c r="L597" s="45">
        <v>0</v>
      </c>
      <c r="M597" s="34"/>
      <c r="N597" s="13">
        <v>80</v>
      </c>
      <c r="O597" s="13">
        <v>30.75</v>
      </c>
      <c r="P597" s="13">
        <v>15.25</v>
      </c>
      <c r="Q597" s="13">
        <v>6</v>
      </c>
      <c r="R597" s="34"/>
      <c r="S597" s="13">
        <f t="shared" si="952"/>
        <v>132</v>
      </c>
      <c r="T597" s="13">
        <f t="shared" si="957"/>
        <v>132</v>
      </c>
      <c r="U597" s="13">
        <f t="shared" si="962"/>
        <v>0</v>
      </c>
      <c r="V597" s="34"/>
      <c r="W597" s="45">
        <v>30</v>
      </c>
      <c r="X597" s="10">
        <f>(W597*1*D597)+(W597*1.5*E597)+(W597*2*F597)+(W597*1*G597)</f>
        <v>4867.5</v>
      </c>
      <c r="Y597" s="10">
        <f t="shared" si="950"/>
        <v>0</v>
      </c>
      <c r="Z597" s="10">
        <f t="shared" si="955"/>
        <v>0</v>
      </c>
      <c r="AA597" s="14">
        <f t="shared" si="958"/>
        <v>0</v>
      </c>
      <c r="AB597" s="14">
        <f t="shared" si="956"/>
        <v>4878.75</v>
      </c>
      <c r="AC597" s="11">
        <f t="shared" si="959"/>
        <v>0</v>
      </c>
      <c r="AD597" s="215"/>
      <c r="AE597" s="11">
        <f t="shared" si="960"/>
        <v>11.25</v>
      </c>
      <c r="AF597" s="212"/>
      <c r="AG597" s="8"/>
    </row>
    <row r="598" spans="1:33" x14ac:dyDescent="0.45">
      <c r="A598" s="22">
        <f>A597</f>
        <v>44682</v>
      </c>
      <c r="B598" s="15" t="s">
        <v>9</v>
      </c>
      <c r="C598" s="48">
        <f>120*W598</f>
        <v>3600</v>
      </c>
      <c r="D598" s="13">
        <v>80</v>
      </c>
      <c r="E598" s="13">
        <v>64</v>
      </c>
      <c r="F598" s="13">
        <v>20</v>
      </c>
      <c r="G598" s="13">
        <v>14</v>
      </c>
      <c r="H598" s="13">
        <v>0</v>
      </c>
      <c r="I598" s="13">
        <v>0</v>
      </c>
      <c r="J598" s="13">
        <v>0</v>
      </c>
      <c r="K598" s="13">
        <v>0</v>
      </c>
      <c r="L598" s="45">
        <v>0</v>
      </c>
      <c r="M598" s="34"/>
      <c r="N598" s="13">
        <v>80</v>
      </c>
      <c r="O598" s="13">
        <v>64</v>
      </c>
      <c r="P598" s="13">
        <v>20</v>
      </c>
      <c r="Q598" s="13">
        <v>14</v>
      </c>
      <c r="R598" s="34"/>
      <c r="S598" s="13">
        <f t="shared" si="952"/>
        <v>178</v>
      </c>
      <c r="T598" s="13">
        <f t="shared" si="957"/>
        <v>178</v>
      </c>
      <c r="U598" s="13">
        <f t="shared" si="962"/>
        <v>0</v>
      </c>
      <c r="V598" s="34"/>
      <c r="W598" s="45">
        <v>30</v>
      </c>
      <c r="X598" s="10">
        <f t="shared" ref="X598" si="963">(W598*1*D598)+(W598*1.5*E598)+(W598*2*F598)+(W598*1*G598)</f>
        <v>6900</v>
      </c>
      <c r="Y598" s="10">
        <f>(W598*0*H598)+(W598*1*I598)</f>
        <v>0</v>
      </c>
      <c r="Z598" s="10">
        <f t="shared" si="955"/>
        <v>0</v>
      </c>
      <c r="AA598" s="14">
        <f t="shared" si="958"/>
        <v>0</v>
      </c>
      <c r="AB598" s="14">
        <f t="shared" si="956"/>
        <v>6900</v>
      </c>
      <c r="AC598" s="11">
        <f t="shared" si="959"/>
        <v>0</v>
      </c>
      <c r="AD598" s="215"/>
      <c r="AE598" s="11">
        <f t="shared" si="960"/>
        <v>0</v>
      </c>
      <c r="AF598" s="212"/>
      <c r="AG598" s="8"/>
    </row>
    <row r="599" spans="1:33" x14ac:dyDescent="0.45">
      <c r="A599" s="22">
        <f t="shared" si="961"/>
        <v>44682</v>
      </c>
      <c r="B599" s="50" t="s">
        <v>31</v>
      </c>
      <c r="C599" s="48">
        <f>80*W599</f>
        <v>2400</v>
      </c>
      <c r="D599" s="51">
        <v>80</v>
      </c>
      <c r="E599" s="51">
        <v>19.5</v>
      </c>
      <c r="F599" s="51">
        <v>12</v>
      </c>
      <c r="G599" s="51">
        <v>8</v>
      </c>
      <c r="H599" s="51">
        <v>0</v>
      </c>
      <c r="I599" s="51">
        <v>0</v>
      </c>
      <c r="J599" s="51">
        <v>0</v>
      </c>
      <c r="K599" s="51">
        <v>0</v>
      </c>
      <c r="L599" s="52">
        <v>0</v>
      </c>
      <c r="M599" s="34"/>
      <c r="N599" s="13">
        <v>80</v>
      </c>
      <c r="O599" s="13">
        <v>17</v>
      </c>
      <c r="P599" s="13">
        <v>14.5</v>
      </c>
      <c r="Q599" s="13">
        <v>8</v>
      </c>
      <c r="R599" s="34"/>
      <c r="S599" s="51">
        <f t="shared" ref="S599" si="964">SUM(D599:G599)</f>
        <v>119.5</v>
      </c>
      <c r="T599" s="51">
        <f>SUM(N599:Q599)</f>
        <v>119.5</v>
      </c>
      <c r="U599" s="51">
        <f t="shared" ref="U599" si="965">SUM(H599:K599)</f>
        <v>0</v>
      </c>
      <c r="V599" s="34"/>
      <c r="W599" s="52">
        <v>30</v>
      </c>
      <c r="X599" s="53">
        <f>(W599*1*D599)+(W599*1.5*E599)+(W599*2*F599)+(W599*1*G599)</f>
        <v>4237.5</v>
      </c>
      <c r="Y599" s="53">
        <f t="shared" ref="Y599:Y606" si="966">(W599*0*H599)+(W599*1*I599)</f>
        <v>0</v>
      </c>
      <c r="Z599" s="53">
        <f>(W599*1*J599)+L599</f>
        <v>0</v>
      </c>
      <c r="AA599" s="54">
        <f t="shared" si="958"/>
        <v>0</v>
      </c>
      <c r="AB599" s="54">
        <f>(W599*1*N599)+(W599*1.5*O599)+(W599*2*P599)+(W599*1*Q599)</f>
        <v>4275</v>
      </c>
      <c r="AC599" s="55">
        <f t="shared" si="959"/>
        <v>0</v>
      </c>
      <c r="AD599" s="217"/>
      <c r="AE599" s="55">
        <f>AB599-(X599+Z599)</f>
        <v>37.5</v>
      </c>
      <c r="AF599" s="212"/>
      <c r="AG599" s="8"/>
    </row>
    <row r="600" spans="1:33" x14ac:dyDescent="0.45">
      <c r="A600" s="22">
        <f t="shared" si="961"/>
        <v>44682</v>
      </c>
      <c r="B600" s="50" t="s">
        <v>51</v>
      </c>
      <c r="C600" s="48">
        <f t="shared" ref="C600:C602" si="967">80*W600</f>
        <v>1920</v>
      </c>
      <c r="D600" s="51">
        <v>80</v>
      </c>
      <c r="E600" s="51">
        <v>8.5</v>
      </c>
      <c r="F600" s="51">
        <v>0</v>
      </c>
      <c r="G600" s="51">
        <v>10</v>
      </c>
      <c r="H600" s="51">
        <v>0</v>
      </c>
      <c r="I600" s="51">
        <v>0</v>
      </c>
      <c r="J600" s="51">
        <v>0</v>
      </c>
      <c r="K600" s="51">
        <v>0</v>
      </c>
      <c r="L600" s="52">
        <v>0</v>
      </c>
      <c r="M600" s="34"/>
      <c r="N600" s="51">
        <v>80</v>
      </c>
      <c r="O600" s="51">
        <v>8.5</v>
      </c>
      <c r="P600" s="51">
        <v>0</v>
      </c>
      <c r="Q600" s="51">
        <v>10</v>
      </c>
      <c r="R600" s="34"/>
      <c r="S600" s="51">
        <f t="shared" ref="S600:S607" si="968">SUM(D600:G600)</f>
        <v>98.5</v>
      </c>
      <c r="T600" s="51">
        <f>SUM(N600:Q600)</f>
        <v>98.5</v>
      </c>
      <c r="U600" s="51">
        <f t="shared" ref="U600:U603" si="969">SUM(H600:K600)</f>
        <v>0</v>
      </c>
      <c r="V600" s="34"/>
      <c r="W600" s="52">
        <v>24</v>
      </c>
      <c r="X600" s="53">
        <f t="shared" ref="X600:X605" si="970">(W600*1*D600)+(W600*1.5*E600)+(W600*2*F600)+(W600*1*G600)</f>
        <v>2466</v>
      </c>
      <c r="Y600" s="53">
        <f t="shared" si="966"/>
        <v>0</v>
      </c>
      <c r="Z600" s="53">
        <f t="shared" ref="Z600:Z607" si="971">(W600*1*J600)+L600</f>
        <v>0</v>
      </c>
      <c r="AA600" s="54">
        <f t="shared" si="958"/>
        <v>0</v>
      </c>
      <c r="AB600" s="54">
        <f t="shared" ref="AB600:AB607" si="972">(W600*1*N600)+(W600*1.5*O600)+(W600*2*P600)+(W600*1*Q600)</f>
        <v>2466</v>
      </c>
      <c r="AC600" s="55">
        <f t="shared" si="959"/>
        <v>0</v>
      </c>
      <c r="AD600" s="217"/>
      <c r="AE600" s="55">
        <f>AB600-(X600+Z600)</f>
        <v>0</v>
      </c>
      <c r="AF600" s="212"/>
      <c r="AG600" s="8"/>
    </row>
    <row r="601" spans="1:33" x14ac:dyDescent="0.45">
      <c r="A601" s="22">
        <f t="shared" si="961"/>
        <v>44682</v>
      </c>
      <c r="B601" s="50" t="s">
        <v>53</v>
      </c>
      <c r="C601" s="48">
        <f t="shared" si="967"/>
        <v>1600</v>
      </c>
      <c r="D601" s="51">
        <v>80</v>
      </c>
      <c r="E601" s="51">
        <v>6</v>
      </c>
      <c r="F601" s="51">
        <v>0</v>
      </c>
      <c r="G601" s="51">
        <v>8</v>
      </c>
      <c r="H601" s="51">
        <v>0</v>
      </c>
      <c r="I601" s="51">
        <v>0</v>
      </c>
      <c r="J601" s="51">
        <v>0</v>
      </c>
      <c r="K601" s="51">
        <v>0</v>
      </c>
      <c r="L601" s="52">
        <v>0</v>
      </c>
      <c r="M601" s="34"/>
      <c r="N601" s="51">
        <v>80</v>
      </c>
      <c r="O601" s="51">
        <v>6</v>
      </c>
      <c r="P601" s="51">
        <v>0</v>
      </c>
      <c r="Q601" s="51">
        <v>8</v>
      </c>
      <c r="R601" s="34"/>
      <c r="S601" s="51">
        <f t="shared" si="968"/>
        <v>94</v>
      </c>
      <c r="T601" s="51">
        <f>SUM(N601:Q601)</f>
        <v>94</v>
      </c>
      <c r="U601" s="51">
        <f t="shared" si="969"/>
        <v>0</v>
      </c>
      <c r="V601" s="34"/>
      <c r="W601" s="52">
        <v>20</v>
      </c>
      <c r="X601" s="53">
        <f t="shared" si="970"/>
        <v>1940</v>
      </c>
      <c r="Y601" s="53">
        <f t="shared" si="966"/>
        <v>0</v>
      </c>
      <c r="Z601" s="53">
        <f t="shared" si="971"/>
        <v>0</v>
      </c>
      <c r="AA601" s="54">
        <f t="shared" si="958"/>
        <v>0</v>
      </c>
      <c r="AB601" s="54">
        <f t="shared" si="972"/>
        <v>1940</v>
      </c>
      <c r="AC601" s="55">
        <f t="shared" si="959"/>
        <v>0</v>
      </c>
      <c r="AD601" s="217"/>
      <c r="AE601" s="55">
        <f>AB601-(X601+Z601)</f>
        <v>0</v>
      </c>
      <c r="AF601" s="212"/>
      <c r="AG601" s="8"/>
    </row>
    <row r="602" spans="1:33" ht="14.65" thickBot="1" x14ac:dyDescent="0.5">
      <c r="A602" s="23">
        <f>A600</f>
        <v>44682</v>
      </c>
      <c r="B602" s="24" t="s">
        <v>54</v>
      </c>
      <c r="C602" s="49">
        <f t="shared" si="967"/>
        <v>1600</v>
      </c>
      <c r="D602" s="25">
        <v>80</v>
      </c>
      <c r="E602" s="25">
        <v>16.75</v>
      </c>
      <c r="F602" s="25">
        <v>12</v>
      </c>
      <c r="G602" s="25">
        <v>4</v>
      </c>
      <c r="H602" s="25">
        <v>0</v>
      </c>
      <c r="I602" s="25">
        <v>0</v>
      </c>
      <c r="J602" s="25">
        <v>0</v>
      </c>
      <c r="K602" s="25">
        <v>0</v>
      </c>
      <c r="L602" s="46">
        <v>0</v>
      </c>
      <c r="M602" s="35"/>
      <c r="N602" s="25">
        <v>80</v>
      </c>
      <c r="O602" s="25">
        <v>16.75</v>
      </c>
      <c r="P602" s="25">
        <v>12</v>
      </c>
      <c r="Q602" s="25">
        <v>4</v>
      </c>
      <c r="R602" s="35"/>
      <c r="S602" s="25">
        <f t="shared" si="968"/>
        <v>112.75</v>
      </c>
      <c r="T602" s="25">
        <f t="shared" ref="T602:T607" si="973">SUM(N602:Q602)</f>
        <v>112.75</v>
      </c>
      <c r="U602" s="25">
        <f t="shared" si="969"/>
        <v>0</v>
      </c>
      <c r="V602" s="35"/>
      <c r="W602" s="46">
        <v>20</v>
      </c>
      <c r="X602" s="26">
        <f t="shared" si="970"/>
        <v>2662.5</v>
      </c>
      <c r="Y602" s="26">
        <f t="shared" si="966"/>
        <v>0</v>
      </c>
      <c r="Z602" s="26">
        <f t="shared" si="971"/>
        <v>0</v>
      </c>
      <c r="AA602" s="27">
        <f t="shared" si="958"/>
        <v>0</v>
      </c>
      <c r="AB602" s="27">
        <f t="shared" si="972"/>
        <v>2662.5</v>
      </c>
      <c r="AC602" s="12">
        <f t="shared" si="959"/>
        <v>0</v>
      </c>
      <c r="AD602" s="216"/>
      <c r="AE602" s="12">
        <f>AB602-(X602+Z602)</f>
        <v>0</v>
      </c>
      <c r="AF602" s="213"/>
      <c r="AG602" s="8"/>
    </row>
    <row r="603" spans="1:33" x14ac:dyDescent="0.45">
      <c r="A603" s="22">
        <f>A602+14</f>
        <v>44696</v>
      </c>
      <c r="B603" s="15" t="s">
        <v>30</v>
      </c>
      <c r="C603" s="48">
        <f>120*W603</f>
        <v>3900</v>
      </c>
      <c r="D603" s="13">
        <v>80</v>
      </c>
      <c r="E603" s="13">
        <v>16.5</v>
      </c>
      <c r="F603" s="13">
        <v>0</v>
      </c>
      <c r="G603" s="13">
        <v>12</v>
      </c>
      <c r="H603" s="13">
        <v>0</v>
      </c>
      <c r="I603" s="13">
        <v>0</v>
      </c>
      <c r="J603" s="13">
        <v>0</v>
      </c>
      <c r="K603" s="13">
        <v>0</v>
      </c>
      <c r="L603" s="45">
        <v>0</v>
      </c>
      <c r="M603" s="34"/>
      <c r="N603" s="13">
        <v>80</v>
      </c>
      <c r="O603" s="13">
        <v>16.5</v>
      </c>
      <c r="P603" s="13">
        <v>0</v>
      </c>
      <c r="Q603" s="13">
        <v>12</v>
      </c>
      <c r="R603" s="34"/>
      <c r="S603" s="13">
        <f t="shared" si="968"/>
        <v>108.5</v>
      </c>
      <c r="T603" s="13">
        <f t="shared" si="973"/>
        <v>108.5</v>
      </c>
      <c r="U603" s="13">
        <f t="shared" si="969"/>
        <v>0</v>
      </c>
      <c r="V603" s="34"/>
      <c r="W603" s="45">
        <v>32.5</v>
      </c>
      <c r="X603" s="10">
        <f t="shared" si="970"/>
        <v>3794.375</v>
      </c>
      <c r="Y603" s="10">
        <f t="shared" si="966"/>
        <v>0</v>
      </c>
      <c r="Z603" s="10">
        <f t="shared" si="971"/>
        <v>0</v>
      </c>
      <c r="AA603" s="14">
        <f t="shared" ref="AA603:AA611" si="974">(W603*1*K603)</f>
        <v>0</v>
      </c>
      <c r="AB603" s="14">
        <f t="shared" si="972"/>
        <v>3794.375</v>
      </c>
      <c r="AC603" s="63">
        <f t="shared" ref="AC603:AC611" si="975">0-Y603-AA603</f>
        <v>0</v>
      </c>
      <c r="AD603" s="208"/>
      <c r="AE603" s="63">
        <f t="shared" ref="AE603:AE607" si="976">AB603-(X603+Z603)</f>
        <v>0</v>
      </c>
      <c r="AF603" s="208">
        <f>SUM(AE603:AE611)</f>
        <v>0</v>
      </c>
      <c r="AG603" s="8"/>
    </row>
    <row r="604" spans="1:33" x14ac:dyDescent="0.45">
      <c r="A604" s="22">
        <f>A603</f>
        <v>44696</v>
      </c>
      <c r="B604" s="15" t="s">
        <v>4</v>
      </c>
      <c r="C604" s="48">
        <f>80*W604</f>
        <v>2400</v>
      </c>
      <c r="D604" s="13">
        <v>80</v>
      </c>
      <c r="E604" s="13">
        <v>20.75</v>
      </c>
      <c r="F604" s="13">
        <v>10.5</v>
      </c>
      <c r="G604" s="13">
        <v>0</v>
      </c>
      <c r="H604" s="13">
        <v>0</v>
      </c>
      <c r="I604" s="13">
        <v>0</v>
      </c>
      <c r="J604" s="13">
        <v>0</v>
      </c>
      <c r="K604" s="13">
        <v>0</v>
      </c>
      <c r="L604" s="45">
        <v>0</v>
      </c>
      <c r="M604" s="34"/>
      <c r="N604" s="13">
        <v>80</v>
      </c>
      <c r="O604" s="13">
        <v>20.75</v>
      </c>
      <c r="P604" s="13">
        <v>10.5</v>
      </c>
      <c r="Q604" s="13">
        <v>0</v>
      </c>
      <c r="R604" s="34"/>
      <c r="S604" s="13">
        <f t="shared" si="968"/>
        <v>111.25</v>
      </c>
      <c r="T604" s="13">
        <f t="shared" si="973"/>
        <v>111.25</v>
      </c>
      <c r="U604" s="13">
        <f>SUM(H604:K604)</f>
        <v>0</v>
      </c>
      <c r="V604" s="34"/>
      <c r="W604" s="45">
        <v>30</v>
      </c>
      <c r="X604" s="10">
        <f t="shared" si="970"/>
        <v>3963.75</v>
      </c>
      <c r="Y604" s="10">
        <f t="shared" si="966"/>
        <v>0</v>
      </c>
      <c r="Z604" s="10">
        <f t="shared" si="971"/>
        <v>0</v>
      </c>
      <c r="AA604" s="14">
        <f t="shared" si="974"/>
        <v>0</v>
      </c>
      <c r="AB604" s="14">
        <f t="shared" si="972"/>
        <v>3963.75</v>
      </c>
      <c r="AC604" s="63">
        <f t="shared" si="975"/>
        <v>0</v>
      </c>
      <c r="AD604" s="209"/>
      <c r="AE604" s="63">
        <f t="shared" si="976"/>
        <v>0</v>
      </c>
      <c r="AF604" s="209"/>
      <c r="AG604" s="8"/>
    </row>
    <row r="605" spans="1:33" x14ac:dyDescent="0.45">
      <c r="A605" s="22">
        <f t="shared" ref="A605:A610" si="977">A604</f>
        <v>44696</v>
      </c>
      <c r="B605" s="15" t="s">
        <v>5</v>
      </c>
      <c r="C605" s="48">
        <f>120*W605</f>
        <v>3480</v>
      </c>
      <c r="D605" s="13">
        <v>76</v>
      </c>
      <c r="E605" s="13">
        <v>22</v>
      </c>
      <c r="F605" s="13">
        <v>12</v>
      </c>
      <c r="G605" s="13">
        <v>18</v>
      </c>
      <c r="H605" s="13">
        <v>0</v>
      </c>
      <c r="I605" s="13">
        <v>0</v>
      </c>
      <c r="J605" s="13">
        <v>0</v>
      </c>
      <c r="K605" s="13">
        <v>0</v>
      </c>
      <c r="L605" s="45">
        <v>0</v>
      </c>
      <c r="M605" s="34"/>
      <c r="N605" s="13">
        <v>76</v>
      </c>
      <c r="O605" s="13">
        <v>22</v>
      </c>
      <c r="P605" s="13">
        <v>12</v>
      </c>
      <c r="Q605" s="13">
        <v>18</v>
      </c>
      <c r="R605" s="34"/>
      <c r="S605" s="13">
        <f t="shared" si="968"/>
        <v>128</v>
      </c>
      <c r="T605" s="13">
        <f t="shared" si="973"/>
        <v>128</v>
      </c>
      <c r="U605" s="13">
        <f t="shared" ref="U605:U607" si="978">SUM(H605:K605)</f>
        <v>0</v>
      </c>
      <c r="V605" s="34"/>
      <c r="W605" s="45">
        <v>29</v>
      </c>
      <c r="X605" s="10">
        <f t="shared" si="970"/>
        <v>4379</v>
      </c>
      <c r="Y605" s="10">
        <f t="shared" si="966"/>
        <v>0</v>
      </c>
      <c r="Z605" s="10">
        <f t="shared" si="971"/>
        <v>0</v>
      </c>
      <c r="AA605" s="14">
        <f t="shared" si="974"/>
        <v>0</v>
      </c>
      <c r="AB605" s="14">
        <f t="shared" si="972"/>
        <v>4379</v>
      </c>
      <c r="AC605" s="63">
        <f t="shared" si="975"/>
        <v>0</v>
      </c>
      <c r="AD605" s="209"/>
      <c r="AE605" s="63">
        <f t="shared" si="976"/>
        <v>0</v>
      </c>
      <c r="AF605" s="209"/>
      <c r="AG605" s="8"/>
    </row>
    <row r="606" spans="1:33" x14ac:dyDescent="0.45">
      <c r="A606" s="22">
        <f t="shared" si="977"/>
        <v>44696</v>
      </c>
      <c r="B606" s="15" t="s">
        <v>6</v>
      </c>
      <c r="C606" s="48">
        <f>80*W606</f>
        <v>2400</v>
      </c>
      <c r="D606" s="13">
        <v>80</v>
      </c>
      <c r="E606" s="13">
        <v>34</v>
      </c>
      <c r="F606" s="13">
        <v>0</v>
      </c>
      <c r="G606" s="13">
        <v>7</v>
      </c>
      <c r="H606" s="13">
        <v>0</v>
      </c>
      <c r="I606" s="13">
        <v>0</v>
      </c>
      <c r="J606" s="13">
        <v>0</v>
      </c>
      <c r="K606" s="13">
        <v>0</v>
      </c>
      <c r="L606" s="45">
        <v>0</v>
      </c>
      <c r="M606" s="34"/>
      <c r="N606" s="13">
        <v>80</v>
      </c>
      <c r="O606" s="13">
        <v>25</v>
      </c>
      <c r="P606" s="13">
        <v>6.25</v>
      </c>
      <c r="Q606" s="13">
        <v>8</v>
      </c>
      <c r="R606" s="34"/>
      <c r="S606" s="13">
        <f t="shared" si="968"/>
        <v>121</v>
      </c>
      <c r="T606" s="13">
        <f t="shared" si="973"/>
        <v>119.25</v>
      </c>
      <c r="U606" s="13">
        <f t="shared" si="978"/>
        <v>0</v>
      </c>
      <c r="V606" s="34"/>
      <c r="W606" s="45">
        <v>30</v>
      </c>
      <c r="X606" s="10">
        <f>(W606*1*D606)+(W606*1.5*E606)+(W606*2*F606)+(W606*1*G606)</f>
        <v>4140</v>
      </c>
      <c r="Y606" s="10">
        <f t="shared" si="966"/>
        <v>0</v>
      </c>
      <c r="Z606" s="10">
        <f t="shared" si="971"/>
        <v>0</v>
      </c>
      <c r="AA606" s="14">
        <f t="shared" si="974"/>
        <v>0</v>
      </c>
      <c r="AB606" s="14">
        <f t="shared" si="972"/>
        <v>4140</v>
      </c>
      <c r="AC606" s="63">
        <f t="shared" si="975"/>
        <v>0</v>
      </c>
      <c r="AD606" s="209"/>
      <c r="AE606" s="63">
        <f t="shared" si="976"/>
        <v>0</v>
      </c>
      <c r="AF606" s="209"/>
      <c r="AG606" s="8"/>
    </row>
    <row r="607" spans="1:33" x14ac:dyDescent="0.45">
      <c r="A607" s="22">
        <f>A606</f>
        <v>44696</v>
      </c>
      <c r="B607" s="15" t="s">
        <v>9</v>
      </c>
      <c r="C607" s="48">
        <f>120*W607</f>
        <v>3600</v>
      </c>
      <c r="D607" s="13">
        <v>80</v>
      </c>
      <c r="E607" s="13">
        <v>52</v>
      </c>
      <c r="F607" s="13">
        <v>12</v>
      </c>
      <c r="G607" s="13">
        <v>12</v>
      </c>
      <c r="H607" s="13">
        <v>0</v>
      </c>
      <c r="I607" s="13">
        <v>0</v>
      </c>
      <c r="J607" s="13">
        <v>0</v>
      </c>
      <c r="K607" s="13">
        <v>0</v>
      </c>
      <c r="L607" s="45">
        <v>0</v>
      </c>
      <c r="M607" s="34"/>
      <c r="N607" s="13">
        <v>80</v>
      </c>
      <c r="O607" s="13">
        <v>52</v>
      </c>
      <c r="P607" s="13">
        <v>12</v>
      </c>
      <c r="Q607" s="13">
        <v>12</v>
      </c>
      <c r="R607" s="34"/>
      <c r="S607" s="13">
        <f t="shared" si="968"/>
        <v>156</v>
      </c>
      <c r="T607" s="13">
        <f t="shared" si="973"/>
        <v>156</v>
      </c>
      <c r="U607" s="13">
        <f t="shared" si="978"/>
        <v>0</v>
      </c>
      <c r="V607" s="34"/>
      <c r="W607" s="45">
        <v>30</v>
      </c>
      <c r="X607" s="10">
        <f t="shared" ref="X607" si="979">(W607*1*D607)+(W607*1.5*E607)+(W607*2*F607)+(W607*1*G607)</f>
        <v>5820</v>
      </c>
      <c r="Y607" s="10">
        <f>(W607*0*H607)+(W607*1*I607)</f>
        <v>0</v>
      </c>
      <c r="Z607" s="10">
        <f t="shared" si="971"/>
        <v>0</v>
      </c>
      <c r="AA607" s="14">
        <f t="shared" si="974"/>
        <v>0</v>
      </c>
      <c r="AB607" s="14">
        <f t="shared" si="972"/>
        <v>5820</v>
      </c>
      <c r="AC607" s="63">
        <f t="shared" si="975"/>
        <v>0</v>
      </c>
      <c r="AD607" s="209"/>
      <c r="AE607" s="63">
        <f t="shared" si="976"/>
        <v>0</v>
      </c>
      <c r="AF607" s="209"/>
      <c r="AG607" s="8"/>
    </row>
    <row r="608" spans="1:33" x14ac:dyDescent="0.45">
      <c r="A608" s="22">
        <f t="shared" si="977"/>
        <v>44696</v>
      </c>
      <c r="B608" s="50" t="s">
        <v>31</v>
      </c>
      <c r="C608" s="48">
        <f>80*W608</f>
        <v>2400</v>
      </c>
      <c r="D608" s="51">
        <v>80</v>
      </c>
      <c r="E608" s="51">
        <v>39</v>
      </c>
      <c r="F608" s="51">
        <v>12</v>
      </c>
      <c r="G608" s="51">
        <v>4</v>
      </c>
      <c r="H608" s="51">
        <v>0</v>
      </c>
      <c r="I608" s="51">
        <v>0</v>
      </c>
      <c r="J608" s="51">
        <v>0</v>
      </c>
      <c r="K608" s="51">
        <v>0</v>
      </c>
      <c r="L608" s="52">
        <v>0</v>
      </c>
      <c r="M608" s="34"/>
      <c r="N608" s="13">
        <v>80</v>
      </c>
      <c r="O608" s="13">
        <v>39</v>
      </c>
      <c r="P608" s="13">
        <v>12</v>
      </c>
      <c r="Q608" s="13">
        <v>4</v>
      </c>
      <c r="R608" s="34"/>
      <c r="S608" s="51">
        <f t="shared" ref="S608" si="980">SUM(D608:G608)</f>
        <v>135</v>
      </c>
      <c r="T608" s="51">
        <f>SUM(N608:Q608)</f>
        <v>135</v>
      </c>
      <c r="U608" s="51">
        <f t="shared" ref="U608" si="981">SUM(H608:K608)</f>
        <v>0</v>
      </c>
      <c r="V608" s="34"/>
      <c r="W608" s="52">
        <v>30</v>
      </c>
      <c r="X608" s="53">
        <f>(W608*1*D608)+(W608*1.5*E608)+(W608*2*F608)+(W608*1*G608)</f>
        <v>4995</v>
      </c>
      <c r="Y608" s="53">
        <f t="shared" ref="Y608:Y611" si="982">(W608*0*H608)+(W608*1*I608)</f>
        <v>0</v>
      </c>
      <c r="Z608" s="53">
        <f>(W608*1*J608)+L608</f>
        <v>0</v>
      </c>
      <c r="AA608" s="54">
        <f t="shared" si="974"/>
        <v>0</v>
      </c>
      <c r="AB608" s="54">
        <f>(W608*1*N608)+(W608*1.5*O608)+(W608*2*P608)+(W608*1*Q608)</f>
        <v>4995</v>
      </c>
      <c r="AC608" s="64">
        <f t="shared" si="975"/>
        <v>0</v>
      </c>
      <c r="AD608" s="209"/>
      <c r="AE608" s="64">
        <f>AB608-(X608+Z608)</f>
        <v>0</v>
      </c>
      <c r="AF608" s="209"/>
      <c r="AG608" s="8"/>
    </row>
    <row r="609" spans="1:33" x14ac:dyDescent="0.45">
      <c r="A609" s="22">
        <f t="shared" si="977"/>
        <v>44696</v>
      </c>
      <c r="B609" s="50" t="s">
        <v>51</v>
      </c>
      <c r="C609" s="48">
        <f t="shared" ref="C609:C611" si="983">80*W609</f>
        <v>1920</v>
      </c>
      <c r="D609" s="51">
        <v>80</v>
      </c>
      <c r="E609" s="51">
        <v>9</v>
      </c>
      <c r="F609" s="51">
        <v>0</v>
      </c>
      <c r="G609" s="51">
        <v>0</v>
      </c>
      <c r="H609" s="51">
        <v>0</v>
      </c>
      <c r="I609" s="51">
        <v>0</v>
      </c>
      <c r="J609" s="51">
        <v>0</v>
      </c>
      <c r="K609" s="51">
        <v>0</v>
      </c>
      <c r="L609" s="52">
        <v>0</v>
      </c>
      <c r="M609" s="34"/>
      <c r="N609" s="51">
        <v>80</v>
      </c>
      <c r="O609" s="51">
        <v>9</v>
      </c>
      <c r="P609" s="51">
        <v>0</v>
      </c>
      <c r="Q609" s="51">
        <v>0</v>
      </c>
      <c r="R609" s="34"/>
      <c r="S609" s="51">
        <f t="shared" ref="S609:S611" si="984">SUM(D609:G609)</f>
        <v>89</v>
      </c>
      <c r="T609" s="51">
        <f>SUM(N609:Q609)</f>
        <v>89</v>
      </c>
      <c r="U609" s="51">
        <f t="shared" ref="U609:U611" si="985">SUM(H609:K609)</f>
        <v>0</v>
      </c>
      <c r="V609" s="34"/>
      <c r="W609" s="52">
        <v>24</v>
      </c>
      <c r="X609" s="53">
        <f t="shared" ref="X609:X611" si="986">(W609*1*D609)+(W609*1.5*E609)+(W609*2*F609)+(W609*1*G609)</f>
        <v>2244</v>
      </c>
      <c r="Y609" s="53">
        <f t="shared" si="982"/>
        <v>0</v>
      </c>
      <c r="Z609" s="53">
        <f t="shared" ref="Z609:Z611" si="987">(W609*1*J609)+L609</f>
        <v>0</v>
      </c>
      <c r="AA609" s="54">
        <f t="shared" si="974"/>
        <v>0</v>
      </c>
      <c r="AB609" s="54">
        <f t="shared" ref="AB609:AB611" si="988">(W609*1*N609)+(W609*1.5*O609)+(W609*2*P609)+(W609*1*Q609)</f>
        <v>2244</v>
      </c>
      <c r="AC609" s="64">
        <f t="shared" si="975"/>
        <v>0</v>
      </c>
      <c r="AD609" s="209"/>
      <c r="AE609" s="64">
        <f>AB609-(X609+Z609)</f>
        <v>0</v>
      </c>
      <c r="AF609" s="209"/>
      <c r="AG609" s="8"/>
    </row>
    <row r="610" spans="1:33" x14ac:dyDescent="0.45">
      <c r="A610" s="22">
        <f t="shared" si="977"/>
        <v>44696</v>
      </c>
      <c r="B610" s="50" t="s">
        <v>53</v>
      </c>
      <c r="C610" s="48">
        <f t="shared" si="983"/>
        <v>1600</v>
      </c>
      <c r="D610" s="51">
        <v>77</v>
      </c>
      <c r="E610" s="51">
        <v>0.5</v>
      </c>
      <c r="F610" s="51">
        <v>0</v>
      </c>
      <c r="G610" s="51">
        <v>8</v>
      </c>
      <c r="H610" s="51">
        <v>0</v>
      </c>
      <c r="I610" s="51">
        <v>8</v>
      </c>
      <c r="J610" s="51">
        <v>0</v>
      </c>
      <c r="K610" s="51">
        <v>0</v>
      </c>
      <c r="L610" s="52">
        <v>0</v>
      </c>
      <c r="M610" s="34"/>
      <c r="N610" s="51">
        <v>77</v>
      </c>
      <c r="O610" s="51">
        <v>0.5</v>
      </c>
      <c r="P610" s="51">
        <v>0</v>
      </c>
      <c r="Q610" s="51">
        <v>8</v>
      </c>
      <c r="R610" s="34"/>
      <c r="S610" s="51">
        <f t="shared" si="984"/>
        <v>85.5</v>
      </c>
      <c r="T610" s="51">
        <f>SUM(N610:Q610)</f>
        <v>85.5</v>
      </c>
      <c r="U610" s="51">
        <f t="shared" si="985"/>
        <v>8</v>
      </c>
      <c r="V610" s="34"/>
      <c r="W610" s="52">
        <v>20</v>
      </c>
      <c r="X610" s="53">
        <f t="shared" si="986"/>
        <v>1715</v>
      </c>
      <c r="Y610" s="53">
        <f t="shared" si="982"/>
        <v>160</v>
      </c>
      <c r="Z610" s="53">
        <f t="shared" si="987"/>
        <v>0</v>
      </c>
      <c r="AA610" s="54">
        <f t="shared" si="974"/>
        <v>0</v>
      </c>
      <c r="AB610" s="54">
        <f t="shared" si="988"/>
        <v>1715</v>
      </c>
      <c r="AC610" s="64">
        <f t="shared" si="975"/>
        <v>-160</v>
      </c>
      <c r="AD610" s="209"/>
      <c r="AE610" s="64">
        <f>AB610-(X610+Z610)</f>
        <v>0</v>
      </c>
      <c r="AF610" s="209"/>
      <c r="AG610" s="8"/>
    </row>
    <row r="611" spans="1:33" x14ac:dyDescent="0.45">
      <c r="A611" s="22">
        <f>A609</f>
        <v>44696</v>
      </c>
      <c r="B611" s="50" t="s">
        <v>54</v>
      </c>
      <c r="C611" s="48">
        <f t="shared" si="983"/>
        <v>1600</v>
      </c>
      <c r="D611" s="51">
        <v>80</v>
      </c>
      <c r="E611" s="51">
        <v>32.75</v>
      </c>
      <c r="F611" s="51">
        <v>12</v>
      </c>
      <c r="G611" s="51">
        <v>3.5</v>
      </c>
      <c r="H611" s="51">
        <v>0</v>
      </c>
      <c r="I611" s="51">
        <v>0</v>
      </c>
      <c r="J611" s="51">
        <v>0</v>
      </c>
      <c r="K611" s="51">
        <v>0</v>
      </c>
      <c r="L611" s="52">
        <v>0</v>
      </c>
      <c r="M611" s="34"/>
      <c r="N611" s="51">
        <v>80</v>
      </c>
      <c r="O611" s="51">
        <v>32.75</v>
      </c>
      <c r="P611" s="51">
        <v>12</v>
      </c>
      <c r="Q611" s="51">
        <v>3.5</v>
      </c>
      <c r="R611" s="34"/>
      <c r="S611" s="51">
        <f t="shared" si="984"/>
        <v>128.25</v>
      </c>
      <c r="T611" s="51">
        <f t="shared" ref="T611" si="989">SUM(N611:Q611)</f>
        <v>128.25</v>
      </c>
      <c r="U611" s="51">
        <f t="shared" si="985"/>
        <v>0</v>
      </c>
      <c r="V611" s="34"/>
      <c r="W611" s="52">
        <v>20</v>
      </c>
      <c r="X611" s="53">
        <f t="shared" si="986"/>
        <v>3132.5</v>
      </c>
      <c r="Y611" s="53">
        <f t="shared" si="982"/>
        <v>0</v>
      </c>
      <c r="Z611" s="53">
        <f t="shared" si="987"/>
        <v>0</v>
      </c>
      <c r="AA611" s="54">
        <f t="shared" si="974"/>
        <v>0</v>
      </c>
      <c r="AB611" s="54">
        <f t="shared" si="988"/>
        <v>3132.5</v>
      </c>
      <c r="AC611" s="64">
        <f t="shared" si="975"/>
        <v>0</v>
      </c>
      <c r="AD611" s="209"/>
      <c r="AE611" s="64">
        <f>AB611-(X611+Z611)</f>
        <v>0</v>
      </c>
      <c r="AF611" s="209"/>
      <c r="AG611" s="8"/>
    </row>
    <row r="612" spans="1:33" ht="14.65" thickBot="1" x14ac:dyDescent="0.5">
      <c r="A612" s="23">
        <f>A610</f>
        <v>44696</v>
      </c>
      <c r="B612" s="24" t="s">
        <v>62</v>
      </c>
      <c r="C612" s="49">
        <f t="shared" ref="C612" si="990">80*W612</f>
        <v>2000</v>
      </c>
      <c r="D612" s="25">
        <v>0</v>
      </c>
      <c r="E612" s="25">
        <v>0</v>
      </c>
      <c r="F612" s="25">
        <v>0</v>
      </c>
      <c r="G612" s="25">
        <v>0</v>
      </c>
      <c r="H612" s="25">
        <v>0</v>
      </c>
      <c r="I612" s="25">
        <v>0</v>
      </c>
      <c r="J612" s="25">
        <v>0</v>
      </c>
      <c r="K612" s="25">
        <v>40</v>
      </c>
      <c r="L612" s="46">
        <v>0</v>
      </c>
      <c r="M612" s="35"/>
      <c r="N612" s="25">
        <v>0</v>
      </c>
      <c r="O612" s="25">
        <v>0</v>
      </c>
      <c r="P612" s="25">
        <v>0</v>
      </c>
      <c r="Q612" s="25">
        <v>0</v>
      </c>
      <c r="R612" s="35"/>
      <c r="S612" s="25">
        <f t="shared" ref="S612:S617" si="991">SUM(D612:G612)</f>
        <v>0</v>
      </c>
      <c r="T612" s="25">
        <f t="shared" ref="T612" si="992">SUM(N612:Q612)</f>
        <v>0</v>
      </c>
      <c r="U612" s="25">
        <f t="shared" ref="U612:U613" si="993">SUM(H612:K612)</f>
        <v>40</v>
      </c>
      <c r="V612" s="35"/>
      <c r="W612" s="46">
        <v>25</v>
      </c>
      <c r="X612" s="26">
        <f t="shared" ref="X612:X615" si="994">(W612*1*D612)+(W612*1.5*E612)+(W612*2*F612)+(W612*1*G612)</f>
        <v>0</v>
      </c>
      <c r="Y612" s="26">
        <f t="shared" ref="Y612:Y616" si="995">(W612*0*H612)+(W612*1*I612)</f>
        <v>0</v>
      </c>
      <c r="Z612" s="26">
        <f t="shared" ref="Z612:Z617" si="996">(W612*1*J612)+L612</f>
        <v>0</v>
      </c>
      <c r="AA612" s="27">
        <f t="shared" ref="AA612:AA621" si="997">(W612*1*K612)</f>
        <v>1000</v>
      </c>
      <c r="AB612" s="27">
        <f t="shared" ref="AB612:AB617" si="998">(W612*1*N612)+(W612*1.5*O612)+(W612*2*P612)+(W612*1*Q612)</f>
        <v>0</v>
      </c>
      <c r="AC612" s="65">
        <f t="shared" ref="AC612:AC621" si="999">0-Y612-AA612</f>
        <v>-1000</v>
      </c>
      <c r="AD612" s="210"/>
      <c r="AE612" s="65">
        <f>AB612-(X612+Z612)</f>
        <v>0</v>
      </c>
      <c r="AF612" s="210"/>
      <c r="AG612" s="8"/>
    </row>
    <row r="613" spans="1:33" x14ac:dyDescent="0.45">
      <c r="A613" s="22">
        <f>A612+14</f>
        <v>44710</v>
      </c>
      <c r="B613" s="15" t="s">
        <v>30</v>
      </c>
      <c r="C613" s="48">
        <f>120*W613</f>
        <v>3900</v>
      </c>
      <c r="D613" s="13">
        <v>72</v>
      </c>
      <c r="E613" s="13">
        <v>20</v>
      </c>
      <c r="F613" s="13">
        <v>12</v>
      </c>
      <c r="G613" s="13">
        <v>0</v>
      </c>
      <c r="H613" s="13">
        <v>0</v>
      </c>
      <c r="I613" s="13">
        <v>0</v>
      </c>
      <c r="J613" s="13">
        <v>8</v>
      </c>
      <c r="K613" s="13">
        <v>0</v>
      </c>
      <c r="L613" s="45">
        <v>0</v>
      </c>
      <c r="M613" s="34"/>
      <c r="N613" s="13">
        <v>72</v>
      </c>
      <c r="O613" s="13">
        <v>20</v>
      </c>
      <c r="P613" s="13">
        <v>12</v>
      </c>
      <c r="Q613" s="13">
        <v>0</v>
      </c>
      <c r="R613" s="34"/>
      <c r="S613" s="13">
        <f t="shared" si="991"/>
        <v>104</v>
      </c>
      <c r="T613" s="13">
        <f t="shared" ref="T613:T617" si="1000">SUM(N613:Q613)</f>
        <v>104</v>
      </c>
      <c r="U613" s="13">
        <f t="shared" si="993"/>
        <v>8</v>
      </c>
      <c r="V613" s="34"/>
      <c r="W613" s="45">
        <v>32.5</v>
      </c>
      <c r="X613" s="10">
        <f t="shared" si="994"/>
        <v>4095</v>
      </c>
      <c r="Y613" s="10">
        <f t="shared" si="995"/>
        <v>0</v>
      </c>
      <c r="Z613" s="10">
        <f t="shared" si="996"/>
        <v>260</v>
      </c>
      <c r="AA613" s="14">
        <f t="shared" si="997"/>
        <v>0</v>
      </c>
      <c r="AB613" s="14">
        <f t="shared" si="998"/>
        <v>4095</v>
      </c>
      <c r="AC613" s="63">
        <f t="shared" si="999"/>
        <v>0</v>
      </c>
      <c r="AD613" s="208"/>
      <c r="AE613" s="63">
        <f t="shared" ref="AE613:AE617" si="1001">AB613-(X613+Z613)</f>
        <v>-260</v>
      </c>
      <c r="AF613" s="208">
        <f>SUM(AE613:AE622)</f>
        <v>-1976.5</v>
      </c>
      <c r="AG613" s="8"/>
    </row>
    <row r="614" spans="1:33" x14ac:dyDescent="0.45">
      <c r="A614" s="22">
        <f>A613</f>
        <v>44710</v>
      </c>
      <c r="B614" s="15" t="s">
        <v>4</v>
      </c>
      <c r="C614" s="48">
        <f>80*W614</f>
        <v>2400</v>
      </c>
      <c r="D614" s="13">
        <v>68.25</v>
      </c>
      <c r="E614" s="13">
        <v>6</v>
      </c>
      <c r="F614" s="13">
        <v>0</v>
      </c>
      <c r="G614" s="13">
        <v>8</v>
      </c>
      <c r="H614" s="13">
        <v>0</v>
      </c>
      <c r="I614" s="13">
        <v>0</v>
      </c>
      <c r="J614" s="13">
        <v>8</v>
      </c>
      <c r="K614" s="13">
        <v>0</v>
      </c>
      <c r="L614" s="45">
        <v>0</v>
      </c>
      <c r="M614" s="34"/>
      <c r="N614" s="13">
        <v>68.25</v>
      </c>
      <c r="O614" s="13">
        <v>6</v>
      </c>
      <c r="P614" s="13">
        <v>0</v>
      </c>
      <c r="Q614" s="13">
        <v>8</v>
      </c>
      <c r="R614" s="34"/>
      <c r="S614" s="13">
        <f t="shared" si="991"/>
        <v>82.25</v>
      </c>
      <c r="T614" s="13">
        <f t="shared" si="1000"/>
        <v>82.25</v>
      </c>
      <c r="U614" s="13">
        <f>SUM(H614:K614)</f>
        <v>8</v>
      </c>
      <c r="V614" s="34"/>
      <c r="W614" s="45">
        <v>30</v>
      </c>
      <c r="X614" s="10">
        <f t="shared" si="994"/>
        <v>2557.5</v>
      </c>
      <c r="Y614" s="10">
        <f t="shared" si="995"/>
        <v>0</v>
      </c>
      <c r="Z614" s="10">
        <f t="shared" si="996"/>
        <v>240</v>
      </c>
      <c r="AA614" s="14">
        <f t="shared" si="997"/>
        <v>0</v>
      </c>
      <c r="AB614" s="14">
        <f t="shared" si="998"/>
        <v>2557.5</v>
      </c>
      <c r="AC614" s="63">
        <f t="shared" si="999"/>
        <v>0</v>
      </c>
      <c r="AD614" s="209"/>
      <c r="AE614" s="63">
        <f t="shared" si="1001"/>
        <v>-240</v>
      </c>
      <c r="AF614" s="209"/>
      <c r="AG614" s="8"/>
    </row>
    <row r="615" spans="1:33" x14ac:dyDescent="0.45">
      <c r="A615" s="22">
        <f t="shared" ref="A615:A620" si="1002">A614</f>
        <v>44710</v>
      </c>
      <c r="B615" s="15" t="s">
        <v>5</v>
      </c>
      <c r="C615" s="48">
        <f>120*W615</f>
        <v>3480</v>
      </c>
      <c r="D615" s="13">
        <v>24</v>
      </c>
      <c r="E615" s="13">
        <v>0</v>
      </c>
      <c r="F615" s="13">
        <v>0</v>
      </c>
      <c r="G615" s="13">
        <v>0</v>
      </c>
      <c r="H615" s="13">
        <v>0</v>
      </c>
      <c r="I615" s="13">
        <v>48</v>
      </c>
      <c r="J615" s="13">
        <v>8</v>
      </c>
      <c r="K615" s="13">
        <v>0</v>
      </c>
      <c r="L615" s="45">
        <v>0</v>
      </c>
      <c r="M615" s="34"/>
      <c r="N615" s="13">
        <v>24</v>
      </c>
      <c r="O615" s="13">
        <v>0</v>
      </c>
      <c r="P615" s="13">
        <v>0</v>
      </c>
      <c r="Q615" s="13">
        <v>0</v>
      </c>
      <c r="R615" s="34"/>
      <c r="S615" s="13">
        <f t="shared" si="991"/>
        <v>24</v>
      </c>
      <c r="T615" s="13">
        <f t="shared" si="1000"/>
        <v>24</v>
      </c>
      <c r="U615" s="13">
        <f t="shared" ref="U615:U617" si="1003">SUM(H615:K615)</f>
        <v>56</v>
      </c>
      <c r="V615" s="34"/>
      <c r="W615" s="45">
        <v>29</v>
      </c>
      <c r="X615" s="10">
        <f t="shared" si="994"/>
        <v>696</v>
      </c>
      <c r="Y615" s="10">
        <f t="shared" si="995"/>
        <v>1392</v>
      </c>
      <c r="Z615" s="10">
        <f t="shared" si="996"/>
        <v>232</v>
      </c>
      <c r="AA615" s="14">
        <f t="shared" si="997"/>
        <v>0</v>
      </c>
      <c r="AB615" s="14">
        <f t="shared" si="998"/>
        <v>696</v>
      </c>
      <c r="AC615" s="63">
        <f t="shared" si="999"/>
        <v>-1392</v>
      </c>
      <c r="AD615" s="209"/>
      <c r="AE615" s="63">
        <f t="shared" si="1001"/>
        <v>-232</v>
      </c>
      <c r="AF615" s="209"/>
      <c r="AG615" s="8"/>
    </row>
    <row r="616" spans="1:33" x14ac:dyDescent="0.45">
      <c r="A616" s="22">
        <f t="shared" si="1002"/>
        <v>44710</v>
      </c>
      <c r="B616" s="15" t="s">
        <v>6</v>
      </c>
      <c r="C616" s="48">
        <f>80*W616</f>
        <v>2400</v>
      </c>
      <c r="D616" s="13">
        <v>72</v>
      </c>
      <c r="E616" s="13">
        <v>28.75</v>
      </c>
      <c r="F616" s="13">
        <v>12</v>
      </c>
      <c r="G616" s="13">
        <v>6</v>
      </c>
      <c r="H616" s="13">
        <v>0</v>
      </c>
      <c r="I616" s="13">
        <v>0</v>
      </c>
      <c r="J616" s="13">
        <v>8</v>
      </c>
      <c r="K616" s="13">
        <v>0</v>
      </c>
      <c r="L616" s="45">
        <v>0</v>
      </c>
      <c r="M616" s="34"/>
      <c r="N616" s="13">
        <v>72</v>
      </c>
      <c r="O616" s="13">
        <v>28.25</v>
      </c>
      <c r="P616" s="13">
        <v>12.5</v>
      </c>
      <c r="Q616" s="13">
        <v>6</v>
      </c>
      <c r="R616" s="34"/>
      <c r="S616" s="13">
        <f t="shared" si="991"/>
        <v>118.75</v>
      </c>
      <c r="T616" s="13">
        <f t="shared" si="1000"/>
        <v>118.75</v>
      </c>
      <c r="U616" s="13">
        <f t="shared" si="1003"/>
        <v>8</v>
      </c>
      <c r="V616" s="34"/>
      <c r="W616" s="45">
        <v>30</v>
      </c>
      <c r="X616" s="10">
        <f>(W616*1*D616)+(W616*1.5*E616)+(W616*2*F616)+(W616*1*G616)</f>
        <v>4353.75</v>
      </c>
      <c r="Y616" s="10">
        <f t="shared" si="995"/>
        <v>0</v>
      </c>
      <c r="Z616" s="10">
        <f t="shared" si="996"/>
        <v>240</v>
      </c>
      <c r="AA616" s="14">
        <f t="shared" si="997"/>
        <v>0</v>
      </c>
      <c r="AB616" s="14">
        <f t="shared" si="998"/>
        <v>4361.25</v>
      </c>
      <c r="AC616" s="63">
        <f t="shared" si="999"/>
        <v>0</v>
      </c>
      <c r="AD616" s="209"/>
      <c r="AE616" s="63">
        <f t="shared" si="1001"/>
        <v>-232.5</v>
      </c>
      <c r="AF616" s="209"/>
      <c r="AG616" s="8"/>
    </row>
    <row r="617" spans="1:33" x14ac:dyDescent="0.45">
      <c r="A617" s="22">
        <f>A616</f>
        <v>44710</v>
      </c>
      <c r="B617" s="15" t="s">
        <v>9</v>
      </c>
      <c r="C617" s="48">
        <f>120*W617</f>
        <v>3600</v>
      </c>
      <c r="D617" s="13">
        <v>72</v>
      </c>
      <c r="E617" s="13">
        <v>39</v>
      </c>
      <c r="F617" s="13">
        <v>22</v>
      </c>
      <c r="G617" s="13">
        <v>15</v>
      </c>
      <c r="H617" s="13">
        <v>0</v>
      </c>
      <c r="I617" s="13">
        <v>0</v>
      </c>
      <c r="J617" s="13">
        <v>8</v>
      </c>
      <c r="K617" s="13">
        <v>0</v>
      </c>
      <c r="L617" s="45">
        <v>0</v>
      </c>
      <c r="M617" s="34"/>
      <c r="N617" s="13">
        <v>72</v>
      </c>
      <c r="O617" s="13">
        <v>29</v>
      </c>
      <c r="P617" s="13">
        <v>33</v>
      </c>
      <c r="Q617" s="13">
        <v>14</v>
      </c>
      <c r="R617" s="34"/>
      <c r="S617" s="13">
        <f t="shared" si="991"/>
        <v>148</v>
      </c>
      <c r="T617" s="13">
        <f t="shared" si="1000"/>
        <v>148</v>
      </c>
      <c r="U617" s="13">
        <f t="shared" si="1003"/>
        <v>8</v>
      </c>
      <c r="V617" s="34"/>
      <c r="W617" s="45">
        <v>30</v>
      </c>
      <c r="X617" s="10">
        <f t="shared" ref="X617" si="1004">(W617*1*D617)+(W617*1.5*E617)+(W617*2*F617)+(W617*1*G617)</f>
        <v>5685</v>
      </c>
      <c r="Y617" s="10">
        <f>(W617*0*H617)+(W617*1*I617)</f>
        <v>0</v>
      </c>
      <c r="Z617" s="10">
        <f t="shared" si="996"/>
        <v>240</v>
      </c>
      <c r="AA617" s="14">
        <f t="shared" si="997"/>
        <v>0</v>
      </c>
      <c r="AB617" s="14">
        <f t="shared" si="998"/>
        <v>5865</v>
      </c>
      <c r="AC617" s="63">
        <f t="shared" si="999"/>
        <v>0</v>
      </c>
      <c r="AD617" s="209"/>
      <c r="AE617" s="63">
        <f t="shared" si="1001"/>
        <v>-60</v>
      </c>
      <c r="AF617" s="209"/>
      <c r="AG617" s="8"/>
    </row>
    <row r="618" spans="1:33" x14ac:dyDescent="0.45">
      <c r="A618" s="22">
        <f t="shared" si="1002"/>
        <v>44710</v>
      </c>
      <c r="B618" s="50" t="s">
        <v>31</v>
      </c>
      <c r="C618" s="48">
        <f>80*W618</f>
        <v>2400</v>
      </c>
      <c r="D618" s="51">
        <v>67</v>
      </c>
      <c r="E618" s="51">
        <v>0.75</v>
      </c>
      <c r="F618" s="51">
        <v>0</v>
      </c>
      <c r="G618" s="51">
        <v>8</v>
      </c>
      <c r="H618" s="51">
        <v>0</v>
      </c>
      <c r="I618" s="51">
        <v>0</v>
      </c>
      <c r="J618" s="51">
        <v>8</v>
      </c>
      <c r="K618" s="51">
        <v>0</v>
      </c>
      <c r="L618" s="52">
        <v>0</v>
      </c>
      <c r="M618" s="34"/>
      <c r="N618" s="13">
        <v>67</v>
      </c>
      <c r="O618" s="13">
        <v>0.75</v>
      </c>
      <c r="P618" s="13">
        <v>0</v>
      </c>
      <c r="Q618" s="13">
        <v>8</v>
      </c>
      <c r="R618" s="34"/>
      <c r="S618" s="51">
        <f t="shared" ref="S618" si="1005">SUM(D618:G618)</f>
        <v>75.75</v>
      </c>
      <c r="T618" s="51">
        <f>SUM(N618:Q618)</f>
        <v>75.75</v>
      </c>
      <c r="U618" s="51">
        <f t="shared" ref="U618" si="1006">SUM(H618:K618)</f>
        <v>8</v>
      </c>
      <c r="V618" s="34"/>
      <c r="W618" s="52">
        <v>30</v>
      </c>
      <c r="X618" s="53">
        <f>(W618*1*D618)+(W618*1.5*E618)+(W618*2*F618)+(W618*1*G618)</f>
        <v>2283.75</v>
      </c>
      <c r="Y618" s="53">
        <f t="shared" ref="Y618:Y626" si="1007">(W618*0*H618)+(W618*1*I618)</f>
        <v>0</v>
      </c>
      <c r="Z618" s="53">
        <f>(W618*1*J618)+L618</f>
        <v>240</v>
      </c>
      <c r="AA618" s="54">
        <f t="shared" si="997"/>
        <v>0</v>
      </c>
      <c r="AB618" s="54">
        <f>(W618*1*N618)+(W618*1.5*O618)+(W618*2*P618)+(W618*1*Q618)</f>
        <v>2283.75</v>
      </c>
      <c r="AC618" s="64">
        <f t="shared" si="999"/>
        <v>0</v>
      </c>
      <c r="AD618" s="209"/>
      <c r="AE618" s="64">
        <f>AB618-(X618+Z618)</f>
        <v>-240</v>
      </c>
      <c r="AF618" s="209"/>
      <c r="AG618" s="8"/>
    </row>
    <row r="619" spans="1:33" x14ac:dyDescent="0.45">
      <c r="A619" s="22">
        <f t="shared" si="1002"/>
        <v>44710</v>
      </c>
      <c r="B619" s="50" t="s">
        <v>51</v>
      </c>
      <c r="C619" s="48">
        <f t="shared" ref="C619:C622" si="1008">80*W619</f>
        <v>1920</v>
      </c>
      <c r="D619" s="51">
        <v>72</v>
      </c>
      <c r="E619" s="51">
        <v>27</v>
      </c>
      <c r="F619" s="51">
        <v>11.5</v>
      </c>
      <c r="G619" s="51">
        <v>0</v>
      </c>
      <c r="H619" s="51">
        <v>0</v>
      </c>
      <c r="I619" s="51">
        <v>0</v>
      </c>
      <c r="J619" s="51">
        <v>8</v>
      </c>
      <c r="K619" s="51">
        <v>0</v>
      </c>
      <c r="L619" s="52">
        <v>0</v>
      </c>
      <c r="M619" s="34"/>
      <c r="N619" s="51">
        <v>72</v>
      </c>
      <c r="O619" s="51">
        <v>27</v>
      </c>
      <c r="P619" s="51">
        <v>11.5</v>
      </c>
      <c r="Q619" s="51">
        <v>0</v>
      </c>
      <c r="R619" s="34"/>
      <c r="S619" s="51">
        <f t="shared" ref="S619:S627" si="1009">SUM(D619:G619)</f>
        <v>110.5</v>
      </c>
      <c r="T619" s="51">
        <f>SUM(N619:Q619)</f>
        <v>110.5</v>
      </c>
      <c r="U619" s="51">
        <f t="shared" ref="U619:U623" si="1010">SUM(H619:K619)</f>
        <v>8</v>
      </c>
      <c r="V619" s="34"/>
      <c r="W619" s="52">
        <v>24</v>
      </c>
      <c r="X619" s="53">
        <f t="shared" ref="X619:X625" si="1011">(W619*1*D619)+(W619*1.5*E619)+(W619*2*F619)+(W619*1*G619)</f>
        <v>3252</v>
      </c>
      <c r="Y619" s="53">
        <f t="shared" si="1007"/>
        <v>0</v>
      </c>
      <c r="Z619" s="53">
        <f t="shared" ref="Z619:Z627" si="1012">(W619*1*J619)+L619</f>
        <v>192</v>
      </c>
      <c r="AA619" s="54">
        <f t="shared" si="997"/>
        <v>0</v>
      </c>
      <c r="AB619" s="54">
        <f t="shared" ref="AB619:AB627" si="1013">(W619*1*N619)+(W619*1.5*O619)+(W619*2*P619)+(W619*1*Q619)</f>
        <v>3252</v>
      </c>
      <c r="AC619" s="64">
        <f t="shared" si="999"/>
        <v>0</v>
      </c>
      <c r="AD619" s="209"/>
      <c r="AE619" s="64">
        <f>AB619-(X619+Z619)</f>
        <v>-192</v>
      </c>
      <c r="AF619" s="209"/>
      <c r="AG619" s="8"/>
    </row>
    <row r="620" spans="1:33" x14ac:dyDescent="0.45">
      <c r="A620" s="22">
        <f t="shared" si="1002"/>
        <v>44710</v>
      </c>
      <c r="B620" s="50" t="s">
        <v>53</v>
      </c>
      <c r="C620" s="48">
        <f t="shared" si="1008"/>
        <v>1600</v>
      </c>
      <c r="D620" s="51">
        <v>72</v>
      </c>
      <c r="E620" s="51">
        <v>11.75</v>
      </c>
      <c r="F620" s="51">
        <v>0</v>
      </c>
      <c r="G620" s="51">
        <v>0</v>
      </c>
      <c r="H620" s="51">
        <v>0</v>
      </c>
      <c r="I620" s="51">
        <v>0</v>
      </c>
      <c r="J620" s="51">
        <v>8</v>
      </c>
      <c r="K620" s="51">
        <v>0</v>
      </c>
      <c r="L620" s="52">
        <v>0</v>
      </c>
      <c r="M620" s="34"/>
      <c r="N620" s="51">
        <v>72</v>
      </c>
      <c r="O620" s="51">
        <v>11.75</v>
      </c>
      <c r="P620" s="51">
        <v>0</v>
      </c>
      <c r="Q620" s="51">
        <v>0</v>
      </c>
      <c r="R620" s="34"/>
      <c r="S620" s="51">
        <f t="shared" si="1009"/>
        <v>83.75</v>
      </c>
      <c r="T620" s="51">
        <f>SUM(N620:Q620)</f>
        <v>83.75</v>
      </c>
      <c r="U620" s="51">
        <f t="shared" si="1010"/>
        <v>8</v>
      </c>
      <c r="V620" s="34"/>
      <c r="W620" s="52">
        <v>20</v>
      </c>
      <c r="X620" s="53">
        <f t="shared" si="1011"/>
        <v>1792.5</v>
      </c>
      <c r="Y620" s="53">
        <f t="shared" si="1007"/>
        <v>0</v>
      </c>
      <c r="Z620" s="53">
        <f t="shared" si="1012"/>
        <v>160</v>
      </c>
      <c r="AA620" s="54">
        <f t="shared" si="997"/>
        <v>0</v>
      </c>
      <c r="AB620" s="54">
        <f t="shared" si="1013"/>
        <v>1792.5</v>
      </c>
      <c r="AC620" s="64">
        <f t="shared" si="999"/>
        <v>0</v>
      </c>
      <c r="AD620" s="209"/>
      <c r="AE620" s="64">
        <f>AB620-(X620+Z620)</f>
        <v>-160</v>
      </c>
      <c r="AF620" s="209"/>
      <c r="AG620" s="8"/>
    </row>
    <row r="621" spans="1:33" x14ac:dyDescent="0.45">
      <c r="A621" s="22">
        <f>A619</f>
        <v>44710</v>
      </c>
      <c r="B621" s="50" t="s">
        <v>54</v>
      </c>
      <c r="C621" s="48">
        <f t="shared" si="1008"/>
        <v>1600</v>
      </c>
      <c r="D621" s="51">
        <v>72</v>
      </c>
      <c r="E621" s="51">
        <v>20.25</v>
      </c>
      <c r="F621" s="51">
        <v>0</v>
      </c>
      <c r="G621" s="51">
        <v>0</v>
      </c>
      <c r="H621" s="51">
        <v>0</v>
      </c>
      <c r="I621" s="51">
        <v>0</v>
      </c>
      <c r="J621" s="51">
        <v>8</v>
      </c>
      <c r="K621" s="51">
        <v>0</v>
      </c>
      <c r="L621" s="52">
        <v>0</v>
      </c>
      <c r="M621" s="34"/>
      <c r="N621" s="51">
        <v>72</v>
      </c>
      <c r="O621" s="51">
        <v>20.25</v>
      </c>
      <c r="P621" s="51">
        <v>0</v>
      </c>
      <c r="Q621" s="51">
        <v>0</v>
      </c>
      <c r="R621" s="34"/>
      <c r="S621" s="51">
        <f t="shared" si="1009"/>
        <v>92.25</v>
      </c>
      <c r="T621" s="51">
        <f t="shared" ref="T621" si="1014">SUM(N621:Q621)</f>
        <v>92.25</v>
      </c>
      <c r="U621" s="51">
        <f t="shared" si="1010"/>
        <v>8</v>
      </c>
      <c r="V621" s="34"/>
      <c r="W621" s="52">
        <v>20</v>
      </c>
      <c r="X621" s="53">
        <f t="shared" si="1011"/>
        <v>2047.5</v>
      </c>
      <c r="Y621" s="53">
        <f t="shared" si="1007"/>
        <v>0</v>
      </c>
      <c r="Z621" s="53">
        <f t="shared" si="1012"/>
        <v>160</v>
      </c>
      <c r="AA621" s="54">
        <f t="shared" si="997"/>
        <v>0</v>
      </c>
      <c r="AB621" s="54">
        <f t="shared" si="1013"/>
        <v>2047.5</v>
      </c>
      <c r="AC621" s="64">
        <f t="shared" si="999"/>
        <v>0</v>
      </c>
      <c r="AD621" s="209"/>
      <c r="AE621" s="64">
        <f>AB621-(X621+Z621)</f>
        <v>-160</v>
      </c>
      <c r="AF621" s="209"/>
      <c r="AG621" s="8"/>
    </row>
    <row r="622" spans="1:33" ht="14.65" thickBot="1" x14ac:dyDescent="0.5">
      <c r="A622" s="23">
        <f>A620</f>
        <v>44710</v>
      </c>
      <c r="B622" s="24" t="s">
        <v>62</v>
      </c>
      <c r="C622" s="49">
        <f t="shared" si="1008"/>
        <v>2000</v>
      </c>
      <c r="D622" s="25">
        <v>0</v>
      </c>
      <c r="E622" s="25">
        <v>0</v>
      </c>
      <c r="F622" s="25">
        <v>0</v>
      </c>
      <c r="G622" s="25">
        <v>0</v>
      </c>
      <c r="H622" s="25">
        <v>0</v>
      </c>
      <c r="I622" s="25">
        <v>0</v>
      </c>
      <c r="J622" s="25">
        <v>8</v>
      </c>
      <c r="K622" s="25">
        <v>72</v>
      </c>
      <c r="L622" s="46">
        <v>0</v>
      </c>
      <c r="M622" s="35"/>
      <c r="N622" s="25">
        <v>0</v>
      </c>
      <c r="O622" s="25">
        <v>0</v>
      </c>
      <c r="P622" s="25">
        <v>0</v>
      </c>
      <c r="Q622" s="25">
        <v>0</v>
      </c>
      <c r="R622" s="35"/>
      <c r="S622" s="25">
        <f t="shared" si="1009"/>
        <v>0</v>
      </c>
      <c r="T622" s="25">
        <f t="shared" ref="T622:T627" si="1015">SUM(N622:Q622)</f>
        <v>0</v>
      </c>
      <c r="U622" s="25">
        <f t="shared" si="1010"/>
        <v>80</v>
      </c>
      <c r="V622" s="35"/>
      <c r="W622" s="46">
        <v>25</v>
      </c>
      <c r="X622" s="26">
        <f t="shared" si="1011"/>
        <v>0</v>
      </c>
      <c r="Y622" s="26">
        <f t="shared" si="1007"/>
        <v>0</v>
      </c>
      <c r="Z622" s="26">
        <f t="shared" si="1012"/>
        <v>200</v>
      </c>
      <c r="AA622" s="27">
        <f t="shared" ref="AA622:AA631" si="1016">(W622*1*K622)</f>
        <v>1800</v>
      </c>
      <c r="AB622" s="27">
        <f t="shared" si="1013"/>
        <v>0</v>
      </c>
      <c r="AC622" s="65">
        <f t="shared" ref="AC622:AC631" si="1017">0-Y622-AA622</f>
        <v>-1800</v>
      </c>
      <c r="AD622" s="210"/>
      <c r="AE622" s="65">
        <f>AB622-(X622+Z622)</f>
        <v>-200</v>
      </c>
      <c r="AF622" s="210"/>
      <c r="AG622" s="8"/>
    </row>
    <row r="623" spans="1:33" x14ac:dyDescent="0.45">
      <c r="A623" s="22">
        <f>A622+14</f>
        <v>44724</v>
      </c>
      <c r="B623" s="15" t="s">
        <v>30</v>
      </c>
      <c r="C623" s="48">
        <f>120*W623</f>
        <v>3900</v>
      </c>
      <c r="D623" s="13">
        <v>80</v>
      </c>
      <c r="E623" s="13">
        <v>12.5</v>
      </c>
      <c r="F623" s="13">
        <v>0</v>
      </c>
      <c r="G623" s="13">
        <v>0</v>
      </c>
      <c r="H623" s="13">
        <v>0</v>
      </c>
      <c r="I623" s="13">
        <v>0</v>
      </c>
      <c r="J623" s="13">
        <v>0</v>
      </c>
      <c r="K623" s="13">
        <v>0</v>
      </c>
      <c r="L623" s="45">
        <v>0</v>
      </c>
      <c r="M623" s="34"/>
      <c r="N623" s="13">
        <v>80</v>
      </c>
      <c r="O623" s="13">
        <v>12.5</v>
      </c>
      <c r="P623" s="13">
        <v>0</v>
      </c>
      <c r="Q623" s="13">
        <v>0</v>
      </c>
      <c r="R623" s="34"/>
      <c r="S623" s="13">
        <f t="shared" si="1009"/>
        <v>92.5</v>
      </c>
      <c r="T623" s="13">
        <f t="shared" si="1015"/>
        <v>92.5</v>
      </c>
      <c r="U623" s="13">
        <f t="shared" si="1010"/>
        <v>0</v>
      </c>
      <c r="V623" s="34"/>
      <c r="W623" s="45">
        <v>32.5</v>
      </c>
      <c r="X623" s="10">
        <f t="shared" si="1011"/>
        <v>3209.375</v>
      </c>
      <c r="Y623" s="10">
        <f t="shared" si="1007"/>
        <v>0</v>
      </c>
      <c r="Z623" s="10">
        <f t="shared" si="1012"/>
        <v>0</v>
      </c>
      <c r="AA623" s="14">
        <f t="shared" si="1016"/>
        <v>0</v>
      </c>
      <c r="AB623" s="14">
        <f t="shared" si="1013"/>
        <v>3209.375</v>
      </c>
      <c r="AC623" s="63">
        <f t="shared" si="1017"/>
        <v>0</v>
      </c>
      <c r="AD623" s="208"/>
      <c r="AE623" s="63">
        <f t="shared" ref="AE623:AE627" si="1018">AB623-(X623+Z623)</f>
        <v>0</v>
      </c>
      <c r="AF623" s="208">
        <f>SUM(AE623:AE632)</f>
        <v>140.25</v>
      </c>
      <c r="AG623" s="8"/>
    </row>
    <row r="624" spans="1:33" x14ac:dyDescent="0.45">
      <c r="A624" s="22">
        <f>A623</f>
        <v>44724</v>
      </c>
      <c r="B624" s="15" t="s">
        <v>4</v>
      </c>
      <c r="C624" s="48">
        <f>80*W624</f>
        <v>2400</v>
      </c>
      <c r="D624" s="13">
        <v>80</v>
      </c>
      <c r="E624" s="13">
        <v>34.75</v>
      </c>
      <c r="F624" s="13">
        <v>12</v>
      </c>
      <c r="G624" s="13">
        <v>6</v>
      </c>
      <c r="H624" s="13">
        <v>0</v>
      </c>
      <c r="I624" s="13">
        <v>0</v>
      </c>
      <c r="J624" s="13">
        <v>0</v>
      </c>
      <c r="K624" s="13">
        <v>0</v>
      </c>
      <c r="L624" s="45">
        <v>0</v>
      </c>
      <c r="M624" s="34"/>
      <c r="N624" s="13">
        <v>80</v>
      </c>
      <c r="O624" s="13">
        <v>34.75</v>
      </c>
      <c r="P624" s="13">
        <v>12</v>
      </c>
      <c r="Q624" s="13">
        <v>6</v>
      </c>
      <c r="R624" s="34"/>
      <c r="S624" s="13">
        <f t="shared" si="1009"/>
        <v>132.75</v>
      </c>
      <c r="T624" s="13">
        <f t="shared" si="1015"/>
        <v>132.75</v>
      </c>
      <c r="U624" s="13">
        <f>SUM(H624:K624)</f>
        <v>0</v>
      </c>
      <c r="V624" s="34"/>
      <c r="W624" s="45">
        <v>30</v>
      </c>
      <c r="X624" s="10">
        <f t="shared" si="1011"/>
        <v>4863.75</v>
      </c>
      <c r="Y624" s="10">
        <f t="shared" si="1007"/>
        <v>0</v>
      </c>
      <c r="Z624" s="10">
        <f t="shared" si="1012"/>
        <v>0</v>
      </c>
      <c r="AA624" s="14">
        <f t="shared" si="1016"/>
        <v>0</v>
      </c>
      <c r="AB624" s="14">
        <f t="shared" si="1013"/>
        <v>4863.75</v>
      </c>
      <c r="AC624" s="63">
        <f t="shared" si="1017"/>
        <v>0</v>
      </c>
      <c r="AD624" s="209"/>
      <c r="AE624" s="63">
        <f t="shared" si="1018"/>
        <v>0</v>
      </c>
      <c r="AF624" s="209"/>
      <c r="AG624" s="8"/>
    </row>
    <row r="625" spans="1:33" x14ac:dyDescent="0.45">
      <c r="A625" s="22">
        <f t="shared" ref="A625:A630" si="1019">A624</f>
        <v>44724</v>
      </c>
      <c r="B625" s="15" t="s">
        <v>5</v>
      </c>
      <c r="C625" s="48">
        <f>120*W625</f>
        <v>3480</v>
      </c>
      <c r="D625" s="13">
        <v>80</v>
      </c>
      <c r="E625" s="13">
        <v>6.25</v>
      </c>
      <c r="F625" s="13">
        <v>0</v>
      </c>
      <c r="G625" s="13">
        <v>0</v>
      </c>
      <c r="H625" s="13">
        <v>0</v>
      </c>
      <c r="I625" s="13">
        <v>0</v>
      </c>
      <c r="J625" s="13">
        <v>0</v>
      </c>
      <c r="K625" s="13">
        <v>0</v>
      </c>
      <c r="L625" s="45">
        <v>0</v>
      </c>
      <c r="M625" s="34"/>
      <c r="N625" s="13">
        <v>80</v>
      </c>
      <c r="O625" s="13">
        <v>6.25</v>
      </c>
      <c r="P625" s="13">
        <v>0</v>
      </c>
      <c r="Q625" s="13">
        <v>0</v>
      </c>
      <c r="R625" s="34"/>
      <c r="S625" s="13">
        <f t="shared" si="1009"/>
        <v>86.25</v>
      </c>
      <c r="T625" s="13">
        <f t="shared" si="1015"/>
        <v>86.25</v>
      </c>
      <c r="U625" s="13">
        <f t="shared" ref="U625:U627" si="1020">SUM(H625:K625)</f>
        <v>0</v>
      </c>
      <c r="V625" s="34"/>
      <c r="W625" s="45">
        <v>29</v>
      </c>
      <c r="X625" s="10">
        <f t="shared" si="1011"/>
        <v>2591.875</v>
      </c>
      <c r="Y625" s="10">
        <f t="shared" si="1007"/>
        <v>0</v>
      </c>
      <c r="Z625" s="10">
        <f t="shared" si="1012"/>
        <v>0</v>
      </c>
      <c r="AA625" s="14">
        <f t="shared" si="1016"/>
        <v>0</v>
      </c>
      <c r="AB625" s="14">
        <f t="shared" si="1013"/>
        <v>2591.875</v>
      </c>
      <c r="AC625" s="63">
        <f t="shared" si="1017"/>
        <v>0</v>
      </c>
      <c r="AD625" s="209"/>
      <c r="AE625" s="63">
        <f t="shared" si="1018"/>
        <v>0</v>
      </c>
      <c r="AF625" s="209"/>
      <c r="AG625" s="8"/>
    </row>
    <row r="626" spans="1:33" x14ac:dyDescent="0.45">
      <c r="A626" s="22">
        <f t="shared" si="1019"/>
        <v>44724</v>
      </c>
      <c r="B626" s="15" t="s">
        <v>6</v>
      </c>
      <c r="C626" s="48">
        <f>80*W626</f>
        <v>2400</v>
      </c>
      <c r="D626" s="13">
        <v>80</v>
      </c>
      <c r="E626" s="13">
        <v>40</v>
      </c>
      <c r="F626" s="13">
        <v>12</v>
      </c>
      <c r="G626" s="13">
        <v>7.75</v>
      </c>
      <c r="H626" s="13">
        <v>0</v>
      </c>
      <c r="I626" s="13">
        <v>0</v>
      </c>
      <c r="J626" s="13">
        <v>0</v>
      </c>
      <c r="K626" s="13">
        <v>0</v>
      </c>
      <c r="L626" s="45">
        <v>0</v>
      </c>
      <c r="M626" s="34"/>
      <c r="N626" s="13">
        <v>80</v>
      </c>
      <c r="O626" s="13">
        <v>40</v>
      </c>
      <c r="P626" s="13">
        <v>12</v>
      </c>
      <c r="Q626" s="13">
        <v>7.75</v>
      </c>
      <c r="R626" s="34"/>
      <c r="S626" s="13">
        <f t="shared" si="1009"/>
        <v>139.75</v>
      </c>
      <c r="T626" s="13">
        <f t="shared" si="1015"/>
        <v>139.75</v>
      </c>
      <c r="U626" s="13">
        <f t="shared" si="1020"/>
        <v>0</v>
      </c>
      <c r="V626" s="34"/>
      <c r="W626" s="45">
        <v>30</v>
      </c>
      <c r="X626" s="10">
        <f>(W626*1*D626)+(W626*1.5*E626)+(W626*2*F626)+(W626*1*G626)</f>
        <v>5152.5</v>
      </c>
      <c r="Y626" s="10">
        <f t="shared" si="1007"/>
        <v>0</v>
      </c>
      <c r="Z626" s="10">
        <f t="shared" si="1012"/>
        <v>0</v>
      </c>
      <c r="AA626" s="14">
        <f t="shared" si="1016"/>
        <v>0</v>
      </c>
      <c r="AB626" s="14">
        <f t="shared" si="1013"/>
        <v>5152.5</v>
      </c>
      <c r="AC626" s="63">
        <f t="shared" si="1017"/>
        <v>0</v>
      </c>
      <c r="AD626" s="209"/>
      <c r="AE626" s="63">
        <f t="shared" si="1018"/>
        <v>0</v>
      </c>
      <c r="AF626" s="209"/>
      <c r="AG626" s="8"/>
    </row>
    <row r="627" spans="1:33" x14ac:dyDescent="0.45">
      <c r="A627" s="22">
        <f>A626</f>
        <v>44724</v>
      </c>
      <c r="B627" s="15" t="s">
        <v>9</v>
      </c>
      <c r="C627" s="48">
        <f>120*W627</f>
        <v>3600</v>
      </c>
      <c r="D627" s="13">
        <v>80</v>
      </c>
      <c r="E627" s="13">
        <v>45.5</v>
      </c>
      <c r="F627" s="13">
        <v>0</v>
      </c>
      <c r="G627" s="13">
        <v>12</v>
      </c>
      <c r="H627" s="13">
        <v>0</v>
      </c>
      <c r="I627" s="13">
        <v>0</v>
      </c>
      <c r="J627" s="13">
        <v>0</v>
      </c>
      <c r="K627" s="13">
        <v>0</v>
      </c>
      <c r="L627" s="45">
        <v>0</v>
      </c>
      <c r="M627" s="34"/>
      <c r="N627" s="13">
        <v>80</v>
      </c>
      <c r="O627" s="13">
        <v>45.5</v>
      </c>
      <c r="P627" s="13">
        <v>0</v>
      </c>
      <c r="Q627" s="13">
        <v>12</v>
      </c>
      <c r="R627" s="34"/>
      <c r="S627" s="13">
        <f t="shared" si="1009"/>
        <v>137.5</v>
      </c>
      <c r="T627" s="13">
        <f t="shared" si="1015"/>
        <v>137.5</v>
      </c>
      <c r="U627" s="13">
        <f t="shared" si="1020"/>
        <v>0</v>
      </c>
      <c r="V627" s="34"/>
      <c r="W627" s="45">
        <v>30</v>
      </c>
      <c r="X627" s="10">
        <f t="shared" ref="X627" si="1021">(W627*1*D627)+(W627*1.5*E627)+(W627*2*F627)+(W627*1*G627)</f>
        <v>4807.5</v>
      </c>
      <c r="Y627" s="10">
        <f>(W627*0*H627)+(W627*1*I627)</f>
        <v>0</v>
      </c>
      <c r="Z627" s="10">
        <f t="shared" si="1012"/>
        <v>0</v>
      </c>
      <c r="AA627" s="14">
        <f t="shared" si="1016"/>
        <v>0</v>
      </c>
      <c r="AB627" s="14">
        <f t="shared" si="1013"/>
        <v>4807.5</v>
      </c>
      <c r="AC627" s="63">
        <f t="shared" si="1017"/>
        <v>0</v>
      </c>
      <c r="AD627" s="209"/>
      <c r="AE627" s="63">
        <f t="shared" si="1018"/>
        <v>0</v>
      </c>
      <c r="AF627" s="209"/>
      <c r="AG627" s="8"/>
    </row>
    <row r="628" spans="1:33" x14ac:dyDescent="0.45">
      <c r="A628" s="22">
        <f t="shared" si="1019"/>
        <v>44724</v>
      </c>
      <c r="B628" s="50" t="s">
        <v>31</v>
      </c>
      <c r="C628" s="48">
        <f>120*W628</f>
        <v>3600</v>
      </c>
      <c r="D628" s="51">
        <v>80</v>
      </c>
      <c r="E628" s="51">
        <v>14</v>
      </c>
      <c r="F628" s="51">
        <v>12</v>
      </c>
      <c r="G628" s="51">
        <v>6</v>
      </c>
      <c r="H628" s="51">
        <v>0</v>
      </c>
      <c r="I628" s="51">
        <v>0</v>
      </c>
      <c r="J628" s="51">
        <v>0</v>
      </c>
      <c r="K628" s="51">
        <v>0</v>
      </c>
      <c r="L628" s="52">
        <v>0</v>
      </c>
      <c r="M628" s="34"/>
      <c r="N628" s="13">
        <v>80</v>
      </c>
      <c r="O628" s="13">
        <v>14.5</v>
      </c>
      <c r="P628" s="13">
        <v>12</v>
      </c>
      <c r="Q628" s="13">
        <v>6</v>
      </c>
      <c r="R628" s="34"/>
      <c r="S628" s="51">
        <f t="shared" ref="S628" si="1022">SUM(D628:G628)</f>
        <v>112</v>
      </c>
      <c r="T628" s="51">
        <f>SUM(N628:Q628)</f>
        <v>112.5</v>
      </c>
      <c r="U628" s="51">
        <f t="shared" ref="U628" si="1023">SUM(H628:K628)</f>
        <v>0</v>
      </c>
      <c r="V628" s="34"/>
      <c r="W628" s="52">
        <v>30</v>
      </c>
      <c r="X628" s="53">
        <f>(W628*1*D628)+(W628*1.5*E628)+(W628*2*F628)+(W628*1*G628)</f>
        <v>3930</v>
      </c>
      <c r="Y628" s="53">
        <f t="shared" ref="Y628:Y636" si="1024">(W628*0*H628)+(W628*1*I628)</f>
        <v>0</v>
      </c>
      <c r="Z628" s="53">
        <f>(W628*1*J628)+L628</f>
        <v>0</v>
      </c>
      <c r="AA628" s="54">
        <f t="shared" si="1016"/>
        <v>0</v>
      </c>
      <c r="AB628" s="54">
        <f>(W628*1*N628)+(W628*1.5*O628)+(W628*2*P628)+(W628*1*Q628)</f>
        <v>3952.5</v>
      </c>
      <c r="AC628" s="64">
        <f t="shared" si="1017"/>
        <v>0</v>
      </c>
      <c r="AD628" s="209"/>
      <c r="AE628" s="64">
        <f>AB628-(X628+Z628)</f>
        <v>22.5</v>
      </c>
      <c r="AF628" s="209"/>
      <c r="AG628" s="8"/>
    </row>
    <row r="629" spans="1:33" x14ac:dyDescent="0.45">
      <c r="A629" s="22">
        <f t="shared" si="1019"/>
        <v>44724</v>
      </c>
      <c r="B629" s="50" t="s">
        <v>51</v>
      </c>
      <c r="C629" s="48">
        <f t="shared" ref="C629:C632" si="1025">80*W629</f>
        <v>1920</v>
      </c>
      <c r="D629" s="51">
        <v>80</v>
      </c>
      <c r="E629" s="51">
        <v>10.25</v>
      </c>
      <c r="F629" s="51">
        <v>0</v>
      </c>
      <c r="G629" s="51">
        <v>22</v>
      </c>
      <c r="H629" s="51">
        <v>0</v>
      </c>
      <c r="I629" s="51">
        <v>0</v>
      </c>
      <c r="J629" s="51">
        <v>0</v>
      </c>
      <c r="K629" s="51">
        <v>0</v>
      </c>
      <c r="L629" s="52">
        <v>0</v>
      </c>
      <c r="M629" s="34"/>
      <c r="N629" s="51">
        <v>80</v>
      </c>
      <c r="O629" s="51">
        <v>10.25</v>
      </c>
      <c r="P629" s="51">
        <v>0</v>
      </c>
      <c r="Q629" s="51">
        <v>22</v>
      </c>
      <c r="R629" s="34"/>
      <c r="S629" s="51">
        <f t="shared" ref="S629:S637" si="1026">SUM(D629:G629)</f>
        <v>112.25</v>
      </c>
      <c r="T629" s="51">
        <f>SUM(N629:Q629)</f>
        <v>112.25</v>
      </c>
      <c r="U629" s="51">
        <f t="shared" ref="U629:U633" si="1027">SUM(H629:K629)</f>
        <v>0</v>
      </c>
      <c r="V629" s="34"/>
      <c r="W629" s="52">
        <v>24</v>
      </c>
      <c r="X629" s="53">
        <f t="shared" ref="X629:X635" si="1028">(W629*1*D629)+(W629*1.5*E629)+(W629*2*F629)+(W629*1*G629)</f>
        <v>2817</v>
      </c>
      <c r="Y629" s="53">
        <f t="shared" si="1024"/>
        <v>0</v>
      </c>
      <c r="Z629" s="53">
        <f t="shared" ref="Z629:Z637" si="1029">(W629*1*J629)+L629</f>
        <v>0</v>
      </c>
      <c r="AA629" s="54">
        <f t="shared" si="1016"/>
        <v>0</v>
      </c>
      <c r="AB629" s="54">
        <f t="shared" ref="AB629:AB637" si="1030">(W629*1*N629)+(W629*1.5*O629)+(W629*2*P629)+(W629*1*Q629)</f>
        <v>2817</v>
      </c>
      <c r="AC629" s="64">
        <f t="shared" si="1017"/>
        <v>0</v>
      </c>
      <c r="AD629" s="209"/>
      <c r="AE629" s="64">
        <f>AB629-(X629+Z629)</f>
        <v>0</v>
      </c>
      <c r="AF629" s="209"/>
      <c r="AG629" s="8"/>
    </row>
    <row r="630" spans="1:33" x14ac:dyDescent="0.45">
      <c r="A630" s="22">
        <f t="shared" si="1019"/>
        <v>44724</v>
      </c>
      <c r="B630" s="50" t="s">
        <v>53</v>
      </c>
      <c r="C630" s="48">
        <f t="shared" si="1025"/>
        <v>1840</v>
      </c>
      <c r="D630" s="51">
        <v>80</v>
      </c>
      <c r="E630" s="51">
        <v>8.5</v>
      </c>
      <c r="F630" s="51">
        <v>0</v>
      </c>
      <c r="G630" s="51">
        <v>8.5</v>
      </c>
      <c r="H630" s="51">
        <v>0</v>
      </c>
      <c r="I630" s="51">
        <v>0</v>
      </c>
      <c r="J630" s="51">
        <v>0</v>
      </c>
      <c r="K630" s="51">
        <v>0</v>
      </c>
      <c r="L630" s="52">
        <v>0</v>
      </c>
      <c r="M630" s="34"/>
      <c r="N630" s="51">
        <v>80</v>
      </c>
      <c r="O630" s="51">
        <v>17</v>
      </c>
      <c r="P630" s="51">
        <v>0</v>
      </c>
      <c r="Q630" s="51">
        <v>0</v>
      </c>
      <c r="R630" s="34"/>
      <c r="S630" s="51">
        <f t="shared" si="1026"/>
        <v>97</v>
      </c>
      <c r="T630" s="51">
        <f>SUM(N630:Q630)</f>
        <v>97</v>
      </c>
      <c r="U630" s="51">
        <f t="shared" si="1027"/>
        <v>0</v>
      </c>
      <c r="V630" s="34"/>
      <c r="W630" s="52">
        <v>23</v>
      </c>
      <c r="X630" s="53">
        <f t="shared" si="1028"/>
        <v>2328.75</v>
      </c>
      <c r="Y630" s="53">
        <f t="shared" si="1024"/>
        <v>0</v>
      </c>
      <c r="Z630" s="53">
        <f t="shared" si="1029"/>
        <v>0</v>
      </c>
      <c r="AA630" s="54">
        <f t="shared" si="1016"/>
        <v>0</v>
      </c>
      <c r="AB630" s="54">
        <f t="shared" si="1030"/>
        <v>2426.5</v>
      </c>
      <c r="AC630" s="64">
        <f t="shared" si="1017"/>
        <v>0</v>
      </c>
      <c r="AD630" s="209"/>
      <c r="AE630" s="64">
        <f>AB630-(X630+Z630)</f>
        <v>97.75</v>
      </c>
      <c r="AF630" s="209"/>
      <c r="AG630" s="8"/>
    </row>
    <row r="631" spans="1:33" x14ac:dyDescent="0.45">
      <c r="A631" s="22">
        <f>A629</f>
        <v>44724</v>
      </c>
      <c r="B631" s="50" t="s">
        <v>54</v>
      </c>
      <c r="C631" s="48">
        <f t="shared" si="1025"/>
        <v>1600</v>
      </c>
      <c r="D631" s="51">
        <v>80</v>
      </c>
      <c r="E631" s="51">
        <v>15</v>
      </c>
      <c r="F631" s="51">
        <v>0</v>
      </c>
      <c r="G631" s="51">
        <v>6</v>
      </c>
      <c r="H631" s="51">
        <v>0</v>
      </c>
      <c r="I631" s="51">
        <v>0</v>
      </c>
      <c r="J631" s="51">
        <v>0</v>
      </c>
      <c r="K631" s="51">
        <v>0</v>
      </c>
      <c r="L631" s="52">
        <v>0</v>
      </c>
      <c r="M631" s="34"/>
      <c r="N631" s="51">
        <v>80</v>
      </c>
      <c r="O631" s="51">
        <v>15</v>
      </c>
      <c r="P631" s="51">
        <v>0.5</v>
      </c>
      <c r="Q631" s="51">
        <v>6</v>
      </c>
      <c r="R631" s="34"/>
      <c r="S631" s="51">
        <f t="shared" si="1026"/>
        <v>101</v>
      </c>
      <c r="T631" s="51">
        <f t="shared" ref="T631:T637" si="1031">SUM(N631:Q631)</f>
        <v>101.5</v>
      </c>
      <c r="U631" s="51">
        <f t="shared" si="1027"/>
        <v>0</v>
      </c>
      <c r="V631" s="34"/>
      <c r="W631" s="52">
        <v>20</v>
      </c>
      <c r="X631" s="53">
        <f t="shared" si="1028"/>
        <v>2170</v>
      </c>
      <c r="Y631" s="53">
        <f t="shared" si="1024"/>
        <v>0</v>
      </c>
      <c r="Z631" s="53">
        <f t="shared" si="1029"/>
        <v>0</v>
      </c>
      <c r="AA631" s="54">
        <f t="shared" si="1016"/>
        <v>0</v>
      </c>
      <c r="AB631" s="54">
        <f t="shared" si="1030"/>
        <v>2190</v>
      </c>
      <c r="AC631" s="64">
        <f t="shared" si="1017"/>
        <v>0</v>
      </c>
      <c r="AD631" s="209"/>
      <c r="AE631" s="64">
        <f>AB631-(X631+Z631)</f>
        <v>20</v>
      </c>
      <c r="AF631" s="209"/>
      <c r="AG631" s="8"/>
    </row>
    <row r="632" spans="1:33" ht="14.65" thickBot="1" x14ac:dyDescent="0.5">
      <c r="A632" s="23">
        <f>A630</f>
        <v>44724</v>
      </c>
      <c r="B632" s="24" t="s">
        <v>62</v>
      </c>
      <c r="C632" s="49">
        <f t="shared" si="1025"/>
        <v>2000</v>
      </c>
      <c r="D632" s="25">
        <v>0</v>
      </c>
      <c r="E632" s="25">
        <v>0</v>
      </c>
      <c r="F632" s="25">
        <v>0</v>
      </c>
      <c r="G632" s="25">
        <v>0</v>
      </c>
      <c r="H632" s="25">
        <v>0</v>
      </c>
      <c r="I632" s="25">
        <v>0</v>
      </c>
      <c r="J632" s="25">
        <v>0</v>
      </c>
      <c r="K632" s="25">
        <v>80</v>
      </c>
      <c r="L632" s="46">
        <v>0</v>
      </c>
      <c r="M632" s="35"/>
      <c r="N632" s="25">
        <v>0</v>
      </c>
      <c r="O632" s="25">
        <v>0</v>
      </c>
      <c r="P632" s="25">
        <v>0</v>
      </c>
      <c r="Q632" s="25">
        <v>0</v>
      </c>
      <c r="R632" s="35"/>
      <c r="S632" s="25">
        <f t="shared" si="1026"/>
        <v>0</v>
      </c>
      <c r="T632" s="25">
        <f t="shared" si="1031"/>
        <v>0</v>
      </c>
      <c r="U632" s="25">
        <f t="shared" si="1027"/>
        <v>80</v>
      </c>
      <c r="V632" s="35"/>
      <c r="W632" s="46">
        <v>25</v>
      </c>
      <c r="X632" s="26">
        <f t="shared" si="1028"/>
        <v>0</v>
      </c>
      <c r="Y632" s="26">
        <f t="shared" si="1024"/>
        <v>0</v>
      </c>
      <c r="Z632" s="26">
        <f t="shared" si="1029"/>
        <v>0</v>
      </c>
      <c r="AA632" s="27">
        <f t="shared" ref="AA632:AA642" si="1032">(W632*1*K632)</f>
        <v>2000</v>
      </c>
      <c r="AB632" s="27">
        <f t="shared" si="1030"/>
        <v>0</v>
      </c>
      <c r="AC632" s="65">
        <f t="shared" ref="AC632:AC642" si="1033">0-Y632-AA632</f>
        <v>-2000</v>
      </c>
      <c r="AD632" s="210"/>
      <c r="AE632" s="65">
        <f>AB632-(X632+Z632)</f>
        <v>0</v>
      </c>
      <c r="AF632" s="210"/>
      <c r="AG632" s="8"/>
    </row>
    <row r="633" spans="1:33" x14ac:dyDescent="0.45">
      <c r="A633" s="22">
        <f>A632+14</f>
        <v>44738</v>
      </c>
      <c r="B633" s="15" t="s">
        <v>30</v>
      </c>
      <c r="C633" s="48">
        <f>120*W633</f>
        <v>3900</v>
      </c>
      <c r="D633" s="13">
        <v>80</v>
      </c>
      <c r="E633" s="13">
        <v>4.5</v>
      </c>
      <c r="F633" s="13">
        <v>0</v>
      </c>
      <c r="G633" s="13">
        <v>0</v>
      </c>
      <c r="H633" s="13">
        <v>0</v>
      </c>
      <c r="I633" s="13">
        <v>0</v>
      </c>
      <c r="J633" s="13">
        <v>0</v>
      </c>
      <c r="K633" s="13">
        <v>0</v>
      </c>
      <c r="L633" s="45">
        <v>0</v>
      </c>
      <c r="M633" s="34"/>
      <c r="N633" s="13">
        <v>80</v>
      </c>
      <c r="O633" s="13">
        <v>4.5</v>
      </c>
      <c r="P633" s="13">
        <v>0</v>
      </c>
      <c r="Q633" s="13">
        <v>0</v>
      </c>
      <c r="R633" s="34"/>
      <c r="S633" s="13">
        <f t="shared" si="1026"/>
        <v>84.5</v>
      </c>
      <c r="T633" s="13">
        <f t="shared" si="1031"/>
        <v>84.5</v>
      </c>
      <c r="U633" s="13">
        <f t="shared" si="1027"/>
        <v>0</v>
      </c>
      <c r="V633" s="34"/>
      <c r="W633" s="45">
        <v>32.5</v>
      </c>
      <c r="X633" s="10">
        <f t="shared" si="1028"/>
        <v>2819.375</v>
      </c>
      <c r="Y633" s="10">
        <f t="shared" si="1024"/>
        <v>0</v>
      </c>
      <c r="Z633" s="10">
        <f t="shared" si="1029"/>
        <v>0</v>
      </c>
      <c r="AA633" s="14">
        <f t="shared" si="1032"/>
        <v>0</v>
      </c>
      <c r="AB633" s="14">
        <f t="shared" si="1030"/>
        <v>2819.375</v>
      </c>
      <c r="AC633" s="63">
        <f t="shared" si="1033"/>
        <v>0</v>
      </c>
      <c r="AD633" s="208"/>
      <c r="AE633" s="63">
        <f t="shared" ref="AE633:AE637" si="1034">AB633-(X633+Z633)</f>
        <v>0</v>
      </c>
      <c r="AF633" s="208">
        <f>SUM(AE633:AE643)</f>
        <v>37.625</v>
      </c>
      <c r="AG633" s="8"/>
    </row>
    <row r="634" spans="1:33" x14ac:dyDescent="0.45">
      <c r="A634" s="22">
        <f>A633</f>
        <v>44738</v>
      </c>
      <c r="B634" s="15" t="s">
        <v>4</v>
      </c>
      <c r="C634" s="48">
        <f>80*W634</f>
        <v>2400</v>
      </c>
      <c r="D634" s="13">
        <v>80</v>
      </c>
      <c r="E634" s="13">
        <v>14</v>
      </c>
      <c r="F634" s="13">
        <v>0</v>
      </c>
      <c r="G634" s="13">
        <v>8</v>
      </c>
      <c r="H634" s="13">
        <v>0</v>
      </c>
      <c r="I634" s="13">
        <v>0</v>
      </c>
      <c r="J634" s="13">
        <v>0</v>
      </c>
      <c r="K634" s="13">
        <v>0</v>
      </c>
      <c r="L634" s="45">
        <v>0</v>
      </c>
      <c r="M634" s="34"/>
      <c r="N634" s="13">
        <v>80</v>
      </c>
      <c r="O634" s="13">
        <v>14</v>
      </c>
      <c r="P634" s="13">
        <v>0</v>
      </c>
      <c r="Q634" s="13">
        <v>8</v>
      </c>
      <c r="R634" s="34"/>
      <c r="S634" s="13">
        <f t="shared" si="1026"/>
        <v>102</v>
      </c>
      <c r="T634" s="13">
        <f t="shared" si="1031"/>
        <v>102</v>
      </c>
      <c r="U634" s="13">
        <f>SUM(H634:K634)</f>
        <v>0</v>
      </c>
      <c r="V634" s="34"/>
      <c r="W634" s="45">
        <v>30</v>
      </c>
      <c r="X634" s="10">
        <f t="shared" si="1028"/>
        <v>3270</v>
      </c>
      <c r="Y634" s="10">
        <f t="shared" si="1024"/>
        <v>0</v>
      </c>
      <c r="Z634" s="10">
        <f t="shared" si="1029"/>
        <v>0</v>
      </c>
      <c r="AA634" s="14">
        <f t="shared" si="1032"/>
        <v>0</v>
      </c>
      <c r="AB634" s="14">
        <f t="shared" si="1030"/>
        <v>3270</v>
      </c>
      <c r="AC634" s="63">
        <f t="shared" si="1033"/>
        <v>0</v>
      </c>
      <c r="AD634" s="209"/>
      <c r="AE634" s="63">
        <f t="shared" si="1034"/>
        <v>0</v>
      </c>
      <c r="AF634" s="209"/>
      <c r="AG634" s="8"/>
    </row>
    <row r="635" spans="1:33" x14ac:dyDescent="0.45">
      <c r="A635" s="22">
        <f t="shared" ref="A635:A640" si="1035">A634</f>
        <v>44738</v>
      </c>
      <c r="B635" s="15" t="s">
        <v>5</v>
      </c>
      <c r="C635" s="48">
        <f>120*W635</f>
        <v>3480</v>
      </c>
      <c r="D635" s="13">
        <v>80</v>
      </c>
      <c r="E635" s="13">
        <v>6</v>
      </c>
      <c r="F635" s="13">
        <v>0</v>
      </c>
      <c r="G635" s="13">
        <v>0</v>
      </c>
      <c r="H635" s="13">
        <v>0</v>
      </c>
      <c r="I635" s="13">
        <v>0</v>
      </c>
      <c r="J635" s="13">
        <v>0</v>
      </c>
      <c r="K635" s="13">
        <v>0</v>
      </c>
      <c r="L635" s="45">
        <v>0</v>
      </c>
      <c r="M635" s="34"/>
      <c r="N635" s="13">
        <v>80</v>
      </c>
      <c r="O635" s="13">
        <v>6</v>
      </c>
      <c r="P635" s="13">
        <v>0</v>
      </c>
      <c r="Q635" s="13">
        <v>0</v>
      </c>
      <c r="R635" s="34"/>
      <c r="S635" s="13">
        <f t="shared" si="1026"/>
        <v>86</v>
      </c>
      <c r="T635" s="13">
        <f t="shared" si="1031"/>
        <v>86</v>
      </c>
      <c r="U635" s="13">
        <f t="shared" ref="U635:U637" si="1036">SUM(H635:K635)</f>
        <v>0</v>
      </c>
      <c r="V635" s="34"/>
      <c r="W635" s="45">
        <v>29</v>
      </c>
      <c r="X635" s="10">
        <f t="shared" si="1028"/>
        <v>2581</v>
      </c>
      <c r="Y635" s="10">
        <f t="shared" si="1024"/>
        <v>0</v>
      </c>
      <c r="Z635" s="10">
        <f t="shared" si="1029"/>
        <v>0</v>
      </c>
      <c r="AA635" s="14">
        <f t="shared" si="1032"/>
        <v>0</v>
      </c>
      <c r="AB635" s="14">
        <f t="shared" si="1030"/>
        <v>2581</v>
      </c>
      <c r="AC635" s="63">
        <f t="shared" si="1033"/>
        <v>0</v>
      </c>
      <c r="AD635" s="209"/>
      <c r="AE635" s="63">
        <f t="shared" si="1034"/>
        <v>0</v>
      </c>
      <c r="AF635" s="209"/>
      <c r="AG635" s="8"/>
    </row>
    <row r="636" spans="1:33" x14ac:dyDescent="0.45">
      <c r="A636" s="22">
        <f t="shared" si="1035"/>
        <v>44738</v>
      </c>
      <c r="B636" s="15" t="s">
        <v>6</v>
      </c>
      <c r="C636" s="48">
        <f>80*W636</f>
        <v>2400</v>
      </c>
      <c r="D636" s="13">
        <v>80</v>
      </c>
      <c r="E636" s="13">
        <v>24.5</v>
      </c>
      <c r="F636" s="13">
        <v>12</v>
      </c>
      <c r="G636" s="13">
        <v>4</v>
      </c>
      <c r="H636" s="13">
        <v>0</v>
      </c>
      <c r="I636" s="13">
        <v>0</v>
      </c>
      <c r="J636" s="13">
        <v>0</v>
      </c>
      <c r="K636" s="13">
        <v>0</v>
      </c>
      <c r="L636" s="45">
        <v>0</v>
      </c>
      <c r="M636" s="34"/>
      <c r="N636" s="13">
        <v>80</v>
      </c>
      <c r="O636" s="13">
        <v>24.5</v>
      </c>
      <c r="P636" s="13">
        <v>12</v>
      </c>
      <c r="Q636" s="13">
        <v>4</v>
      </c>
      <c r="R636" s="34"/>
      <c r="S636" s="13">
        <f t="shared" si="1026"/>
        <v>120.5</v>
      </c>
      <c r="T636" s="13">
        <f t="shared" si="1031"/>
        <v>120.5</v>
      </c>
      <c r="U636" s="13">
        <f t="shared" si="1036"/>
        <v>0</v>
      </c>
      <c r="V636" s="34"/>
      <c r="W636" s="45">
        <v>30</v>
      </c>
      <c r="X636" s="10">
        <f>(W636*1*D636)+(W636*1.5*E636)+(W636*2*F636)+(W636*1*G636)</f>
        <v>4342.5</v>
      </c>
      <c r="Y636" s="10">
        <f t="shared" si="1024"/>
        <v>0</v>
      </c>
      <c r="Z636" s="10">
        <f t="shared" si="1029"/>
        <v>0</v>
      </c>
      <c r="AA636" s="14">
        <f t="shared" si="1032"/>
        <v>0</v>
      </c>
      <c r="AB636" s="14">
        <f t="shared" si="1030"/>
        <v>4342.5</v>
      </c>
      <c r="AC636" s="63">
        <f t="shared" si="1033"/>
        <v>0</v>
      </c>
      <c r="AD636" s="209"/>
      <c r="AE636" s="63">
        <f t="shared" si="1034"/>
        <v>0</v>
      </c>
      <c r="AF636" s="209"/>
      <c r="AG636" s="8"/>
    </row>
    <row r="637" spans="1:33" x14ac:dyDescent="0.45">
      <c r="A637" s="22">
        <f>A636</f>
        <v>44738</v>
      </c>
      <c r="B637" s="15" t="s">
        <v>9</v>
      </c>
      <c r="C637" s="48">
        <f>120*W637</f>
        <v>3600</v>
      </c>
      <c r="D637" s="13">
        <v>80</v>
      </c>
      <c r="E637" s="13">
        <v>36.5</v>
      </c>
      <c r="F637" s="13">
        <v>10</v>
      </c>
      <c r="G637" s="13">
        <v>12</v>
      </c>
      <c r="H637" s="13">
        <v>0</v>
      </c>
      <c r="I637" s="13">
        <v>0</v>
      </c>
      <c r="J637" s="13">
        <v>0</v>
      </c>
      <c r="K637" s="13">
        <v>0</v>
      </c>
      <c r="L637" s="45">
        <v>0</v>
      </c>
      <c r="M637" s="34"/>
      <c r="N637" s="13">
        <v>80</v>
      </c>
      <c r="O637" s="13">
        <v>36.5</v>
      </c>
      <c r="P637" s="13">
        <v>10</v>
      </c>
      <c r="Q637" s="13">
        <v>12</v>
      </c>
      <c r="R637" s="34"/>
      <c r="S637" s="13">
        <f t="shared" si="1026"/>
        <v>138.5</v>
      </c>
      <c r="T637" s="13">
        <f t="shared" si="1031"/>
        <v>138.5</v>
      </c>
      <c r="U637" s="13">
        <f t="shared" si="1036"/>
        <v>0</v>
      </c>
      <c r="V637" s="34"/>
      <c r="W637" s="45">
        <v>30</v>
      </c>
      <c r="X637" s="10">
        <f t="shared" ref="X637" si="1037">(W637*1*D637)+(W637*1.5*E637)+(W637*2*F637)+(W637*1*G637)</f>
        <v>5002.5</v>
      </c>
      <c r="Y637" s="10">
        <f>(W637*0*H637)+(W637*1*I637)</f>
        <v>0</v>
      </c>
      <c r="Z637" s="10">
        <f t="shared" si="1029"/>
        <v>0</v>
      </c>
      <c r="AA637" s="14">
        <f t="shared" si="1032"/>
        <v>0</v>
      </c>
      <c r="AB637" s="14">
        <f t="shared" si="1030"/>
        <v>5002.5</v>
      </c>
      <c r="AC637" s="63">
        <f t="shared" si="1033"/>
        <v>0</v>
      </c>
      <c r="AD637" s="209"/>
      <c r="AE637" s="63">
        <f t="shared" si="1034"/>
        <v>0</v>
      </c>
      <c r="AF637" s="209"/>
      <c r="AG637" s="8"/>
    </row>
    <row r="638" spans="1:33" x14ac:dyDescent="0.45">
      <c r="A638" s="22">
        <f t="shared" si="1035"/>
        <v>44738</v>
      </c>
      <c r="B638" s="50" t="s">
        <v>31</v>
      </c>
      <c r="C638" s="48">
        <f>120*W638</f>
        <v>3600</v>
      </c>
      <c r="D638" s="51">
        <v>80</v>
      </c>
      <c r="E638" s="51">
        <v>25</v>
      </c>
      <c r="F638" s="51">
        <v>0</v>
      </c>
      <c r="G638" s="51">
        <v>2</v>
      </c>
      <c r="H638" s="51">
        <v>0</v>
      </c>
      <c r="I638" s="51">
        <v>0</v>
      </c>
      <c r="J638" s="51">
        <v>0</v>
      </c>
      <c r="K638" s="51">
        <v>0</v>
      </c>
      <c r="L638" s="52">
        <v>0</v>
      </c>
      <c r="M638" s="34"/>
      <c r="N638" s="13">
        <v>80</v>
      </c>
      <c r="O638" s="13">
        <v>25.5</v>
      </c>
      <c r="P638" s="13">
        <v>0</v>
      </c>
      <c r="Q638" s="13">
        <v>2</v>
      </c>
      <c r="R638" s="34"/>
      <c r="S638" s="51">
        <f t="shared" ref="S638" si="1038">SUM(D638:G638)</f>
        <v>107</v>
      </c>
      <c r="T638" s="51">
        <f>SUM(N638:Q638)</f>
        <v>107.5</v>
      </c>
      <c r="U638" s="51">
        <f t="shared" ref="U638" si="1039">SUM(H638:K638)</f>
        <v>0</v>
      </c>
      <c r="V638" s="34"/>
      <c r="W638" s="52">
        <v>30</v>
      </c>
      <c r="X638" s="53">
        <f>(W638*1*D638)+(W638*1.5*E638)+(W638*2*F638)+(W638*1*G638)</f>
        <v>3585</v>
      </c>
      <c r="Y638" s="53">
        <f t="shared" ref="Y638:Y647" si="1040">(W638*0*H638)+(W638*1*I638)</f>
        <v>0</v>
      </c>
      <c r="Z638" s="53">
        <f>(W638*1*J638)+L638</f>
        <v>0</v>
      </c>
      <c r="AA638" s="54">
        <f t="shared" si="1032"/>
        <v>0</v>
      </c>
      <c r="AB638" s="54">
        <f>(W638*1*N638)+(W638*1.5*O638)+(W638*2*P638)+(W638*1*Q638)</f>
        <v>3607.5</v>
      </c>
      <c r="AC638" s="64">
        <f t="shared" si="1033"/>
        <v>0</v>
      </c>
      <c r="AD638" s="209"/>
      <c r="AE638" s="64">
        <f t="shared" ref="AE638:AE648" si="1041">AB638-(X638+Z638)</f>
        <v>22.5</v>
      </c>
      <c r="AF638" s="209"/>
      <c r="AG638" s="8"/>
    </row>
    <row r="639" spans="1:33" x14ac:dyDescent="0.45">
      <c r="A639" s="22">
        <f t="shared" si="1035"/>
        <v>44738</v>
      </c>
      <c r="B639" s="50" t="s">
        <v>51</v>
      </c>
      <c r="C639" s="48">
        <f t="shared" ref="C639:C643" si="1042">80*W639</f>
        <v>1920</v>
      </c>
      <c r="D639" s="51">
        <v>80</v>
      </c>
      <c r="E639" s="51">
        <v>12</v>
      </c>
      <c r="F639" s="51">
        <v>0</v>
      </c>
      <c r="G639" s="51">
        <v>0</v>
      </c>
      <c r="H639" s="51">
        <v>0</v>
      </c>
      <c r="I639" s="51">
        <v>0</v>
      </c>
      <c r="J639" s="51">
        <v>0</v>
      </c>
      <c r="K639" s="51">
        <v>0</v>
      </c>
      <c r="L639" s="52">
        <v>0</v>
      </c>
      <c r="M639" s="34"/>
      <c r="N639" s="51">
        <v>80</v>
      </c>
      <c r="O639" s="51">
        <v>12.5</v>
      </c>
      <c r="P639" s="51">
        <v>0</v>
      </c>
      <c r="Q639" s="51">
        <v>0</v>
      </c>
      <c r="R639" s="34"/>
      <c r="S639" s="51">
        <f t="shared" ref="S639:S643" si="1043">SUM(D639:G639)</f>
        <v>92</v>
      </c>
      <c r="T639" s="51">
        <f>SUM(N639:Q639)</f>
        <v>92.5</v>
      </c>
      <c r="U639" s="51">
        <f t="shared" ref="U639:U644" si="1044">SUM(H639:K639)</f>
        <v>0</v>
      </c>
      <c r="V639" s="34"/>
      <c r="W639" s="52">
        <v>24</v>
      </c>
      <c r="X639" s="53">
        <f t="shared" ref="X639:X646" si="1045">(W639*1*D639)+(W639*1.5*E639)+(W639*2*F639)+(W639*1*G639)</f>
        <v>2352</v>
      </c>
      <c r="Y639" s="53">
        <f t="shared" si="1040"/>
        <v>0</v>
      </c>
      <c r="Z639" s="53">
        <f t="shared" ref="Z639:Z648" si="1046">(W639*1*J639)+L639</f>
        <v>0</v>
      </c>
      <c r="AA639" s="54">
        <f t="shared" si="1032"/>
        <v>0</v>
      </c>
      <c r="AB639" s="54">
        <f t="shared" ref="AB639:AB648" si="1047">(W639*1*N639)+(W639*1.5*O639)+(W639*2*P639)+(W639*1*Q639)</f>
        <v>2370</v>
      </c>
      <c r="AC639" s="64">
        <f t="shared" si="1033"/>
        <v>0</v>
      </c>
      <c r="AD639" s="209"/>
      <c r="AE639" s="64">
        <f t="shared" si="1041"/>
        <v>18</v>
      </c>
      <c r="AF639" s="209"/>
      <c r="AG639" s="8"/>
    </row>
    <row r="640" spans="1:33" x14ac:dyDescent="0.45">
      <c r="A640" s="22">
        <f t="shared" si="1035"/>
        <v>44738</v>
      </c>
      <c r="B640" s="50" t="s">
        <v>53</v>
      </c>
      <c r="C640" s="48">
        <f t="shared" si="1042"/>
        <v>1840</v>
      </c>
      <c r="D640" s="51">
        <v>78.5</v>
      </c>
      <c r="E640" s="51">
        <v>10.5</v>
      </c>
      <c r="F640" s="51">
        <v>0</v>
      </c>
      <c r="G640" s="51">
        <v>0</v>
      </c>
      <c r="H640" s="51">
        <v>0</v>
      </c>
      <c r="I640" s="51">
        <v>0</v>
      </c>
      <c r="J640" s="51">
        <v>0</v>
      </c>
      <c r="K640" s="51">
        <v>1.5</v>
      </c>
      <c r="L640" s="52">
        <v>0</v>
      </c>
      <c r="M640" s="34"/>
      <c r="N640" s="51">
        <v>80</v>
      </c>
      <c r="O640" s="51">
        <v>9</v>
      </c>
      <c r="P640" s="51">
        <v>0</v>
      </c>
      <c r="Q640" s="51">
        <v>0</v>
      </c>
      <c r="R640" s="34"/>
      <c r="S640" s="51">
        <f t="shared" si="1043"/>
        <v>89</v>
      </c>
      <c r="T640" s="51">
        <f>SUM(N640:Q640)</f>
        <v>89</v>
      </c>
      <c r="U640" s="51">
        <f t="shared" si="1044"/>
        <v>1.5</v>
      </c>
      <c r="V640" s="34"/>
      <c r="W640" s="52">
        <v>23</v>
      </c>
      <c r="X640" s="53">
        <f t="shared" si="1045"/>
        <v>2167.75</v>
      </c>
      <c r="Y640" s="53">
        <f t="shared" si="1040"/>
        <v>0</v>
      </c>
      <c r="Z640" s="53">
        <f t="shared" si="1046"/>
        <v>0</v>
      </c>
      <c r="AA640" s="54">
        <f t="shared" si="1032"/>
        <v>34.5</v>
      </c>
      <c r="AB640" s="54">
        <f t="shared" si="1047"/>
        <v>2150.5</v>
      </c>
      <c r="AC640" s="64">
        <f t="shared" si="1033"/>
        <v>-34.5</v>
      </c>
      <c r="AD640" s="209"/>
      <c r="AE640" s="64">
        <f t="shared" si="1041"/>
        <v>-17.25</v>
      </c>
      <c r="AF640" s="209"/>
      <c r="AG640" s="8"/>
    </row>
    <row r="641" spans="1:33" x14ac:dyDescent="0.45">
      <c r="A641" s="22">
        <f>A639</f>
        <v>44738</v>
      </c>
      <c r="B641" s="50" t="s">
        <v>54</v>
      </c>
      <c r="C641" s="48">
        <f t="shared" si="1042"/>
        <v>1840</v>
      </c>
      <c r="D641" s="51">
        <v>79</v>
      </c>
      <c r="E641" s="51">
        <v>17.5</v>
      </c>
      <c r="F641" s="51">
        <v>12</v>
      </c>
      <c r="G641" s="51">
        <v>9.5</v>
      </c>
      <c r="H641" s="51">
        <v>0</v>
      </c>
      <c r="I641" s="51">
        <v>0</v>
      </c>
      <c r="J641" s="51">
        <v>0</v>
      </c>
      <c r="K641" s="51">
        <v>1</v>
      </c>
      <c r="L641" s="52">
        <v>0</v>
      </c>
      <c r="M641" s="34"/>
      <c r="N641" s="51">
        <v>80</v>
      </c>
      <c r="O641" s="51">
        <v>17.25</v>
      </c>
      <c r="P641" s="51">
        <v>12</v>
      </c>
      <c r="Q641" s="51">
        <v>9.5</v>
      </c>
      <c r="R641" s="34"/>
      <c r="S641" s="51">
        <f t="shared" si="1043"/>
        <v>118</v>
      </c>
      <c r="T641" s="51">
        <f t="shared" ref="T641:T643" si="1048">SUM(N641:Q641)</f>
        <v>118.75</v>
      </c>
      <c r="U641" s="51">
        <f t="shared" si="1044"/>
        <v>1</v>
      </c>
      <c r="V641" s="34"/>
      <c r="W641" s="52">
        <v>23</v>
      </c>
      <c r="X641" s="53">
        <f t="shared" si="1045"/>
        <v>3191.25</v>
      </c>
      <c r="Y641" s="53">
        <f t="shared" si="1040"/>
        <v>0</v>
      </c>
      <c r="Z641" s="53">
        <f t="shared" si="1046"/>
        <v>0</v>
      </c>
      <c r="AA641" s="54">
        <f t="shared" si="1032"/>
        <v>23</v>
      </c>
      <c r="AB641" s="54">
        <f t="shared" si="1047"/>
        <v>3205.625</v>
      </c>
      <c r="AC641" s="64">
        <f t="shared" si="1033"/>
        <v>-23</v>
      </c>
      <c r="AD641" s="209"/>
      <c r="AE641" s="64">
        <f t="shared" si="1041"/>
        <v>14.375</v>
      </c>
      <c r="AF641" s="209"/>
      <c r="AG641" s="8"/>
    </row>
    <row r="642" spans="1:33" x14ac:dyDescent="0.45">
      <c r="A642" s="22">
        <f>A639</f>
        <v>44738</v>
      </c>
      <c r="B642" s="50" t="s">
        <v>62</v>
      </c>
      <c r="C642" s="48">
        <f t="shared" ref="C642" si="1049">80*W642</f>
        <v>2000</v>
      </c>
      <c r="D642" s="51">
        <v>40</v>
      </c>
      <c r="E642" s="51">
        <v>4.5</v>
      </c>
      <c r="F642" s="51">
        <v>0</v>
      </c>
      <c r="G642" s="51">
        <v>0</v>
      </c>
      <c r="H642" s="51">
        <v>0</v>
      </c>
      <c r="I642" s="51">
        <v>0</v>
      </c>
      <c r="J642" s="51">
        <v>0</v>
      </c>
      <c r="K642" s="51">
        <v>40</v>
      </c>
      <c r="L642" s="52">
        <v>0</v>
      </c>
      <c r="M642" s="34"/>
      <c r="N642" s="51">
        <v>40</v>
      </c>
      <c r="O642" s="51">
        <v>4.5</v>
      </c>
      <c r="P642" s="51">
        <v>0</v>
      </c>
      <c r="Q642" s="51">
        <v>0</v>
      </c>
      <c r="R642" s="34"/>
      <c r="S642" s="51">
        <f t="shared" ref="S642" si="1050">SUM(D642:G642)</f>
        <v>44.5</v>
      </c>
      <c r="T642" s="51">
        <f t="shared" ref="T642" si="1051">SUM(N642:Q642)</f>
        <v>44.5</v>
      </c>
      <c r="U642" s="51">
        <f t="shared" ref="U642" si="1052">SUM(H642:K642)</f>
        <v>40</v>
      </c>
      <c r="V642" s="34"/>
      <c r="W642" s="52">
        <v>25</v>
      </c>
      <c r="X642" s="53">
        <f t="shared" ref="X642" si="1053">(W642*1*D642)+(W642*1.5*E642)+(W642*2*F642)+(W642*1*G642)</f>
        <v>1168.75</v>
      </c>
      <c r="Y642" s="53">
        <f t="shared" ref="Y642" si="1054">(W642*0*H642)+(W642*1*I642)</f>
        <v>0</v>
      </c>
      <c r="Z642" s="53">
        <f t="shared" ref="Z642" si="1055">(W642*1*J642)+L642</f>
        <v>0</v>
      </c>
      <c r="AA642" s="54">
        <f t="shared" si="1032"/>
        <v>1000</v>
      </c>
      <c r="AB642" s="54">
        <f t="shared" ref="AB642" si="1056">(W642*1*N642)+(W642*1.5*O642)+(W642*2*P642)+(W642*1*Q642)</f>
        <v>1168.75</v>
      </c>
      <c r="AC642" s="64">
        <f t="shared" si="1033"/>
        <v>-1000</v>
      </c>
      <c r="AD642" s="209"/>
      <c r="AE642" s="64">
        <f t="shared" si="1041"/>
        <v>0</v>
      </c>
      <c r="AF642" s="209"/>
      <c r="AG642" s="8"/>
    </row>
    <row r="643" spans="1:33" ht="14.65" thickBot="1" x14ac:dyDescent="0.5">
      <c r="A643" s="23">
        <f>A640</f>
        <v>44738</v>
      </c>
      <c r="B643" s="24" t="s">
        <v>63</v>
      </c>
      <c r="C643" s="49">
        <f t="shared" si="1042"/>
        <v>1672</v>
      </c>
      <c r="D643" s="25">
        <v>0</v>
      </c>
      <c r="E643" s="25">
        <v>0</v>
      </c>
      <c r="F643" s="25">
        <v>0</v>
      </c>
      <c r="G643" s="25">
        <v>0</v>
      </c>
      <c r="H643" s="25">
        <v>0</v>
      </c>
      <c r="I643" s="25">
        <v>0</v>
      </c>
      <c r="J643" s="25">
        <v>0</v>
      </c>
      <c r="K643" s="25">
        <v>72</v>
      </c>
      <c r="L643" s="46">
        <v>0</v>
      </c>
      <c r="M643" s="35"/>
      <c r="N643" s="25">
        <v>0</v>
      </c>
      <c r="O643" s="25">
        <v>0</v>
      </c>
      <c r="P643" s="25">
        <v>0</v>
      </c>
      <c r="Q643" s="25">
        <v>0</v>
      </c>
      <c r="R643" s="35"/>
      <c r="S643" s="25">
        <f t="shared" si="1043"/>
        <v>0</v>
      </c>
      <c r="T643" s="25">
        <f t="shared" si="1048"/>
        <v>0</v>
      </c>
      <c r="U643" s="25">
        <f t="shared" si="1044"/>
        <v>72</v>
      </c>
      <c r="V643" s="35"/>
      <c r="W643" s="46">
        <v>20.9</v>
      </c>
      <c r="X643" s="26">
        <f t="shared" si="1045"/>
        <v>0</v>
      </c>
      <c r="Y643" s="26">
        <f t="shared" si="1040"/>
        <v>0</v>
      </c>
      <c r="Z643" s="26">
        <f t="shared" si="1046"/>
        <v>0</v>
      </c>
      <c r="AA643" s="27">
        <f t="shared" ref="AA643:AA653" si="1057">(W643*1*K643)</f>
        <v>1504.8</v>
      </c>
      <c r="AB643" s="27">
        <f t="shared" si="1047"/>
        <v>0</v>
      </c>
      <c r="AC643" s="65">
        <f t="shared" ref="AC643:AC653" si="1058">0-Y643-AA643</f>
        <v>-1504.8</v>
      </c>
      <c r="AD643" s="210"/>
      <c r="AE643" s="65">
        <f t="shared" si="1041"/>
        <v>0</v>
      </c>
      <c r="AF643" s="210"/>
      <c r="AG643" s="8"/>
    </row>
    <row r="644" spans="1:33" x14ac:dyDescent="0.45">
      <c r="A644" s="22">
        <f>A643+14</f>
        <v>44752</v>
      </c>
      <c r="B644" s="15" t="s">
        <v>30</v>
      </c>
      <c r="C644" s="48">
        <f>120*W644</f>
        <v>3900</v>
      </c>
      <c r="D644" s="13">
        <v>72</v>
      </c>
      <c r="E644" s="13">
        <v>19.5</v>
      </c>
      <c r="F644" s="13">
        <v>12</v>
      </c>
      <c r="G644" s="13">
        <v>0</v>
      </c>
      <c r="H644" s="13">
        <v>0</v>
      </c>
      <c r="I644" s="13">
        <v>0</v>
      </c>
      <c r="J644" s="13">
        <v>8</v>
      </c>
      <c r="K644" s="13">
        <v>0</v>
      </c>
      <c r="L644" s="45">
        <v>0</v>
      </c>
      <c r="M644" s="34"/>
      <c r="N644" s="13">
        <v>72</v>
      </c>
      <c r="O644" s="13">
        <v>19.5</v>
      </c>
      <c r="P644" s="13">
        <v>12</v>
      </c>
      <c r="Q644" s="13">
        <v>0</v>
      </c>
      <c r="R644" s="34"/>
      <c r="S644" s="13">
        <f t="shared" ref="S644:S648" si="1059">SUM(D644:G644)</f>
        <v>103.5</v>
      </c>
      <c r="T644" s="13">
        <f t="shared" ref="T644:T648" si="1060">SUM(N644:Q644)</f>
        <v>103.5</v>
      </c>
      <c r="U644" s="13">
        <f t="shared" si="1044"/>
        <v>8</v>
      </c>
      <c r="V644" s="34"/>
      <c r="W644" s="45">
        <v>32.5</v>
      </c>
      <c r="X644" s="10">
        <f t="shared" si="1045"/>
        <v>4070.625</v>
      </c>
      <c r="Y644" s="10">
        <f t="shared" si="1040"/>
        <v>0</v>
      </c>
      <c r="Z644" s="10">
        <f t="shared" si="1046"/>
        <v>260</v>
      </c>
      <c r="AA644" s="14">
        <f t="shared" si="1057"/>
        <v>0</v>
      </c>
      <c r="AB644" s="14">
        <f t="shared" si="1047"/>
        <v>4070.625</v>
      </c>
      <c r="AC644" s="63">
        <f t="shared" si="1058"/>
        <v>0</v>
      </c>
      <c r="AD644" s="208"/>
      <c r="AE644" s="63">
        <f t="shared" si="1041"/>
        <v>-260</v>
      </c>
      <c r="AF644" s="208">
        <f>SUM(AE644:AE654)</f>
        <v>-2078.4499999999998</v>
      </c>
      <c r="AG644" s="8"/>
    </row>
    <row r="645" spans="1:33" x14ac:dyDescent="0.45">
      <c r="A645" s="22">
        <f>A644</f>
        <v>44752</v>
      </c>
      <c r="B645" s="15" t="s">
        <v>4</v>
      </c>
      <c r="C645" s="48">
        <f>80*W645</f>
        <v>2400</v>
      </c>
      <c r="D645" s="13">
        <v>71.5</v>
      </c>
      <c r="E645" s="13">
        <v>21.25</v>
      </c>
      <c r="F645" s="13">
        <v>0</v>
      </c>
      <c r="G645" s="13">
        <v>15</v>
      </c>
      <c r="H645" s="13">
        <v>0</v>
      </c>
      <c r="I645" s="13">
        <v>0</v>
      </c>
      <c r="J645" s="13">
        <v>8</v>
      </c>
      <c r="K645" s="13">
        <v>0</v>
      </c>
      <c r="L645" s="45">
        <v>0</v>
      </c>
      <c r="M645" s="34"/>
      <c r="N645" s="13">
        <v>71</v>
      </c>
      <c r="O645" s="13">
        <v>17</v>
      </c>
      <c r="P645" s="13">
        <v>5</v>
      </c>
      <c r="Q645" s="13">
        <v>15</v>
      </c>
      <c r="R645" s="34"/>
      <c r="S645" s="13">
        <f t="shared" si="1059"/>
        <v>107.75</v>
      </c>
      <c r="T645" s="13">
        <f t="shared" si="1060"/>
        <v>108</v>
      </c>
      <c r="U645" s="13">
        <f>SUM(H645:K645)</f>
        <v>8</v>
      </c>
      <c r="V645" s="34"/>
      <c r="W645" s="45">
        <v>30</v>
      </c>
      <c r="X645" s="10">
        <f t="shared" si="1045"/>
        <v>3551.25</v>
      </c>
      <c r="Y645" s="10">
        <f t="shared" si="1040"/>
        <v>0</v>
      </c>
      <c r="Z645" s="10">
        <f t="shared" si="1046"/>
        <v>240</v>
      </c>
      <c r="AA645" s="14">
        <f t="shared" si="1057"/>
        <v>0</v>
      </c>
      <c r="AB645" s="14">
        <f t="shared" si="1047"/>
        <v>3645</v>
      </c>
      <c r="AC645" s="63">
        <f t="shared" si="1058"/>
        <v>0</v>
      </c>
      <c r="AD645" s="209"/>
      <c r="AE645" s="63">
        <f t="shared" si="1041"/>
        <v>-146.25</v>
      </c>
      <c r="AF645" s="209"/>
      <c r="AG645" s="8"/>
    </row>
    <row r="646" spans="1:33" x14ac:dyDescent="0.45">
      <c r="A646" s="22">
        <f t="shared" ref="A646:A651" si="1061">A645</f>
        <v>44752</v>
      </c>
      <c r="B646" s="15" t="s">
        <v>5</v>
      </c>
      <c r="C646" s="48">
        <f>120*W646</f>
        <v>3480</v>
      </c>
      <c r="D646" s="13">
        <v>72</v>
      </c>
      <c r="E646" s="13">
        <v>20.25</v>
      </c>
      <c r="F646" s="13">
        <v>12</v>
      </c>
      <c r="G646" s="13">
        <v>0</v>
      </c>
      <c r="H646" s="13">
        <v>0</v>
      </c>
      <c r="I646" s="13">
        <v>0</v>
      </c>
      <c r="J646" s="13">
        <v>8</v>
      </c>
      <c r="K646" s="13">
        <v>0</v>
      </c>
      <c r="L646" s="45">
        <v>0</v>
      </c>
      <c r="M646" s="34"/>
      <c r="N646" s="13">
        <v>72</v>
      </c>
      <c r="O646" s="13">
        <v>20.25</v>
      </c>
      <c r="P646" s="13">
        <v>12</v>
      </c>
      <c r="Q646" s="13">
        <v>0</v>
      </c>
      <c r="R646" s="34"/>
      <c r="S646" s="13">
        <f t="shared" si="1059"/>
        <v>104.25</v>
      </c>
      <c r="T646" s="13">
        <f t="shared" si="1060"/>
        <v>104.25</v>
      </c>
      <c r="U646" s="13">
        <f t="shared" ref="U646:U648" si="1062">SUM(H646:K646)</f>
        <v>8</v>
      </c>
      <c r="V646" s="34"/>
      <c r="W646" s="45">
        <v>29</v>
      </c>
      <c r="X646" s="10">
        <f t="shared" si="1045"/>
        <v>3664.875</v>
      </c>
      <c r="Y646" s="10">
        <f t="shared" si="1040"/>
        <v>0</v>
      </c>
      <c r="Z646" s="10">
        <f t="shared" si="1046"/>
        <v>232</v>
      </c>
      <c r="AA646" s="14">
        <f t="shared" si="1057"/>
        <v>0</v>
      </c>
      <c r="AB646" s="14">
        <f t="shared" si="1047"/>
        <v>3664.875</v>
      </c>
      <c r="AC646" s="63">
        <f t="shared" si="1058"/>
        <v>0</v>
      </c>
      <c r="AD646" s="209"/>
      <c r="AE646" s="63">
        <f t="shared" si="1041"/>
        <v>-232</v>
      </c>
      <c r="AF646" s="209"/>
      <c r="AG646" s="8"/>
    </row>
    <row r="647" spans="1:33" x14ac:dyDescent="0.45">
      <c r="A647" s="22">
        <f t="shared" si="1061"/>
        <v>44752</v>
      </c>
      <c r="B647" s="15" t="s">
        <v>6</v>
      </c>
      <c r="C647" s="48">
        <f>80*W647</f>
        <v>2400</v>
      </c>
      <c r="D647" s="13">
        <v>55.75</v>
      </c>
      <c r="E647" s="13">
        <v>9.25</v>
      </c>
      <c r="F647" s="13">
        <v>12</v>
      </c>
      <c r="G647" s="13">
        <v>5</v>
      </c>
      <c r="H647" s="13">
        <v>0</v>
      </c>
      <c r="I647" s="13">
        <v>0</v>
      </c>
      <c r="J647" s="13">
        <v>8</v>
      </c>
      <c r="K647" s="13">
        <v>0</v>
      </c>
      <c r="L647" s="45">
        <v>0</v>
      </c>
      <c r="M647" s="34"/>
      <c r="N647" s="13">
        <v>55.75</v>
      </c>
      <c r="O647" s="13">
        <v>9.75</v>
      </c>
      <c r="P647" s="13">
        <v>12</v>
      </c>
      <c r="Q647" s="13">
        <v>4.5</v>
      </c>
      <c r="R647" s="34"/>
      <c r="S647" s="13">
        <f t="shared" si="1059"/>
        <v>82</v>
      </c>
      <c r="T647" s="13">
        <f t="shared" si="1060"/>
        <v>82</v>
      </c>
      <c r="U647" s="13">
        <f t="shared" si="1062"/>
        <v>8</v>
      </c>
      <c r="V647" s="34"/>
      <c r="W647" s="45">
        <v>30</v>
      </c>
      <c r="X647" s="10">
        <f>(W647*1*D647)+(W647*1.5*E647)+(W647*2*F647)+(W647*1*G647)</f>
        <v>2958.75</v>
      </c>
      <c r="Y647" s="10">
        <f t="shared" si="1040"/>
        <v>0</v>
      </c>
      <c r="Z647" s="10">
        <f t="shared" si="1046"/>
        <v>240</v>
      </c>
      <c r="AA647" s="14">
        <f t="shared" si="1057"/>
        <v>0</v>
      </c>
      <c r="AB647" s="14">
        <f t="shared" si="1047"/>
        <v>2966.25</v>
      </c>
      <c r="AC647" s="63">
        <f t="shared" si="1058"/>
        <v>0</v>
      </c>
      <c r="AD647" s="209"/>
      <c r="AE647" s="63">
        <f t="shared" si="1041"/>
        <v>-232.5</v>
      </c>
      <c r="AF647" s="209"/>
      <c r="AG647" s="8"/>
    </row>
    <row r="648" spans="1:33" x14ac:dyDescent="0.45">
      <c r="A648" s="22">
        <f>A647</f>
        <v>44752</v>
      </c>
      <c r="B648" s="15" t="s">
        <v>9</v>
      </c>
      <c r="C648" s="48">
        <f>120*W648</f>
        <v>3600</v>
      </c>
      <c r="D648" s="13">
        <v>72</v>
      </c>
      <c r="E648" s="13">
        <v>37.5</v>
      </c>
      <c r="F648" s="13">
        <v>7.5</v>
      </c>
      <c r="G648" s="13">
        <v>12</v>
      </c>
      <c r="H648" s="13">
        <v>0</v>
      </c>
      <c r="I648" s="13">
        <v>0</v>
      </c>
      <c r="J648" s="13">
        <v>8</v>
      </c>
      <c r="K648" s="13">
        <v>0</v>
      </c>
      <c r="L648" s="45">
        <v>0</v>
      </c>
      <c r="M648" s="34"/>
      <c r="N648" s="13">
        <v>72</v>
      </c>
      <c r="O648" s="13">
        <v>27.5</v>
      </c>
      <c r="P648" s="13">
        <v>18</v>
      </c>
      <c r="Q648" s="13">
        <v>12</v>
      </c>
      <c r="R648" s="34"/>
      <c r="S648" s="13">
        <f t="shared" si="1059"/>
        <v>129</v>
      </c>
      <c r="T648" s="13">
        <f t="shared" si="1060"/>
        <v>129.5</v>
      </c>
      <c r="U648" s="13">
        <f t="shared" si="1062"/>
        <v>8</v>
      </c>
      <c r="V648" s="34"/>
      <c r="W648" s="45">
        <v>30</v>
      </c>
      <c r="X648" s="10">
        <f t="shared" ref="X648" si="1063">(W648*1*D648)+(W648*1.5*E648)+(W648*2*F648)+(W648*1*G648)</f>
        <v>4657.5</v>
      </c>
      <c r="Y648" s="10">
        <f>(W648*0*H648)+(W648*1*I648)</f>
        <v>0</v>
      </c>
      <c r="Z648" s="10">
        <f t="shared" si="1046"/>
        <v>240</v>
      </c>
      <c r="AA648" s="14">
        <f t="shared" si="1057"/>
        <v>0</v>
      </c>
      <c r="AB648" s="14">
        <f t="shared" si="1047"/>
        <v>4837.5</v>
      </c>
      <c r="AC648" s="63">
        <f t="shared" si="1058"/>
        <v>0</v>
      </c>
      <c r="AD648" s="209"/>
      <c r="AE648" s="63">
        <f t="shared" si="1041"/>
        <v>-60</v>
      </c>
      <c r="AF648" s="209"/>
      <c r="AG648" s="8"/>
    </row>
    <row r="649" spans="1:33" x14ac:dyDescent="0.45">
      <c r="A649" s="22">
        <f t="shared" si="1061"/>
        <v>44752</v>
      </c>
      <c r="B649" s="50" t="s">
        <v>31</v>
      </c>
      <c r="C649" s="48">
        <f>120*W649</f>
        <v>3600</v>
      </c>
      <c r="D649" s="51">
        <v>40</v>
      </c>
      <c r="E649" s="51">
        <v>20</v>
      </c>
      <c r="F649" s="51">
        <v>11</v>
      </c>
      <c r="G649" s="51">
        <v>5</v>
      </c>
      <c r="H649" s="51">
        <v>0</v>
      </c>
      <c r="I649" s="51">
        <v>32</v>
      </c>
      <c r="J649" s="51">
        <v>8</v>
      </c>
      <c r="K649" s="51">
        <v>0</v>
      </c>
      <c r="L649" s="52">
        <v>0</v>
      </c>
      <c r="M649" s="34"/>
      <c r="N649" s="13">
        <v>40</v>
      </c>
      <c r="O649" s="13">
        <v>16.5</v>
      </c>
      <c r="P649" s="13">
        <v>13</v>
      </c>
      <c r="Q649" s="13">
        <v>7.5</v>
      </c>
      <c r="R649" s="34"/>
      <c r="S649" s="51">
        <f t="shared" ref="S649" si="1064">SUM(D649:G649)</f>
        <v>76</v>
      </c>
      <c r="T649" s="51">
        <f>SUM(N649:Q649)</f>
        <v>77</v>
      </c>
      <c r="U649" s="51">
        <f t="shared" ref="U649" si="1065">SUM(H649:K649)</f>
        <v>40</v>
      </c>
      <c r="V649" s="34"/>
      <c r="W649" s="52">
        <v>30</v>
      </c>
      <c r="X649" s="53">
        <f>(W649*1*D649)+(W649*1.5*E649)+(W649*2*F649)+(W649*1*G649)</f>
        <v>2910</v>
      </c>
      <c r="Y649" s="53">
        <f t="shared" ref="Y649:Y658" si="1066">(W649*0*H649)+(W649*1*I649)</f>
        <v>960</v>
      </c>
      <c r="Z649" s="53">
        <f>(W649*1*J649)+L649</f>
        <v>240</v>
      </c>
      <c r="AA649" s="54">
        <f t="shared" si="1057"/>
        <v>0</v>
      </c>
      <c r="AB649" s="54">
        <f>(W649*1*N649)+(W649*1.5*O649)+(W649*2*P649)+(W649*1*Q649)</f>
        <v>2947.5</v>
      </c>
      <c r="AC649" s="64">
        <f t="shared" si="1058"/>
        <v>-960</v>
      </c>
      <c r="AD649" s="209"/>
      <c r="AE649" s="64">
        <f t="shared" ref="AE649:AE659" si="1067">AB649-(X649+Z649)</f>
        <v>-202.5</v>
      </c>
      <c r="AF649" s="209"/>
      <c r="AG649" s="8"/>
    </row>
    <row r="650" spans="1:33" x14ac:dyDescent="0.45">
      <c r="A650" s="22">
        <f t="shared" si="1061"/>
        <v>44752</v>
      </c>
      <c r="B650" s="50" t="s">
        <v>51</v>
      </c>
      <c r="C650" s="48">
        <f t="shared" ref="C650:C654" si="1068">80*W650</f>
        <v>1920</v>
      </c>
      <c r="D650" s="51">
        <v>70.25</v>
      </c>
      <c r="E650" s="51">
        <v>10.75</v>
      </c>
      <c r="F650" s="51">
        <v>0</v>
      </c>
      <c r="G650" s="51">
        <v>20</v>
      </c>
      <c r="H650" s="51">
        <v>0</v>
      </c>
      <c r="I650" s="51">
        <v>0</v>
      </c>
      <c r="J650" s="51">
        <v>8</v>
      </c>
      <c r="K650" s="51">
        <v>0</v>
      </c>
      <c r="L650" s="52">
        <v>0</v>
      </c>
      <c r="M650" s="34"/>
      <c r="N650" s="51">
        <v>72</v>
      </c>
      <c r="O650" s="51">
        <v>8.75</v>
      </c>
      <c r="P650" s="51">
        <v>0.25</v>
      </c>
      <c r="Q650" s="51">
        <v>20</v>
      </c>
      <c r="R650" s="34"/>
      <c r="S650" s="51">
        <f t="shared" ref="S650:S652" si="1069">SUM(D650:G650)</f>
        <v>101</v>
      </c>
      <c r="T650" s="51">
        <f>SUM(N650:Q650)</f>
        <v>101</v>
      </c>
      <c r="U650" s="51">
        <f t="shared" ref="U650:U652" si="1070">SUM(H650:K650)</f>
        <v>8</v>
      </c>
      <c r="V650" s="34"/>
      <c r="W650" s="52">
        <v>24</v>
      </c>
      <c r="X650" s="53">
        <f t="shared" ref="X650:X657" si="1071">(W650*1*D650)+(W650*1.5*E650)+(W650*2*F650)+(W650*1*G650)</f>
        <v>2553</v>
      </c>
      <c r="Y650" s="53">
        <f t="shared" si="1066"/>
        <v>0</v>
      </c>
      <c r="Z650" s="53">
        <f t="shared" ref="Z650:Z659" si="1072">(W650*1*J650)+L650</f>
        <v>192</v>
      </c>
      <c r="AA650" s="54">
        <f t="shared" si="1057"/>
        <v>0</v>
      </c>
      <c r="AB650" s="54">
        <f t="shared" ref="AB650:AB659" si="1073">(W650*1*N650)+(W650*1.5*O650)+(W650*2*P650)+(W650*1*Q650)</f>
        <v>2535</v>
      </c>
      <c r="AC650" s="64">
        <f t="shared" si="1058"/>
        <v>0</v>
      </c>
      <c r="AD650" s="209"/>
      <c r="AE650" s="64">
        <f t="shared" si="1067"/>
        <v>-210</v>
      </c>
      <c r="AF650" s="209"/>
      <c r="AG650" s="8"/>
    </row>
    <row r="651" spans="1:33" x14ac:dyDescent="0.45">
      <c r="A651" s="22">
        <f t="shared" si="1061"/>
        <v>44752</v>
      </c>
      <c r="B651" s="50" t="s">
        <v>53</v>
      </c>
      <c r="C651" s="48">
        <f t="shared" si="1068"/>
        <v>1840</v>
      </c>
      <c r="D651" s="51">
        <v>72</v>
      </c>
      <c r="E651" s="51">
        <v>21.25</v>
      </c>
      <c r="F651" s="51">
        <v>12</v>
      </c>
      <c r="G651" s="51">
        <v>0</v>
      </c>
      <c r="H651" s="51">
        <v>0</v>
      </c>
      <c r="I651" s="51">
        <v>0</v>
      </c>
      <c r="J651" s="51">
        <v>8</v>
      </c>
      <c r="K651" s="51">
        <v>0</v>
      </c>
      <c r="L651" s="52">
        <v>0</v>
      </c>
      <c r="M651" s="34"/>
      <c r="N651" s="51">
        <v>72</v>
      </c>
      <c r="O651" s="51">
        <v>21.25</v>
      </c>
      <c r="P651" s="51">
        <v>12</v>
      </c>
      <c r="Q651" s="51">
        <v>0</v>
      </c>
      <c r="R651" s="34"/>
      <c r="S651" s="51">
        <f t="shared" si="1069"/>
        <v>105.25</v>
      </c>
      <c r="T651" s="51">
        <f>SUM(N651:Q651)</f>
        <v>105.25</v>
      </c>
      <c r="U651" s="51">
        <f t="shared" si="1070"/>
        <v>8</v>
      </c>
      <c r="V651" s="34"/>
      <c r="W651" s="52">
        <v>23</v>
      </c>
      <c r="X651" s="53">
        <f t="shared" si="1071"/>
        <v>2941.125</v>
      </c>
      <c r="Y651" s="53">
        <f t="shared" si="1066"/>
        <v>0</v>
      </c>
      <c r="Z651" s="53">
        <f t="shared" si="1072"/>
        <v>184</v>
      </c>
      <c r="AA651" s="54">
        <f t="shared" si="1057"/>
        <v>0</v>
      </c>
      <c r="AB651" s="54">
        <f t="shared" si="1073"/>
        <v>2941.125</v>
      </c>
      <c r="AC651" s="64">
        <f t="shared" si="1058"/>
        <v>0</v>
      </c>
      <c r="AD651" s="209"/>
      <c r="AE651" s="64">
        <f t="shared" si="1067"/>
        <v>-184</v>
      </c>
      <c r="AF651" s="209"/>
      <c r="AG651" s="8"/>
    </row>
    <row r="652" spans="1:33" x14ac:dyDescent="0.45">
      <c r="A652" s="22">
        <f>A650</f>
        <v>44752</v>
      </c>
      <c r="B652" s="50" t="s">
        <v>54</v>
      </c>
      <c r="C652" s="48">
        <f t="shared" si="1068"/>
        <v>1840</v>
      </c>
      <c r="D652" s="51">
        <v>72</v>
      </c>
      <c r="E652" s="51">
        <v>13.25</v>
      </c>
      <c r="F652" s="51">
        <v>0</v>
      </c>
      <c r="G652" s="51">
        <v>0</v>
      </c>
      <c r="H652" s="51">
        <v>0</v>
      </c>
      <c r="I652" s="51">
        <v>0</v>
      </c>
      <c r="J652" s="51">
        <v>8</v>
      </c>
      <c r="K652" s="51">
        <v>0</v>
      </c>
      <c r="L652" s="52">
        <v>0</v>
      </c>
      <c r="M652" s="34"/>
      <c r="N652" s="51">
        <v>72</v>
      </c>
      <c r="O652" s="51">
        <v>13.25</v>
      </c>
      <c r="P652" s="51">
        <v>0</v>
      </c>
      <c r="Q652" s="51">
        <v>0</v>
      </c>
      <c r="R652" s="34"/>
      <c r="S652" s="51">
        <f t="shared" si="1069"/>
        <v>85.25</v>
      </c>
      <c r="T652" s="51">
        <f t="shared" ref="T652:T659" si="1074">SUM(N652:Q652)</f>
        <v>85.25</v>
      </c>
      <c r="U652" s="51">
        <f t="shared" si="1070"/>
        <v>8</v>
      </c>
      <c r="V652" s="34"/>
      <c r="W652" s="52">
        <v>23</v>
      </c>
      <c r="X652" s="53">
        <f t="shared" si="1071"/>
        <v>2113.125</v>
      </c>
      <c r="Y652" s="53">
        <f t="shared" si="1066"/>
        <v>0</v>
      </c>
      <c r="Z652" s="53">
        <f t="shared" si="1072"/>
        <v>184</v>
      </c>
      <c r="AA652" s="54">
        <f t="shared" si="1057"/>
        <v>0</v>
      </c>
      <c r="AB652" s="54">
        <f t="shared" si="1073"/>
        <v>2113.125</v>
      </c>
      <c r="AC652" s="64">
        <f t="shared" si="1058"/>
        <v>0</v>
      </c>
      <c r="AD652" s="209"/>
      <c r="AE652" s="64">
        <f t="shared" si="1067"/>
        <v>-184</v>
      </c>
      <c r="AF652" s="209"/>
      <c r="AG652" s="8"/>
    </row>
    <row r="653" spans="1:33" x14ac:dyDescent="0.45">
      <c r="A653" s="22">
        <f>A650</f>
        <v>44752</v>
      </c>
      <c r="B653" s="50" t="s">
        <v>62</v>
      </c>
      <c r="C653" s="48">
        <f t="shared" si="1068"/>
        <v>2000</v>
      </c>
      <c r="D653" s="51">
        <v>72</v>
      </c>
      <c r="E653" s="51">
        <v>13</v>
      </c>
      <c r="F653" s="51">
        <v>0</v>
      </c>
      <c r="G653" s="51">
        <v>0</v>
      </c>
      <c r="H653" s="51">
        <v>0</v>
      </c>
      <c r="I653" s="51">
        <v>0</v>
      </c>
      <c r="J653" s="51">
        <v>8</v>
      </c>
      <c r="K653" s="51">
        <v>0</v>
      </c>
      <c r="L653" s="52">
        <v>0</v>
      </c>
      <c r="M653" s="34"/>
      <c r="N653" s="51">
        <v>72</v>
      </c>
      <c r="O653" s="51">
        <v>13</v>
      </c>
      <c r="P653" s="51">
        <v>0</v>
      </c>
      <c r="Q653" s="51">
        <v>0</v>
      </c>
      <c r="R653" s="34"/>
      <c r="S653" s="51">
        <f t="shared" ref="S653" si="1075">SUM(D653:G653)</f>
        <v>85</v>
      </c>
      <c r="T653" s="51">
        <f t="shared" si="1074"/>
        <v>85</v>
      </c>
      <c r="U653" s="51">
        <f t="shared" ref="U653" si="1076">SUM(H653:K653)</f>
        <v>8</v>
      </c>
      <c r="V653" s="34"/>
      <c r="W653" s="52">
        <v>25</v>
      </c>
      <c r="X653" s="53">
        <f t="shared" si="1071"/>
        <v>2287.5</v>
      </c>
      <c r="Y653" s="53">
        <f t="shared" si="1066"/>
        <v>0</v>
      </c>
      <c r="Z653" s="53">
        <f t="shared" si="1072"/>
        <v>200</v>
      </c>
      <c r="AA653" s="54">
        <f t="shared" si="1057"/>
        <v>0</v>
      </c>
      <c r="AB653" s="54">
        <f t="shared" si="1073"/>
        <v>2287.5</v>
      </c>
      <c r="AC653" s="64">
        <f t="shared" si="1058"/>
        <v>0</v>
      </c>
      <c r="AD653" s="209"/>
      <c r="AE653" s="64">
        <f t="shared" si="1067"/>
        <v>-200</v>
      </c>
      <c r="AF653" s="209"/>
      <c r="AG653" s="8"/>
    </row>
    <row r="654" spans="1:33" ht="14.65" thickBot="1" x14ac:dyDescent="0.5">
      <c r="A654" s="23">
        <f>A651</f>
        <v>44752</v>
      </c>
      <c r="B654" s="24" t="s">
        <v>63</v>
      </c>
      <c r="C654" s="49">
        <f t="shared" si="1068"/>
        <v>1672</v>
      </c>
      <c r="D654" s="25">
        <v>0</v>
      </c>
      <c r="E654" s="25">
        <v>0</v>
      </c>
      <c r="F654" s="25">
        <v>0</v>
      </c>
      <c r="G654" s="25">
        <v>0</v>
      </c>
      <c r="H654" s="25">
        <v>0</v>
      </c>
      <c r="I654" s="25">
        <v>0</v>
      </c>
      <c r="J654" s="25">
        <v>8</v>
      </c>
      <c r="K654" s="25">
        <v>64</v>
      </c>
      <c r="L654" s="46">
        <v>0</v>
      </c>
      <c r="M654" s="35"/>
      <c r="N654" s="25">
        <v>0</v>
      </c>
      <c r="O654" s="25">
        <v>0</v>
      </c>
      <c r="P654" s="25">
        <v>0</v>
      </c>
      <c r="Q654" s="25">
        <v>0</v>
      </c>
      <c r="R654" s="35"/>
      <c r="S654" s="25">
        <f t="shared" ref="S654" si="1077">SUM(D654:G654)</f>
        <v>0</v>
      </c>
      <c r="T654" s="25">
        <f t="shared" si="1074"/>
        <v>0</v>
      </c>
      <c r="U654" s="25">
        <f t="shared" ref="U654" si="1078">SUM(H654:K654)</f>
        <v>72</v>
      </c>
      <c r="V654" s="35"/>
      <c r="W654" s="46">
        <v>20.9</v>
      </c>
      <c r="X654" s="26">
        <f t="shared" si="1071"/>
        <v>0</v>
      </c>
      <c r="Y654" s="26">
        <f t="shared" si="1066"/>
        <v>0</v>
      </c>
      <c r="Z654" s="26">
        <f t="shared" si="1072"/>
        <v>167.2</v>
      </c>
      <c r="AA654" s="27">
        <f t="shared" ref="AA654:AA664" si="1079">(W654*1*K654)</f>
        <v>1337.6</v>
      </c>
      <c r="AB654" s="27">
        <f t="shared" si="1073"/>
        <v>0</v>
      </c>
      <c r="AC654" s="65">
        <f t="shared" ref="AC654:AC664" si="1080">0-Y654-AA654</f>
        <v>-1337.6</v>
      </c>
      <c r="AD654" s="210"/>
      <c r="AE654" s="65">
        <f t="shared" si="1067"/>
        <v>-167.2</v>
      </c>
      <c r="AF654" s="210"/>
      <c r="AG654" s="8"/>
    </row>
    <row r="655" spans="1:33" x14ac:dyDescent="0.45">
      <c r="A655" s="22">
        <f>A654+14</f>
        <v>44766</v>
      </c>
      <c r="B655" s="15" t="s">
        <v>30</v>
      </c>
      <c r="C655" s="48">
        <f>120*W655</f>
        <v>3900</v>
      </c>
      <c r="D655" s="13">
        <v>80</v>
      </c>
      <c r="E655" s="13">
        <v>20</v>
      </c>
      <c r="F655" s="13">
        <v>0</v>
      </c>
      <c r="G655" s="13">
        <v>0</v>
      </c>
      <c r="H655" s="13">
        <v>0</v>
      </c>
      <c r="I655" s="13">
        <v>0</v>
      </c>
      <c r="J655" s="13">
        <v>0</v>
      </c>
      <c r="K655" s="13">
        <v>0</v>
      </c>
      <c r="L655" s="45">
        <v>0</v>
      </c>
      <c r="M655" s="34"/>
      <c r="N655" s="13">
        <v>80</v>
      </c>
      <c r="O655" s="13">
        <v>20.25</v>
      </c>
      <c r="P655" s="13">
        <v>0</v>
      </c>
      <c r="Q655" s="13">
        <v>0</v>
      </c>
      <c r="R655" s="34"/>
      <c r="S655" s="13">
        <f t="shared" ref="S655:S659" si="1081">SUM(D655:G655)</f>
        <v>100</v>
      </c>
      <c r="T655" s="13">
        <f t="shared" si="1074"/>
        <v>100.25</v>
      </c>
      <c r="U655" s="13">
        <f t="shared" ref="U655" si="1082">SUM(H655:K655)</f>
        <v>0</v>
      </c>
      <c r="V655" s="34"/>
      <c r="W655" s="45">
        <v>32.5</v>
      </c>
      <c r="X655" s="10">
        <f t="shared" si="1071"/>
        <v>3575</v>
      </c>
      <c r="Y655" s="10">
        <f t="shared" si="1066"/>
        <v>0</v>
      </c>
      <c r="Z655" s="10">
        <f t="shared" si="1072"/>
        <v>0</v>
      </c>
      <c r="AA655" s="14">
        <f t="shared" si="1079"/>
        <v>0</v>
      </c>
      <c r="AB655" s="14">
        <f t="shared" si="1073"/>
        <v>3587.1875</v>
      </c>
      <c r="AC655" s="63">
        <f t="shared" si="1080"/>
        <v>0</v>
      </c>
      <c r="AD655" s="208"/>
      <c r="AE655" s="63">
        <f t="shared" si="1067"/>
        <v>12.1875</v>
      </c>
      <c r="AF655" s="208">
        <f>SUM(AE655:AE665)</f>
        <v>240.9375</v>
      </c>
      <c r="AG655" s="8"/>
    </row>
    <row r="656" spans="1:33" x14ac:dyDescent="0.45">
      <c r="A656" s="22">
        <f>A655</f>
        <v>44766</v>
      </c>
      <c r="B656" s="15" t="s">
        <v>4</v>
      </c>
      <c r="C656" s="48">
        <f>80*W656</f>
        <v>2400</v>
      </c>
      <c r="D656" s="13">
        <v>80</v>
      </c>
      <c r="E656" s="13">
        <v>34.5</v>
      </c>
      <c r="F656" s="13">
        <v>11</v>
      </c>
      <c r="G656" s="13">
        <v>15</v>
      </c>
      <c r="H656" s="13">
        <v>0</v>
      </c>
      <c r="I656" s="13">
        <v>0</v>
      </c>
      <c r="J656" s="13">
        <v>0</v>
      </c>
      <c r="K656" s="13">
        <v>0</v>
      </c>
      <c r="L656" s="45">
        <v>0</v>
      </c>
      <c r="M656" s="34"/>
      <c r="N656" s="13">
        <v>80</v>
      </c>
      <c r="O656" s="13">
        <v>33</v>
      </c>
      <c r="P656" s="13">
        <v>12.5</v>
      </c>
      <c r="Q656" s="13">
        <v>15</v>
      </c>
      <c r="R656" s="34"/>
      <c r="S656" s="13">
        <f t="shared" si="1081"/>
        <v>140.5</v>
      </c>
      <c r="T656" s="13">
        <f t="shared" si="1074"/>
        <v>140.5</v>
      </c>
      <c r="U656" s="13">
        <f>SUM(H656:K656)</f>
        <v>0</v>
      </c>
      <c r="V656" s="34"/>
      <c r="W656" s="45">
        <v>30</v>
      </c>
      <c r="X656" s="10">
        <f t="shared" si="1071"/>
        <v>5062.5</v>
      </c>
      <c r="Y656" s="10">
        <f t="shared" si="1066"/>
        <v>0</v>
      </c>
      <c r="Z656" s="10">
        <f t="shared" si="1072"/>
        <v>0</v>
      </c>
      <c r="AA656" s="14">
        <f t="shared" si="1079"/>
        <v>0</v>
      </c>
      <c r="AB656" s="14">
        <f t="shared" si="1073"/>
        <v>5085</v>
      </c>
      <c r="AC656" s="63">
        <f t="shared" si="1080"/>
        <v>0</v>
      </c>
      <c r="AD656" s="209"/>
      <c r="AE656" s="63">
        <f t="shared" si="1067"/>
        <v>22.5</v>
      </c>
      <c r="AF656" s="209"/>
      <c r="AG656" s="8"/>
    </row>
    <row r="657" spans="1:33" x14ac:dyDescent="0.45">
      <c r="A657" s="22">
        <f t="shared" ref="A657:A662" si="1083">A656</f>
        <v>44766</v>
      </c>
      <c r="B657" s="15" t="s">
        <v>5</v>
      </c>
      <c r="C657" s="48">
        <f>120*W657</f>
        <v>3480</v>
      </c>
      <c r="D657" s="13">
        <v>80</v>
      </c>
      <c r="E657" s="13">
        <v>46.5</v>
      </c>
      <c r="F657" s="13">
        <v>12</v>
      </c>
      <c r="G657" s="13">
        <v>3</v>
      </c>
      <c r="H657" s="13">
        <v>0</v>
      </c>
      <c r="I657" s="13">
        <v>0</v>
      </c>
      <c r="J657" s="13">
        <v>0</v>
      </c>
      <c r="K657" s="13">
        <v>0</v>
      </c>
      <c r="L657" s="45">
        <v>0</v>
      </c>
      <c r="M657" s="34"/>
      <c r="N657" s="13">
        <v>80</v>
      </c>
      <c r="O657" s="13">
        <v>47.5</v>
      </c>
      <c r="P657" s="13">
        <v>13</v>
      </c>
      <c r="Q657" s="13">
        <v>3</v>
      </c>
      <c r="R657" s="34"/>
      <c r="S657" s="13">
        <f t="shared" si="1081"/>
        <v>141.5</v>
      </c>
      <c r="T657" s="13">
        <f t="shared" si="1074"/>
        <v>143.5</v>
      </c>
      <c r="U657" s="13">
        <f t="shared" ref="U657:U659" si="1084">SUM(H657:K657)</f>
        <v>0</v>
      </c>
      <c r="V657" s="34"/>
      <c r="W657" s="45">
        <v>29</v>
      </c>
      <c r="X657" s="10">
        <f t="shared" si="1071"/>
        <v>5125.75</v>
      </c>
      <c r="Y657" s="10">
        <f t="shared" si="1066"/>
        <v>0</v>
      </c>
      <c r="Z657" s="10">
        <f t="shared" si="1072"/>
        <v>0</v>
      </c>
      <c r="AA657" s="14">
        <f t="shared" si="1079"/>
        <v>0</v>
      </c>
      <c r="AB657" s="14">
        <f t="shared" si="1073"/>
        <v>5227.25</v>
      </c>
      <c r="AC657" s="63">
        <f t="shared" si="1080"/>
        <v>0</v>
      </c>
      <c r="AD657" s="209"/>
      <c r="AE657" s="63">
        <f t="shared" si="1067"/>
        <v>101.5</v>
      </c>
      <c r="AF657" s="209"/>
      <c r="AG657" s="8"/>
    </row>
    <row r="658" spans="1:33" x14ac:dyDescent="0.45">
      <c r="A658" s="22">
        <f t="shared" si="1083"/>
        <v>44766</v>
      </c>
      <c r="B658" s="15" t="s">
        <v>6</v>
      </c>
      <c r="C658" s="48">
        <f>80*W658</f>
        <v>2400</v>
      </c>
      <c r="D658" s="13">
        <v>80</v>
      </c>
      <c r="E658" s="13">
        <v>64</v>
      </c>
      <c r="F658" s="13">
        <v>25</v>
      </c>
      <c r="G658" s="13">
        <v>0</v>
      </c>
      <c r="H658" s="13">
        <v>0</v>
      </c>
      <c r="I658" s="13">
        <v>0</v>
      </c>
      <c r="J658" s="13">
        <v>0</v>
      </c>
      <c r="K658" s="13">
        <v>0</v>
      </c>
      <c r="L658" s="45">
        <v>0</v>
      </c>
      <c r="M658" s="34"/>
      <c r="N658" s="13">
        <v>80</v>
      </c>
      <c r="O658" s="13">
        <v>64</v>
      </c>
      <c r="P658" s="13">
        <v>25</v>
      </c>
      <c r="Q658" s="13">
        <v>0</v>
      </c>
      <c r="R658" s="34"/>
      <c r="S658" s="13">
        <f t="shared" si="1081"/>
        <v>169</v>
      </c>
      <c r="T658" s="13">
        <f t="shared" si="1074"/>
        <v>169</v>
      </c>
      <c r="U658" s="13">
        <f t="shared" si="1084"/>
        <v>0</v>
      </c>
      <c r="V658" s="34"/>
      <c r="W658" s="45">
        <v>30</v>
      </c>
      <c r="X658" s="10">
        <f>(W658*1*D658)+(W658*1.5*E658)+(W658*2*F658)+(W658*1*G658)</f>
        <v>6780</v>
      </c>
      <c r="Y658" s="10">
        <f t="shared" si="1066"/>
        <v>0</v>
      </c>
      <c r="Z658" s="10">
        <f t="shared" si="1072"/>
        <v>0</v>
      </c>
      <c r="AA658" s="14">
        <f t="shared" si="1079"/>
        <v>0</v>
      </c>
      <c r="AB658" s="14">
        <f t="shared" si="1073"/>
        <v>6780</v>
      </c>
      <c r="AC658" s="63">
        <f t="shared" si="1080"/>
        <v>0</v>
      </c>
      <c r="AD658" s="209"/>
      <c r="AE658" s="63">
        <f t="shared" si="1067"/>
        <v>0</v>
      </c>
      <c r="AF658" s="209"/>
      <c r="AG658" s="8"/>
    </row>
    <row r="659" spans="1:33" x14ac:dyDescent="0.45">
      <c r="A659" s="22">
        <f>A658</f>
        <v>44766</v>
      </c>
      <c r="B659" s="15" t="s">
        <v>9</v>
      </c>
      <c r="C659" s="48">
        <f>120*W659</f>
        <v>3600</v>
      </c>
      <c r="D659" s="13">
        <v>80</v>
      </c>
      <c r="E659" s="13">
        <v>29.5</v>
      </c>
      <c r="F659" s="13">
        <v>6</v>
      </c>
      <c r="G659" s="13">
        <v>12</v>
      </c>
      <c r="H659" s="13">
        <v>0</v>
      </c>
      <c r="I659" s="13">
        <v>0</v>
      </c>
      <c r="J659" s="13">
        <v>0</v>
      </c>
      <c r="K659" s="13">
        <v>0</v>
      </c>
      <c r="L659" s="45">
        <v>0</v>
      </c>
      <c r="M659" s="34"/>
      <c r="N659" s="13">
        <v>80</v>
      </c>
      <c r="O659" s="13">
        <v>29.5</v>
      </c>
      <c r="P659" s="13">
        <v>6</v>
      </c>
      <c r="Q659" s="13">
        <v>12</v>
      </c>
      <c r="R659" s="34"/>
      <c r="S659" s="13">
        <f t="shared" si="1081"/>
        <v>127.5</v>
      </c>
      <c r="T659" s="13">
        <f t="shared" si="1074"/>
        <v>127.5</v>
      </c>
      <c r="U659" s="13">
        <f t="shared" si="1084"/>
        <v>0</v>
      </c>
      <c r="V659" s="34"/>
      <c r="W659" s="45">
        <v>30</v>
      </c>
      <c r="X659" s="10">
        <f t="shared" ref="X659" si="1085">(W659*1*D659)+(W659*1.5*E659)+(W659*2*F659)+(W659*1*G659)</f>
        <v>4447.5</v>
      </c>
      <c r="Y659" s="10">
        <f>(W659*0*H659)+(W659*1*I659)</f>
        <v>0</v>
      </c>
      <c r="Z659" s="10">
        <f t="shared" si="1072"/>
        <v>0</v>
      </c>
      <c r="AA659" s="14">
        <f t="shared" si="1079"/>
        <v>0</v>
      </c>
      <c r="AB659" s="14">
        <f t="shared" si="1073"/>
        <v>4447.5</v>
      </c>
      <c r="AC659" s="63">
        <f t="shared" si="1080"/>
        <v>0</v>
      </c>
      <c r="AD659" s="209"/>
      <c r="AE659" s="63">
        <f t="shared" si="1067"/>
        <v>0</v>
      </c>
      <c r="AF659" s="209"/>
      <c r="AG659" s="8"/>
    </row>
    <row r="660" spans="1:33" x14ac:dyDescent="0.45">
      <c r="A660" s="22">
        <f t="shared" si="1083"/>
        <v>44766</v>
      </c>
      <c r="B660" s="50" t="s">
        <v>31</v>
      </c>
      <c r="C660" s="48">
        <f>120*W660</f>
        <v>3600</v>
      </c>
      <c r="D660" s="51">
        <v>80</v>
      </c>
      <c r="E660" s="51">
        <v>35.5</v>
      </c>
      <c r="F660" s="51">
        <v>10.25</v>
      </c>
      <c r="G660" s="51">
        <v>18</v>
      </c>
      <c r="H660" s="51">
        <v>0</v>
      </c>
      <c r="I660" s="51">
        <v>0</v>
      </c>
      <c r="J660" s="51">
        <v>0</v>
      </c>
      <c r="K660" s="51">
        <v>0</v>
      </c>
      <c r="L660" s="52">
        <v>0</v>
      </c>
      <c r="M660" s="34"/>
      <c r="N660" s="13">
        <v>80</v>
      </c>
      <c r="O660" s="13">
        <v>33.5</v>
      </c>
      <c r="P660" s="13">
        <v>12.25</v>
      </c>
      <c r="Q660" s="13">
        <v>18</v>
      </c>
      <c r="R660" s="34"/>
      <c r="S660" s="51">
        <f t="shared" ref="S660" si="1086">SUM(D660:G660)</f>
        <v>143.75</v>
      </c>
      <c r="T660" s="51">
        <f>SUM(N660:Q660)</f>
        <v>143.75</v>
      </c>
      <c r="U660" s="51">
        <f t="shared" ref="U660" si="1087">SUM(H660:K660)</f>
        <v>0</v>
      </c>
      <c r="V660" s="34"/>
      <c r="W660" s="52">
        <v>30</v>
      </c>
      <c r="X660" s="53">
        <f>(W660*1*D660)+(W660*1.5*E660)+(W660*2*F660)+(W660*1*G660)</f>
        <v>5152.5</v>
      </c>
      <c r="Y660" s="53">
        <f t="shared" ref="Y660:Y669" si="1088">(W660*0*H660)+(W660*1*I660)</f>
        <v>0</v>
      </c>
      <c r="Z660" s="53">
        <f>(W660*1*J660)+L660</f>
        <v>0</v>
      </c>
      <c r="AA660" s="54">
        <f t="shared" si="1079"/>
        <v>0</v>
      </c>
      <c r="AB660" s="54">
        <f>(W660*1*N660)+(W660*1.5*O660)+(W660*2*P660)+(W660*1*Q660)</f>
        <v>5182.5</v>
      </c>
      <c r="AC660" s="64">
        <f t="shared" si="1080"/>
        <v>0</v>
      </c>
      <c r="AD660" s="209"/>
      <c r="AE660" s="64">
        <f t="shared" ref="AE660:AE670" si="1089">AB660-(X660+Z660)</f>
        <v>30</v>
      </c>
      <c r="AF660" s="209"/>
      <c r="AG660" s="8"/>
    </row>
    <row r="661" spans="1:33" x14ac:dyDescent="0.45">
      <c r="A661" s="22">
        <f t="shared" si="1083"/>
        <v>44766</v>
      </c>
      <c r="B661" s="50" t="s">
        <v>51</v>
      </c>
      <c r="C661" s="48">
        <f t="shared" ref="C661:C665" si="1090">80*W661</f>
        <v>1920</v>
      </c>
      <c r="D661" s="51">
        <v>80</v>
      </c>
      <c r="E661" s="51">
        <v>15.75</v>
      </c>
      <c r="F661" s="51">
        <v>0</v>
      </c>
      <c r="G661" s="51">
        <v>20</v>
      </c>
      <c r="H661" s="51">
        <v>0</v>
      </c>
      <c r="I661" s="51">
        <v>0</v>
      </c>
      <c r="J661" s="51">
        <v>0</v>
      </c>
      <c r="K661" s="51">
        <v>0</v>
      </c>
      <c r="L661" s="52">
        <v>0</v>
      </c>
      <c r="M661" s="34"/>
      <c r="N661" s="51">
        <v>80</v>
      </c>
      <c r="O661" s="51">
        <v>15.75</v>
      </c>
      <c r="P661" s="51">
        <v>0</v>
      </c>
      <c r="Q661" s="51">
        <v>20</v>
      </c>
      <c r="R661" s="34"/>
      <c r="S661" s="51">
        <f t="shared" ref="S661:S663" si="1091">SUM(D661:G661)</f>
        <v>115.75</v>
      </c>
      <c r="T661" s="51">
        <f>SUM(N661:Q661)</f>
        <v>115.75</v>
      </c>
      <c r="U661" s="51">
        <f t="shared" ref="U661:U663" si="1092">SUM(H661:K661)</f>
        <v>0</v>
      </c>
      <c r="V661" s="34"/>
      <c r="W661" s="52">
        <v>24</v>
      </c>
      <c r="X661" s="53">
        <f t="shared" ref="X661:X668" si="1093">(W661*1*D661)+(W661*1.5*E661)+(W661*2*F661)+(W661*1*G661)</f>
        <v>2967</v>
      </c>
      <c r="Y661" s="53">
        <f t="shared" si="1088"/>
        <v>0</v>
      </c>
      <c r="Z661" s="53">
        <f t="shared" ref="Z661:Z670" si="1094">(W661*1*J661)+L661</f>
        <v>0</v>
      </c>
      <c r="AA661" s="54">
        <f t="shared" si="1079"/>
        <v>0</v>
      </c>
      <c r="AB661" s="54">
        <f t="shared" ref="AB661:AB670" si="1095">(W661*1*N661)+(W661*1.5*O661)+(W661*2*P661)+(W661*1*Q661)</f>
        <v>2967</v>
      </c>
      <c r="AC661" s="64">
        <f t="shared" si="1080"/>
        <v>0</v>
      </c>
      <c r="AD661" s="209"/>
      <c r="AE661" s="64">
        <f t="shared" si="1089"/>
        <v>0</v>
      </c>
      <c r="AF661" s="209"/>
      <c r="AG661" s="8"/>
    </row>
    <row r="662" spans="1:33" x14ac:dyDescent="0.45">
      <c r="A662" s="22">
        <f t="shared" si="1083"/>
        <v>44766</v>
      </c>
      <c r="B662" s="50" t="s">
        <v>53</v>
      </c>
      <c r="C662" s="48">
        <f t="shared" si="1090"/>
        <v>1840</v>
      </c>
      <c r="D662" s="51">
        <v>76</v>
      </c>
      <c r="E662" s="51">
        <v>12.75</v>
      </c>
      <c r="F662" s="51">
        <v>0</v>
      </c>
      <c r="G662" s="51">
        <v>0</v>
      </c>
      <c r="H662" s="51">
        <v>8</v>
      </c>
      <c r="I662" s="51">
        <v>0</v>
      </c>
      <c r="J662" s="51">
        <v>0</v>
      </c>
      <c r="K662" s="51">
        <v>0</v>
      </c>
      <c r="L662" s="52">
        <v>0</v>
      </c>
      <c r="M662" s="34"/>
      <c r="N662" s="51">
        <v>76.25</v>
      </c>
      <c r="O662" s="51">
        <v>12.75</v>
      </c>
      <c r="P662" s="51">
        <v>0</v>
      </c>
      <c r="Q662" s="51">
        <v>0</v>
      </c>
      <c r="R662" s="34"/>
      <c r="S662" s="51">
        <f t="shared" si="1091"/>
        <v>88.75</v>
      </c>
      <c r="T662" s="51">
        <f>SUM(N662:Q662)</f>
        <v>89</v>
      </c>
      <c r="U662" s="51">
        <f t="shared" si="1092"/>
        <v>8</v>
      </c>
      <c r="V662" s="34"/>
      <c r="W662" s="52">
        <v>23</v>
      </c>
      <c r="X662" s="53">
        <f t="shared" si="1093"/>
        <v>2187.875</v>
      </c>
      <c r="Y662" s="53">
        <f t="shared" si="1088"/>
        <v>0</v>
      </c>
      <c r="Z662" s="53">
        <f t="shared" si="1094"/>
        <v>0</v>
      </c>
      <c r="AA662" s="54">
        <f t="shared" si="1079"/>
        <v>0</v>
      </c>
      <c r="AB662" s="54">
        <f t="shared" si="1095"/>
        <v>2193.625</v>
      </c>
      <c r="AC662" s="64">
        <f t="shared" si="1080"/>
        <v>0</v>
      </c>
      <c r="AD662" s="209"/>
      <c r="AE662" s="64">
        <f t="shared" si="1089"/>
        <v>5.75</v>
      </c>
      <c r="AF662" s="209"/>
      <c r="AG662" s="8"/>
    </row>
    <row r="663" spans="1:33" x14ac:dyDescent="0.45">
      <c r="A663" s="22">
        <f>A661</f>
        <v>44766</v>
      </c>
      <c r="B663" s="50" t="s">
        <v>54</v>
      </c>
      <c r="C663" s="48">
        <f t="shared" si="1090"/>
        <v>1840</v>
      </c>
      <c r="D663" s="51">
        <v>80</v>
      </c>
      <c r="E663" s="51">
        <v>30</v>
      </c>
      <c r="F663" s="51">
        <v>0</v>
      </c>
      <c r="G663" s="51">
        <v>8.5</v>
      </c>
      <c r="H663" s="51">
        <v>0</v>
      </c>
      <c r="I663" s="51">
        <v>0</v>
      </c>
      <c r="J663" s="51">
        <v>0</v>
      </c>
      <c r="K663" s="51">
        <v>0</v>
      </c>
      <c r="L663" s="52">
        <v>0</v>
      </c>
      <c r="M663" s="34"/>
      <c r="N663" s="51">
        <v>80</v>
      </c>
      <c r="O663" s="51">
        <v>30.5</v>
      </c>
      <c r="P663" s="51">
        <v>1</v>
      </c>
      <c r="Q663" s="51">
        <v>8.75</v>
      </c>
      <c r="R663" s="34"/>
      <c r="S663" s="51">
        <f t="shared" si="1091"/>
        <v>118.5</v>
      </c>
      <c r="T663" s="51">
        <f t="shared" ref="T663:T670" si="1096">SUM(N663:Q663)</f>
        <v>120.25</v>
      </c>
      <c r="U663" s="51">
        <f t="shared" si="1092"/>
        <v>0</v>
      </c>
      <c r="V663" s="34"/>
      <c r="W663" s="52">
        <v>23</v>
      </c>
      <c r="X663" s="53">
        <f t="shared" si="1093"/>
        <v>3070.5</v>
      </c>
      <c r="Y663" s="53">
        <f t="shared" si="1088"/>
        <v>0</v>
      </c>
      <c r="Z663" s="53">
        <f t="shared" si="1094"/>
        <v>0</v>
      </c>
      <c r="AA663" s="54">
        <f t="shared" si="1079"/>
        <v>0</v>
      </c>
      <c r="AB663" s="54">
        <f t="shared" si="1095"/>
        <v>3139.5</v>
      </c>
      <c r="AC663" s="64">
        <f t="shared" si="1080"/>
        <v>0</v>
      </c>
      <c r="AD663" s="209"/>
      <c r="AE663" s="64">
        <f t="shared" si="1089"/>
        <v>69</v>
      </c>
      <c r="AF663" s="209"/>
      <c r="AG663" s="8"/>
    </row>
    <row r="664" spans="1:33" x14ac:dyDescent="0.45">
      <c r="A664" s="22">
        <f>A661</f>
        <v>44766</v>
      </c>
      <c r="B664" s="50" t="s">
        <v>62</v>
      </c>
      <c r="C664" s="48">
        <f t="shared" si="1090"/>
        <v>2000</v>
      </c>
      <c r="D664" s="51">
        <v>80</v>
      </c>
      <c r="E664" s="51">
        <v>16.5</v>
      </c>
      <c r="F664" s="51">
        <v>0</v>
      </c>
      <c r="G664" s="51">
        <v>0</v>
      </c>
      <c r="H664" s="51">
        <v>0</v>
      </c>
      <c r="I664" s="51">
        <v>0</v>
      </c>
      <c r="J664" s="51">
        <v>0</v>
      </c>
      <c r="K664" s="51">
        <v>0</v>
      </c>
      <c r="L664" s="52">
        <v>0</v>
      </c>
      <c r="M664" s="34"/>
      <c r="N664" s="51">
        <v>80</v>
      </c>
      <c r="O664" s="51">
        <v>16.5</v>
      </c>
      <c r="P664" s="51">
        <v>0</v>
      </c>
      <c r="Q664" s="51">
        <v>0</v>
      </c>
      <c r="R664" s="34"/>
      <c r="S664" s="51">
        <f t="shared" ref="S664:S665" si="1097">SUM(D664:G664)</f>
        <v>96.5</v>
      </c>
      <c r="T664" s="51">
        <f t="shared" si="1096"/>
        <v>96.5</v>
      </c>
      <c r="U664" s="51">
        <f t="shared" ref="U664:U666" si="1098">SUM(H664:K664)</f>
        <v>0</v>
      </c>
      <c r="V664" s="34"/>
      <c r="W664" s="52">
        <v>25</v>
      </c>
      <c r="X664" s="53">
        <f t="shared" si="1093"/>
        <v>2618.75</v>
      </c>
      <c r="Y664" s="53">
        <f t="shared" si="1088"/>
        <v>0</v>
      </c>
      <c r="Z664" s="53">
        <f t="shared" si="1094"/>
        <v>0</v>
      </c>
      <c r="AA664" s="54">
        <f t="shared" si="1079"/>
        <v>0</v>
      </c>
      <c r="AB664" s="54">
        <f t="shared" si="1095"/>
        <v>2618.75</v>
      </c>
      <c r="AC664" s="64">
        <f t="shared" si="1080"/>
        <v>0</v>
      </c>
      <c r="AD664" s="209"/>
      <c r="AE664" s="64">
        <f t="shared" si="1089"/>
        <v>0</v>
      </c>
      <c r="AF664" s="209"/>
      <c r="AG664" s="8"/>
    </row>
    <row r="665" spans="1:33" ht="14.65" thickBot="1" x14ac:dyDescent="0.5">
      <c r="A665" s="23">
        <f>A662</f>
        <v>44766</v>
      </c>
      <c r="B665" s="24" t="s">
        <v>63</v>
      </c>
      <c r="C665" s="49">
        <f t="shared" si="1090"/>
        <v>1672</v>
      </c>
      <c r="D665" s="25">
        <v>0</v>
      </c>
      <c r="E665" s="25">
        <v>0</v>
      </c>
      <c r="F665" s="25">
        <v>0</v>
      </c>
      <c r="G665" s="25">
        <v>0</v>
      </c>
      <c r="H665" s="25">
        <v>0</v>
      </c>
      <c r="I665" s="25">
        <v>0</v>
      </c>
      <c r="J665" s="25">
        <v>0</v>
      </c>
      <c r="K665" s="25">
        <v>72</v>
      </c>
      <c r="L665" s="46">
        <v>0</v>
      </c>
      <c r="M665" s="35"/>
      <c r="N665" s="25">
        <v>0</v>
      </c>
      <c r="O665" s="25">
        <v>0</v>
      </c>
      <c r="P665" s="25">
        <v>0</v>
      </c>
      <c r="Q665" s="25">
        <v>0</v>
      </c>
      <c r="R665" s="35"/>
      <c r="S665" s="25">
        <f t="shared" si="1097"/>
        <v>0</v>
      </c>
      <c r="T665" s="25">
        <f t="shared" si="1096"/>
        <v>0</v>
      </c>
      <c r="U665" s="25">
        <f t="shared" si="1098"/>
        <v>72</v>
      </c>
      <c r="V665" s="35"/>
      <c r="W665" s="46">
        <v>20.9</v>
      </c>
      <c r="X665" s="26">
        <f t="shared" si="1093"/>
        <v>0</v>
      </c>
      <c r="Y665" s="26">
        <f t="shared" si="1088"/>
        <v>0</v>
      </c>
      <c r="Z665" s="26">
        <f t="shared" si="1094"/>
        <v>0</v>
      </c>
      <c r="AA665" s="27">
        <f t="shared" ref="AA665:AA675" si="1099">(W665*1*K665)</f>
        <v>1504.8</v>
      </c>
      <c r="AB665" s="27">
        <f t="shared" si="1095"/>
        <v>0</v>
      </c>
      <c r="AC665" s="65">
        <f t="shared" ref="AC665:AC675" si="1100">0-Y665-AA665</f>
        <v>-1504.8</v>
      </c>
      <c r="AD665" s="210"/>
      <c r="AE665" s="65">
        <f t="shared" si="1089"/>
        <v>0</v>
      </c>
      <c r="AF665" s="210"/>
      <c r="AG665" s="8"/>
    </row>
    <row r="666" spans="1:33" x14ac:dyDescent="0.45">
      <c r="A666" s="22">
        <f>A665+14</f>
        <v>44780</v>
      </c>
      <c r="B666" s="15" t="s">
        <v>30</v>
      </c>
      <c r="C666" s="48">
        <f>120*W666</f>
        <v>3900</v>
      </c>
      <c r="D666" s="13">
        <v>72</v>
      </c>
      <c r="E666" s="13">
        <v>26</v>
      </c>
      <c r="F666" s="13">
        <v>0</v>
      </c>
      <c r="G666" s="13">
        <v>0</v>
      </c>
      <c r="H666" s="13">
        <v>0</v>
      </c>
      <c r="I666" s="13">
        <v>8</v>
      </c>
      <c r="J666" s="13">
        <v>0</v>
      </c>
      <c r="K666" s="13">
        <v>0</v>
      </c>
      <c r="L666" s="45">
        <v>0</v>
      </c>
      <c r="M666" s="34"/>
      <c r="N666" s="13">
        <v>72</v>
      </c>
      <c r="O666" s="13">
        <v>26</v>
      </c>
      <c r="P666" s="13">
        <v>0</v>
      </c>
      <c r="Q666" s="13">
        <v>0</v>
      </c>
      <c r="R666" s="34"/>
      <c r="S666" s="13">
        <f t="shared" ref="S666:S670" si="1101">SUM(D666:G666)</f>
        <v>98</v>
      </c>
      <c r="T666" s="13">
        <f t="shared" si="1096"/>
        <v>98</v>
      </c>
      <c r="U666" s="13">
        <f t="shared" si="1098"/>
        <v>8</v>
      </c>
      <c r="V666" s="34"/>
      <c r="W666" s="45">
        <v>32.5</v>
      </c>
      <c r="X666" s="10">
        <f t="shared" si="1093"/>
        <v>3607.5</v>
      </c>
      <c r="Y666" s="10">
        <f t="shared" si="1088"/>
        <v>260</v>
      </c>
      <c r="Z666" s="10">
        <f t="shared" si="1094"/>
        <v>0</v>
      </c>
      <c r="AA666" s="14">
        <f t="shared" si="1099"/>
        <v>0</v>
      </c>
      <c r="AB666" s="14">
        <f t="shared" si="1095"/>
        <v>3607.5</v>
      </c>
      <c r="AC666" s="63">
        <f t="shared" si="1100"/>
        <v>-260</v>
      </c>
      <c r="AD666" s="208"/>
      <c r="AE666" s="63">
        <f t="shared" si="1089"/>
        <v>0</v>
      </c>
      <c r="AF666" s="208">
        <f>SUM(AE666:AE676)</f>
        <v>430</v>
      </c>
      <c r="AG666" s="8"/>
    </row>
    <row r="667" spans="1:33" x14ac:dyDescent="0.45">
      <c r="A667" s="22">
        <f>A666</f>
        <v>44780</v>
      </c>
      <c r="B667" s="15" t="s">
        <v>4</v>
      </c>
      <c r="C667" s="48">
        <f>80*W667</f>
        <v>2400</v>
      </c>
      <c r="D667" s="13">
        <v>71</v>
      </c>
      <c r="E667" s="13">
        <v>10</v>
      </c>
      <c r="F667" s="13">
        <v>0</v>
      </c>
      <c r="G667" s="13">
        <v>7.5</v>
      </c>
      <c r="H667" s="13">
        <v>0</v>
      </c>
      <c r="I667" s="13">
        <v>8</v>
      </c>
      <c r="J667" s="13">
        <v>0</v>
      </c>
      <c r="K667" s="13">
        <v>1</v>
      </c>
      <c r="L667" s="45">
        <v>0</v>
      </c>
      <c r="M667" s="34"/>
      <c r="N667" s="13">
        <v>72</v>
      </c>
      <c r="O667" s="13">
        <v>8.25</v>
      </c>
      <c r="P667" s="13">
        <v>0.75</v>
      </c>
      <c r="Q667" s="13">
        <v>7.5</v>
      </c>
      <c r="R667" s="34"/>
      <c r="S667" s="13">
        <f t="shared" si="1101"/>
        <v>88.5</v>
      </c>
      <c r="T667" s="13">
        <f t="shared" si="1096"/>
        <v>88.5</v>
      </c>
      <c r="U667" s="13">
        <f>SUM(H667:K667)</f>
        <v>9</v>
      </c>
      <c r="V667" s="34"/>
      <c r="W667" s="45">
        <v>30</v>
      </c>
      <c r="X667" s="10">
        <f t="shared" si="1093"/>
        <v>2805</v>
      </c>
      <c r="Y667" s="10">
        <f t="shared" si="1088"/>
        <v>240</v>
      </c>
      <c r="Z667" s="10">
        <f t="shared" si="1094"/>
        <v>0</v>
      </c>
      <c r="AA667" s="14">
        <f t="shared" si="1099"/>
        <v>30</v>
      </c>
      <c r="AB667" s="14">
        <f t="shared" si="1095"/>
        <v>2801.25</v>
      </c>
      <c r="AC667" s="63">
        <f t="shared" si="1100"/>
        <v>-270</v>
      </c>
      <c r="AD667" s="209"/>
      <c r="AE667" s="63">
        <f t="shared" si="1089"/>
        <v>-3.75</v>
      </c>
      <c r="AF667" s="209"/>
      <c r="AG667" s="8"/>
    </row>
    <row r="668" spans="1:33" x14ac:dyDescent="0.45">
      <c r="A668" s="22">
        <f t="shared" ref="A668:A673" si="1102">A667</f>
        <v>44780</v>
      </c>
      <c r="B668" s="15" t="s">
        <v>5</v>
      </c>
      <c r="C668" s="48">
        <f>120*W668</f>
        <v>3480</v>
      </c>
      <c r="D668" s="13">
        <v>71</v>
      </c>
      <c r="E668" s="13">
        <v>17</v>
      </c>
      <c r="F668" s="13">
        <v>0</v>
      </c>
      <c r="G668" s="13">
        <v>3</v>
      </c>
      <c r="H668" s="13">
        <v>0</v>
      </c>
      <c r="I668" s="13">
        <v>8</v>
      </c>
      <c r="J668" s="13">
        <v>0</v>
      </c>
      <c r="K668" s="13">
        <v>1</v>
      </c>
      <c r="L668" s="45">
        <v>0</v>
      </c>
      <c r="M668" s="34"/>
      <c r="N668" s="13">
        <v>72</v>
      </c>
      <c r="O668" s="13">
        <v>16</v>
      </c>
      <c r="P668" s="13">
        <v>0</v>
      </c>
      <c r="Q668" s="13">
        <v>3</v>
      </c>
      <c r="R668" s="34"/>
      <c r="S668" s="13">
        <f t="shared" si="1101"/>
        <v>91</v>
      </c>
      <c r="T668" s="13">
        <f t="shared" si="1096"/>
        <v>91</v>
      </c>
      <c r="U668" s="13">
        <f t="shared" ref="U668:U670" si="1103">SUM(H668:K668)</f>
        <v>9</v>
      </c>
      <c r="V668" s="34"/>
      <c r="W668" s="45">
        <v>29</v>
      </c>
      <c r="X668" s="10">
        <f t="shared" si="1093"/>
        <v>2885.5</v>
      </c>
      <c r="Y668" s="10">
        <f t="shared" si="1088"/>
        <v>232</v>
      </c>
      <c r="Z668" s="10">
        <f t="shared" si="1094"/>
        <v>0</v>
      </c>
      <c r="AA668" s="14">
        <f t="shared" si="1099"/>
        <v>29</v>
      </c>
      <c r="AB668" s="14">
        <f t="shared" si="1095"/>
        <v>2871</v>
      </c>
      <c r="AC668" s="63">
        <f t="shared" si="1100"/>
        <v>-261</v>
      </c>
      <c r="AD668" s="209"/>
      <c r="AE668" s="63">
        <f t="shared" si="1089"/>
        <v>-14.5</v>
      </c>
      <c r="AF668" s="209"/>
      <c r="AG668" s="8"/>
    </row>
    <row r="669" spans="1:33" x14ac:dyDescent="0.45">
      <c r="A669" s="22">
        <f t="shared" si="1102"/>
        <v>44780</v>
      </c>
      <c r="B669" s="15" t="s">
        <v>6</v>
      </c>
      <c r="C669" s="48">
        <f>80*W669</f>
        <v>2400</v>
      </c>
      <c r="D669" s="13">
        <v>71</v>
      </c>
      <c r="E669" s="13">
        <v>35.5</v>
      </c>
      <c r="F669" s="13">
        <v>0</v>
      </c>
      <c r="G669" s="13">
        <v>3</v>
      </c>
      <c r="H669" s="13">
        <v>0</v>
      </c>
      <c r="I669" s="13">
        <v>8</v>
      </c>
      <c r="J669" s="13">
        <v>0</v>
      </c>
      <c r="K669" s="13">
        <v>1</v>
      </c>
      <c r="L669" s="45">
        <v>0</v>
      </c>
      <c r="M669" s="34"/>
      <c r="N669" s="13">
        <v>72</v>
      </c>
      <c r="O669" s="13">
        <v>32.25</v>
      </c>
      <c r="P669" s="13">
        <v>4.25</v>
      </c>
      <c r="Q669" s="13">
        <v>1.5</v>
      </c>
      <c r="R669" s="34"/>
      <c r="S669" s="13">
        <f t="shared" si="1101"/>
        <v>109.5</v>
      </c>
      <c r="T669" s="13">
        <f t="shared" si="1096"/>
        <v>110</v>
      </c>
      <c r="U669" s="13">
        <f t="shared" si="1103"/>
        <v>9</v>
      </c>
      <c r="V669" s="34"/>
      <c r="W669" s="45">
        <v>30</v>
      </c>
      <c r="X669" s="10">
        <f>(W669*1*D669)+(W669*1.5*E669)+(W669*2*F669)+(W669*1*G669)</f>
        <v>3817.5</v>
      </c>
      <c r="Y669" s="10">
        <f t="shared" si="1088"/>
        <v>240</v>
      </c>
      <c r="Z669" s="10">
        <f t="shared" si="1094"/>
        <v>0</v>
      </c>
      <c r="AA669" s="14">
        <f t="shared" si="1099"/>
        <v>30</v>
      </c>
      <c r="AB669" s="14">
        <f t="shared" si="1095"/>
        <v>3911.25</v>
      </c>
      <c r="AC669" s="63">
        <f t="shared" si="1100"/>
        <v>-270</v>
      </c>
      <c r="AD669" s="209"/>
      <c r="AE669" s="63">
        <f t="shared" si="1089"/>
        <v>93.75</v>
      </c>
      <c r="AF669" s="209"/>
      <c r="AG669" s="8"/>
    </row>
    <row r="670" spans="1:33" x14ac:dyDescent="0.45">
      <c r="A670" s="22">
        <f>A669</f>
        <v>44780</v>
      </c>
      <c r="B670" s="15" t="s">
        <v>9</v>
      </c>
      <c r="C670" s="48">
        <f>120*W670</f>
        <v>3600</v>
      </c>
      <c r="D670" s="13">
        <v>80</v>
      </c>
      <c r="E670" s="13">
        <v>30</v>
      </c>
      <c r="F670" s="13">
        <v>9</v>
      </c>
      <c r="G670" s="13">
        <v>12</v>
      </c>
      <c r="H670" s="13">
        <v>0</v>
      </c>
      <c r="I670" s="13">
        <v>0</v>
      </c>
      <c r="J670" s="13">
        <v>0</v>
      </c>
      <c r="K670" s="13">
        <v>0</v>
      </c>
      <c r="L670" s="45">
        <v>0</v>
      </c>
      <c r="M670" s="34"/>
      <c r="N670" s="13">
        <v>80</v>
      </c>
      <c r="O670" s="13">
        <v>30</v>
      </c>
      <c r="P670" s="13">
        <v>9</v>
      </c>
      <c r="Q670" s="13">
        <v>12</v>
      </c>
      <c r="R670" s="34"/>
      <c r="S670" s="13">
        <f t="shared" si="1101"/>
        <v>131</v>
      </c>
      <c r="T670" s="13">
        <f t="shared" si="1096"/>
        <v>131</v>
      </c>
      <c r="U670" s="13">
        <f t="shared" si="1103"/>
        <v>0</v>
      </c>
      <c r="V670" s="34"/>
      <c r="W670" s="45">
        <v>30</v>
      </c>
      <c r="X670" s="10">
        <f t="shared" ref="X670" si="1104">(W670*1*D670)+(W670*1.5*E670)+(W670*2*F670)+(W670*1*G670)</f>
        <v>4650</v>
      </c>
      <c r="Y670" s="10">
        <f>(W670*0*H670)+(W670*1*I670)</f>
        <v>0</v>
      </c>
      <c r="Z670" s="10">
        <f t="shared" si="1094"/>
        <v>0</v>
      </c>
      <c r="AA670" s="14">
        <f t="shared" si="1099"/>
        <v>0</v>
      </c>
      <c r="AB670" s="14">
        <f t="shared" si="1095"/>
        <v>4650</v>
      </c>
      <c r="AC670" s="63">
        <f t="shared" si="1100"/>
        <v>0</v>
      </c>
      <c r="AD670" s="209"/>
      <c r="AE670" s="63">
        <f t="shared" si="1089"/>
        <v>0</v>
      </c>
      <c r="AF670" s="209"/>
      <c r="AG670" s="8"/>
    </row>
    <row r="671" spans="1:33" x14ac:dyDescent="0.45">
      <c r="A671" s="22">
        <f t="shared" si="1102"/>
        <v>44780</v>
      </c>
      <c r="B671" s="50" t="s">
        <v>31</v>
      </c>
      <c r="C671" s="48">
        <f>120*W671</f>
        <v>3600</v>
      </c>
      <c r="D671" s="51">
        <v>40</v>
      </c>
      <c r="E671" s="51">
        <v>15</v>
      </c>
      <c r="F671" s="51">
        <v>0</v>
      </c>
      <c r="G671" s="51">
        <v>5</v>
      </c>
      <c r="H671" s="51">
        <v>0</v>
      </c>
      <c r="I671" s="51">
        <v>39</v>
      </c>
      <c r="J671" s="51">
        <v>0</v>
      </c>
      <c r="K671" s="51">
        <v>1</v>
      </c>
      <c r="L671" s="52">
        <v>0</v>
      </c>
      <c r="M671" s="34"/>
      <c r="N671" s="13">
        <v>40</v>
      </c>
      <c r="O671" s="13">
        <v>12</v>
      </c>
      <c r="P671" s="13">
        <v>1.75</v>
      </c>
      <c r="Q671" s="13">
        <v>7.5</v>
      </c>
      <c r="R671" s="34"/>
      <c r="S671" s="51">
        <f t="shared" ref="S671" si="1105">SUM(D671:G671)</f>
        <v>60</v>
      </c>
      <c r="T671" s="51">
        <f>SUM(N671:Q671)</f>
        <v>61.25</v>
      </c>
      <c r="U671" s="51">
        <f t="shared" ref="U671" si="1106">SUM(H671:K671)</f>
        <v>40</v>
      </c>
      <c r="V671" s="34"/>
      <c r="W671" s="52">
        <v>30</v>
      </c>
      <c r="X671" s="53">
        <f>(W671*1*D671)+(W671*1.5*E671)+(W671*2*F671)+(W671*1*G671)</f>
        <v>2025</v>
      </c>
      <c r="Y671" s="53">
        <f t="shared" ref="Y671:Y680" si="1107">(W671*0*H671)+(W671*1*I671)</f>
        <v>1170</v>
      </c>
      <c r="Z671" s="53">
        <f>(W671*1*J671)+L671</f>
        <v>0</v>
      </c>
      <c r="AA671" s="54">
        <f t="shared" si="1099"/>
        <v>30</v>
      </c>
      <c r="AB671" s="54">
        <f>(W671*1*N671)+(W671*1.5*O671)+(W671*2*P671)+(W671*1*Q671)</f>
        <v>2070</v>
      </c>
      <c r="AC671" s="64">
        <f t="shared" si="1100"/>
        <v>-1200</v>
      </c>
      <c r="AD671" s="209"/>
      <c r="AE671" s="64">
        <f t="shared" ref="AE671:AE681" si="1108">AB671-(X671+Z671)</f>
        <v>45</v>
      </c>
      <c r="AF671" s="209"/>
      <c r="AG671" s="8"/>
    </row>
    <row r="672" spans="1:33" x14ac:dyDescent="0.45">
      <c r="A672" s="22">
        <f t="shared" si="1102"/>
        <v>44780</v>
      </c>
      <c r="B672" s="50" t="s">
        <v>51</v>
      </c>
      <c r="C672" s="48">
        <f t="shared" ref="C672:C676" si="1109">80*W672</f>
        <v>1920</v>
      </c>
      <c r="D672" s="51">
        <v>31.25</v>
      </c>
      <c r="E672" s="51">
        <v>0</v>
      </c>
      <c r="F672" s="51">
        <v>0</v>
      </c>
      <c r="G672" s="51">
        <v>10</v>
      </c>
      <c r="H672" s="51">
        <v>0</v>
      </c>
      <c r="I672" s="51">
        <v>0</v>
      </c>
      <c r="J672" s="51">
        <v>0</v>
      </c>
      <c r="K672" s="51">
        <v>0</v>
      </c>
      <c r="L672" s="52">
        <v>0</v>
      </c>
      <c r="M672" s="34"/>
      <c r="N672" s="51">
        <v>31.25</v>
      </c>
      <c r="O672" s="51">
        <v>0</v>
      </c>
      <c r="P672" s="51">
        <v>0</v>
      </c>
      <c r="Q672" s="51">
        <v>10</v>
      </c>
      <c r="R672" s="34"/>
      <c r="S672" s="51">
        <f t="shared" ref="S672:S674" si="1110">SUM(D672:G672)</f>
        <v>41.25</v>
      </c>
      <c r="T672" s="51">
        <f>SUM(N672:Q672)</f>
        <v>41.25</v>
      </c>
      <c r="U672" s="51">
        <f t="shared" ref="U672:U674" si="1111">SUM(H672:K672)</f>
        <v>0</v>
      </c>
      <c r="V672" s="34"/>
      <c r="W672" s="52">
        <v>24</v>
      </c>
      <c r="X672" s="53">
        <f t="shared" ref="X672:X679" si="1112">(W672*1*D672)+(W672*1.5*E672)+(W672*2*F672)+(W672*1*G672)</f>
        <v>990</v>
      </c>
      <c r="Y672" s="53">
        <f t="shared" si="1107"/>
        <v>0</v>
      </c>
      <c r="Z672" s="53">
        <f t="shared" ref="Z672:Z681" si="1113">(W672*1*J672)+L672</f>
        <v>0</v>
      </c>
      <c r="AA672" s="54">
        <f t="shared" si="1099"/>
        <v>0</v>
      </c>
      <c r="AB672" s="54">
        <f t="shared" ref="AB672:AB681" si="1114">(W672*1*N672)+(W672*1.5*O672)+(W672*2*P672)+(W672*1*Q672)</f>
        <v>990</v>
      </c>
      <c r="AC672" s="64">
        <f t="shared" si="1100"/>
        <v>0</v>
      </c>
      <c r="AD672" s="209"/>
      <c r="AE672" s="64">
        <f t="shared" si="1108"/>
        <v>0</v>
      </c>
      <c r="AF672" s="209"/>
      <c r="AG672" s="8"/>
    </row>
    <row r="673" spans="1:33" x14ac:dyDescent="0.45">
      <c r="A673" s="22">
        <f t="shared" si="1102"/>
        <v>44780</v>
      </c>
      <c r="B673" s="50" t="s">
        <v>53</v>
      </c>
      <c r="C673" s="48">
        <f t="shared" si="1109"/>
        <v>1840</v>
      </c>
      <c r="D673" s="51">
        <v>79</v>
      </c>
      <c r="E673" s="51">
        <v>10.5</v>
      </c>
      <c r="F673" s="51">
        <v>0</v>
      </c>
      <c r="G673" s="51">
        <v>8.5</v>
      </c>
      <c r="H673" s="51">
        <v>0</v>
      </c>
      <c r="I673" s="51">
        <v>0</v>
      </c>
      <c r="J673" s="51">
        <v>0</v>
      </c>
      <c r="K673" s="51">
        <v>1</v>
      </c>
      <c r="L673" s="52">
        <v>0</v>
      </c>
      <c r="M673" s="34"/>
      <c r="N673" s="51">
        <v>72</v>
      </c>
      <c r="O673" s="51">
        <v>18.5</v>
      </c>
      <c r="P673" s="51">
        <v>0.5</v>
      </c>
      <c r="Q673" s="51">
        <v>9</v>
      </c>
      <c r="R673" s="34"/>
      <c r="S673" s="51">
        <f t="shared" si="1110"/>
        <v>98</v>
      </c>
      <c r="T673" s="51">
        <f>SUM(N673:Q673)</f>
        <v>100</v>
      </c>
      <c r="U673" s="51">
        <f t="shared" si="1111"/>
        <v>1</v>
      </c>
      <c r="V673" s="34"/>
      <c r="W673" s="52">
        <v>23</v>
      </c>
      <c r="X673" s="53">
        <f t="shared" si="1112"/>
        <v>2374.75</v>
      </c>
      <c r="Y673" s="53">
        <f t="shared" si="1107"/>
        <v>0</v>
      </c>
      <c r="Z673" s="53">
        <f t="shared" si="1113"/>
        <v>0</v>
      </c>
      <c r="AA673" s="54">
        <f t="shared" si="1099"/>
        <v>23</v>
      </c>
      <c r="AB673" s="54">
        <f t="shared" si="1114"/>
        <v>2524.25</v>
      </c>
      <c r="AC673" s="64">
        <f t="shared" si="1100"/>
        <v>-23</v>
      </c>
      <c r="AD673" s="209"/>
      <c r="AE673" s="64">
        <f t="shared" si="1108"/>
        <v>149.5</v>
      </c>
      <c r="AF673" s="209"/>
      <c r="AG673" s="8"/>
    </row>
    <row r="674" spans="1:33" x14ac:dyDescent="0.45">
      <c r="A674" s="22">
        <f>A672</f>
        <v>44780</v>
      </c>
      <c r="B674" s="50" t="s">
        <v>54</v>
      </c>
      <c r="C674" s="48">
        <f t="shared" si="1109"/>
        <v>1840</v>
      </c>
      <c r="D674" s="51">
        <v>75</v>
      </c>
      <c r="E674" s="51">
        <v>24</v>
      </c>
      <c r="F674" s="51">
        <v>12</v>
      </c>
      <c r="G674" s="51">
        <v>7.5</v>
      </c>
      <c r="H674" s="51">
        <v>0</v>
      </c>
      <c r="I674" s="51">
        <v>0</v>
      </c>
      <c r="J674" s="51">
        <v>0</v>
      </c>
      <c r="K674" s="51">
        <v>1</v>
      </c>
      <c r="L674" s="52">
        <v>0</v>
      </c>
      <c r="M674" s="34"/>
      <c r="N674" s="51">
        <v>68.5</v>
      </c>
      <c r="O674" s="51">
        <v>23</v>
      </c>
      <c r="P674" s="51">
        <v>20</v>
      </c>
      <c r="Q674" s="51">
        <v>7</v>
      </c>
      <c r="R674" s="34"/>
      <c r="S674" s="51">
        <f t="shared" si="1110"/>
        <v>118.5</v>
      </c>
      <c r="T674" s="51">
        <f t="shared" ref="T674:T681" si="1115">SUM(N674:Q674)</f>
        <v>118.5</v>
      </c>
      <c r="U674" s="51">
        <f t="shared" si="1111"/>
        <v>1</v>
      </c>
      <c r="V674" s="34"/>
      <c r="W674" s="52">
        <v>23</v>
      </c>
      <c r="X674" s="53">
        <f t="shared" si="1112"/>
        <v>3277.5</v>
      </c>
      <c r="Y674" s="53">
        <f t="shared" si="1107"/>
        <v>0</v>
      </c>
      <c r="Z674" s="53">
        <f t="shared" si="1113"/>
        <v>0</v>
      </c>
      <c r="AA674" s="54">
        <f t="shared" si="1099"/>
        <v>23</v>
      </c>
      <c r="AB674" s="54">
        <f t="shared" si="1114"/>
        <v>3450</v>
      </c>
      <c r="AC674" s="64">
        <f t="shared" si="1100"/>
        <v>-23</v>
      </c>
      <c r="AD674" s="209"/>
      <c r="AE674" s="64">
        <f t="shared" si="1108"/>
        <v>172.5</v>
      </c>
      <c r="AF674" s="209"/>
      <c r="AG674" s="8"/>
    </row>
    <row r="675" spans="1:33" x14ac:dyDescent="0.45">
      <c r="A675" s="22">
        <f>A672</f>
        <v>44780</v>
      </c>
      <c r="B675" s="50" t="s">
        <v>62</v>
      </c>
      <c r="C675" s="48">
        <f t="shared" si="1109"/>
        <v>2000</v>
      </c>
      <c r="D675" s="51">
        <v>71</v>
      </c>
      <c r="E675" s="51">
        <v>14.75</v>
      </c>
      <c r="F675" s="51">
        <v>0</v>
      </c>
      <c r="G675" s="51">
        <v>0</v>
      </c>
      <c r="H675" s="51">
        <v>0</v>
      </c>
      <c r="I675" s="51">
        <v>8</v>
      </c>
      <c r="J675" s="51">
        <v>0</v>
      </c>
      <c r="K675" s="51">
        <v>1</v>
      </c>
      <c r="L675" s="52">
        <v>0</v>
      </c>
      <c r="M675" s="34"/>
      <c r="N675" s="51">
        <v>72</v>
      </c>
      <c r="O675" s="51">
        <v>13.75</v>
      </c>
      <c r="P675" s="51">
        <v>0</v>
      </c>
      <c r="Q675" s="51">
        <v>0</v>
      </c>
      <c r="R675" s="34"/>
      <c r="S675" s="51">
        <f t="shared" ref="S675:S676" si="1116">SUM(D675:G675)</f>
        <v>85.75</v>
      </c>
      <c r="T675" s="51">
        <f t="shared" si="1115"/>
        <v>85.75</v>
      </c>
      <c r="U675" s="51">
        <f t="shared" ref="U675:U677" si="1117">SUM(H675:K675)</f>
        <v>9</v>
      </c>
      <c r="V675" s="34"/>
      <c r="W675" s="52">
        <v>25</v>
      </c>
      <c r="X675" s="53">
        <f t="shared" si="1112"/>
        <v>2328.125</v>
      </c>
      <c r="Y675" s="53">
        <f t="shared" si="1107"/>
        <v>200</v>
      </c>
      <c r="Z675" s="53">
        <f t="shared" si="1113"/>
        <v>0</v>
      </c>
      <c r="AA675" s="54">
        <f t="shared" si="1099"/>
        <v>25</v>
      </c>
      <c r="AB675" s="54">
        <f t="shared" si="1114"/>
        <v>2315.625</v>
      </c>
      <c r="AC675" s="64">
        <f t="shared" si="1100"/>
        <v>-225</v>
      </c>
      <c r="AD675" s="209"/>
      <c r="AE675" s="64">
        <f t="shared" si="1108"/>
        <v>-12.5</v>
      </c>
      <c r="AF675" s="209"/>
      <c r="AG675" s="8"/>
    </row>
    <row r="676" spans="1:33" ht="14.65" thickBot="1" x14ac:dyDescent="0.5">
      <c r="A676" s="23">
        <f>A673</f>
        <v>44780</v>
      </c>
      <c r="B676" s="24" t="s">
        <v>63</v>
      </c>
      <c r="C676" s="49">
        <f t="shared" si="1109"/>
        <v>1672</v>
      </c>
      <c r="D676" s="25">
        <v>0</v>
      </c>
      <c r="E676" s="25">
        <v>0</v>
      </c>
      <c r="F676" s="25">
        <v>0</v>
      </c>
      <c r="G676" s="25">
        <v>0</v>
      </c>
      <c r="H676" s="25">
        <v>0</v>
      </c>
      <c r="I676" s="25">
        <v>0</v>
      </c>
      <c r="J676" s="25">
        <v>0</v>
      </c>
      <c r="K676" s="25">
        <v>44</v>
      </c>
      <c r="L676" s="46">
        <v>0</v>
      </c>
      <c r="M676" s="35"/>
      <c r="N676" s="25">
        <v>0</v>
      </c>
      <c r="O676" s="25">
        <v>0</v>
      </c>
      <c r="P676" s="25">
        <v>0</v>
      </c>
      <c r="Q676" s="25">
        <v>0</v>
      </c>
      <c r="R676" s="35"/>
      <c r="S676" s="25">
        <f t="shared" si="1116"/>
        <v>0</v>
      </c>
      <c r="T676" s="25">
        <f t="shared" si="1115"/>
        <v>0</v>
      </c>
      <c r="U676" s="25">
        <f t="shared" si="1117"/>
        <v>44</v>
      </c>
      <c r="V676" s="35"/>
      <c r="W676" s="46">
        <v>20.9</v>
      </c>
      <c r="X676" s="26">
        <f t="shared" si="1112"/>
        <v>0</v>
      </c>
      <c r="Y676" s="26">
        <f t="shared" si="1107"/>
        <v>0</v>
      </c>
      <c r="Z676" s="26">
        <f t="shared" si="1113"/>
        <v>0</v>
      </c>
      <c r="AA676" s="27">
        <f t="shared" ref="AA676:AA686" si="1118">(W676*1*K676)</f>
        <v>919.59999999999991</v>
      </c>
      <c r="AB676" s="27">
        <f t="shared" si="1114"/>
        <v>0</v>
      </c>
      <c r="AC676" s="65">
        <f t="shared" ref="AC676:AC686" si="1119">0-Y676-AA676</f>
        <v>-919.59999999999991</v>
      </c>
      <c r="AD676" s="210"/>
      <c r="AE676" s="65">
        <f t="shared" si="1108"/>
        <v>0</v>
      </c>
      <c r="AF676" s="210"/>
      <c r="AG676" s="8"/>
    </row>
    <row r="677" spans="1:33" x14ac:dyDescent="0.45">
      <c r="A677" s="16">
        <f>A676+14</f>
        <v>44794</v>
      </c>
      <c r="B677" s="17" t="s">
        <v>30</v>
      </c>
      <c r="C677" s="47">
        <f>120*W677</f>
        <v>3900</v>
      </c>
      <c r="D677" s="18">
        <v>0</v>
      </c>
      <c r="E677" s="18">
        <v>0</v>
      </c>
      <c r="F677" s="18">
        <v>0</v>
      </c>
      <c r="G677" s="18">
        <v>0</v>
      </c>
      <c r="H677" s="18">
        <v>0</v>
      </c>
      <c r="I677" s="18">
        <v>72</v>
      </c>
      <c r="J677" s="18">
        <v>0</v>
      </c>
      <c r="K677" s="18">
        <v>8</v>
      </c>
      <c r="L677" s="44">
        <v>0</v>
      </c>
      <c r="M677" s="33"/>
      <c r="N677" s="18">
        <v>0</v>
      </c>
      <c r="O677" s="18">
        <v>0</v>
      </c>
      <c r="P677" s="18">
        <v>0</v>
      </c>
      <c r="Q677" s="18">
        <v>0</v>
      </c>
      <c r="R677" s="33"/>
      <c r="S677" s="18">
        <f t="shared" ref="S677:S681" si="1120">SUM(D677:G677)</f>
        <v>0</v>
      </c>
      <c r="T677" s="18">
        <f t="shared" si="1115"/>
        <v>0</v>
      </c>
      <c r="U677" s="18">
        <f t="shared" si="1117"/>
        <v>80</v>
      </c>
      <c r="V677" s="33"/>
      <c r="W677" s="44">
        <v>32.5</v>
      </c>
      <c r="X677" s="19">
        <f t="shared" si="1112"/>
        <v>0</v>
      </c>
      <c r="Y677" s="19">
        <f t="shared" si="1107"/>
        <v>2340</v>
      </c>
      <c r="Z677" s="19">
        <f t="shared" si="1113"/>
        <v>0</v>
      </c>
      <c r="AA677" s="20">
        <f t="shared" si="1118"/>
        <v>260</v>
      </c>
      <c r="AB677" s="20">
        <f t="shared" si="1114"/>
        <v>0</v>
      </c>
      <c r="AC677" s="66">
        <f t="shared" si="1119"/>
        <v>-2600</v>
      </c>
      <c r="AD677" s="208"/>
      <c r="AE677" s="66">
        <f t="shared" si="1108"/>
        <v>0</v>
      </c>
      <c r="AF677" s="208">
        <f>SUM(AE677:AE686)</f>
        <v>94.25</v>
      </c>
      <c r="AG677" s="8"/>
    </row>
    <row r="678" spans="1:33" x14ac:dyDescent="0.45">
      <c r="A678" s="22">
        <f>A677</f>
        <v>44794</v>
      </c>
      <c r="B678" s="15" t="s">
        <v>4</v>
      </c>
      <c r="C678" s="48">
        <f>80*W678</f>
        <v>2400</v>
      </c>
      <c r="D678" s="13">
        <v>80</v>
      </c>
      <c r="E678" s="13">
        <v>16.25</v>
      </c>
      <c r="F678" s="13">
        <v>0</v>
      </c>
      <c r="G678" s="13">
        <v>11.5</v>
      </c>
      <c r="H678" s="13">
        <v>0</v>
      </c>
      <c r="I678" s="13">
        <v>0</v>
      </c>
      <c r="J678" s="13">
        <v>0</v>
      </c>
      <c r="K678" s="13">
        <v>0</v>
      </c>
      <c r="L678" s="45">
        <v>0</v>
      </c>
      <c r="M678" s="34"/>
      <c r="N678" s="13">
        <v>80</v>
      </c>
      <c r="O678" s="13">
        <v>16.25</v>
      </c>
      <c r="P678" s="13">
        <v>0</v>
      </c>
      <c r="Q678" s="13">
        <v>12</v>
      </c>
      <c r="R678" s="34"/>
      <c r="S678" s="13">
        <f t="shared" si="1120"/>
        <v>107.75</v>
      </c>
      <c r="T678" s="13">
        <f t="shared" si="1115"/>
        <v>108.25</v>
      </c>
      <c r="U678" s="13">
        <f>SUM(H678:K678)</f>
        <v>0</v>
      </c>
      <c r="V678" s="34"/>
      <c r="W678" s="45">
        <v>30</v>
      </c>
      <c r="X678" s="10">
        <f t="shared" si="1112"/>
        <v>3476.25</v>
      </c>
      <c r="Y678" s="10">
        <f t="shared" si="1107"/>
        <v>0</v>
      </c>
      <c r="Z678" s="10">
        <f t="shared" si="1113"/>
        <v>0</v>
      </c>
      <c r="AA678" s="14">
        <f t="shared" si="1118"/>
        <v>0</v>
      </c>
      <c r="AB678" s="14">
        <f t="shared" si="1114"/>
        <v>3491.25</v>
      </c>
      <c r="AC678" s="63">
        <f t="shared" si="1119"/>
        <v>0</v>
      </c>
      <c r="AD678" s="209"/>
      <c r="AE678" s="63">
        <f t="shared" si="1108"/>
        <v>15</v>
      </c>
      <c r="AF678" s="209"/>
      <c r="AG678" s="8"/>
    </row>
    <row r="679" spans="1:33" x14ac:dyDescent="0.45">
      <c r="A679" s="22">
        <f t="shared" ref="A679:A683" si="1121">A678</f>
        <v>44794</v>
      </c>
      <c r="B679" s="15" t="s">
        <v>5</v>
      </c>
      <c r="C679" s="48">
        <f>120*W679</f>
        <v>3480</v>
      </c>
      <c r="D679" s="13">
        <v>74</v>
      </c>
      <c r="E679" s="13">
        <v>0</v>
      </c>
      <c r="F679" s="13">
        <v>0</v>
      </c>
      <c r="G679" s="13">
        <v>0</v>
      </c>
      <c r="H679" s="13">
        <v>0</v>
      </c>
      <c r="I679" s="13">
        <v>8</v>
      </c>
      <c r="J679" s="13">
        <v>0</v>
      </c>
      <c r="K679" s="13">
        <v>0</v>
      </c>
      <c r="L679" s="45">
        <v>0</v>
      </c>
      <c r="M679" s="34"/>
      <c r="N679" s="13">
        <v>74</v>
      </c>
      <c r="O679" s="13">
        <v>0</v>
      </c>
      <c r="P679" s="13">
        <v>0</v>
      </c>
      <c r="Q679" s="13">
        <v>0</v>
      </c>
      <c r="R679" s="34"/>
      <c r="S679" s="13">
        <f t="shared" si="1120"/>
        <v>74</v>
      </c>
      <c r="T679" s="13">
        <f t="shared" si="1115"/>
        <v>74</v>
      </c>
      <c r="U679" s="13">
        <f t="shared" ref="U679:U681" si="1122">SUM(H679:K679)</f>
        <v>8</v>
      </c>
      <c r="V679" s="34"/>
      <c r="W679" s="45">
        <v>29</v>
      </c>
      <c r="X679" s="10">
        <f t="shared" si="1112"/>
        <v>2146</v>
      </c>
      <c r="Y679" s="10">
        <f t="shared" si="1107"/>
        <v>232</v>
      </c>
      <c r="Z679" s="10">
        <f t="shared" si="1113"/>
        <v>0</v>
      </c>
      <c r="AA679" s="14">
        <f t="shared" si="1118"/>
        <v>0</v>
      </c>
      <c r="AB679" s="14">
        <f t="shared" si="1114"/>
        <v>2146</v>
      </c>
      <c r="AC679" s="63">
        <f t="shared" si="1119"/>
        <v>-232</v>
      </c>
      <c r="AD679" s="209"/>
      <c r="AE679" s="63">
        <f t="shared" si="1108"/>
        <v>0</v>
      </c>
      <c r="AF679" s="209"/>
      <c r="AG679" s="8"/>
    </row>
    <row r="680" spans="1:33" x14ac:dyDescent="0.45">
      <c r="A680" s="22">
        <f t="shared" si="1121"/>
        <v>44794</v>
      </c>
      <c r="B680" s="15" t="s">
        <v>6</v>
      </c>
      <c r="C680" s="48">
        <f>80*W680</f>
        <v>2400</v>
      </c>
      <c r="D680" s="13">
        <v>40</v>
      </c>
      <c r="E680" s="13">
        <v>3</v>
      </c>
      <c r="F680" s="13">
        <v>0</v>
      </c>
      <c r="G680" s="13">
        <v>0</v>
      </c>
      <c r="H680" s="13">
        <v>0</v>
      </c>
      <c r="I680" s="13">
        <v>0</v>
      </c>
      <c r="J680" s="13">
        <v>0</v>
      </c>
      <c r="K680" s="13">
        <v>0</v>
      </c>
      <c r="L680" s="45">
        <v>0</v>
      </c>
      <c r="M680" s="34"/>
      <c r="N680" s="13">
        <v>40</v>
      </c>
      <c r="O680" s="13">
        <v>4</v>
      </c>
      <c r="P680" s="13">
        <v>0</v>
      </c>
      <c r="Q680" s="13">
        <v>0</v>
      </c>
      <c r="R680" s="34"/>
      <c r="S680" s="13">
        <f t="shared" si="1120"/>
        <v>43</v>
      </c>
      <c r="T680" s="13">
        <f t="shared" si="1115"/>
        <v>44</v>
      </c>
      <c r="U680" s="13">
        <f t="shared" si="1122"/>
        <v>0</v>
      </c>
      <c r="V680" s="34"/>
      <c r="W680" s="45">
        <v>30</v>
      </c>
      <c r="X680" s="10">
        <f>(W680*1*D680)+(W680*1.5*E680)+(W680*2*F680)+(W680*1*G680)</f>
        <v>1335</v>
      </c>
      <c r="Y680" s="10">
        <f t="shared" si="1107"/>
        <v>0</v>
      </c>
      <c r="Z680" s="10">
        <f t="shared" si="1113"/>
        <v>0</v>
      </c>
      <c r="AA680" s="14">
        <f t="shared" si="1118"/>
        <v>0</v>
      </c>
      <c r="AB680" s="14">
        <f t="shared" si="1114"/>
        <v>1380</v>
      </c>
      <c r="AC680" s="63">
        <f t="shared" si="1119"/>
        <v>0</v>
      </c>
      <c r="AD680" s="209"/>
      <c r="AE680" s="63">
        <f t="shared" si="1108"/>
        <v>45</v>
      </c>
      <c r="AF680" s="209"/>
      <c r="AG680" s="8"/>
    </row>
    <row r="681" spans="1:33" x14ac:dyDescent="0.45">
      <c r="A681" s="22">
        <f>A680</f>
        <v>44794</v>
      </c>
      <c r="B681" s="15" t="s">
        <v>9</v>
      </c>
      <c r="C681" s="48">
        <f>120*W681</f>
        <v>3600</v>
      </c>
      <c r="D681" s="13">
        <v>80</v>
      </c>
      <c r="E681" s="13">
        <v>20</v>
      </c>
      <c r="F681" s="13">
        <v>0</v>
      </c>
      <c r="G681" s="13">
        <v>10</v>
      </c>
      <c r="H681" s="13">
        <v>0</v>
      </c>
      <c r="I681" s="13">
        <v>0</v>
      </c>
      <c r="J681" s="13">
        <v>0</v>
      </c>
      <c r="K681" s="13">
        <v>0</v>
      </c>
      <c r="L681" s="45">
        <v>0</v>
      </c>
      <c r="M681" s="34"/>
      <c r="N681" s="13">
        <v>80</v>
      </c>
      <c r="O681" s="13">
        <v>20</v>
      </c>
      <c r="P681" s="13">
        <v>0</v>
      </c>
      <c r="Q681" s="13">
        <v>10</v>
      </c>
      <c r="R681" s="34"/>
      <c r="S681" s="13">
        <f t="shared" si="1120"/>
        <v>110</v>
      </c>
      <c r="T681" s="13">
        <f t="shared" si="1115"/>
        <v>110</v>
      </c>
      <c r="U681" s="13">
        <f t="shared" si="1122"/>
        <v>0</v>
      </c>
      <c r="V681" s="34"/>
      <c r="W681" s="45">
        <v>30</v>
      </c>
      <c r="X681" s="10">
        <f t="shared" ref="X681" si="1123">(W681*1*D681)+(W681*1.5*E681)+(W681*2*F681)+(W681*1*G681)</f>
        <v>3600</v>
      </c>
      <c r="Y681" s="10">
        <f>(W681*0*H681)+(W681*1*I681)</f>
        <v>0</v>
      </c>
      <c r="Z681" s="10">
        <f t="shared" si="1113"/>
        <v>0</v>
      </c>
      <c r="AA681" s="14">
        <f t="shared" si="1118"/>
        <v>0</v>
      </c>
      <c r="AB681" s="14">
        <f t="shared" si="1114"/>
        <v>3600</v>
      </c>
      <c r="AC681" s="63">
        <f t="shared" si="1119"/>
        <v>0</v>
      </c>
      <c r="AD681" s="209"/>
      <c r="AE681" s="63">
        <f t="shared" si="1108"/>
        <v>0</v>
      </c>
      <c r="AF681" s="209"/>
      <c r="AG681" s="8"/>
    </row>
    <row r="682" spans="1:33" x14ac:dyDescent="0.45">
      <c r="A682" s="22">
        <f t="shared" si="1121"/>
        <v>44794</v>
      </c>
      <c r="B682" s="50" t="s">
        <v>31</v>
      </c>
      <c r="C682" s="48">
        <f>120*W682</f>
        <v>3600</v>
      </c>
      <c r="D682" s="51">
        <v>80</v>
      </c>
      <c r="E682" s="51">
        <v>39</v>
      </c>
      <c r="F682" s="51">
        <v>12</v>
      </c>
      <c r="G682" s="51">
        <v>10.75</v>
      </c>
      <c r="H682" s="51">
        <v>0</v>
      </c>
      <c r="I682" s="51">
        <v>0</v>
      </c>
      <c r="J682" s="51">
        <v>0</v>
      </c>
      <c r="K682" s="51">
        <v>0</v>
      </c>
      <c r="L682" s="52">
        <v>0</v>
      </c>
      <c r="M682" s="34"/>
      <c r="N682" s="13">
        <v>80</v>
      </c>
      <c r="O682" s="13">
        <v>38.25</v>
      </c>
      <c r="P682" s="13">
        <v>12.75</v>
      </c>
      <c r="Q682" s="13">
        <v>10.75</v>
      </c>
      <c r="R682" s="34"/>
      <c r="S682" s="51">
        <f t="shared" ref="S682" si="1124">SUM(D682:G682)</f>
        <v>141.75</v>
      </c>
      <c r="T682" s="51">
        <f>SUM(N682:Q682)</f>
        <v>141.75</v>
      </c>
      <c r="U682" s="51">
        <f t="shared" ref="U682" si="1125">SUM(H682:K682)</f>
        <v>0</v>
      </c>
      <c r="V682" s="34"/>
      <c r="W682" s="52">
        <v>30</v>
      </c>
      <c r="X682" s="53">
        <f>(W682*1*D682)+(W682*1.5*E682)+(W682*2*F682)+(W682*1*G682)</f>
        <v>5197.5</v>
      </c>
      <c r="Y682" s="53">
        <f t="shared" ref="Y682:Y690" si="1126">(W682*0*H682)+(W682*1*I682)</f>
        <v>0</v>
      </c>
      <c r="Z682" s="53">
        <f>(W682*1*J682)+L682</f>
        <v>0</v>
      </c>
      <c r="AA682" s="54">
        <f t="shared" si="1118"/>
        <v>0</v>
      </c>
      <c r="AB682" s="54">
        <f>(W682*1*N682)+(W682*1.5*O682)+(W682*2*P682)+(W682*1*Q682)</f>
        <v>5208.75</v>
      </c>
      <c r="AC682" s="64">
        <f t="shared" si="1119"/>
        <v>0</v>
      </c>
      <c r="AD682" s="209"/>
      <c r="AE682" s="64">
        <f t="shared" ref="AE682:AE691" si="1127">AB682-(X682+Z682)</f>
        <v>11.25</v>
      </c>
      <c r="AF682" s="209"/>
      <c r="AG682" s="8"/>
    </row>
    <row r="683" spans="1:33" x14ac:dyDescent="0.45">
      <c r="A683" s="22">
        <f t="shared" si="1121"/>
        <v>44794</v>
      </c>
      <c r="B683" s="50" t="s">
        <v>64</v>
      </c>
      <c r="C683" s="48">
        <f t="shared" ref="C683:C686" si="1128">80*W683</f>
        <v>1512</v>
      </c>
      <c r="D683" s="51">
        <v>0</v>
      </c>
      <c r="E683" s="51">
        <v>0</v>
      </c>
      <c r="F683" s="51">
        <v>0</v>
      </c>
      <c r="G683" s="51">
        <v>0</v>
      </c>
      <c r="H683" s="51">
        <v>0</v>
      </c>
      <c r="I683" s="51">
        <v>0</v>
      </c>
      <c r="J683" s="51">
        <v>0</v>
      </c>
      <c r="K683" s="51">
        <v>40</v>
      </c>
      <c r="L683" s="52">
        <v>0</v>
      </c>
      <c r="M683" s="34"/>
      <c r="N683" s="51">
        <v>0</v>
      </c>
      <c r="O683" s="51">
        <v>0</v>
      </c>
      <c r="P683" s="51">
        <v>0</v>
      </c>
      <c r="Q683" s="51">
        <v>0</v>
      </c>
      <c r="R683" s="34"/>
      <c r="S683" s="51">
        <f t="shared" ref="S683:S685" si="1129">SUM(D683:G683)</f>
        <v>0</v>
      </c>
      <c r="T683" s="51">
        <f>SUM(N683:Q683)</f>
        <v>0</v>
      </c>
      <c r="U683" s="51">
        <f t="shared" ref="U683:U685" si="1130">SUM(H683:K683)</f>
        <v>40</v>
      </c>
      <c r="V683" s="34"/>
      <c r="W683" s="52">
        <v>18.899999999999999</v>
      </c>
      <c r="X683" s="53">
        <f t="shared" ref="X683:X689" si="1131">(W683*1*D683)+(W683*1.5*E683)+(W683*2*F683)+(W683*1*G683)</f>
        <v>0</v>
      </c>
      <c r="Y683" s="53">
        <f t="shared" si="1126"/>
        <v>0</v>
      </c>
      <c r="Z683" s="53">
        <f t="shared" ref="Z683:Z691" si="1132">(W683*1*J683)+L683</f>
        <v>0</v>
      </c>
      <c r="AA683" s="54">
        <f t="shared" si="1118"/>
        <v>756</v>
      </c>
      <c r="AB683" s="54">
        <f t="shared" ref="AB683:AB691" si="1133">(W683*1*N683)+(W683*1.5*O683)+(W683*2*P683)+(W683*1*Q683)</f>
        <v>0</v>
      </c>
      <c r="AC683" s="64">
        <f t="shared" si="1119"/>
        <v>-756</v>
      </c>
      <c r="AD683" s="209"/>
      <c r="AE683" s="64">
        <f t="shared" si="1127"/>
        <v>0</v>
      </c>
      <c r="AF683" s="209"/>
      <c r="AG683" s="8"/>
    </row>
    <row r="684" spans="1:33" x14ac:dyDescent="0.45">
      <c r="A684" s="22">
        <f>A683</f>
        <v>44794</v>
      </c>
      <c r="B684" s="50" t="s">
        <v>53</v>
      </c>
      <c r="C684" s="48">
        <f t="shared" si="1128"/>
        <v>1840</v>
      </c>
      <c r="D684" s="51">
        <v>40</v>
      </c>
      <c r="E684" s="51">
        <v>11</v>
      </c>
      <c r="F684" s="51">
        <v>0</v>
      </c>
      <c r="G684" s="51">
        <v>9.5</v>
      </c>
      <c r="H684" s="51">
        <v>0</v>
      </c>
      <c r="I684" s="51">
        <v>40</v>
      </c>
      <c r="J684" s="51">
        <v>0</v>
      </c>
      <c r="K684" s="51">
        <v>0</v>
      </c>
      <c r="L684" s="52">
        <v>0</v>
      </c>
      <c r="M684" s="34"/>
      <c r="N684" s="13">
        <v>40</v>
      </c>
      <c r="O684" s="13">
        <v>10.5</v>
      </c>
      <c r="P684" s="13">
        <v>0.5</v>
      </c>
      <c r="Q684" s="13">
        <v>9.5</v>
      </c>
      <c r="R684" s="34"/>
      <c r="S684" s="51">
        <f t="shared" si="1129"/>
        <v>60.5</v>
      </c>
      <c r="T684" s="51">
        <f>SUM(N684:Q684)</f>
        <v>60.5</v>
      </c>
      <c r="U684" s="51">
        <f t="shared" si="1130"/>
        <v>40</v>
      </c>
      <c r="V684" s="34"/>
      <c r="W684" s="52">
        <v>23</v>
      </c>
      <c r="X684" s="53">
        <f t="shared" si="1131"/>
        <v>1518</v>
      </c>
      <c r="Y684" s="53">
        <f t="shared" si="1126"/>
        <v>920</v>
      </c>
      <c r="Z684" s="53">
        <f t="shared" si="1132"/>
        <v>0</v>
      </c>
      <c r="AA684" s="54">
        <f t="shared" si="1118"/>
        <v>0</v>
      </c>
      <c r="AB684" s="54">
        <f t="shared" si="1133"/>
        <v>1523.75</v>
      </c>
      <c r="AC684" s="64">
        <f t="shared" si="1119"/>
        <v>-920</v>
      </c>
      <c r="AD684" s="209"/>
      <c r="AE684" s="64">
        <f t="shared" si="1127"/>
        <v>5.75</v>
      </c>
      <c r="AF684" s="209"/>
      <c r="AG684" s="8"/>
    </row>
    <row r="685" spans="1:33" x14ac:dyDescent="0.45">
      <c r="A685" s="22">
        <f>A683</f>
        <v>44794</v>
      </c>
      <c r="B685" s="50" t="s">
        <v>54</v>
      </c>
      <c r="C685" s="48">
        <f t="shared" si="1128"/>
        <v>1840</v>
      </c>
      <c r="D685" s="51">
        <v>40</v>
      </c>
      <c r="E685" s="51">
        <v>5.5</v>
      </c>
      <c r="F685" s="51">
        <v>0</v>
      </c>
      <c r="G685" s="51">
        <v>0</v>
      </c>
      <c r="H685" s="51">
        <v>0</v>
      </c>
      <c r="I685" s="51">
        <v>40</v>
      </c>
      <c r="J685" s="51">
        <v>0</v>
      </c>
      <c r="K685" s="51">
        <v>0</v>
      </c>
      <c r="L685" s="52">
        <v>0</v>
      </c>
      <c r="M685" s="34"/>
      <c r="N685" s="51">
        <v>40</v>
      </c>
      <c r="O685" s="51">
        <v>6</v>
      </c>
      <c r="P685" s="51">
        <v>0</v>
      </c>
      <c r="Q685" s="51">
        <v>0</v>
      </c>
      <c r="R685" s="34"/>
      <c r="S685" s="51">
        <f t="shared" si="1129"/>
        <v>45.5</v>
      </c>
      <c r="T685" s="51">
        <f t="shared" ref="T685:T691" si="1134">SUM(N685:Q685)</f>
        <v>46</v>
      </c>
      <c r="U685" s="51">
        <f t="shared" si="1130"/>
        <v>40</v>
      </c>
      <c r="V685" s="34"/>
      <c r="W685" s="52">
        <v>23</v>
      </c>
      <c r="X685" s="53">
        <f t="shared" si="1131"/>
        <v>1109.75</v>
      </c>
      <c r="Y685" s="53">
        <f t="shared" si="1126"/>
        <v>920</v>
      </c>
      <c r="Z685" s="53">
        <f t="shared" si="1132"/>
        <v>0</v>
      </c>
      <c r="AA685" s="54">
        <f t="shared" si="1118"/>
        <v>0</v>
      </c>
      <c r="AB685" s="54">
        <f t="shared" si="1133"/>
        <v>1127</v>
      </c>
      <c r="AC685" s="64">
        <f t="shared" si="1119"/>
        <v>-920</v>
      </c>
      <c r="AD685" s="209"/>
      <c r="AE685" s="64">
        <f t="shared" si="1127"/>
        <v>17.25</v>
      </c>
      <c r="AF685" s="209"/>
      <c r="AG685" s="8"/>
    </row>
    <row r="686" spans="1:33" ht="14.65" thickBot="1" x14ac:dyDescent="0.5">
      <c r="A686" s="23">
        <f>A683</f>
        <v>44794</v>
      </c>
      <c r="B686" s="24" t="s">
        <v>62</v>
      </c>
      <c r="C686" s="49">
        <f t="shared" si="1128"/>
        <v>2000</v>
      </c>
      <c r="D686" s="25">
        <v>80</v>
      </c>
      <c r="E686" s="25">
        <v>17.5</v>
      </c>
      <c r="F686" s="25">
        <v>0</v>
      </c>
      <c r="G686" s="25">
        <v>0</v>
      </c>
      <c r="H686" s="25">
        <v>0</v>
      </c>
      <c r="I686" s="25">
        <v>0</v>
      </c>
      <c r="J686" s="25">
        <v>0</v>
      </c>
      <c r="K686" s="25">
        <v>0</v>
      </c>
      <c r="L686" s="46">
        <v>0</v>
      </c>
      <c r="M686" s="35"/>
      <c r="N686" s="25">
        <v>80</v>
      </c>
      <c r="O686" s="25">
        <v>17.5</v>
      </c>
      <c r="P686" s="25">
        <v>0</v>
      </c>
      <c r="Q686" s="25">
        <v>0</v>
      </c>
      <c r="R686" s="35"/>
      <c r="S686" s="25">
        <f t="shared" ref="S686" si="1135">SUM(D686:G686)</f>
        <v>97.5</v>
      </c>
      <c r="T686" s="25">
        <f t="shared" si="1134"/>
        <v>97.5</v>
      </c>
      <c r="U686" s="25">
        <f t="shared" ref="U686:U687" si="1136">SUM(H686:K686)</f>
        <v>0</v>
      </c>
      <c r="V686" s="35"/>
      <c r="W686" s="46">
        <v>25</v>
      </c>
      <c r="X686" s="26">
        <f t="shared" si="1131"/>
        <v>2656.25</v>
      </c>
      <c r="Y686" s="26">
        <f t="shared" si="1126"/>
        <v>0</v>
      </c>
      <c r="Z686" s="26">
        <f t="shared" si="1132"/>
        <v>0</v>
      </c>
      <c r="AA686" s="27">
        <f t="shared" si="1118"/>
        <v>0</v>
      </c>
      <c r="AB686" s="27">
        <f t="shared" si="1133"/>
        <v>2656.25</v>
      </c>
      <c r="AC686" s="65">
        <f t="shared" si="1119"/>
        <v>0</v>
      </c>
      <c r="AD686" s="210"/>
      <c r="AE686" s="65">
        <f t="shared" si="1127"/>
        <v>0</v>
      </c>
      <c r="AF686" s="210"/>
      <c r="AG686" s="8"/>
    </row>
    <row r="687" spans="1:33" x14ac:dyDescent="0.45">
      <c r="A687" s="16">
        <f>A686+14</f>
        <v>44808</v>
      </c>
      <c r="B687" s="17" t="s">
        <v>30</v>
      </c>
      <c r="C687" s="47">
        <f>120*W687</f>
        <v>3900</v>
      </c>
      <c r="D687" s="18">
        <v>40</v>
      </c>
      <c r="E687" s="18">
        <v>1</v>
      </c>
      <c r="F687" s="18">
        <v>0</v>
      </c>
      <c r="G687" s="18">
        <v>0</v>
      </c>
      <c r="H687" s="18">
        <v>0</v>
      </c>
      <c r="I687" s="18">
        <v>40</v>
      </c>
      <c r="J687" s="18">
        <v>0</v>
      </c>
      <c r="K687" s="18">
        <v>0</v>
      </c>
      <c r="L687" s="44">
        <v>0</v>
      </c>
      <c r="M687" s="33"/>
      <c r="N687" s="18">
        <v>40</v>
      </c>
      <c r="O687" s="18">
        <v>1</v>
      </c>
      <c r="P687" s="18">
        <v>0</v>
      </c>
      <c r="Q687" s="18">
        <v>0</v>
      </c>
      <c r="R687" s="33"/>
      <c r="S687" s="18">
        <f t="shared" ref="S687:S691" si="1137">SUM(D687:G687)</f>
        <v>41</v>
      </c>
      <c r="T687" s="18">
        <f t="shared" si="1134"/>
        <v>41</v>
      </c>
      <c r="U687" s="18">
        <f t="shared" si="1136"/>
        <v>40</v>
      </c>
      <c r="V687" s="33"/>
      <c r="W687" s="44">
        <v>32.5</v>
      </c>
      <c r="X687" s="19">
        <f t="shared" si="1131"/>
        <v>1348.75</v>
      </c>
      <c r="Y687" s="19">
        <f t="shared" si="1126"/>
        <v>1300</v>
      </c>
      <c r="Z687" s="19">
        <f t="shared" si="1132"/>
        <v>0</v>
      </c>
      <c r="AA687" s="20">
        <f t="shared" ref="AA687:AA696" si="1138">(W687*1*K687)</f>
        <v>0</v>
      </c>
      <c r="AB687" s="20">
        <f t="shared" si="1133"/>
        <v>1348.75</v>
      </c>
      <c r="AC687" s="66">
        <f t="shared" ref="AC687:AC696" si="1139">0-Y687-AA687</f>
        <v>-1300</v>
      </c>
      <c r="AD687" s="208"/>
      <c r="AE687" s="66">
        <f t="shared" si="1127"/>
        <v>0</v>
      </c>
      <c r="AF687" s="208">
        <f>SUM(AE687:AE696)</f>
        <v>-6067.9</v>
      </c>
      <c r="AG687" s="8"/>
    </row>
    <row r="688" spans="1:33" x14ac:dyDescent="0.45">
      <c r="A688" s="22">
        <f>A687</f>
        <v>44808</v>
      </c>
      <c r="B688" s="15" t="s">
        <v>4</v>
      </c>
      <c r="C688" s="48">
        <f>80*W688</f>
        <v>2400</v>
      </c>
      <c r="D688" s="13">
        <v>80</v>
      </c>
      <c r="E688" s="13">
        <v>27.25</v>
      </c>
      <c r="F688" s="13">
        <v>14</v>
      </c>
      <c r="G688" s="13">
        <v>11</v>
      </c>
      <c r="H688" s="13">
        <v>0</v>
      </c>
      <c r="I688" s="13">
        <v>0</v>
      </c>
      <c r="J688" s="13">
        <v>0</v>
      </c>
      <c r="K688" s="13">
        <v>0</v>
      </c>
      <c r="L688" s="45">
        <v>0</v>
      </c>
      <c r="M688" s="34"/>
      <c r="N688" s="13">
        <v>80</v>
      </c>
      <c r="O688" s="13">
        <v>26.25</v>
      </c>
      <c r="P688" s="13">
        <v>15</v>
      </c>
      <c r="Q688" s="13">
        <v>11</v>
      </c>
      <c r="R688" s="34"/>
      <c r="S688" s="13">
        <f t="shared" si="1137"/>
        <v>132.25</v>
      </c>
      <c r="T688" s="13">
        <f t="shared" si="1134"/>
        <v>132.25</v>
      </c>
      <c r="U688" s="13">
        <f>SUM(H688:K688)</f>
        <v>0</v>
      </c>
      <c r="V688" s="34"/>
      <c r="W688" s="45">
        <v>30</v>
      </c>
      <c r="X688" s="10">
        <f t="shared" si="1131"/>
        <v>4796.25</v>
      </c>
      <c r="Y688" s="10">
        <f t="shared" si="1126"/>
        <v>0</v>
      </c>
      <c r="Z688" s="10">
        <f t="shared" si="1132"/>
        <v>0</v>
      </c>
      <c r="AA688" s="14">
        <f t="shared" si="1138"/>
        <v>0</v>
      </c>
      <c r="AB688" s="14">
        <f t="shared" si="1133"/>
        <v>4811.25</v>
      </c>
      <c r="AC688" s="63">
        <f t="shared" si="1139"/>
        <v>0</v>
      </c>
      <c r="AD688" s="209"/>
      <c r="AE688" s="63">
        <f t="shared" si="1127"/>
        <v>15</v>
      </c>
      <c r="AF688" s="209"/>
      <c r="AG688" s="8"/>
    </row>
    <row r="689" spans="1:33" x14ac:dyDescent="0.45">
      <c r="A689" s="22">
        <f t="shared" ref="A689:A693" si="1140">A688</f>
        <v>44808</v>
      </c>
      <c r="B689" s="15" t="s">
        <v>5</v>
      </c>
      <c r="C689" s="48">
        <f>120*W689</f>
        <v>3480</v>
      </c>
      <c r="D689" s="13">
        <v>80</v>
      </c>
      <c r="E689" s="13">
        <v>23.25</v>
      </c>
      <c r="F689" s="13">
        <v>0</v>
      </c>
      <c r="G689" s="13">
        <v>23</v>
      </c>
      <c r="H689" s="13">
        <v>0</v>
      </c>
      <c r="I689" s="13">
        <v>0</v>
      </c>
      <c r="J689" s="13">
        <v>0</v>
      </c>
      <c r="K689" s="13">
        <v>0</v>
      </c>
      <c r="L689" s="45">
        <v>0</v>
      </c>
      <c r="M689" s="34"/>
      <c r="N689" s="13">
        <v>40</v>
      </c>
      <c r="O689" s="13">
        <v>6.25</v>
      </c>
      <c r="P689" s="13">
        <v>0</v>
      </c>
      <c r="Q689" s="13">
        <v>0</v>
      </c>
      <c r="R689" s="34"/>
      <c r="S689" s="13">
        <f t="shared" si="1137"/>
        <v>126.25</v>
      </c>
      <c r="T689" s="13">
        <f t="shared" si="1134"/>
        <v>46.25</v>
      </c>
      <c r="U689" s="13">
        <f t="shared" ref="U689:U691" si="1141">SUM(H689:K689)</f>
        <v>0</v>
      </c>
      <c r="V689" s="34"/>
      <c r="W689" s="45">
        <v>29</v>
      </c>
      <c r="X689" s="10">
        <f t="shared" si="1131"/>
        <v>3998.375</v>
      </c>
      <c r="Y689" s="10">
        <f t="shared" si="1126"/>
        <v>0</v>
      </c>
      <c r="Z689" s="10">
        <f t="shared" si="1132"/>
        <v>0</v>
      </c>
      <c r="AA689" s="14">
        <f t="shared" si="1138"/>
        <v>0</v>
      </c>
      <c r="AB689" s="14">
        <f t="shared" si="1133"/>
        <v>1431.875</v>
      </c>
      <c r="AC689" s="63">
        <f t="shared" si="1139"/>
        <v>0</v>
      </c>
      <c r="AD689" s="209"/>
      <c r="AE689" s="63">
        <f t="shared" si="1127"/>
        <v>-2566.5</v>
      </c>
      <c r="AF689" s="209"/>
      <c r="AG689" s="8"/>
    </row>
    <row r="690" spans="1:33" x14ac:dyDescent="0.45">
      <c r="A690" s="22">
        <f t="shared" si="1140"/>
        <v>44808</v>
      </c>
      <c r="B690" s="15" t="s">
        <v>6</v>
      </c>
      <c r="C690" s="48">
        <f>80*W690</f>
        <v>2400</v>
      </c>
      <c r="D690" s="13">
        <v>80</v>
      </c>
      <c r="E690" s="13">
        <v>24</v>
      </c>
      <c r="F690" s="13">
        <v>12</v>
      </c>
      <c r="G690" s="13">
        <v>3</v>
      </c>
      <c r="H690" s="13">
        <v>0</v>
      </c>
      <c r="I690" s="13">
        <v>0</v>
      </c>
      <c r="J690" s="13">
        <v>0</v>
      </c>
      <c r="K690" s="13">
        <v>0</v>
      </c>
      <c r="L690" s="45">
        <v>0</v>
      </c>
      <c r="M690" s="34"/>
      <c r="N690" s="13">
        <v>80</v>
      </c>
      <c r="O690" s="13">
        <v>24.75</v>
      </c>
      <c r="P690" s="13">
        <v>12.25</v>
      </c>
      <c r="Q690" s="13">
        <v>2</v>
      </c>
      <c r="R690" s="34"/>
      <c r="S690" s="13">
        <f t="shared" si="1137"/>
        <v>119</v>
      </c>
      <c r="T690" s="13">
        <f t="shared" si="1134"/>
        <v>119</v>
      </c>
      <c r="U690" s="13">
        <f t="shared" si="1141"/>
        <v>0</v>
      </c>
      <c r="V690" s="34"/>
      <c r="W690" s="45">
        <v>30</v>
      </c>
      <c r="X690" s="10">
        <f>(W690*1*D690)+(W690*1.5*E690)+(W690*2*F690)+(W690*1*G690)</f>
        <v>4290</v>
      </c>
      <c r="Y690" s="10">
        <f t="shared" si="1126"/>
        <v>0</v>
      </c>
      <c r="Z690" s="10">
        <f t="shared" si="1132"/>
        <v>0</v>
      </c>
      <c r="AA690" s="14">
        <f t="shared" si="1138"/>
        <v>0</v>
      </c>
      <c r="AB690" s="14">
        <f t="shared" si="1133"/>
        <v>4308.75</v>
      </c>
      <c r="AC690" s="63">
        <f t="shared" si="1139"/>
        <v>0</v>
      </c>
      <c r="AD690" s="209"/>
      <c r="AE690" s="63">
        <f t="shared" si="1127"/>
        <v>18.75</v>
      </c>
      <c r="AF690" s="209"/>
      <c r="AG690" s="8"/>
    </row>
    <row r="691" spans="1:33" x14ac:dyDescent="0.45">
      <c r="A691" s="22">
        <f>A690</f>
        <v>44808</v>
      </c>
      <c r="B691" s="15" t="s">
        <v>9</v>
      </c>
      <c r="C691" s="48">
        <f>120*W691</f>
        <v>3600</v>
      </c>
      <c r="D691" s="13">
        <v>80</v>
      </c>
      <c r="E691" s="13">
        <v>38</v>
      </c>
      <c r="F691" s="13">
        <v>8</v>
      </c>
      <c r="G691" s="13">
        <v>13</v>
      </c>
      <c r="H691" s="13">
        <v>0</v>
      </c>
      <c r="I691" s="13">
        <v>0</v>
      </c>
      <c r="J691" s="13">
        <v>0</v>
      </c>
      <c r="K691" s="13">
        <v>0</v>
      </c>
      <c r="L691" s="45">
        <v>0</v>
      </c>
      <c r="M691" s="34"/>
      <c r="N691" s="13">
        <v>80</v>
      </c>
      <c r="O691" s="13">
        <v>38</v>
      </c>
      <c r="P691" s="13">
        <v>8</v>
      </c>
      <c r="Q691" s="13">
        <v>13</v>
      </c>
      <c r="R691" s="34"/>
      <c r="S691" s="13">
        <f t="shared" si="1137"/>
        <v>139</v>
      </c>
      <c r="T691" s="13">
        <f t="shared" si="1134"/>
        <v>139</v>
      </c>
      <c r="U691" s="13">
        <f t="shared" si="1141"/>
        <v>0</v>
      </c>
      <c r="V691" s="34"/>
      <c r="W691" s="45">
        <v>30</v>
      </c>
      <c r="X691" s="10">
        <f t="shared" ref="X691" si="1142">(W691*1*D691)+(W691*1.5*E691)+(W691*2*F691)+(W691*1*G691)</f>
        <v>4980</v>
      </c>
      <c r="Y691" s="10">
        <f>(W691*0*H691)+(W691*1*I691)</f>
        <v>0</v>
      </c>
      <c r="Z691" s="10">
        <f t="shared" si="1132"/>
        <v>0</v>
      </c>
      <c r="AA691" s="14">
        <f t="shared" si="1138"/>
        <v>0</v>
      </c>
      <c r="AB691" s="14">
        <f t="shared" si="1133"/>
        <v>4980</v>
      </c>
      <c r="AC691" s="63">
        <f t="shared" si="1139"/>
        <v>0</v>
      </c>
      <c r="AD691" s="209"/>
      <c r="AE691" s="63">
        <f t="shared" si="1127"/>
        <v>0</v>
      </c>
      <c r="AF691" s="209"/>
      <c r="AG691" s="8"/>
    </row>
    <row r="692" spans="1:33" x14ac:dyDescent="0.45">
      <c r="A692" s="22">
        <f t="shared" si="1140"/>
        <v>44808</v>
      </c>
      <c r="B692" s="50" t="s">
        <v>31</v>
      </c>
      <c r="C692" s="48">
        <f>120*W692</f>
        <v>3600</v>
      </c>
      <c r="D692" s="51">
        <v>80</v>
      </c>
      <c r="E692" s="51">
        <v>20.5</v>
      </c>
      <c r="F692" s="51">
        <v>0</v>
      </c>
      <c r="G692" s="51">
        <v>9.75</v>
      </c>
      <c r="H692" s="51">
        <v>0</v>
      </c>
      <c r="I692" s="51">
        <v>0</v>
      </c>
      <c r="J692" s="51">
        <v>0</v>
      </c>
      <c r="K692" s="51">
        <v>0</v>
      </c>
      <c r="L692" s="52">
        <v>0</v>
      </c>
      <c r="M692" s="34"/>
      <c r="N692" s="13">
        <v>80</v>
      </c>
      <c r="O692" s="13">
        <v>21.75</v>
      </c>
      <c r="P692" s="13">
        <v>0</v>
      </c>
      <c r="Q692" s="13">
        <v>9.75</v>
      </c>
      <c r="R692" s="34"/>
      <c r="S692" s="51">
        <f t="shared" ref="S692" si="1143">SUM(D692:G692)</f>
        <v>110.25</v>
      </c>
      <c r="T692" s="51">
        <f>SUM(N692:Q692)</f>
        <v>111.5</v>
      </c>
      <c r="U692" s="51">
        <f t="shared" ref="U692" si="1144">SUM(H692:K692)</f>
        <v>0</v>
      </c>
      <c r="V692" s="34"/>
      <c r="W692" s="52">
        <v>30</v>
      </c>
      <c r="X692" s="53">
        <f>(W692*1*D692)+(W692*1.5*E692)+(W692*2*F692)+(W692*1*G692)</f>
        <v>3615</v>
      </c>
      <c r="Y692" s="53">
        <f t="shared" ref="Y692:Y700" si="1145">(W692*0*H692)+(W692*1*I692)</f>
        <v>0</v>
      </c>
      <c r="Z692" s="53">
        <f>(W692*1*J692)+L692</f>
        <v>0</v>
      </c>
      <c r="AA692" s="54">
        <f t="shared" si="1138"/>
        <v>0</v>
      </c>
      <c r="AB692" s="54">
        <f>(W692*1*N692)+(W692*1.5*O692)+(W692*2*P692)+(W692*1*Q692)</f>
        <v>3671.25</v>
      </c>
      <c r="AC692" s="64">
        <f t="shared" si="1139"/>
        <v>0</v>
      </c>
      <c r="AD692" s="209"/>
      <c r="AE692" s="64">
        <f t="shared" ref="AE692:AE701" si="1146">AB692-(X692+Z692)</f>
        <v>56.25</v>
      </c>
      <c r="AF692" s="209"/>
      <c r="AG692" s="8"/>
    </row>
    <row r="693" spans="1:33" x14ac:dyDescent="0.45">
      <c r="A693" s="22">
        <f t="shared" si="1140"/>
        <v>44808</v>
      </c>
      <c r="B693" s="50" t="s">
        <v>64</v>
      </c>
      <c r="C693" s="48">
        <f t="shared" ref="C693:C696" si="1147">80*W693</f>
        <v>1512</v>
      </c>
      <c r="D693" s="51">
        <v>40</v>
      </c>
      <c r="E693" s="51">
        <v>18</v>
      </c>
      <c r="F693" s="51">
        <v>0</v>
      </c>
      <c r="G693" s="51">
        <v>24</v>
      </c>
      <c r="H693" s="51">
        <v>0</v>
      </c>
      <c r="I693" s="51">
        <v>0</v>
      </c>
      <c r="J693" s="51">
        <v>0</v>
      </c>
      <c r="K693" s="51">
        <v>40</v>
      </c>
      <c r="L693" s="52">
        <v>0</v>
      </c>
      <c r="M693" s="34"/>
      <c r="N693" s="51">
        <v>0</v>
      </c>
      <c r="O693" s="51">
        <v>0</v>
      </c>
      <c r="P693" s="51">
        <v>0</v>
      </c>
      <c r="Q693" s="51">
        <v>0</v>
      </c>
      <c r="R693" s="34"/>
      <c r="S693" s="51">
        <f t="shared" ref="S693:S695" si="1148">SUM(D693:G693)</f>
        <v>82</v>
      </c>
      <c r="T693" s="51">
        <f>SUM(N693:Q693)</f>
        <v>0</v>
      </c>
      <c r="U693" s="51">
        <f t="shared" ref="U693:U695" si="1149">SUM(H693:K693)</f>
        <v>40</v>
      </c>
      <c r="V693" s="34"/>
      <c r="W693" s="52">
        <v>18.899999999999999</v>
      </c>
      <c r="X693" s="53">
        <f t="shared" ref="X693:X699" si="1150">(W693*1*D693)+(W693*1.5*E693)+(W693*2*F693)+(W693*1*G693)</f>
        <v>1719.8999999999999</v>
      </c>
      <c r="Y693" s="53">
        <f t="shared" si="1145"/>
        <v>0</v>
      </c>
      <c r="Z693" s="53">
        <f t="shared" ref="Z693:Z701" si="1151">(W693*1*J693)+L693</f>
        <v>0</v>
      </c>
      <c r="AA693" s="54">
        <f t="shared" si="1138"/>
        <v>756</v>
      </c>
      <c r="AB693" s="54">
        <f t="shared" ref="AB693:AB701" si="1152">(W693*1*N693)+(W693*1.5*O693)+(W693*2*P693)+(W693*1*Q693)</f>
        <v>0</v>
      </c>
      <c r="AC693" s="64">
        <f t="shared" si="1139"/>
        <v>-756</v>
      </c>
      <c r="AD693" s="209"/>
      <c r="AE693" s="64">
        <f t="shared" si="1146"/>
        <v>-1719.8999999999999</v>
      </c>
      <c r="AF693" s="209"/>
      <c r="AG693" s="8"/>
    </row>
    <row r="694" spans="1:33" x14ac:dyDescent="0.45">
      <c r="A694" s="22">
        <f>A693</f>
        <v>44808</v>
      </c>
      <c r="B694" s="50" t="s">
        <v>53</v>
      </c>
      <c r="C694" s="48">
        <f t="shared" si="1147"/>
        <v>1840</v>
      </c>
      <c r="D694" s="51">
        <v>80</v>
      </c>
      <c r="E694" s="51">
        <v>22.5</v>
      </c>
      <c r="F694" s="51">
        <v>0</v>
      </c>
      <c r="G694" s="51">
        <v>0</v>
      </c>
      <c r="H694" s="51">
        <v>0</v>
      </c>
      <c r="I694" s="51">
        <v>0</v>
      </c>
      <c r="J694" s="51">
        <v>0</v>
      </c>
      <c r="K694" s="51">
        <v>0</v>
      </c>
      <c r="L694" s="52">
        <v>0</v>
      </c>
      <c r="M694" s="34"/>
      <c r="N694" s="13">
        <v>80</v>
      </c>
      <c r="O694" s="13">
        <v>22.75</v>
      </c>
      <c r="P694" s="13">
        <v>0</v>
      </c>
      <c r="Q694" s="13">
        <v>0</v>
      </c>
      <c r="R694" s="34"/>
      <c r="S694" s="51">
        <f t="shared" si="1148"/>
        <v>102.5</v>
      </c>
      <c r="T694" s="51">
        <f>SUM(N694:Q694)</f>
        <v>102.75</v>
      </c>
      <c r="U694" s="51">
        <f t="shared" si="1149"/>
        <v>0</v>
      </c>
      <c r="V694" s="34"/>
      <c r="W694" s="52">
        <v>23</v>
      </c>
      <c r="X694" s="53">
        <f t="shared" si="1150"/>
        <v>2616.25</v>
      </c>
      <c r="Y694" s="53">
        <f t="shared" si="1145"/>
        <v>0</v>
      </c>
      <c r="Z694" s="53">
        <f t="shared" si="1151"/>
        <v>0</v>
      </c>
      <c r="AA694" s="54">
        <f t="shared" si="1138"/>
        <v>0</v>
      </c>
      <c r="AB694" s="54">
        <f t="shared" si="1152"/>
        <v>2624.875</v>
      </c>
      <c r="AC694" s="64">
        <f t="shared" si="1139"/>
        <v>0</v>
      </c>
      <c r="AD694" s="209"/>
      <c r="AE694" s="64">
        <f t="shared" si="1146"/>
        <v>8.625</v>
      </c>
      <c r="AF694" s="209"/>
      <c r="AG694" s="8"/>
    </row>
    <row r="695" spans="1:33" x14ac:dyDescent="0.45">
      <c r="A695" s="22">
        <f>A693</f>
        <v>44808</v>
      </c>
      <c r="B695" s="50" t="s">
        <v>54</v>
      </c>
      <c r="C695" s="48">
        <f t="shared" si="1147"/>
        <v>1840</v>
      </c>
      <c r="D695" s="51">
        <v>80</v>
      </c>
      <c r="E695" s="51">
        <v>16.5</v>
      </c>
      <c r="F695" s="51">
        <v>0</v>
      </c>
      <c r="G695" s="51">
        <v>8.5</v>
      </c>
      <c r="H695" s="51">
        <v>0</v>
      </c>
      <c r="I695" s="51">
        <v>0</v>
      </c>
      <c r="J695" s="51">
        <v>0</v>
      </c>
      <c r="K695" s="51">
        <v>0</v>
      </c>
      <c r="L695" s="52">
        <v>0</v>
      </c>
      <c r="M695" s="34"/>
      <c r="N695" s="51">
        <v>80</v>
      </c>
      <c r="O695" s="51">
        <v>19.25</v>
      </c>
      <c r="P695" s="51">
        <v>0</v>
      </c>
      <c r="Q695" s="51">
        <v>8.5</v>
      </c>
      <c r="R695" s="34"/>
      <c r="S695" s="51">
        <f t="shared" si="1148"/>
        <v>105</v>
      </c>
      <c r="T695" s="51">
        <f t="shared" ref="T695:T701" si="1153">SUM(N695:Q695)</f>
        <v>107.75</v>
      </c>
      <c r="U695" s="51">
        <f t="shared" si="1149"/>
        <v>0</v>
      </c>
      <c r="V695" s="34"/>
      <c r="W695" s="52">
        <v>23</v>
      </c>
      <c r="X695" s="53">
        <f t="shared" si="1150"/>
        <v>2604.75</v>
      </c>
      <c r="Y695" s="53">
        <f t="shared" si="1145"/>
        <v>0</v>
      </c>
      <c r="Z695" s="53">
        <f t="shared" si="1151"/>
        <v>0</v>
      </c>
      <c r="AA695" s="54">
        <f t="shared" si="1138"/>
        <v>0</v>
      </c>
      <c r="AB695" s="54">
        <f t="shared" si="1152"/>
        <v>2699.625</v>
      </c>
      <c r="AC695" s="64">
        <f t="shared" si="1139"/>
        <v>0</v>
      </c>
      <c r="AD695" s="209"/>
      <c r="AE695" s="64">
        <f t="shared" si="1146"/>
        <v>94.875</v>
      </c>
      <c r="AF695" s="209"/>
      <c r="AG695" s="8"/>
    </row>
    <row r="696" spans="1:33" ht="14.65" thickBot="1" x14ac:dyDescent="0.5">
      <c r="A696" s="23">
        <f>A693</f>
        <v>44808</v>
      </c>
      <c r="B696" s="24" t="s">
        <v>62</v>
      </c>
      <c r="C696" s="49">
        <f t="shared" si="1147"/>
        <v>2000</v>
      </c>
      <c r="D696" s="25">
        <v>80</v>
      </c>
      <c r="E696" s="25">
        <v>25.75</v>
      </c>
      <c r="F696" s="25">
        <v>0</v>
      </c>
      <c r="G696" s="25">
        <v>12</v>
      </c>
      <c r="H696" s="25">
        <v>0</v>
      </c>
      <c r="I696" s="25">
        <v>0</v>
      </c>
      <c r="J696" s="25">
        <v>0</v>
      </c>
      <c r="K696" s="25">
        <v>2.25</v>
      </c>
      <c r="L696" s="46">
        <v>0</v>
      </c>
      <c r="M696" s="35"/>
      <c r="N696" s="25">
        <v>40</v>
      </c>
      <c r="O696" s="25">
        <v>7.75</v>
      </c>
      <c r="P696" s="25">
        <v>0</v>
      </c>
      <c r="Q696" s="25">
        <v>0</v>
      </c>
      <c r="R696" s="35"/>
      <c r="S696" s="25">
        <f t="shared" ref="S696:S701" si="1154">SUM(D696:G696)</f>
        <v>117.75</v>
      </c>
      <c r="T696" s="25">
        <f t="shared" si="1153"/>
        <v>47.75</v>
      </c>
      <c r="U696" s="25">
        <f t="shared" ref="U696:U697" si="1155">SUM(H696:K696)</f>
        <v>2.25</v>
      </c>
      <c r="V696" s="35"/>
      <c r="W696" s="46">
        <v>25</v>
      </c>
      <c r="X696" s="26">
        <f t="shared" si="1150"/>
        <v>3265.625</v>
      </c>
      <c r="Y696" s="26">
        <f t="shared" si="1145"/>
        <v>0</v>
      </c>
      <c r="Z696" s="26">
        <f t="shared" si="1151"/>
        <v>0</v>
      </c>
      <c r="AA696" s="27">
        <f t="shared" si="1138"/>
        <v>56.25</v>
      </c>
      <c r="AB696" s="27">
        <f t="shared" si="1152"/>
        <v>1290.625</v>
      </c>
      <c r="AC696" s="65">
        <f t="shared" si="1139"/>
        <v>-56.25</v>
      </c>
      <c r="AD696" s="210"/>
      <c r="AE696" s="65">
        <f t="shared" si="1146"/>
        <v>-1975</v>
      </c>
      <c r="AF696" s="210"/>
      <c r="AG696" s="8"/>
    </row>
    <row r="697" spans="1:33" x14ac:dyDescent="0.45">
      <c r="A697" s="16">
        <f>A696+14</f>
        <v>44822</v>
      </c>
      <c r="B697" s="17" t="s">
        <v>30</v>
      </c>
      <c r="C697" s="47">
        <f>120*W697</f>
        <v>3900</v>
      </c>
      <c r="D697" s="18">
        <v>72</v>
      </c>
      <c r="E697" s="18">
        <v>5</v>
      </c>
      <c r="F697" s="18">
        <v>0</v>
      </c>
      <c r="G697" s="18">
        <v>0</v>
      </c>
      <c r="H697" s="18">
        <v>0</v>
      </c>
      <c r="I697" s="18">
        <v>0</v>
      </c>
      <c r="J697" s="18">
        <v>8</v>
      </c>
      <c r="K697" s="18">
        <v>0</v>
      </c>
      <c r="L697" s="44">
        <v>0</v>
      </c>
      <c r="M697" s="33"/>
      <c r="N697" s="18">
        <v>72</v>
      </c>
      <c r="O697" s="18">
        <v>5</v>
      </c>
      <c r="P697" s="18">
        <v>0</v>
      </c>
      <c r="Q697" s="18">
        <v>0</v>
      </c>
      <c r="R697" s="33"/>
      <c r="S697" s="18">
        <f t="shared" si="1154"/>
        <v>77</v>
      </c>
      <c r="T697" s="18">
        <f t="shared" si="1153"/>
        <v>77</v>
      </c>
      <c r="U697" s="18">
        <f t="shared" si="1155"/>
        <v>8</v>
      </c>
      <c r="V697" s="33"/>
      <c r="W697" s="44">
        <v>32.5</v>
      </c>
      <c r="X697" s="19">
        <f t="shared" si="1150"/>
        <v>2583.75</v>
      </c>
      <c r="Y697" s="19">
        <f t="shared" si="1145"/>
        <v>0</v>
      </c>
      <c r="Z697" s="19">
        <f t="shared" si="1151"/>
        <v>260</v>
      </c>
      <c r="AA697" s="20">
        <f t="shared" ref="AA697:AA706" si="1156">(W697*1*K697)</f>
        <v>0</v>
      </c>
      <c r="AB697" s="20">
        <f t="shared" si="1152"/>
        <v>2583.75</v>
      </c>
      <c r="AC697" s="66">
        <f t="shared" ref="AC697:AC706" si="1157">0-Y697-AA697</f>
        <v>0</v>
      </c>
      <c r="AD697" s="208"/>
      <c r="AE697" s="66">
        <f t="shared" si="1146"/>
        <v>-260</v>
      </c>
      <c r="AF697" s="208">
        <f>SUM(AE697:AE706)</f>
        <v>-3430.2</v>
      </c>
      <c r="AG697" s="8"/>
    </row>
    <row r="698" spans="1:33" x14ac:dyDescent="0.45">
      <c r="A698" s="22">
        <f>A697</f>
        <v>44822</v>
      </c>
      <c r="B698" s="15" t="s">
        <v>4</v>
      </c>
      <c r="C698" s="48">
        <f>80*W698</f>
        <v>2400</v>
      </c>
      <c r="D698" s="13">
        <v>72</v>
      </c>
      <c r="E698" s="13">
        <v>23</v>
      </c>
      <c r="F698" s="13">
        <v>0</v>
      </c>
      <c r="G698" s="13">
        <v>12</v>
      </c>
      <c r="H698" s="13">
        <v>0</v>
      </c>
      <c r="I698" s="13">
        <v>0</v>
      </c>
      <c r="J698" s="13">
        <v>8</v>
      </c>
      <c r="K698" s="13">
        <v>0</v>
      </c>
      <c r="L698" s="45">
        <v>0</v>
      </c>
      <c r="M698" s="34"/>
      <c r="N698" s="13">
        <v>72</v>
      </c>
      <c r="O698" s="13">
        <v>18</v>
      </c>
      <c r="P698" s="13">
        <v>1</v>
      </c>
      <c r="Q698" s="13">
        <v>16</v>
      </c>
      <c r="R698" s="34"/>
      <c r="S698" s="13">
        <f t="shared" si="1154"/>
        <v>107</v>
      </c>
      <c r="T698" s="13">
        <f t="shared" si="1153"/>
        <v>107</v>
      </c>
      <c r="U698" s="13">
        <f>SUM(H698:K698)</f>
        <v>8</v>
      </c>
      <c r="V698" s="34"/>
      <c r="W698" s="45">
        <v>30</v>
      </c>
      <c r="X698" s="10">
        <f t="shared" si="1150"/>
        <v>3555</v>
      </c>
      <c r="Y698" s="10">
        <f t="shared" si="1145"/>
        <v>0</v>
      </c>
      <c r="Z698" s="10">
        <f t="shared" si="1151"/>
        <v>240</v>
      </c>
      <c r="AA698" s="14">
        <f t="shared" si="1156"/>
        <v>0</v>
      </c>
      <c r="AB698" s="14">
        <f t="shared" si="1152"/>
        <v>3510</v>
      </c>
      <c r="AC698" s="63">
        <f t="shared" si="1157"/>
        <v>0</v>
      </c>
      <c r="AD698" s="209"/>
      <c r="AE698" s="63">
        <f t="shared" si="1146"/>
        <v>-285</v>
      </c>
      <c r="AF698" s="209"/>
      <c r="AG698" s="8"/>
    </row>
    <row r="699" spans="1:33" x14ac:dyDescent="0.45">
      <c r="A699" s="22">
        <f t="shared" ref="A699:A703" si="1158">A698</f>
        <v>44822</v>
      </c>
      <c r="B699" s="15" t="s">
        <v>5</v>
      </c>
      <c r="C699" s="48">
        <f>120*W699</f>
        <v>3480</v>
      </c>
      <c r="D699" s="13">
        <v>70.5</v>
      </c>
      <c r="E699" s="13">
        <v>0</v>
      </c>
      <c r="F699" s="13">
        <v>0</v>
      </c>
      <c r="G699" s="13">
        <v>15</v>
      </c>
      <c r="H699" s="13">
        <v>8</v>
      </c>
      <c r="I699" s="13">
        <v>0</v>
      </c>
      <c r="J699" s="13">
        <v>8</v>
      </c>
      <c r="K699" s="13">
        <v>0</v>
      </c>
      <c r="L699" s="45">
        <v>0</v>
      </c>
      <c r="M699" s="34"/>
      <c r="N699" s="13">
        <v>70.5</v>
      </c>
      <c r="O699" s="13">
        <v>0</v>
      </c>
      <c r="P699" s="13">
        <v>0</v>
      </c>
      <c r="Q699" s="13">
        <v>0</v>
      </c>
      <c r="R699" s="34"/>
      <c r="S699" s="13">
        <f t="shared" si="1154"/>
        <v>85.5</v>
      </c>
      <c r="T699" s="13">
        <f t="shared" si="1153"/>
        <v>70.5</v>
      </c>
      <c r="U699" s="13">
        <f t="shared" ref="U699:U701" si="1159">SUM(H699:K699)</f>
        <v>16</v>
      </c>
      <c r="V699" s="34"/>
      <c r="W699" s="45">
        <v>29</v>
      </c>
      <c r="X699" s="10">
        <f t="shared" si="1150"/>
        <v>2479.5</v>
      </c>
      <c r="Y699" s="10">
        <f t="shared" si="1145"/>
        <v>0</v>
      </c>
      <c r="Z699" s="10">
        <f t="shared" si="1151"/>
        <v>232</v>
      </c>
      <c r="AA699" s="14">
        <f t="shared" si="1156"/>
        <v>0</v>
      </c>
      <c r="AB699" s="14">
        <f t="shared" si="1152"/>
        <v>2044.5</v>
      </c>
      <c r="AC699" s="63">
        <f t="shared" si="1157"/>
        <v>0</v>
      </c>
      <c r="AD699" s="209"/>
      <c r="AE699" s="63">
        <f t="shared" si="1146"/>
        <v>-667</v>
      </c>
      <c r="AF699" s="209"/>
      <c r="AG699" s="8"/>
    </row>
    <row r="700" spans="1:33" x14ac:dyDescent="0.45">
      <c r="A700" s="22">
        <f t="shared" si="1158"/>
        <v>44822</v>
      </c>
      <c r="B700" s="15" t="s">
        <v>6</v>
      </c>
      <c r="C700" s="48">
        <f>80*W700</f>
        <v>2400</v>
      </c>
      <c r="D700" s="13">
        <v>72</v>
      </c>
      <c r="E700" s="13">
        <v>46.75</v>
      </c>
      <c r="F700" s="13">
        <v>12.5</v>
      </c>
      <c r="G700" s="13">
        <v>1</v>
      </c>
      <c r="H700" s="13">
        <v>0</v>
      </c>
      <c r="I700" s="13">
        <v>0</v>
      </c>
      <c r="J700" s="13">
        <v>8</v>
      </c>
      <c r="K700" s="13">
        <v>0</v>
      </c>
      <c r="L700" s="45">
        <v>0</v>
      </c>
      <c r="M700" s="34"/>
      <c r="N700" s="13">
        <v>72</v>
      </c>
      <c r="O700" s="13">
        <f>44.25+0.75</f>
        <v>45</v>
      </c>
      <c r="P700" s="13">
        <f>2.25+12.5</f>
        <v>14.75</v>
      </c>
      <c r="Q700" s="13">
        <v>1</v>
      </c>
      <c r="R700" s="34"/>
      <c r="S700" s="13">
        <f t="shared" si="1154"/>
        <v>132.25</v>
      </c>
      <c r="T700" s="13">
        <f t="shared" si="1153"/>
        <v>132.75</v>
      </c>
      <c r="U700" s="13">
        <f t="shared" si="1159"/>
        <v>8</v>
      </c>
      <c r="V700" s="34"/>
      <c r="W700" s="45">
        <v>30</v>
      </c>
      <c r="X700" s="10">
        <f>(W700*1*D700)+(W700*1.5*E700)+(W700*2*F700)+(W700*1*G700)</f>
        <v>5043.75</v>
      </c>
      <c r="Y700" s="10">
        <f t="shared" si="1145"/>
        <v>0</v>
      </c>
      <c r="Z700" s="10">
        <f t="shared" si="1151"/>
        <v>240</v>
      </c>
      <c r="AA700" s="14">
        <f t="shared" si="1156"/>
        <v>0</v>
      </c>
      <c r="AB700" s="14">
        <f t="shared" si="1152"/>
        <v>5100</v>
      </c>
      <c r="AC700" s="63">
        <f t="shared" si="1157"/>
        <v>0</v>
      </c>
      <c r="AD700" s="209"/>
      <c r="AE700" s="63">
        <f t="shared" si="1146"/>
        <v>-183.75</v>
      </c>
      <c r="AF700" s="209"/>
      <c r="AG700" s="8"/>
    </row>
    <row r="701" spans="1:33" x14ac:dyDescent="0.45">
      <c r="A701" s="22">
        <f>A700</f>
        <v>44822</v>
      </c>
      <c r="B701" s="15" t="s">
        <v>9</v>
      </c>
      <c r="C701" s="48">
        <f>120*W701</f>
        <v>3600</v>
      </c>
      <c r="D701" s="13">
        <v>72</v>
      </c>
      <c r="E701" s="13">
        <v>33.5</v>
      </c>
      <c r="F701" s="13">
        <v>0</v>
      </c>
      <c r="G701" s="13">
        <v>11</v>
      </c>
      <c r="H701" s="13">
        <v>0</v>
      </c>
      <c r="I701" s="13">
        <v>0</v>
      </c>
      <c r="J701" s="13">
        <v>8</v>
      </c>
      <c r="K701" s="13">
        <v>0</v>
      </c>
      <c r="L701" s="45">
        <v>0</v>
      </c>
      <c r="M701" s="34"/>
      <c r="N701" s="13">
        <v>72</v>
      </c>
      <c r="O701" s="13">
        <v>25.5</v>
      </c>
      <c r="P701" s="13">
        <v>8</v>
      </c>
      <c r="Q701" s="13">
        <v>11</v>
      </c>
      <c r="R701" s="34"/>
      <c r="S701" s="13">
        <f t="shared" si="1154"/>
        <v>116.5</v>
      </c>
      <c r="T701" s="13">
        <f t="shared" si="1153"/>
        <v>116.5</v>
      </c>
      <c r="U701" s="13">
        <f t="shared" si="1159"/>
        <v>8</v>
      </c>
      <c r="V701" s="34"/>
      <c r="W701" s="45">
        <v>30</v>
      </c>
      <c r="X701" s="10">
        <f t="shared" ref="X701" si="1160">(W701*1*D701)+(W701*1.5*E701)+(W701*2*F701)+(W701*1*G701)</f>
        <v>3997.5</v>
      </c>
      <c r="Y701" s="10">
        <f>(W701*0*H701)+(W701*1*I701)</f>
        <v>0</v>
      </c>
      <c r="Z701" s="10">
        <f t="shared" si="1151"/>
        <v>240</v>
      </c>
      <c r="AA701" s="14">
        <f t="shared" si="1156"/>
        <v>0</v>
      </c>
      <c r="AB701" s="14">
        <f t="shared" si="1152"/>
        <v>4117.5</v>
      </c>
      <c r="AC701" s="63">
        <f t="shared" si="1157"/>
        <v>0</v>
      </c>
      <c r="AD701" s="209"/>
      <c r="AE701" s="63">
        <f t="shared" si="1146"/>
        <v>-120</v>
      </c>
      <c r="AF701" s="209"/>
      <c r="AG701" s="8"/>
    </row>
    <row r="702" spans="1:33" x14ac:dyDescent="0.45">
      <c r="A702" s="22">
        <f t="shared" si="1158"/>
        <v>44822</v>
      </c>
      <c r="B702" s="50" t="s">
        <v>31</v>
      </c>
      <c r="C702" s="48">
        <f>120*W702</f>
        <v>3600</v>
      </c>
      <c r="D702" s="51">
        <v>72</v>
      </c>
      <c r="E702" s="51">
        <v>28.5</v>
      </c>
      <c r="F702" s="51">
        <v>0</v>
      </c>
      <c r="G702" s="51">
        <v>9</v>
      </c>
      <c r="H702" s="51">
        <v>0</v>
      </c>
      <c r="I702" s="51">
        <v>0</v>
      </c>
      <c r="J702" s="51">
        <v>8</v>
      </c>
      <c r="K702" s="51">
        <v>0</v>
      </c>
      <c r="L702" s="52">
        <v>0</v>
      </c>
      <c r="M702" s="34"/>
      <c r="N702" s="13">
        <v>72</v>
      </c>
      <c r="O702" s="13">
        <v>25.75</v>
      </c>
      <c r="P702" s="13">
        <v>2.75</v>
      </c>
      <c r="Q702" s="13">
        <v>9</v>
      </c>
      <c r="R702" s="34"/>
      <c r="S702" s="51">
        <f t="shared" ref="S702" si="1161">SUM(D702:G702)</f>
        <v>109.5</v>
      </c>
      <c r="T702" s="51">
        <f>SUM(N702:Q702)</f>
        <v>109.5</v>
      </c>
      <c r="U702" s="51">
        <f t="shared" ref="U702" si="1162">SUM(H702:K702)</f>
        <v>8</v>
      </c>
      <c r="V702" s="34"/>
      <c r="W702" s="52">
        <v>30</v>
      </c>
      <c r="X702" s="53">
        <f>(W702*1*D702)+(W702*1.5*E702)+(W702*2*F702)+(W702*1*G702)</f>
        <v>3712.5</v>
      </c>
      <c r="Y702" s="53">
        <f t="shared" ref="Y702:Y710" si="1163">(W702*0*H702)+(W702*1*I702)</f>
        <v>0</v>
      </c>
      <c r="Z702" s="53">
        <f>(W702*1*J702)+L702</f>
        <v>240</v>
      </c>
      <c r="AA702" s="54">
        <f t="shared" si="1156"/>
        <v>0</v>
      </c>
      <c r="AB702" s="54">
        <f>(W702*1*N702)+(W702*1.5*O702)+(W702*2*P702)+(W702*1*Q702)</f>
        <v>3753.75</v>
      </c>
      <c r="AC702" s="64">
        <f t="shared" si="1157"/>
        <v>0</v>
      </c>
      <c r="AD702" s="209"/>
      <c r="AE702" s="64">
        <f t="shared" ref="AE702:AE711" si="1164">AB702-(X702+Z702)</f>
        <v>-198.75</v>
      </c>
      <c r="AF702" s="209"/>
      <c r="AG702" s="8"/>
    </row>
    <row r="703" spans="1:33" x14ac:dyDescent="0.45">
      <c r="A703" s="22">
        <f t="shared" si="1158"/>
        <v>44822</v>
      </c>
      <c r="B703" s="50" t="s">
        <v>64</v>
      </c>
      <c r="C703" s="48">
        <f t="shared" ref="C703:C706" si="1165">80*W703</f>
        <v>1512</v>
      </c>
      <c r="D703" s="51">
        <v>0</v>
      </c>
      <c r="E703" s="51">
        <v>0</v>
      </c>
      <c r="F703" s="51">
        <v>0</v>
      </c>
      <c r="G703" s="51">
        <v>15</v>
      </c>
      <c r="H703" s="51">
        <v>0</v>
      </c>
      <c r="I703" s="51">
        <v>0</v>
      </c>
      <c r="J703" s="51">
        <v>8</v>
      </c>
      <c r="K703" s="51">
        <v>64</v>
      </c>
      <c r="L703" s="52">
        <v>0</v>
      </c>
      <c r="M703" s="34"/>
      <c r="N703" s="51">
        <v>0</v>
      </c>
      <c r="O703" s="51">
        <v>0</v>
      </c>
      <c r="P703" s="51">
        <v>0</v>
      </c>
      <c r="Q703" s="51">
        <v>0</v>
      </c>
      <c r="R703" s="34"/>
      <c r="S703" s="51">
        <f t="shared" ref="S703:S705" si="1166">SUM(D703:G703)</f>
        <v>15</v>
      </c>
      <c r="T703" s="51">
        <f>SUM(N703:Q703)</f>
        <v>0</v>
      </c>
      <c r="U703" s="51">
        <f t="shared" ref="U703:U705" si="1167">SUM(H703:K703)</f>
        <v>72</v>
      </c>
      <c r="V703" s="34"/>
      <c r="W703" s="52">
        <v>18.899999999999999</v>
      </c>
      <c r="X703" s="53">
        <f t="shared" ref="X703:X709" si="1168">(W703*1*D703)+(W703*1.5*E703)+(W703*2*F703)+(W703*1*G703)</f>
        <v>283.5</v>
      </c>
      <c r="Y703" s="53">
        <f t="shared" si="1163"/>
        <v>0</v>
      </c>
      <c r="Z703" s="53">
        <f t="shared" ref="Z703:Z711" si="1169">(W703*1*J703)+L703</f>
        <v>151.19999999999999</v>
      </c>
      <c r="AA703" s="54">
        <f t="shared" si="1156"/>
        <v>1209.5999999999999</v>
      </c>
      <c r="AB703" s="54">
        <f t="shared" ref="AB703:AB711" si="1170">(W703*1*N703)+(W703*1.5*O703)+(W703*2*P703)+(W703*1*Q703)</f>
        <v>0</v>
      </c>
      <c r="AC703" s="64">
        <f t="shared" si="1157"/>
        <v>-1209.5999999999999</v>
      </c>
      <c r="AD703" s="209"/>
      <c r="AE703" s="64">
        <f t="shared" si="1164"/>
        <v>-434.7</v>
      </c>
      <c r="AF703" s="209"/>
      <c r="AG703" s="8"/>
    </row>
    <row r="704" spans="1:33" x14ac:dyDescent="0.45">
      <c r="A704" s="22">
        <f>A703</f>
        <v>44822</v>
      </c>
      <c r="B704" s="50" t="s">
        <v>53</v>
      </c>
      <c r="C704" s="48">
        <f t="shared" si="1165"/>
        <v>1840</v>
      </c>
      <c r="D704" s="51">
        <v>70.5</v>
      </c>
      <c r="E704" s="51">
        <v>14</v>
      </c>
      <c r="F704" s="51">
        <v>0</v>
      </c>
      <c r="G704" s="51">
        <v>15</v>
      </c>
      <c r="H704" s="51">
        <v>0</v>
      </c>
      <c r="I704" s="51">
        <v>0</v>
      </c>
      <c r="J704" s="51">
        <v>8</v>
      </c>
      <c r="K704" s="51">
        <v>0</v>
      </c>
      <c r="L704" s="52">
        <v>0</v>
      </c>
      <c r="M704" s="34"/>
      <c r="N704" s="13">
        <v>72</v>
      </c>
      <c r="O704" s="13">
        <v>12.75</v>
      </c>
      <c r="P704" s="13">
        <v>0</v>
      </c>
      <c r="Q704" s="13">
        <v>0</v>
      </c>
      <c r="R704" s="34"/>
      <c r="S704" s="51">
        <f t="shared" si="1166"/>
        <v>99.5</v>
      </c>
      <c r="T704" s="51">
        <f>SUM(N704:Q704)</f>
        <v>84.75</v>
      </c>
      <c r="U704" s="51">
        <f t="shared" si="1167"/>
        <v>8</v>
      </c>
      <c r="V704" s="34"/>
      <c r="W704" s="52">
        <v>23</v>
      </c>
      <c r="X704" s="53">
        <f t="shared" si="1168"/>
        <v>2449.5</v>
      </c>
      <c r="Y704" s="53">
        <f t="shared" si="1163"/>
        <v>0</v>
      </c>
      <c r="Z704" s="53">
        <f t="shared" si="1169"/>
        <v>184</v>
      </c>
      <c r="AA704" s="54">
        <f t="shared" si="1156"/>
        <v>0</v>
      </c>
      <c r="AB704" s="54">
        <f t="shared" si="1170"/>
        <v>2095.875</v>
      </c>
      <c r="AC704" s="64">
        <f t="shared" si="1157"/>
        <v>0</v>
      </c>
      <c r="AD704" s="209"/>
      <c r="AE704" s="64">
        <f t="shared" si="1164"/>
        <v>-537.625</v>
      </c>
      <c r="AF704" s="209"/>
      <c r="AG704" s="8"/>
    </row>
    <row r="705" spans="1:33" x14ac:dyDescent="0.45">
      <c r="A705" s="22">
        <f>A703</f>
        <v>44822</v>
      </c>
      <c r="B705" s="50" t="s">
        <v>54</v>
      </c>
      <c r="C705" s="48">
        <f t="shared" si="1165"/>
        <v>1840</v>
      </c>
      <c r="D705" s="51">
        <v>72</v>
      </c>
      <c r="E705" s="51">
        <v>36.5</v>
      </c>
      <c r="F705" s="51">
        <v>12</v>
      </c>
      <c r="G705" s="51">
        <v>8</v>
      </c>
      <c r="H705" s="51">
        <v>0</v>
      </c>
      <c r="I705" s="51">
        <v>0</v>
      </c>
      <c r="J705" s="51">
        <v>8</v>
      </c>
      <c r="K705" s="51">
        <v>0</v>
      </c>
      <c r="L705" s="52">
        <v>0</v>
      </c>
      <c r="M705" s="34"/>
      <c r="N705" s="51">
        <v>72</v>
      </c>
      <c r="O705" s="51">
        <v>36.5</v>
      </c>
      <c r="P705" s="51">
        <v>12</v>
      </c>
      <c r="Q705" s="51">
        <v>8</v>
      </c>
      <c r="R705" s="34"/>
      <c r="S705" s="51">
        <f t="shared" si="1166"/>
        <v>128.5</v>
      </c>
      <c r="T705" s="51">
        <f t="shared" ref="T705:T711" si="1171">SUM(N705:Q705)</f>
        <v>128.5</v>
      </c>
      <c r="U705" s="51">
        <f t="shared" si="1167"/>
        <v>8</v>
      </c>
      <c r="V705" s="34"/>
      <c r="W705" s="52">
        <v>23</v>
      </c>
      <c r="X705" s="53">
        <f t="shared" si="1168"/>
        <v>3651.25</v>
      </c>
      <c r="Y705" s="53">
        <f t="shared" si="1163"/>
        <v>0</v>
      </c>
      <c r="Z705" s="53">
        <f t="shared" si="1169"/>
        <v>184</v>
      </c>
      <c r="AA705" s="54">
        <f t="shared" si="1156"/>
        <v>0</v>
      </c>
      <c r="AB705" s="54">
        <f t="shared" si="1170"/>
        <v>3651.25</v>
      </c>
      <c r="AC705" s="64">
        <f t="shared" si="1157"/>
        <v>0</v>
      </c>
      <c r="AD705" s="209"/>
      <c r="AE705" s="64">
        <f t="shared" si="1164"/>
        <v>-184</v>
      </c>
      <c r="AF705" s="209"/>
      <c r="AG705" s="8"/>
    </row>
    <row r="706" spans="1:33" ht="14.65" thickBot="1" x14ac:dyDescent="0.5">
      <c r="A706" s="23">
        <f>A703</f>
        <v>44822</v>
      </c>
      <c r="B706" s="24" t="s">
        <v>62</v>
      </c>
      <c r="C706" s="49">
        <f t="shared" si="1165"/>
        <v>2000</v>
      </c>
      <c r="D706" s="25">
        <v>66</v>
      </c>
      <c r="E706" s="25">
        <v>22</v>
      </c>
      <c r="F706" s="25">
        <v>7.75</v>
      </c>
      <c r="G706" s="25">
        <v>12</v>
      </c>
      <c r="H706" s="25">
        <v>0</v>
      </c>
      <c r="I706" s="25">
        <v>0</v>
      </c>
      <c r="J706" s="25">
        <v>8</v>
      </c>
      <c r="K706" s="25">
        <v>0</v>
      </c>
      <c r="L706" s="46">
        <v>0</v>
      </c>
      <c r="M706" s="35"/>
      <c r="N706" s="25">
        <v>70.75</v>
      </c>
      <c r="O706" s="25">
        <v>17.25</v>
      </c>
      <c r="P706" s="25">
        <v>7.75</v>
      </c>
      <c r="Q706" s="25">
        <v>0</v>
      </c>
      <c r="R706" s="35"/>
      <c r="S706" s="25">
        <f t="shared" ref="S706:S711" si="1172">SUM(D706:G706)</f>
        <v>107.75</v>
      </c>
      <c r="T706" s="25">
        <f t="shared" si="1171"/>
        <v>95.75</v>
      </c>
      <c r="U706" s="25">
        <f t="shared" ref="U706:U707" si="1173">SUM(H706:K706)</f>
        <v>8</v>
      </c>
      <c r="V706" s="35"/>
      <c r="W706" s="46">
        <v>25</v>
      </c>
      <c r="X706" s="26">
        <f t="shared" si="1168"/>
        <v>3162.5</v>
      </c>
      <c r="Y706" s="26">
        <f t="shared" si="1163"/>
        <v>0</v>
      </c>
      <c r="Z706" s="26">
        <f t="shared" si="1169"/>
        <v>200</v>
      </c>
      <c r="AA706" s="27">
        <f t="shared" si="1156"/>
        <v>0</v>
      </c>
      <c r="AB706" s="27">
        <f t="shared" si="1170"/>
        <v>2803.125</v>
      </c>
      <c r="AC706" s="65">
        <f t="shared" si="1157"/>
        <v>0</v>
      </c>
      <c r="AD706" s="210"/>
      <c r="AE706" s="65">
        <f t="shared" si="1164"/>
        <v>-559.375</v>
      </c>
      <c r="AF706" s="210"/>
      <c r="AG706" s="8"/>
    </row>
    <row r="707" spans="1:33" x14ac:dyDescent="0.45">
      <c r="A707" s="16">
        <f>A706+14</f>
        <v>44836</v>
      </c>
      <c r="B707" s="17" t="s">
        <v>30</v>
      </c>
      <c r="C707" s="47">
        <f>120*W707</f>
        <v>3900</v>
      </c>
      <c r="D707" s="18">
        <v>80</v>
      </c>
      <c r="E707" s="18">
        <v>10</v>
      </c>
      <c r="F707" s="18">
        <v>0</v>
      </c>
      <c r="G707" s="18">
        <v>0</v>
      </c>
      <c r="H707" s="18">
        <v>0</v>
      </c>
      <c r="I707" s="18">
        <v>0</v>
      </c>
      <c r="J707" s="18">
        <v>0</v>
      </c>
      <c r="K707" s="18">
        <v>0</v>
      </c>
      <c r="L707" s="44">
        <v>0</v>
      </c>
      <c r="M707" s="33"/>
      <c r="N707" s="18">
        <v>80</v>
      </c>
      <c r="O707" s="18">
        <v>10</v>
      </c>
      <c r="P707" s="18">
        <v>0</v>
      </c>
      <c r="Q707" s="18">
        <v>0</v>
      </c>
      <c r="R707" s="33"/>
      <c r="S707" s="18">
        <f t="shared" si="1172"/>
        <v>90</v>
      </c>
      <c r="T707" s="18">
        <f t="shared" si="1171"/>
        <v>90</v>
      </c>
      <c r="U707" s="18">
        <f t="shared" si="1173"/>
        <v>0</v>
      </c>
      <c r="V707" s="33"/>
      <c r="W707" s="44">
        <v>32.5</v>
      </c>
      <c r="X707" s="19">
        <f t="shared" si="1168"/>
        <v>3087.5</v>
      </c>
      <c r="Y707" s="19">
        <f t="shared" si="1163"/>
        <v>0</v>
      </c>
      <c r="Z707" s="19">
        <f t="shared" si="1169"/>
        <v>0</v>
      </c>
      <c r="AA707" s="20">
        <f t="shared" ref="AA707:AA716" si="1174">(W707*1*K707)</f>
        <v>0</v>
      </c>
      <c r="AB707" s="20">
        <f t="shared" si="1170"/>
        <v>3087.5</v>
      </c>
      <c r="AC707" s="66">
        <f t="shared" ref="AC707:AC716" si="1175">0-Y707-AA707</f>
        <v>0</v>
      </c>
      <c r="AD707" s="208"/>
      <c r="AE707" s="66">
        <f t="shared" si="1164"/>
        <v>0</v>
      </c>
      <c r="AF707" s="208">
        <f>SUM(AE707:AE716)</f>
        <v>76.125</v>
      </c>
      <c r="AG707" s="8"/>
    </row>
    <row r="708" spans="1:33" x14ac:dyDescent="0.45">
      <c r="A708" s="22">
        <f>A707</f>
        <v>44836</v>
      </c>
      <c r="B708" s="15" t="s">
        <v>4</v>
      </c>
      <c r="C708" s="48">
        <f>80*W708</f>
        <v>2400</v>
      </c>
      <c r="D708" s="13">
        <v>80</v>
      </c>
      <c r="E708" s="13">
        <v>19</v>
      </c>
      <c r="F708" s="13">
        <v>0</v>
      </c>
      <c r="G708" s="13">
        <v>15.5</v>
      </c>
      <c r="H708" s="13">
        <v>0</v>
      </c>
      <c r="I708" s="13">
        <v>0</v>
      </c>
      <c r="J708" s="13">
        <v>0</v>
      </c>
      <c r="K708" s="13">
        <v>0</v>
      </c>
      <c r="L708" s="45">
        <v>0</v>
      </c>
      <c r="M708" s="34"/>
      <c r="N708" s="13">
        <v>80</v>
      </c>
      <c r="O708" s="13">
        <v>18</v>
      </c>
      <c r="P708" s="13">
        <v>1</v>
      </c>
      <c r="Q708" s="13">
        <v>15.5</v>
      </c>
      <c r="R708" s="34"/>
      <c r="S708" s="13">
        <f t="shared" si="1172"/>
        <v>114.5</v>
      </c>
      <c r="T708" s="13">
        <f t="shared" si="1171"/>
        <v>114.5</v>
      </c>
      <c r="U708" s="13">
        <f>SUM(H708:K708)</f>
        <v>0</v>
      </c>
      <c r="V708" s="34"/>
      <c r="W708" s="45">
        <v>30</v>
      </c>
      <c r="X708" s="10">
        <f t="shared" si="1168"/>
        <v>3720</v>
      </c>
      <c r="Y708" s="10">
        <f t="shared" si="1163"/>
        <v>0</v>
      </c>
      <c r="Z708" s="10">
        <f t="shared" si="1169"/>
        <v>0</v>
      </c>
      <c r="AA708" s="14">
        <f t="shared" si="1174"/>
        <v>0</v>
      </c>
      <c r="AB708" s="14">
        <f t="shared" si="1170"/>
        <v>3735</v>
      </c>
      <c r="AC708" s="63">
        <f t="shared" si="1175"/>
        <v>0</v>
      </c>
      <c r="AD708" s="209"/>
      <c r="AE708" s="63">
        <f t="shared" si="1164"/>
        <v>15</v>
      </c>
      <c r="AF708" s="209"/>
      <c r="AG708" s="8"/>
    </row>
    <row r="709" spans="1:33" x14ac:dyDescent="0.45">
      <c r="A709" s="22">
        <f t="shared" ref="A709:A713" si="1176">A708</f>
        <v>44836</v>
      </c>
      <c r="B709" s="15" t="s">
        <v>5</v>
      </c>
      <c r="C709" s="48">
        <f>120*W709</f>
        <v>3480</v>
      </c>
      <c r="D709" s="13">
        <v>72</v>
      </c>
      <c r="E709" s="13">
        <v>27</v>
      </c>
      <c r="F709" s="13">
        <v>7.5</v>
      </c>
      <c r="G709" s="13">
        <v>12.5</v>
      </c>
      <c r="H709" s="13">
        <v>0</v>
      </c>
      <c r="I709" s="13">
        <v>0</v>
      </c>
      <c r="J709" s="13">
        <v>0</v>
      </c>
      <c r="K709" s="13">
        <v>0</v>
      </c>
      <c r="L709" s="45">
        <v>0</v>
      </c>
      <c r="M709" s="34"/>
      <c r="N709" s="13">
        <v>72</v>
      </c>
      <c r="O709" s="13">
        <v>27</v>
      </c>
      <c r="P709" s="13">
        <v>7.5</v>
      </c>
      <c r="Q709" s="13">
        <v>12.5</v>
      </c>
      <c r="R709" s="34"/>
      <c r="S709" s="13">
        <f t="shared" si="1172"/>
        <v>119</v>
      </c>
      <c r="T709" s="13">
        <f t="shared" si="1171"/>
        <v>119</v>
      </c>
      <c r="U709" s="13">
        <f t="shared" ref="U709:U711" si="1177">SUM(H709:K709)</f>
        <v>0</v>
      </c>
      <c r="V709" s="34"/>
      <c r="W709" s="45">
        <v>29</v>
      </c>
      <c r="X709" s="10">
        <f t="shared" si="1168"/>
        <v>4060</v>
      </c>
      <c r="Y709" s="10">
        <f t="shared" si="1163"/>
        <v>0</v>
      </c>
      <c r="Z709" s="10">
        <f t="shared" si="1169"/>
        <v>0</v>
      </c>
      <c r="AA709" s="14">
        <f t="shared" si="1174"/>
        <v>0</v>
      </c>
      <c r="AB709" s="14">
        <f t="shared" si="1170"/>
        <v>4060</v>
      </c>
      <c r="AC709" s="63">
        <f t="shared" si="1175"/>
        <v>0</v>
      </c>
      <c r="AD709" s="209"/>
      <c r="AE709" s="63">
        <f t="shared" si="1164"/>
        <v>0</v>
      </c>
      <c r="AF709" s="209"/>
      <c r="AG709" s="8"/>
    </row>
    <row r="710" spans="1:33" x14ac:dyDescent="0.45">
      <c r="A710" s="22">
        <f t="shared" si="1176"/>
        <v>44836</v>
      </c>
      <c r="B710" s="15" t="s">
        <v>6</v>
      </c>
      <c r="C710" s="48">
        <f>80*W710</f>
        <v>2400</v>
      </c>
      <c r="D710" s="13">
        <v>76</v>
      </c>
      <c r="E710" s="13">
        <v>31.75</v>
      </c>
      <c r="F710" s="13">
        <v>11.75</v>
      </c>
      <c r="G710" s="13">
        <v>1</v>
      </c>
      <c r="H710" s="13">
        <v>0</v>
      </c>
      <c r="I710" s="13">
        <v>0</v>
      </c>
      <c r="J710" s="13">
        <v>0</v>
      </c>
      <c r="K710" s="13">
        <v>0</v>
      </c>
      <c r="L710" s="45">
        <v>0</v>
      </c>
      <c r="M710" s="34"/>
      <c r="N710" s="13">
        <v>76</v>
      </c>
      <c r="O710" s="13">
        <v>30.75</v>
      </c>
      <c r="P710" s="13">
        <v>12.75</v>
      </c>
      <c r="Q710" s="13">
        <v>1</v>
      </c>
      <c r="R710" s="34"/>
      <c r="S710" s="13">
        <f t="shared" si="1172"/>
        <v>120.5</v>
      </c>
      <c r="T710" s="13">
        <f t="shared" si="1171"/>
        <v>120.5</v>
      </c>
      <c r="U710" s="13">
        <f t="shared" si="1177"/>
        <v>0</v>
      </c>
      <c r="V710" s="34"/>
      <c r="W710" s="45">
        <v>30</v>
      </c>
      <c r="X710" s="10">
        <f>(W710*1*D710)+(W710*1.5*E710)+(W710*2*F710)+(W710*1*G710)</f>
        <v>4443.75</v>
      </c>
      <c r="Y710" s="10">
        <f t="shared" si="1163"/>
        <v>0</v>
      </c>
      <c r="Z710" s="10">
        <f t="shared" si="1169"/>
        <v>0</v>
      </c>
      <c r="AA710" s="14">
        <f t="shared" si="1174"/>
        <v>0</v>
      </c>
      <c r="AB710" s="14">
        <f t="shared" si="1170"/>
        <v>4458.75</v>
      </c>
      <c r="AC710" s="63">
        <f t="shared" si="1175"/>
        <v>0</v>
      </c>
      <c r="AD710" s="209"/>
      <c r="AE710" s="63">
        <f t="shared" si="1164"/>
        <v>15</v>
      </c>
      <c r="AF710" s="209"/>
      <c r="AG710" s="8"/>
    </row>
    <row r="711" spans="1:33" x14ac:dyDescent="0.45">
      <c r="A711" s="22">
        <f>A710</f>
        <v>44836</v>
      </c>
      <c r="B711" s="15" t="s">
        <v>9</v>
      </c>
      <c r="C711" s="48">
        <f>120*W711</f>
        <v>3600</v>
      </c>
      <c r="D711" s="13">
        <v>80</v>
      </c>
      <c r="E711" s="13">
        <v>24.5</v>
      </c>
      <c r="F711" s="13">
        <v>10</v>
      </c>
      <c r="G711" s="13">
        <v>12</v>
      </c>
      <c r="H711" s="13">
        <v>0</v>
      </c>
      <c r="I711" s="13">
        <v>0</v>
      </c>
      <c r="J711" s="13">
        <v>0</v>
      </c>
      <c r="K711" s="13">
        <v>0</v>
      </c>
      <c r="L711" s="45">
        <v>0</v>
      </c>
      <c r="M711" s="34"/>
      <c r="N711" s="13">
        <v>80</v>
      </c>
      <c r="O711" s="13">
        <v>24.5</v>
      </c>
      <c r="P711" s="13">
        <v>10</v>
      </c>
      <c r="Q711" s="13">
        <v>12</v>
      </c>
      <c r="R711" s="34"/>
      <c r="S711" s="13">
        <f t="shared" si="1172"/>
        <v>126.5</v>
      </c>
      <c r="T711" s="13">
        <f t="shared" si="1171"/>
        <v>126.5</v>
      </c>
      <c r="U711" s="13">
        <f t="shared" si="1177"/>
        <v>0</v>
      </c>
      <c r="V711" s="34"/>
      <c r="W711" s="45">
        <v>30</v>
      </c>
      <c r="X711" s="10">
        <f t="shared" ref="X711" si="1178">(W711*1*D711)+(W711*1.5*E711)+(W711*2*F711)+(W711*1*G711)</f>
        <v>4462.5</v>
      </c>
      <c r="Y711" s="10">
        <f>(W711*0*H711)+(W711*1*I711)</f>
        <v>0</v>
      </c>
      <c r="Z711" s="10">
        <f t="shared" si="1169"/>
        <v>0</v>
      </c>
      <c r="AA711" s="14">
        <f t="shared" si="1174"/>
        <v>0</v>
      </c>
      <c r="AB711" s="14">
        <f t="shared" si="1170"/>
        <v>4462.5</v>
      </c>
      <c r="AC711" s="63">
        <f t="shared" si="1175"/>
        <v>0</v>
      </c>
      <c r="AD711" s="209"/>
      <c r="AE711" s="63">
        <f t="shared" si="1164"/>
        <v>0</v>
      </c>
      <c r="AF711" s="209"/>
      <c r="AG711" s="8"/>
    </row>
    <row r="712" spans="1:33" x14ac:dyDescent="0.45">
      <c r="A712" s="22">
        <f t="shared" si="1176"/>
        <v>44836</v>
      </c>
      <c r="B712" s="50" t="s">
        <v>31</v>
      </c>
      <c r="C712" s="48">
        <f>120*W712</f>
        <v>3600</v>
      </c>
      <c r="D712" s="51">
        <v>80</v>
      </c>
      <c r="E712" s="51">
        <v>39.5</v>
      </c>
      <c r="F712" s="51">
        <v>11</v>
      </c>
      <c r="G712" s="51">
        <v>12</v>
      </c>
      <c r="H712" s="51">
        <v>0</v>
      </c>
      <c r="I712" s="51">
        <v>0</v>
      </c>
      <c r="J712" s="51">
        <v>0</v>
      </c>
      <c r="K712" s="51">
        <v>0</v>
      </c>
      <c r="L712" s="52">
        <v>0</v>
      </c>
      <c r="M712" s="34"/>
      <c r="N712" s="13">
        <v>80</v>
      </c>
      <c r="O712" s="13">
        <v>35</v>
      </c>
      <c r="P712" s="13">
        <v>14.5</v>
      </c>
      <c r="Q712" s="13">
        <v>13</v>
      </c>
      <c r="R712" s="34"/>
      <c r="S712" s="51">
        <f t="shared" ref="S712" si="1179">SUM(D712:G712)</f>
        <v>142.5</v>
      </c>
      <c r="T712" s="51">
        <f>SUM(N712:Q712)</f>
        <v>142.5</v>
      </c>
      <c r="U712" s="51">
        <f t="shared" ref="U712" si="1180">SUM(H712:K712)</f>
        <v>0</v>
      </c>
      <c r="V712" s="34"/>
      <c r="W712" s="52">
        <v>30</v>
      </c>
      <c r="X712" s="53">
        <f>(W712*1*D712)+(W712*1.5*E712)+(W712*2*F712)+(W712*1*G712)</f>
        <v>5197.5</v>
      </c>
      <c r="Y712" s="53">
        <f t="shared" ref="Y712:Y720" si="1181">(W712*0*H712)+(W712*1*I712)</f>
        <v>0</v>
      </c>
      <c r="Z712" s="53">
        <f>(W712*1*J712)+L712</f>
        <v>0</v>
      </c>
      <c r="AA712" s="54">
        <f t="shared" si="1174"/>
        <v>0</v>
      </c>
      <c r="AB712" s="54">
        <f>(W712*1*N712)+(W712*1.5*O712)+(W712*2*P712)+(W712*1*Q712)</f>
        <v>5235</v>
      </c>
      <c r="AC712" s="64">
        <f t="shared" si="1175"/>
        <v>0</v>
      </c>
      <c r="AD712" s="209"/>
      <c r="AE712" s="64">
        <f t="shared" ref="AE712:AE721" si="1182">AB712-(X712+Z712)</f>
        <v>37.5</v>
      </c>
      <c r="AF712" s="209"/>
      <c r="AG712" s="8"/>
    </row>
    <row r="713" spans="1:33" x14ac:dyDescent="0.45">
      <c r="A713" s="22">
        <f t="shared" si="1176"/>
        <v>44836</v>
      </c>
      <c r="B713" s="50" t="s">
        <v>64</v>
      </c>
      <c r="C713" s="48">
        <f t="shared" ref="C713:C716" si="1183">80*W713</f>
        <v>1512</v>
      </c>
      <c r="D713" s="51">
        <v>80</v>
      </c>
      <c r="E713" s="51">
        <v>39.5</v>
      </c>
      <c r="F713" s="51">
        <v>7</v>
      </c>
      <c r="G713" s="51">
        <v>15</v>
      </c>
      <c r="H713" s="51">
        <v>0</v>
      </c>
      <c r="I713" s="51">
        <v>0</v>
      </c>
      <c r="J713" s="51">
        <v>0</v>
      </c>
      <c r="K713" s="51">
        <v>0</v>
      </c>
      <c r="L713" s="52">
        <v>0</v>
      </c>
      <c r="M713" s="34"/>
      <c r="N713" s="51">
        <v>80</v>
      </c>
      <c r="O713" s="51">
        <v>39.5</v>
      </c>
      <c r="P713" s="51">
        <v>7</v>
      </c>
      <c r="Q713" s="51">
        <v>15</v>
      </c>
      <c r="R713" s="34"/>
      <c r="S713" s="51">
        <f t="shared" ref="S713:S715" si="1184">SUM(D713:G713)</f>
        <v>141.5</v>
      </c>
      <c r="T713" s="51">
        <f>SUM(N713:Q713)</f>
        <v>141.5</v>
      </c>
      <c r="U713" s="51">
        <f t="shared" ref="U713:U715" si="1185">SUM(H713:K713)</f>
        <v>0</v>
      </c>
      <c r="V713" s="34"/>
      <c r="W713" s="52">
        <v>18.899999999999999</v>
      </c>
      <c r="X713" s="53">
        <f t="shared" ref="X713:X719" si="1186">(W713*1*D713)+(W713*1.5*E713)+(W713*2*F713)+(W713*1*G713)</f>
        <v>3179.9249999999997</v>
      </c>
      <c r="Y713" s="53">
        <f t="shared" si="1181"/>
        <v>0</v>
      </c>
      <c r="Z713" s="53">
        <f t="shared" ref="Z713:Z721" si="1187">(W713*1*J713)+L713</f>
        <v>0</v>
      </c>
      <c r="AA713" s="54">
        <f t="shared" si="1174"/>
        <v>0</v>
      </c>
      <c r="AB713" s="54">
        <f t="shared" ref="AB713:AB721" si="1188">(W713*1*N713)+(W713*1.5*O713)+(W713*2*P713)+(W713*1*Q713)</f>
        <v>3179.9249999999997</v>
      </c>
      <c r="AC713" s="64">
        <f t="shared" si="1175"/>
        <v>0</v>
      </c>
      <c r="AD713" s="209"/>
      <c r="AE713" s="64">
        <f t="shared" si="1182"/>
        <v>0</v>
      </c>
      <c r="AF713" s="209"/>
      <c r="AG713" s="8"/>
    </row>
    <row r="714" spans="1:33" x14ac:dyDescent="0.45">
      <c r="A714" s="22">
        <f>A713</f>
        <v>44836</v>
      </c>
      <c r="B714" s="50" t="s">
        <v>53</v>
      </c>
      <c r="C714" s="48">
        <f t="shared" si="1183"/>
        <v>1840</v>
      </c>
      <c r="D714" s="51">
        <v>80</v>
      </c>
      <c r="E714" s="51">
        <v>28</v>
      </c>
      <c r="F714" s="51">
        <v>7.5</v>
      </c>
      <c r="G714" s="51">
        <v>12.5</v>
      </c>
      <c r="H714" s="51">
        <v>0</v>
      </c>
      <c r="I714" s="51">
        <v>0</v>
      </c>
      <c r="J714" s="51">
        <v>0</v>
      </c>
      <c r="K714" s="51">
        <v>0</v>
      </c>
      <c r="L714" s="52">
        <v>0</v>
      </c>
      <c r="M714" s="34"/>
      <c r="N714" s="13">
        <v>80</v>
      </c>
      <c r="O714" s="13">
        <v>28</v>
      </c>
      <c r="P714" s="13">
        <v>7.5</v>
      </c>
      <c r="Q714" s="13">
        <v>12.5</v>
      </c>
      <c r="R714" s="34"/>
      <c r="S714" s="51">
        <f t="shared" si="1184"/>
        <v>128</v>
      </c>
      <c r="T714" s="51">
        <f>SUM(N714:Q714)</f>
        <v>128</v>
      </c>
      <c r="U714" s="51">
        <f t="shared" si="1185"/>
        <v>0</v>
      </c>
      <c r="V714" s="34"/>
      <c r="W714" s="52">
        <v>23</v>
      </c>
      <c r="X714" s="53">
        <f t="shared" si="1186"/>
        <v>3438.5</v>
      </c>
      <c r="Y714" s="53">
        <f t="shared" si="1181"/>
        <v>0</v>
      </c>
      <c r="Z714" s="53">
        <f t="shared" si="1187"/>
        <v>0</v>
      </c>
      <c r="AA714" s="54">
        <f t="shared" si="1174"/>
        <v>0</v>
      </c>
      <c r="AB714" s="54">
        <f t="shared" si="1188"/>
        <v>3438.5</v>
      </c>
      <c r="AC714" s="64">
        <f t="shared" si="1175"/>
        <v>0</v>
      </c>
      <c r="AD714" s="209"/>
      <c r="AE714" s="64">
        <f t="shared" si="1182"/>
        <v>0</v>
      </c>
      <c r="AF714" s="209"/>
      <c r="AG714" s="8"/>
    </row>
    <row r="715" spans="1:33" x14ac:dyDescent="0.45">
      <c r="A715" s="22">
        <f>A713</f>
        <v>44836</v>
      </c>
      <c r="B715" s="50" t="s">
        <v>54</v>
      </c>
      <c r="C715" s="48">
        <f t="shared" si="1183"/>
        <v>1840</v>
      </c>
      <c r="D715" s="51">
        <v>80</v>
      </c>
      <c r="E715" s="51">
        <v>11</v>
      </c>
      <c r="F715" s="51">
        <v>0</v>
      </c>
      <c r="G715" s="51">
        <v>8</v>
      </c>
      <c r="H715" s="51">
        <v>0</v>
      </c>
      <c r="I715" s="51">
        <v>0</v>
      </c>
      <c r="J715" s="51">
        <v>0</v>
      </c>
      <c r="K715" s="51">
        <v>0</v>
      </c>
      <c r="L715" s="52">
        <v>0</v>
      </c>
      <c r="M715" s="34"/>
      <c r="N715" s="51">
        <v>80</v>
      </c>
      <c r="O715" s="51">
        <v>11.25</v>
      </c>
      <c r="P715" s="51">
        <v>0</v>
      </c>
      <c r="Q715" s="51">
        <v>8</v>
      </c>
      <c r="R715" s="34"/>
      <c r="S715" s="51">
        <f t="shared" si="1184"/>
        <v>99</v>
      </c>
      <c r="T715" s="51">
        <f t="shared" ref="T715:T721" si="1189">SUM(N715:Q715)</f>
        <v>99.25</v>
      </c>
      <c r="U715" s="51">
        <f t="shared" si="1185"/>
        <v>0</v>
      </c>
      <c r="V715" s="34"/>
      <c r="W715" s="52">
        <v>23</v>
      </c>
      <c r="X715" s="53">
        <f t="shared" si="1186"/>
        <v>2403.5</v>
      </c>
      <c r="Y715" s="53">
        <f t="shared" si="1181"/>
        <v>0</v>
      </c>
      <c r="Z715" s="53">
        <f t="shared" si="1187"/>
        <v>0</v>
      </c>
      <c r="AA715" s="54">
        <f t="shared" si="1174"/>
        <v>0</v>
      </c>
      <c r="AB715" s="54">
        <f t="shared" si="1188"/>
        <v>2412.125</v>
      </c>
      <c r="AC715" s="64">
        <f t="shared" si="1175"/>
        <v>0</v>
      </c>
      <c r="AD715" s="209"/>
      <c r="AE715" s="64">
        <f t="shared" si="1182"/>
        <v>8.625</v>
      </c>
      <c r="AF715" s="209"/>
      <c r="AG715" s="8"/>
    </row>
    <row r="716" spans="1:33" ht="14.65" thickBot="1" x14ac:dyDescent="0.5">
      <c r="A716" s="23">
        <f>A713</f>
        <v>44836</v>
      </c>
      <c r="B716" s="24" t="s">
        <v>62</v>
      </c>
      <c r="C716" s="49">
        <f t="shared" si="1183"/>
        <v>2000</v>
      </c>
      <c r="D716" s="25">
        <v>80</v>
      </c>
      <c r="E716" s="25">
        <v>28.75</v>
      </c>
      <c r="F716" s="25">
        <v>0</v>
      </c>
      <c r="G716" s="25">
        <v>0</v>
      </c>
      <c r="H716" s="25">
        <v>0</v>
      </c>
      <c r="I716" s="25">
        <v>0</v>
      </c>
      <c r="J716" s="25">
        <v>0</v>
      </c>
      <c r="K716" s="25">
        <v>0</v>
      </c>
      <c r="L716" s="46">
        <v>0</v>
      </c>
      <c r="M716" s="35"/>
      <c r="N716" s="25">
        <v>80</v>
      </c>
      <c r="O716" s="25">
        <v>28.75</v>
      </c>
      <c r="P716" s="25">
        <v>0</v>
      </c>
      <c r="Q716" s="25">
        <v>0</v>
      </c>
      <c r="R716" s="35"/>
      <c r="S716" s="25">
        <f t="shared" ref="S716:S721" si="1190">SUM(D716:G716)</f>
        <v>108.75</v>
      </c>
      <c r="T716" s="25">
        <f t="shared" si="1189"/>
        <v>108.75</v>
      </c>
      <c r="U716" s="25">
        <f t="shared" ref="U716:U717" si="1191">SUM(H716:K716)</f>
        <v>0</v>
      </c>
      <c r="V716" s="35"/>
      <c r="W716" s="46">
        <v>25</v>
      </c>
      <c r="X716" s="26">
        <f t="shared" si="1186"/>
        <v>3078.125</v>
      </c>
      <c r="Y716" s="26">
        <f t="shared" si="1181"/>
        <v>0</v>
      </c>
      <c r="Z716" s="26">
        <f t="shared" si="1187"/>
        <v>0</v>
      </c>
      <c r="AA716" s="27">
        <f t="shared" si="1174"/>
        <v>0</v>
      </c>
      <c r="AB716" s="27">
        <f t="shared" si="1188"/>
        <v>3078.125</v>
      </c>
      <c r="AC716" s="65">
        <f t="shared" si="1175"/>
        <v>0</v>
      </c>
      <c r="AD716" s="210"/>
      <c r="AE716" s="65">
        <f t="shared" si="1182"/>
        <v>0</v>
      </c>
      <c r="AF716" s="210"/>
      <c r="AG716" s="8"/>
    </row>
    <row r="717" spans="1:33" x14ac:dyDescent="0.45">
      <c r="A717" s="16">
        <f>A716+14</f>
        <v>44850</v>
      </c>
      <c r="B717" s="17" t="s">
        <v>30</v>
      </c>
      <c r="C717" s="47">
        <f>120*W717</f>
        <v>3900</v>
      </c>
      <c r="D717" s="18">
        <v>72</v>
      </c>
      <c r="E717" s="18">
        <v>11</v>
      </c>
      <c r="F717" s="18">
        <v>0</v>
      </c>
      <c r="G717" s="18">
        <v>7</v>
      </c>
      <c r="H717" s="18">
        <v>0</v>
      </c>
      <c r="I717" s="18">
        <v>0</v>
      </c>
      <c r="J717" s="18">
        <v>8</v>
      </c>
      <c r="K717" s="18">
        <v>0</v>
      </c>
      <c r="L717" s="44">
        <v>0</v>
      </c>
      <c r="M717" s="33"/>
      <c r="N717" s="18">
        <v>72</v>
      </c>
      <c r="O717" s="18">
        <v>11</v>
      </c>
      <c r="P717" s="18">
        <v>0</v>
      </c>
      <c r="Q717" s="18">
        <v>7</v>
      </c>
      <c r="R717" s="33"/>
      <c r="S717" s="18">
        <f t="shared" si="1190"/>
        <v>90</v>
      </c>
      <c r="T717" s="18">
        <f t="shared" si="1189"/>
        <v>90</v>
      </c>
      <c r="U717" s="18">
        <f t="shared" si="1191"/>
        <v>8</v>
      </c>
      <c r="V717" s="33"/>
      <c r="W717" s="44">
        <v>32.5</v>
      </c>
      <c r="X717" s="19">
        <f t="shared" si="1186"/>
        <v>3103.75</v>
      </c>
      <c r="Y717" s="19">
        <f t="shared" si="1181"/>
        <v>0</v>
      </c>
      <c r="Z717" s="19">
        <f t="shared" si="1187"/>
        <v>260</v>
      </c>
      <c r="AA717" s="20">
        <f t="shared" ref="AA717:AA726" si="1192">(W717*1*K717)</f>
        <v>0</v>
      </c>
      <c r="AB717" s="20">
        <f t="shared" si="1188"/>
        <v>3103.75</v>
      </c>
      <c r="AC717" s="66">
        <f t="shared" ref="AC717:AC726" si="1193">0-Y717-AA717</f>
        <v>0</v>
      </c>
      <c r="AD717" s="208"/>
      <c r="AE717" s="66">
        <f t="shared" si="1182"/>
        <v>-260</v>
      </c>
      <c r="AF717" s="208">
        <f>SUM(AE717:AE726)</f>
        <v>-1946.2</v>
      </c>
      <c r="AG717" s="8"/>
    </row>
    <row r="718" spans="1:33" x14ac:dyDescent="0.45">
      <c r="A718" s="22">
        <f>A717</f>
        <v>44850</v>
      </c>
      <c r="B718" s="15" t="s">
        <v>4</v>
      </c>
      <c r="C718" s="48">
        <f>80*W718</f>
        <v>2400</v>
      </c>
      <c r="D718" s="13">
        <v>72</v>
      </c>
      <c r="E718" s="13">
        <v>12.75</v>
      </c>
      <c r="F718" s="13">
        <v>0</v>
      </c>
      <c r="G718" s="13">
        <v>4</v>
      </c>
      <c r="H718" s="13">
        <v>0</v>
      </c>
      <c r="I718" s="13">
        <v>0</v>
      </c>
      <c r="J718" s="13">
        <v>8</v>
      </c>
      <c r="K718" s="13">
        <v>0</v>
      </c>
      <c r="L718" s="45">
        <v>0</v>
      </c>
      <c r="M718" s="34"/>
      <c r="N718" s="13">
        <v>72</v>
      </c>
      <c r="O718" s="13">
        <v>9.75</v>
      </c>
      <c r="P718" s="13">
        <v>3</v>
      </c>
      <c r="Q718" s="13">
        <v>4</v>
      </c>
      <c r="R718" s="34"/>
      <c r="S718" s="13">
        <f t="shared" si="1190"/>
        <v>88.75</v>
      </c>
      <c r="T718" s="13">
        <f t="shared" si="1189"/>
        <v>88.75</v>
      </c>
      <c r="U718" s="13">
        <f>SUM(H718:K718)</f>
        <v>8</v>
      </c>
      <c r="V718" s="34"/>
      <c r="W718" s="45">
        <v>30</v>
      </c>
      <c r="X718" s="10">
        <f t="shared" si="1186"/>
        <v>2853.75</v>
      </c>
      <c r="Y718" s="10">
        <f t="shared" si="1181"/>
        <v>0</v>
      </c>
      <c r="Z718" s="10">
        <f t="shared" si="1187"/>
        <v>240</v>
      </c>
      <c r="AA718" s="14">
        <f t="shared" si="1192"/>
        <v>0</v>
      </c>
      <c r="AB718" s="14">
        <f t="shared" si="1188"/>
        <v>2898.75</v>
      </c>
      <c r="AC718" s="63">
        <f t="shared" si="1193"/>
        <v>0</v>
      </c>
      <c r="AD718" s="209"/>
      <c r="AE718" s="63">
        <f t="shared" si="1182"/>
        <v>-195</v>
      </c>
      <c r="AF718" s="209"/>
      <c r="AG718" s="8"/>
    </row>
    <row r="719" spans="1:33" x14ac:dyDescent="0.45">
      <c r="A719" s="22">
        <f t="shared" ref="A719:A723" si="1194">A718</f>
        <v>44850</v>
      </c>
      <c r="B719" s="15" t="s">
        <v>5</v>
      </c>
      <c r="C719" s="48">
        <f>120*W719</f>
        <v>3480</v>
      </c>
      <c r="D719" s="13">
        <v>40</v>
      </c>
      <c r="E719" s="13">
        <v>1.5</v>
      </c>
      <c r="F719" s="13">
        <v>0</v>
      </c>
      <c r="G719" s="13">
        <v>0</v>
      </c>
      <c r="H719" s="13">
        <v>0</v>
      </c>
      <c r="I719" s="13">
        <v>32</v>
      </c>
      <c r="J719" s="13">
        <v>8</v>
      </c>
      <c r="K719" s="13">
        <v>0</v>
      </c>
      <c r="L719" s="45">
        <v>0</v>
      </c>
      <c r="M719" s="34"/>
      <c r="N719" s="13">
        <v>40</v>
      </c>
      <c r="O719" s="13">
        <v>1.5</v>
      </c>
      <c r="P719" s="13">
        <v>0</v>
      </c>
      <c r="Q719" s="13">
        <v>0</v>
      </c>
      <c r="R719" s="34"/>
      <c r="S719" s="13">
        <f t="shared" si="1190"/>
        <v>41.5</v>
      </c>
      <c r="T719" s="13">
        <f t="shared" si="1189"/>
        <v>41.5</v>
      </c>
      <c r="U719" s="13">
        <f t="shared" ref="U719:U721" si="1195">SUM(H719:K719)</f>
        <v>40</v>
      </c>
      <c r="V719" s="34"/>
      <c r="W719" s="45">
        <v>29</v>
      </c>
      <c r="X719" s="10">
        <f t="shared" si="1186"/>
        <v>1225.25</v>
      </c>
      <c r="Y719" s="10">
        <f t="shared" si="1181"/>
        <v>928</v>
      </c>
      <c r="Z719" s="10">
        <f t="shared" si="1187"/>
        <v>232</v>
      </c>
      <c r="AA719" s="14">
        <f t="shared" si="1192"/>
        <v>0</v>
      </c>
      <c r="AB719" s="14">
        <f t="shared" si="1188"/>
        <v>1225.25</v>
      </c>
      <c r="AC719" s="63">
        <f t="shared" si="1193"/>
        <v>-928</v>
      </c>
      <c r="AD719" s="209"/>
      <c r="AE719" s="63">
        <f t="shared" si="1182"/>
        <v>-232</v>
      </c>
      <c r="AF719" s="209"/>
      <c r="AG719" s="8"/>
    </row>
    <row r="720" spans="1:33" x14ac:dyDescent="0.45">
      <c r="A720" s="22">
        <f t="shared" si="1194"/>
        <v>44850</v>
      </c>
      <c r="B720" s="15" t="s">
        <v>6</v>
      </c>
      <c r="C720" s="48">
        <f>80*W720</f>
        <v>2400</v>
      </c>
      <c r="D720" s="13">
        <v>72</v>
      </c>
      <c r="E720" s="13">
        <v>29.5</v>
      </c>
      <c r="F720" s="13">
        <v>12</v>
      </c>
      <c r="G720" s="13">
        <v>1.5</v>
      </c>
      <c r="H720" s="13">
        <v>0</v>
      </c>
      <c r="I720" s="13">
        <v>0</v>
      </c>
      <c r="J720" s="13">
        <v>8</v>
      </c>
      <c r="K720" s="13">
        <v>0</v>
      </c>
      <c r="L720" s="45">
        <v>0</v>
      </c>
      <c r="M720" s="34"/>
      <c r="N720" s="13">
        <v>72</v>
      </c>
      <c r="O720" s="13">
        <v>29.5</v>
      </c>
      <c r="P720" s="13">
        <v>12</v>
      </c>
      <c r="Q720" s="13">
        <v>1.5</v>
      </c>
      <c r="R720" s="34"/>
      <c r="S720" s="13">
        <f t="shared" si="1190"/>
        <v>115</v>
      </c>
      <c r="T720" s="13">
        <f t="shared" si="1189"/>
        <v>115</v>
      </c>
      <c r="U720" s="13">
        <f t="shared" si="1195"/>
        <v>8</v>
      </c>
      <c r="V720" s="34"/>
      <c r="W720" s="45">
        <v>30</v>
      </c>
      <c r="X720" s="10">
        <f>(W720*1*D720)+(W720*1.5*E720)+(W720*2*F720)+(W720*1*G720)</f>
        <v>4252.5</v>
      </c>
      <c r="Y720" s="10">
        <f t="shared" si="1181"/>
        <v>0</v>
      </c>
      <c r="Z720" s="10">
        <f t="shared" si="1187"/>
        <v>240</v>
      </c>
      <c r="AA720" s="14">
        <f t="shared" si="1192"/>
        <v>0</v>
      </c>
      <c r="AB720" s="14">
        <f t="shared" si="1188"/>
        <v>4252.5</v>
      </c>
      <c r="AC720" s="63">
        <f t="shared" si="1193"/>
        <v>0</v>
      </c>
      <c r="AD720" s="209"/>
      <c r="AE720" s="63">
        <f t="shared" si="1182"/>
        <v>-240</v>
      </c>
      <c r="AF720" s="209"/>
      <c r="AG720" s="8"/>
    </row>
    <row r="721" spans="1:33" x14ac:dyDescent="0.45">
      <c r="A721" s="22">
        <f>A720</f>
        <v>44850</v>
      </c>
      <c r="B721" s="15" t="s">
        <v>9</v>
      </c>
      <c r="C721" s="48">
        <f>120*W721</f>
        <v>3600</v>
      </c>
      <c r="D721" s="13">
        <v>72</v>
      </c>
      <c r="E721" s="13">
        <v>22</v>
      </c>
      <c r="F721" s="13">
        <v>10.5</v>
      </c>
      <c r="G721" s="13">
        <v>12</v>
      </c>
      <c r="H721" s="13">
        <v>0</v>
      </c>
      <c r="I721" s="13">
        <v>0</v>
      </c>
      <c r="J721" s="13">
        <v>8</v>
      </c>
      <c r="K721" s="13">
        <v>0</v>
      </c>
      <c r="L721" s="45">
        <v>0</v>
      </c>
      <c r="M721" s="34"/>
      <c r="N721" s="13">
        <v>72</v>
      </c>
      <c r="O721" s="13">
        <v>12</v>
      </c>
      <c r="P721" s="13">
        <v>20.5</v>
      </c>
      <c r="Q721" s="13">
        <v>12</v>
      </c>
      <c r="R721" s="34"/>
      <c r="S721" s="13">
        <f t="shared" si="1190"/>
        <v>116.5</v>
      </c>
      <c r="T721" s="13">
        <f t="shared" si="1189"/>
        <v>116.5</v>
      </c>
      <c r="U721" s="13">
        <f t="shared" si="1195"/>
        <v>8</v>
      </c>
      <c r="V721" s="34"/>
      <c r="W721" s="45">
        <v>30</v>
      </c>
      <c r="X721" s="10">
        <f t="shared" ref="X721" si="1196">(W721*1*D721)+(W721*1.5*E721)+(W721*2*F721)+(W721*1*G721)</f>
        <v>4140</v>
      </c>
      <c r="Y721" s="10">
        <f>(W721*0*H721)+(W721*1*I721)</f>
        <v>0</v>
      </c>
      <c r="Z721" s="10">
        <f t="shared" si="1187"/>
        <v>240</v>
      </c>
      <c r="AA721" s="14">
        <f t="shared" si="1192"/>
        <v>0</v>
      </c>
      <c r="AB721" s="14">
        <f t="shared" si="1188"/>
        <v>4290</v>
      </c>
      <c r="AC721" s="63">
        <f t="shared" si="1193"/>
        <v>0</v>
      </c>
      <c r="AD721" s="209"/>
      <c r="AE721" s="63">
        <f t="shared" si="1182"/>
        <v>-90</v>
      </c>
      <c r="AF721" s="209"/>
      <c r="AG721" s="8"/>
    </row>
    <row r="722" spans="1:33" x14ac:dyDescent="0.45">
      <c r="A722" s="22">
        <f t="shared" si="1194"/>
        <v>44850</v>
      </c>
      <c r="B722" s="50" t="s">
        <v>31</v>
      </c>
      <c r="C722" s="48">
        <f>120*W722</f>
        <v>3600</v>
      </c>
      <c r="D722" s="51">
        <v>72</v>
      </c>
      <c r="E722" s="51">
        <v>31.25</v>
      </c>
      <c r="F722" s="51">
        <v>10.75</v>
      </c>
      <c r="G722" s="51">
        <v>11</v>
      </c>
      <c r="H722" s="51">
        <v>0</v>
      </c>
      <c r="I722" s="51">
        <v>0</v>
      </c>
      <c r="J722" s="51">
        <v>8</v>
      </c>
      <c r="K722" s="51">
        <v>0</v>
      </c>
      <c r="L722" s="52">
        <v>0</v>
      </c>
      <c r="M722" s="34"/>
      <c r="N722" s="13">
        <v>72</v>
      </c>
      <c r="O722" s="13">
        <v>31.25</v>
      </c>
      <c r="P722" s="13">
        <v>11.75</v>
      </c>
      <c r="Q722" s="13">
        <v>10</v>
      </c>
      <c r="R722" s="34"/>
      <c r="S722" s="51">
        <f t="shared" ref="S722" si="1197">SUM(D722:G722)</f>
        <v>125</v>
      </c>
      <c r="T722" s="51">
        <f>SUM(N722:Q722)</f>
        <v>125</v>
      </c>
      <c r="U722" s="51">
        <f t="shared" ref="U722" si="1198">SUM(H722:K722)</f>
        <v>8</v>
      </c>
      <c r="V722" s="34"/>
      <c r="W722" s="52">
        <v>30</v>
      </c>
      <c r="X722" s="53">
        <f>(W722*1*D722)+(W722*1.5*E722)+(W722*2*F722)+(W722*1*G722)</f>
        <v>4541.25</v>
      </c>
      <c r="Y722" s="53">
        <f t="shared" ref="Y722:Y730" si="1199">(W722*0*H722)+(W722*1*I722)</f>
        <v>0</v>
      </c>
      <c r="Z722" s="53">
        <f>(W722*1*J722)+L722</f>
        <v>240</v>
      </c>
      <c r="AA722" s="54">
        <f t="shared" si="1192"/>
        <v>0</v>
      </c>
      <c r="AB722" s="54">
        <f>(W722*1*N722)+(W722*1.5*O722)+(W722*2*P722)+(W722*1*Q722)</f>
        <v>4571.25</v>
      </c>
      <c r="AC722" s="64">
        <f t="shared" si="1193"/>
        <v>0</v>
      </c>
      <c r="AD722" s="209"/>
      <c r="AE722" s="64">
        <f t="shared" ref="AE722:AE731" si="1200">AB722-(X722+Z722)</f>
        <v>-210</v>
      </c>
      <c r="AF722" s="209"/>
      <c r="AG722" s="8"/>
    </row>
    <row r="723" spans="1:33" x14ac:dyDescent="0.45">
      <c r="A723" s="22">
        <f t="shared" si="1194"/>
        <v>44850</v>
      </c>
      <c r="B723" s="50" t="s">
        <v>64</v>
      </c>
      <c r="C723" s="48">
        <f t="shared" ref="C723:C726" si="1201">80*W723</f>
        <v>1512</v>
      </c>
      <c r="D723" s="51">
        <v>0</v>
      </c>
      <c r="E723" s="51">
        <v>0</v>
      </c>
      <c r="F723" s="51">
        <v>0</v>
      </c>
      <c r="G723" s="51">
        <v>0</v>
      </c>
      <c r="H723" s="51">
        <v>0</v>
      </c>
      <c r="I723" s="51">
        <v>0</v>
      </c>
      <c r="J723" s="51">
        <v>8</v>
      </c>
      <c r="K723" s="51">
        <v>72</v>
      </c>
      <c r="L723" s="52">
        <v>0</v>
      </c>
      <c r="M723" s="34"/>
      <c r="N723" s="51">
        <v>0</v>
      </c>
      <c r="O723" s="51">
        <v>0</v>
      </c>
      <c r="P723" s="51">
        <v>0</v>
      </c>
      <c r="Q723" s="51">
        <v>0</v>
      </c>
      <c r="R723" s="34"/>
      <c r="S723" s="51">
        <f t="shared" ref="S723:S725" si="1202">SUM(D723:G723)</f>
        <v>0</v>
      </c>
      <c r="T723" s="51">
        <f>SUM(N723:Q723)</f>
        <v>0</v>
      </c>
      <c r="U723" s="51">
        <f t="shared" ref="U723:U725" si="1203">SUM(H723:K723)</f>
        <v>80</v>
      </c>
      <c r="V723" s="34"/>
      <c r="W723" s="52">
        <v>18.899999999999999</v>
      </c>
      <c r="X723" s="53">
        <f t="shared" ref="X723:X729" si="1204">(W723*1*D723)+(W723*1.5*E723)+(W723*2*F723)+(W723*1*G723)</f>
        <v>0</v>
      </c>
      <c r="Y723" s="53">
        <f t="shared" si="1199"/>
        <v>0</v>
      </c>
      <c r="Z723" s="53">
        <f t="shared" ref="Z723:Z731" si="1205">(W723*1*J723)+L723</f>
        <v>151.19999999999999</v>
      </c>
      <c r="AA723" s="54">
        <f t="shared" si="1192"/>
        <v>1360.8</v>
      </c>
      <c r="AB723" s="54">
        <f t="shared" ref="AB723:AB731" si="1206">(W723*1*N723)+(W723*1.5*O723)+(W723*2*P723)+(W723*1*Q723)</f>
        <v>0</v>
      </c>
      <c r="AC723" s="64">
        <f t="shared" si="1193"/>
        <v>-1360.8</v>
      </c>
      <c r="AD723" s="209"/>
      <c r="AE723" s="64">
        <f t="shared" si="1200"/>
        <v>-151.19999999999999</v>
      </c>
      <c r="AF723" s="209"/>
      <c r="AG723" s="8"/>
    </row>
    <row r="724" spans="1:33" x14ac:dyDescent="0.45">
      <c r="A724" s="22">
        <f>A723</f>
        <v>44850</v>
      </c>
      <c r="B724" s="50" t="s">
        <v>53</v>
      </c>
      <c r="C724" s="48">
        <f t="shared" si="1201"/>
        <v>1840</v>
      </c>
      <c r="D724" s="51">
        <v>72</v>
      </c>
      <c r="E724" s="51">
        <v>26</v>
      </c>
      <c r="F724" s="51">
        <v>7.5</v>
      </c>
      <c r="G724" s="51">
        <v>0</v>
      </c>
      <c r="H724" s="51">
        <v>0</v>
      </c>
      <c r="I724" s="51">
        <v>0</v>
      </c>
      <c r="J724" s="51">
        <v>8</v>
      </c>
      <c r="K724" s="51">
        <v>0</v>
      </c>
      <c r="L724" s="52">
        <v>0</v>
      </c>
      <c r="M724" s="34"/>
      <c r="N724" s="13">
        <v>72</v>
      </c>
      <c r="O724" s="13">
        <v>26</v>
      </c>
      <c r="P724" s="13">
        <v>7.5</v>
      </c>
      <c r="Q724" s="13">
        <v>0</v>
      </c>
      <c r="R724" s="34"/>
      <c r="S724" s="51">
        <f t="shared" si="1202"/>
        <v>105.5</v>
      </c>
      <c r="T724" s="51">
        <f>SUM(N724:Q724)</f>
        <v>105.5</v>
      </c>
      <c r="U724" s="51">
        <f t="shared" si="1203"/>
        <v>8</v>
      </c>
      <c r="V724" s="34"/>
      <c r="W724" s="52">
        <v>23</v>
      </c>
      <c r="X724" s="53">
        <f t="shared" si="1204"/>
        <v>2898</v>
      </c>
      <c r="Y724" s="53">
        <f t="shared" si="1199"/>
        <v>0</v>
      </c>
      <c r="Z724" s="53">
        <f t="shared" si="1205"/>
        <v>184</v>
      </c>
      <c r="AA724" s="54">
        <f t="shared" si="1192"/>
        <v>0</v>
      </c>
      <c r="AB724" s="54">
        <f t="shared" si="1206"/>
        <v>2898</v>
      </c>
      <c r="AC724" s="64">
        <f t="shared" si="1193"/>
        <v>0</v>
      </c>
      <c r="AD724" s="209"/>
      <c r="AE724" s="64">
        <f t="shared" si="1200"/>
        <v>-184</v>
      </c>
      <c r="AF724" s="209"/>
      <c r="AG724" s="8"/>
    </row>
    <row r="725" spans="1:33" x14ac:dyDescent="0.45">
      <c r="A725" s="22">
        <f>A723</f>
        <v>44850</v>
      </c>
      <c r="B725" s="50" t="s">
        <v>54</v>
      </c>
      <c r="C725" s="48">
        <f t="shared" si="1201"/>
        <v>1840</v>
      </c>
      <c r="D725" s="51">
        <v>72</v>
      </c>
      <c r="E725" s="51">
        <v>24.5</v>
      </c>
      <c r="F725" s="51">
        <v>0</v>
      </c>
      <c r="G725" s="51">
        <v>0</v>
      </c>
      <c r="H725" s="51">
        <v>0</v>
      </c>
      <c r="I725" s="51">
        <v>0</v>
      </c>
      <c r="J725" s="51">
        <v>8</v>
      </c>
      <c r="K725" s="51">
        <v>0</v>
      </c>
      <c r="L725" s="52">
        <v>0</v>
      </c>
      <c r="M725" s="34"/>
      <c r="N725" s="51">
        <v>72</v>
      </c>
      <c r="O725" s="51">
        <v>24.5</v>
      </c>
      <c r="P725" s="51">
        <v>0</v>
      </c>
      <c r="Q725" s="51">
        <v>0</v>
      </c>
      <c r="R725" s="34"/>
      <c r="S725" s="51">
        <f t="shared" si="1202"/>
        <v>96.5</v>
      </c>
      <c r="T725" s="51">
        <f t="shared" ref="T725:T731" si="1207">SUM(N725:Q725)</f>
        <v>96.5</v>
      </c>
      <c r="U725" s="51">
        <f t="shared" si="1203"/>
        <v>8</v>
      </c>
      <c r="V725" s="34"/>
      <c r="W725" s="52">
        <v>23</v>
      </c>
      <c r="X725" s="53">
        <f t="shared" si="1204"/>
        <v>2501.25</v>
      </c>
      <c r="Y725" s="53">
        <f t="shared" si="1199"/>
        <v>0</v>
      </c>
      <c r="Z725" s="53">
        <f t="shared" si="1205"/>
        <v>184</v>
      </c>
      <c r="AA725" s="54">
        <f t="shared" si="1192"/>
        <v>0</v>
      </c>
      <c r="AB725" s="54">
        <f t="shared" si="1206"/>
        <v>2501.25</v>
      </c>
      <c r="AC725" s="64">
        <f t="shared" si="1193"/>
        <v>0</v>
      </c>
      <c r="AD725" s="209"/>
      <c r="AE725" s="64">
        <f t="shared" si="1200"/>
        <v>-184</v>
      </c>
      <c r="AF725" s="209"/>
      <c r="AG725" s="8"/>
    </row>
    <row r="726" spans="1:33" ht="14.65" thickBot="1" x14ac:dyDescent="0.5">
      <c r="A726" s="23">
        <f>A723</f>
        <v>44850</v>
      </c>
      <c r="B726" s="24" t="s">
        <v>62</v>
      </c>
      <c r="C726" s="49">
        <f t="shared" si="1201"/>
        <v>2000</v>
      </c>
      <c r="D726" s="25">
        <v>72</v>
      </c>
      <c r="E726" s="25">
        <v>15.75</v>
      </c>
      <c r="F726" s="25">
        <v>0</v>
      </c>
      <c r="G726" s="25">
        <v>0</v>
      </c>
      <c r="H726" s="25">
        <v>0</v>
      </c>
      <c r="I726" s="25">
        <v>0</v>
      </c>
      <c r="J726" s="25">
        <v>8</v>
      </c>
      <c r="K726" s="25">
        <v>0</v>
      </c>
      <c r="L726" s="46">
        <v>0</v>
      </c>
      <c r="M726" s="35"/>
      <c r="N726" s="25">
        <v>72</v>
      </c>
      <c r="O726" s="25">
        <v>15.75</v>
      </c>
      <c r="P726" s="25">
        <v>0</v>
      </c>
      <c r="Q726" s="25">
        <v>0</v>
      </c>
      <c r="R726" s="35"/>
      <c r="S726" s="25">
        <f t="shared" ref="S726:S731" si="1208">SUM(D726:G726)</f>
        <v>87.75</v>
      </c>
      <c r="T726" s="25">
        <f t="shared" si="1207"/>
        <v>87.75</v>
      </c>
      <c r="U726" s="25">
        <f t="shared" ref="U726:U727" si="1209">SUM(H726:K726)</f>
        <v>8</v>
      </c>
      <c r="V726" s="35"/>
      <c r="W726" s="46">
        <v>25</v>
      </c>
      <c r="X726" s="26">
        <f t="shared" si="1204"/>
        <v>2390.625</v>
      </c>
      <c r="Y726" s="26">
        <f t="shared" si="1199"/>
        <v>0</v>
      </c>
      <c r="Z726" s="26">
        <f t="shared" si="1205"/>
        <v>200</v>
      </c>
      <c r="AA726" s="27">
        <f t="shared" si="1192"/>
        <v>0</v>
      </c>
      <c r="AB726" s="27">
        <f t="shared" si="1206"/>
        <v>2390.625</v>
      </c>
      <c r="AC726" s="65">
        <f t="shared" si="1193"/>
        <v>0</v>
      </c>
      <c r="AD726" s="210"/>
      <c r="AE726" s="65">
        <f t="shared" si="1200"/>
        <v>-200</v>
      </c>
      <c r="AF726" s="210"/>
      <c r="AG726" s="8"/>
    </row>
    <row r="727" spans="1:33" x14ac:dyDescent="0.45">
      <c r="A727" s="16">
        <f>A726+14</f>
        <v>44864</v>
      </c>
      <c r="B727" s="17" t="s">
        <v>30</v>
      </c>
      <c r="C727" s="47">
        <f>120*W727</f>
        <v>3900</v>
      </c>
      <c r="D727" s="18">
        <v>80</v>
      </c>
      <c r="E727" s="18">
        <v>10</v>
      </c>
      <c r="F727" s="18">
        <v>0</v>
      </c>
      <c r="G727" s="18">
        <v>7</v>
      </c>
      <c r="H727" s="18">
        <v>0</v>
      </c>
      <c r="I727" s="18">
        <v>0</v>
      </c>
      <c r="J727" s="18">
        <v>0</v>
      </c>
      <c r="K727" s="18">
        <v>0</v>
      </c>
      <c r="L727" s="44">
        <v>0</v>
      </c>
      <c r="M727" s="33"/>
      <c r="N727" s="18">
        <v>80</v>
      </c>
      <c r="O727" s="18">
        <v>10</v>
      </c>
      <c r="P727" s="18">
        <v>0</v>
      </c>
      <c r="Q727" s="18">
        <v>7</v>
      </c>
      <c r="R727" s="33"/>
      <c r="S727" s="18">
        <f t="shared" si="1208"/>
        <v>97</v>
      </c>
      <c r="T727" s="18">
        <f t="shared" si="1207"/>
        <v>97</v>
      </c>
      <c r="U727" s="18">
        <f t="shared" si="1209"/>
        <v>0</v>
      </c>
      <c r="V727" s="33"/>
      <c r="W727" s="44">
        <v>32.5</v>
      </c>
      <c r="X727" s="19">
        <f t="shared" si="1204"/>
        <v>3315</v>
      </c>
      <c r="Y727" s="19">
        <f t="shared" si="1199"/>
        <v>0</v>
      </c>
      <c r="Z727" s="19">
        <f t="shared" si="1205"/>
        <v>0</v>
      </c>
      <c r="AA727" s="20">
        <f t="shared" ref="AA727:AA736" si="1210">(W727*1*K727)</f>
        <v>0</v>
      </c>
      <c r="AB727" s="20">
        <f t="shared" si="1206"/>
        <v>3315</v>
      </c>
      <c r="AC727" s="66">
        <f t="shared" ref="AC727:AC736" si="1211">0-Y727-AA727</f>
        <v>0</v>
      </c>
      <c r="AD727" s="208"/>
      <c r="AE727" s="66">
        <f t="shared" si="1200"/>
        <v>0</v>
      </c>
      <c r="AF727" s="208">
        <f>SUM(AE727:AE736)</f>
        <v>-57.25</v>
      </c>
      <c r="AG727" s="8"/>
    </row>
    <row r="728" spans="1:33" x14ac:dyDescent="0.45">
      <c r="A728" s="22">
        <f>A727</f>
        <v>44864</v>
      </c>
      <c r="B728" s="15" t="s">
        <v>4</v>
      </c>
      <c r="C728" s="48">
        <f>80*W728</f>
        <v>2400</v>
      </c>
      <c r="D728" s="13">
        <v>80</v>
      </c>
      <c r="E728" s="13">
        <f>16.75+1.5</f>
        <v>18.25</v>
      </c>
      <c r="F728" s="13">
        <v>0</v>
      </c>
      <c r="G728" s="13">
        <v>17.5</v>
      </c>
      <c r="H728" s="13">
        <v>0</v>
      </c>
      <c r="I728" s="13">
        <v>0</v>
      </c>
      <c r="J728" s="13">
        <v>0</v>
      </c>
      <c r="K728" s="13">
        <v>0</v>
      </c>
      <c r="L728" s="45">
        <v>0</v>
      </c>
      <c r="M728" s="34"/>
      <c r="N728" s="13">
        <v>80</v>
      </c>
      <c r="O728" s="13">
        <v>16.5</v>
      </c>
      <c r="P728" s="13">
        <v>1.75</v>
      </c>
      <c r="Q728" s="13">
        <v>17.5</v>
      </c>
      <c r="R728" s="34"/>
      <c r="S728" s="13">
        <f t="shared" si="1208"/>
        <v>115.75</v>
      </c>
      <c r="T728" s="13">
        <f t="shared" si="1207"/>
        <v>115.75</v>
      </c>
      <c r="U728" s="13">
        <f>SUM(H728:K728)</f>
        <v>0</v>
      </c>
      <c r="V728" s="34"/>
      <c r="W728" s="45">
        <v>30</v>
      </c>
      <c r="X728" s="10">
        <f t="shared" si="1204"/>
        <v>3746.25</v>
      </c>
      <c r="Y728" s="10">
        <f t="shared" si="1199"/>
        <v>0</v>
      </c>
      <c r="Z728" s="10">
        <f t="shared" si="1205"/>
        <v>0</v>
      </c>
      <c r="AA728" s="14">
        <f t="shared" si="1210"/>
        <v>0</v>
      </c>
      <c r="AB728" s="14">
        <f t="shared" si="1206"/>
        <v>3772.5</v>
      </c>
      <c r="AC728" s="63">
        <f t="shared" si="1211"/>
        <v>0</v>
      </c>
      <c r="AD728" s="209"/>
      <c r="AE728" s="63">
        <f t="shared" si="1200"/>
        <v>26.25</v>
      </c>
      <c r="AF728" s="209"/>
      <c r="AG728" s="8"/>
    </row>
    <row r="729" spans="1:33" x14ac:dyDescent="0.45">
      <c r="A729" s="22">
        <f t="shared" ref="A729:A733" si="1212">A728</f>
        <v>44864</v>
      </c>
      <c r="B729" s="15" t="s">
        <v>5</v>
      </c>
      <c r="C729" s="48">
        <f>120*W729</f>
        <v>3480</v>
      </c>
      <c r="D729" s="13">
        <v>80</v>
      </c>
      <c r="E729" s="13">
        <v>3</v>
      </c>
      <c r="F729" s="13">
        <v>0</v>
      </c>
      <c r="G729" s="13">
        <v>19</v>
      </c>
      <c r="H729" s="13">
        <v>0</v>
      </c>
      <c r="I729" s="13">
        <v>0</v>
      </c>
      <c r="J729" s="13">
        <v>0</v>
      </c>
      <c r="K729" s="13">
        <v>0</v>
      </c>
      <c r="L729" s="45">
        <v>0</v>
      </c>
      <c r="M729" s="34"/>
      <c r="N729" s="13">
        <v>80</v>
      </c>
      <c r="O729" s="13">
        <v>3</v>
      </c>
      <c r="P729" s="13">
        <v>0</v>
      </c>
      <c r="Q729" s="13">
        <v>19</v>
      </c>
      <c r="R729" s="34"/>
      <c r="S729" s="13">
        <f t="shared" si="1208"/>
        <v>102</v>
      </c>
      <c r="T729" s="13">
        <f t="shared" si="1207"/>
        <v>102</v>
      </c>
      <c r="U729" s="13">
        <f t="shared" ref="U729:U731" si="1213">SUM(H729:K729)</f>
        <v>0</v>
      </c>
      <c r="V729" s="34"/>
      <c r="W729" s="45">
        <v>29</v>
      </c>
      <c r="X729" s="10">
        <f t="shared" si="1204"/>
        <v>3001.5</v>
      </c>
      <c r="Y729" s="10">
        <f t="shared" si="1199"/>
        <v>0</v>
      </c>
      <c r="Z729" s="10">
        <f t="shared" si="1205"/>
        <v>0</v>
      </c>
      <c r="AA729" s="14">
        <f t="shared" si="1210"/>
        <v>0</v>
      </c>
      <c r="AB729" s="14">
        <f t="shared" si="1206"/>
        <v>3001.5</v>
      </c>
      <c r="AC729" s="63">
        <f t="shared" si="1211"/>
        <v>0</v>
      </c>
      <c r="AD729" s="209"/>
      <c r="AE729" s="63">
        <f t="shared" si="1200"/>
        <v>0</v>
      </c>
      <c r="AF729" s="209"/>
      <c r="AG729" s="8"/>
    </row>
    <row r="730" spans="1:33" x14ac:dyDescent="0.45">
      <c r="A730" s="22">
        <f t="shared" si="1212"/>
        <v>44864</v>
      </c>
      <c r="B730" s="15" t="s">
        <v>6</v>
      </c>
      <c r="C730" s="48">
        <f>80*W730</f>
        <v>2400</v>
      </c>
      <c r="D730" s="13">
        <v>80</v>
      </c>
      <c r="E730" s="13">
        <v>66.25</v>
      </c>
      <c r="F730" s="13">
        <v>10</v>
      </c>
      <c r="G730" s="13">
        <v>1</v>
      </c>
      <c r="H730" s="13">
        <v>0</v>
      </c>
      <c r="I730" s="13">
        <v>0</v>
      </c>
      <c r="J730" s="13">
        <v>0</v>
      </c>
      <c r="K730" s="13">
        <v>0</v>
      </c>
      <c r="L730" s="45">
        <v>0</v>
      </c>
      <c r="M730" s="34"/>
      <c r="N730" s="13">
        <v>80</v>
      </c>
      <c r="O730" s="13">
        <v>63</v>
      </c>
      <c r="P730" s="13">
        <v>13.25</v>
      </c>
      <c r="Q730" s="13">
        <v>1</v>
      </c>
      <c r="R730" s="34"/>
      <c r="S730" s="13">
        <f t="shared" si="1208"/>
        <v>157.25</v>
      </c>
      <c r="T730" s="13">
        <f t="shared" si="1207"/>
        <v>157.25</v>
      </c>
      <c r="U730" s="13">
        <f t="shared" si="1213"/>
        <v>0</v>
      </c>
      <c r="V730" s="34"/>
      <c r="W730" s="45">
        <v>30</v>
      </c>
      <c r="X730" s="10">
        <f>(W730*1*D730)+(W730*1.5*E730)+(W730*2*F730)+(W730*1*G730)</f>
        <v>6011.25</v>
      </c>
      <c r="Y730" s="10">
        <f t="shared" si="1199"/>
        <v>0</v>
      </c>
      <c r="Z730" s="10">
        <f t="shared" si="1205"/>
        <v>0</v>
      </c>
      <c r="AA730" s="14">
        <f t="shared" si="1210"/>
        <v>0</v>
      </c>
      <c r="AB730" s="14">
        <f t="shared" si="1206"/>
        <v>6060</v>
      </c>
      <c r="AC730" s="63">
        <f t="shared" si="1211"/>
        <v>0</v>
      </c>
      <c r="AD730" s="209"/>
      <c r="AE730" s="63">
        <f t="shared" si="1200"/>
        <v>48.75</v>
      </c>
      <c r="AF730" s="209"/>
      <c r="AG730" s="8"/>
    </row>
    <row r="731" spans="1:33" x14ac:dyDescent="0.45">
      <c r="A731" s="22">
        <f>A730</f>
        <v>44864</v>
      </c>
      <c r="B731" s="15" t="s">
        <v>9</v>
      </c>
      <c r="C731" s="48">
        <f>120*W731</f>
        <v>3600</v>
      </c>
      <c r="D731" s="13">
        <v>0</v>
      </c>
      <c r="E731" s="13">
        <v>0</v>
      </c>
      <c r="F731" s="13">
        <v>0</v>
      </c>
      <c r="G731" s="13">
        <v>0</v>
      </c>
      <c r="H731" s="13">
        <v>0</v>
      </c>
      <c r="I731" s="13">
        <v>0</v>
      </c>
      <c r="J731" s="13">
        <v>0</v>
      </c>
      <c r="K731" s="13">
        <v>0</v>
      </c>
      <c r="L731" s="45">
        <v>0</v>
      </c>
      <c r="M731" s="34"/>
      <c r="N731" s="13">
        <v>0</v>
      </c>
      <c r="O731" s="13">
        <v>0</v>
      </c>
      <c r="P731" s="13">
        <v>0</v>
      </c>
      <c r="Q731" s="13">
        <v>0</v>
      </c>
      <c r="R731" s="34"/>
      <c r="S731" s="13">
        <f t="shared" si="1208"/>
        <v>0</v>
      </c>
      <c r="T731" s="13">
        <f t="shared" si="1207"/>
        <v>0</v>
      </c>
      <c r="U731" s="13">
        <f t="shared" si="1213"/>
        <v>0</v>
      </c>
      <c r="V731" s="34"/>
      <c r="W731" s="45">
        <v>30</v>
      </c>
      <c r="X731" s="10">
        <f t="shared" ref="X731" si="1214">(W731*1*D731)+(W731*1.5*E731)+(W731*2*F731)+(W731*1*G731)</f>
        <v>0</v>
      </c>
      <c r="Y731" s="10">
        <f>(W731*0*H731)+(W731*1*I731)</f>
        <v>0</v>
      </c>
      <c r="Z731" s="10">
        <f t="shared" si="1205"/>
        <v>0</v>
      </c>
      <c r="AA731" s="14">
        <f t="shared" si="1210"/>
        <v>0</v>
      </c>
      <c r="AB731" s="14">
        <f t="shared" si="1206"/>
        <v>0</v>
      </c>
      <c r="AC731" s="63">
        <f t="shared" si="1211"/>
        <v>0</v>
      </c>
      <c r="AD731" s="209"/>
      <c r="AE731" s="63">
        <f t="shared" si="1200"/>
        <v>0</v>
      </c>
      <c r="AF731" s="209"/>
      <c r="AG731" s="8"/>
    </row>
    <row r="732" spans="1:33" x14ac:dyDescent="0.45">
      <c r="A732" s="22">
        <f t="shared" si="1212"/>
        <v>44864</v>
      </c>
      <c r="B732" s="50" t="s">
        <v>31</v>
      </c>
      <c r="C732" s="48">
        <f>120*W732</f>
        <v>3600</v>
      </c>
      <c r="D732" s="51">
        <v>80</v>
      </c>
      <c r="E732" s="51">
        <v>28.75</v>
      </c>
      <c r="F732" s="51">
        <v>0</v>
      </c>
      <c r="G732" s="51">
        <v>11</v>
      </c>
      <c r="H732" s="51">
        <v>0</v>
      </c>
      <c r="I732" s="51">
        <v>0</v>
      </c>
      <c r="J732" s="51">
        <v>0</v>
      </c>
      <c r="K732" s="51">
        <v>0</v>
      </c>
      <c r="L732" s="52">
        <v>0</v>
      </c>
      <c r="M732" s="34"/>
      <c r="N732" s="13">
        <v>80</v>
      </c>
      <c r="O732" s="13">
        <v>28.75</v>
      </c>
      <c r="P732" s="13">
        <v>0</v>
      </c>
      <c r="Q732" s="13">
        <v>11</v>
      </c>
      <c r="R732" s="34"/>
      <c r="S732" s="51">
        <f t="shared" ref="S732" si="1215">SUM(D732:G732)</f>
        <v>119.75</v>
      </c>
      <c r="T732" s="51">
        <f>SUM(N732:Q732)</f>
        <v>119.75</v>
      </c>
      <c r="U732" s="51">
        <f t="shared" ref="U732" si="1216">SUM(H732:K732)</f>
        <v>0</v>
      </c>
      <c r="V732" s="34"/>
      <c r="W732" s="52">
        <v>30</v>
      </c>
      <c r="X732" s="53">
        <f>(W732*1*D732)+(W732*1.5*E732)+(W732*2*F732)+(W732*1*G732)</f>
        <v>4023.75</v>
      </c>
      <c r="Y732" s="53">
        <f t="shared" ref="Y732:Y740" si="1217">(W732*0*H732)+(W732*1*I732)</f>
        <v>0</v>
      </c>
      <c r="Z732" s="53">
        <f>(W732*1*J732)+L732</f>
        <v>0</v>
      </c>
      <c r="AA732" s="54">
        <f t="shared" si="1210"/>
        <v>0</v>
      </c>
      <c r="AB732" s="54">
        <f>(W732*1*N732)+(W732*1.5*O732)+(W732*2*P732)+(W732*1*Q732)</f>
        <v>4023.75</v>
      </c>
      <c r="AC732" s="64">
        <f t="shared" si="1211"/>
        <v>0</v>
      </c>
      <c r="AD732" s="209"/>
      <c r="AE732" s="64">
        <f t="shared" ref="AE732:AE741" si="1218">AB732-(X732+Z732)</f>
        <v>0</v>
      </c>
      <c r="AF732" s="209"/>
      <c r="AG732" s="8"/>
    </row>
    <row r="733" spans="1:33" x14ac:dyDescent="0.45">
      <c r="A733" s="22">
        <f t="shared" si="1212"/>
        <v>44864</v>
      </c>
      <c r="B733" s="50" t="s">
        <v>64</v>
      </c>
      <c r="C733" s="48">
        <f t="shared" ref="C733:C736" si="1219">80*W733</f>
        <v>1512</v>
      </c>
      <c r="D733" s="51">
        <v>0</v>
      </c>
      <c r="E733" s="51">
        <v>0</v>
      </c>
      <c r="F733" s="51">
        <v>0</v>
      </c>
      <c r="G733" s="51">
        <v>0</v>
      </c>
      <c r="H733" s="51">
        <v>0</v>
      </c>
      <c r="I733" s="51">
        <v>0</v>
      </c>
      <c r="J733" s="51">
        <v>0</v>
      </c>
      <c r="K733" s="51">
        <v>80</v>
      </c>
      <c r="L733" s="52">
        <v>0</v>
      </c>
      <c r="M733" s="34"/>
      <c r="N733" s="51">
        <v>0</v>
      </c>
      <c r="O733" s="51">
        <v>0</v>
      </c>
      <c r="P733" s="51">
        <v>0</v>
      </c>
      <c r="Q733" s="51">
        <v>0</v>
      </c>
      <c r="R733" s="34"/>
      <c r="S733" s="51">
        <f t="shared" ref="S733:S735" si="1220">SUM(D733:G733)</f>
        <v>0</v>
      </c>
      <c r="T733" s="51">
        <f>SUM(N733:Q733)</f>
        <v>0</v>
      </c>
      <c r="U733" s="51">
        <f t="shared" ref="U733:U735" si="1221">SUM(H733:K733)</f>
        <v>80</v>
      </c>
      <c r="V733" s="34"/>
      <c r="W733" s="52">
        <v>18.899999999999999</v>
      </c>
      <c r="X733" s="53">
        <f t="shared" ref="X733:X739" si="1222">(W733*1*D733)+(W733*1.5*E733)+(W733*2*F733)+(W733*1*G733)</f>
        <v>0</v>
      </c>
      <c r="Y733" s="53">
        <f t="shared" si="1217"/>
        <v>0</v>
      </c>
      <c r="Z733" s="53">
        <f t="shared" ref="Z733:Z741" si="1223">(W733*1*J733)+L733</f>
        <v>0</v>
      </c>
      <c r="AA733" s="54">
        <f t="shared" si="1210"/>
        <v>1512</v>
      </c>
      <c r="AB733" s="54">
        <f t="shared" ref="AB733:AB741" si="1224">(W733*1*N733)+(W733*1.5*O733)+(W733*2*P733)+(W733*1*Q733)</f>
        <v>0</v>
      </c>
      <c r="AC733" s="64">
        <f t="shared" si="1211"/>
        <v>-1512</v>
      </c>
      <c r="AD733" s="209"/>
      <c r="AE733" s="64">
        <f t="shared" si="1218"/>
        <v>0</v>
      </c>
      <c r="AF733" s="209"/>
      <c r="AG733" s="8"/>
    </row>
    <row r="734" spans="1:33" x14ac:dyDescent="0.45">
      <c r="A734" s="22">
        <f>A733</f>
        <v>44864</v>
      </c>
      <c r="B734" s="50" t="s">
        <v>53</v>
      </c>
      <c r="C734" s="48">
        <f t="shared" si="1219"/>
        <v>1840</v>
      </c>
      <c r="D734" s="51">
        <v>80</v>
      </c>
      <c r="E734" s="51">
        <v>27</v>
      </c>
      <c r="F734" s="51">
        <v>8</v>
      </c>
      <c r="G734" s="51">
        <v>0</v>
      </c>
      <c r="H734" s="51">
        <v>0</v>
      </c>
      <c r="I734" s="51">
        <v>0</v>
      </c>
      <c r="J734" s="51">
        <v>0</v>
      </c>
      <c r="K734" s="51">
        <v>0</v>
      </c>
      <c r="L734" s="52">
        <v>0</v>
      </c>
      <c r="M734" s="34"/>
      <c r="N734" s="13">
        <v>80</v>
      </c>
      <c r="O734" s="13">
        <v>26.5</v>
      </c>
      <c r="P734" s="13">
        <v>8.5</v>
      </c>
      <c r="Q734" s="13">
        <v>0</v>
      </c>
      <c r="R734" s="34"/>
      <c r="S734" s="51">
        <f t="shared" si="1220"/>
        <v>115</v>
      </c>
      <c r="T734" s="51">
        <f>SUM(N734:Q734)</f>
        <v>115</v>
      </c>
      <c r="U734" s="51">
        <f t="shared" si="1221"/>
        <v>0</v>
      </c>
      <c r="V734" s="34"/>
      <c r="W734" s="52">
        <v>23</v>
      </c>
      <c r="X734" s="53">
        <f t="shared" si="1222"/>
        <v>3139.5</v>
      </c>
      <c r="Y734" s="53">
        <f t="shared" si="1217"/>
        <v>0</v>
      </c>
      <c r="Z734" s="53">
        <f t="shared" si="1223"/>
        <v>0</v>
      </c>
      <c r="AA734" s="54">
        <f t="shared" si="1210"/>
        <v>0</v>
      </c>
      <c r="AB734" s="54">
        <f t="shared" si="1224"/>
        <v>3145.25</v>
      </c>
      <c r="AC734" s="64">
        <f t="shared" si="1211"/>
        <v>0</v>
      </c>
      <c r="AD734" s="209"/>
      <c r="AE734" s="64">
        <f t="shared" si="1218"/>
        <v>5.75</v>
      </c>
      <c r="AF734" s="209"/>
      <c r="AG734" s="8"/>
    </row>
    <row r="735" spans="1:33" x14ac:dyDescent="0.45">
      <c r="A735" s="22">
        <f>A733</f>
        <v>44864</v>
      </c>
      <c r="B735" s="50" t="s">
        <v>54</v>
      </c>
      <c r="C735" s="48">
        <f t="shared" si="1219"/>
        <v>1840</v>
      </c>
      <c r="D735" s="51">
        <v>80</v>
      </c>
      <c r="E735" s="51">
        <v>27.5</v>
      </c>
      <c r="F735" s="51">
        <v>0</v>
      </c>
      <c r="G735" s="51">
        <v>14</v>
      </c>
      <c r="H735" s="51">
        <v>0</v>
      </c>
      <c r="I735" s="51">
        <v>0</v>
      </c>
      <c r="J735" s="51">
        <v>0</v>
      </c>
      <c r="K735" s="51">
        <v>0</v>
      </c>
      <c r="L735" s="52">
        <v>0</v>
      </c>
      <c r="M735" s="34"/>
      <c r="N735" s="51">
        <v>80</v>
      </c>
      <c r="O735" s="51">
        <v>23.5</v>
      </c>
      <c r="P735" s="51">
        <v>0</v>
      </c>
      <c r="Q735" s="51">
        <v>14</v>
      </c>
      <c r="R735" s="34"/>
      <c r="S735" s="51">
        <f t="shared" si="1220"/>
        <v>121.5</v>
      </c>
      <c r="T735" s="51">
        <f t="shared" ref="T735:T741" si="1225">SUM(N735:Q735)</f>
        <v>117.5</v>
      </c>
      <c r="U735" s="51">
        <f t="shared" si="1221"/>
        <v>0</v>
      </c>
      <c r="V735" s="34"/>
      <c r="W735" s="52">
        <v>23</v>
      </c>
      <c r="X735" s="53">
        <f t="shared" si="1222"/>
        <v>3110.75</v>
      </c>
      <c r="Y735" s="53">
        <f t="shared" si="1217"/>
        <v>0</v>
      </c>
      <c r="Z735" s="53">
        <f t="shared" si="1223"/>
        <v>0</v>
      </c>
      <c r="AA735" s="54">
        <f t="shared" si="1210"/>
        <v>0</v>
      </c>
      <c r="AB735" s="54">
        <f t="shared" si="1224"/>
        <v>2972.75</v>
      </c>
      <c r="AC735" s="64">
        <f>0-Y735-AA735</f>
        <v>0</v>
      </c>
      <c r="AD735" s="209"/>
      <c r="AE735" s="64">
        <f t="shared" si="1218"/>
        <v>-138</v>
      </c>
      <c r="AF735" s="209"/>
      <c r="AG735" s="8"/>
    </row>
    <row r="736" spans="1:33" ht="14.65" thickBot="1" x14ac:dyDescent="0.5">
      <c r="A736" s="23">
        <f>A733</f>
        <v>44864</v>
      </c>
      <c r="B736" s="24" t="s">
        <v>62</v>
      </c>
      <c r="C736" s="49">
        <f t="shared" si="1219"/>
        <v>2000</v>
      </c>
      <c r="D736" s="25">
        <v>80</v>
      </c>
      <c r="E736" s="25">
        <v>33.75</v>
      </c>
      <c r="F736" s="25">
        <v>5.5</v>
      </c>
      <c r="G736" s="25">
        <v>0</v>
      </c>
      <c r="H736" s="25">
        <v>0</v>
      </c>
      <c r="I736" s="25">
        <v>0</v>
      </c>
      <c r="J736" s="25">
        <v>0</v>
      </c>
      <c r="K736" s="25">
        <v>0</v>
      </c>
      <c r="L736" s="46">
        <v>0</v>
      </c>
      <c r="M736" s="35"/>
      <c r="N736" s="25">
        <v>80</v>
      </c>
      <c r="O736" s="25">
        <v>33.75</v>
      </c>
      <c r="P736" s="25">
        <v>5.5</v>
      </c>
      <c r="Q736" s="25">
        <v>0</v>
      </c>
      <c r="R736" s="35"/>
      <c r="S736" s="25">
        <f t="shared" ref="S736" si="1226">SUM(D736:G736)</f>
        <v>119.25</v>
      </c>
      <c r="T736" s="25">
        <f t="shared" si="1225"/>
        <v>119.25</v>
      </c>
      <c r="U736" s="25">
        <f t="shared" ref="U736" si="1227">SUM(H736:K736)</f>
        <v>0</v>
      </c>
      <c r="V736" s="35"/>
      <c r="W736" s="46">
        <v>25</v>
      </c>
      <c r="X736" s="26">
        <f t="shared" si="1222"/>
        <v>3540.625</v>
      </c>
      <c r="Y736" s="26">
        <f t="shared" si="1217"/>
        <v>0</v>
      </c>
      <c r="Z736" s="26">
        <f t="shared" si="1223"/>
        <v>0</v>
      </c>
      <c r="AA736" s="27">
        <f t="shared" si="1210"/>
        <v>0</v>
      </c>
      <c r="AB736" s="27">
        <f t="shared" si="1224"/>
        <v>3540.625</v>
      </c>
      <c r="AC736" s="65">
        <f t="shared" si="1211"/>
        <v>0</v>
      </c>
      <c r="AD736" s="210"/>
      <c r="AE736" s="65">
        <f t="shared" si="1218"/>
        <v>0</v>
      </c>
      <c r="AF736" s="210"/>
      <c r="AG736" s="8"/>
    </row>
    <row r="737" spans="1:33" x14ac:dyDescent="0.45">
      <c r="A737" s="16">
        <f>A736+14</f>
        <v>44878</v>
      </c>
      <c r="B737" s="17" t="s">
        <v>30</v>
      </c>
      <c r="C737" s="47">
        <f>120*W737</f>
        <v>3900</v>
      </c>
      <c r="D737" s="18">
        <v>80</v>
      </c>
      <c r="E737" s="18">
        <v>10</v>
      </c>
      <c r="F737" s="18">
        <v>0</v>
      </c>
      <c r="G737" s="18">
        <v>0</v>
      </c>
      <c r="H737" s="18">
        <v>0</v>
      </c>
      <c r="I737" s="18">
        <v>0</v>
      </c>
      <c r="J737" s="18">
        <v>0</v>
      </c>
      <c r="K737" s="18">
        <v>0</v>
      </c>
      <c r="L737" s="44">
        <v>0</v>
      </c>
      <c r="M737" s="33"/>
      <c r="N737" s="18">
        <v>80</v>
      </c>
      <c r="O737" s="18">
        <v>10</v>
      </c>
      <c r="P737" s="18">
        <v>0</v>
      </c>
      <c r="Q737" s="18">
        <v>0</v>
      </c>
      <c r="R737" s="33"/>
      <c r="S737" s="18">
        <f t="shared" ref="S737:S741" si="1228">SUM(D737:G737)</f>
        <v>90</v>
      </c>
      <c r="T737" s="18">
        <f t="shared" si="1225"/>
        <v>90</v>
      </c>
      <c r="U737" s="18">
        <f t="shared" ref="U737" si="1229">SUM(H737:K737)</f>
        <v>0</v>
      </c>
      <c r="V737" s="33"/>
      <c r="W737" s="44">
        <v>32.5</v>
      </c>
      <c r="X737" s="19">
        <f t="shared" si="1222"/>
        <v>3087.5</v>
      </c>
      <c r="Y737" s="19">
        <f t="shared" si="1217"/>
        <v>0</v>
      </c>
      <c r="Z737" s="19">
        <f t="shared" si="1223"/>
        <v>0</v>
      </c>
      <c r="AA737" s="20">
        <f t="shared" ref="AA737:AA746" si="1230">(W737*1*K737)</f>
        <v>0</v>
      </c>
      <c r="AB737" s="20">
        <f t="shared" si="1224"/>
        <v>3087.5</v>
      </c>
      <c r="AC737" s="66">
        <f t="shared" ref="AC737:AC744" si="1231">0-Y737-AA737</f>
        <v>0</v>
      </c>
      <c r="AD737" s="208"/>
      <c r="AE737" s="66">
        <f t="shared" si="1218"/>
        <v>0</v>
      </c>
      <c r="AF737" s="208">
        <f>SUM(AE737:AE746)</f>
        <v>108.125</v>
      </c>
      <c r="AG737" s="8"/>
    </row>
    <row r="738" spans="1:33" x14ac:dyDescent="0.45">
      <c r="A738" s="22">
        <f>A737</f>
        <v>44878</v>
      </c>
      <c r="B738" s="15" t="s">
        <v>4</v>
      </c>
      <c r="C738" s="48">
        <f>80*W738</f>
        <v>2400</v>
      </c>
      <c r="D738" s="13">
        <v>80</v>
      </c>
      <c r="E738" s="13">
        <v>17</v>
      </c>
      <c r="F738" s="13">
        <v>0</v>
      </c>
      <c r="G738" s="13">
        <v>14</v>
      </c>
      <c r="H738" s="13">
        <v>0</v>
      </c>
      <c r="I738" s="13">
        <v>0</v>
      </c>
      <c r="J738" s="13">
        <v>0</v>
      </c>
      <c r="K738" s="13">
        <v>0</v>
      </c>
      <c r="L738" s="45">
        <v>0</v>
      </c>
      <c r="M738" s="34"/>
      <c r="N738" s="13">
        <v>80</v>
      </c>
      <c r="O738" s="13">
        <v>17</v>
      </c>
      <c r="P738" s="13">
        <v>0</v>
      </c>
      <c r="Q738" s="13">
        <v>14</v>
      </c>
      <c r="R738" s="34"/>
      <c r="S738" s="13">
        <f t="shared" si="1228"/>
        <v>111</v>
      </c>
      <c r="T738" s="13">
        <f t="shared" si="1225"/>
        <v>111</v>
      </c>
      <c r="U738" s="13">
        <f>SUM(H738:K738)</f>
        <v>0</v>
      </c>
      <c r="V738" s="34"/>
      <c r="W738" s="45">
        <v>30</v>
      </c>
      <c r="X738" s="10">
        <f t="shared" si="1222"/>
        <v>3585</v>
      </c>
      <c r="Y738" s="10">
        <f t="shared" si="1217"/>
        <v>0</v>
      </c>
      <c r="Z738" s="10">
        <f t="shared" si="1223"/>
        <v>0</v>
      </c>
      <c r="AA738" s="14">
        <f t="shared" si="1230"/>
        <v>0</v>
      </c>
      <c r="AB738" s="14">
        <f t="shared" si="1224"/>
        <v>3585</v>
      </c>
      <c r="AC738" s="63">
        <f t="shared" si="1231"/>
        <v>0</v>
      </c>
      <c r="AD738" s="209"/>
      <c r="AE738" s="63">
        <f t="shared" si="1218"/>
        <v>0</v>
      </c>
      <c r="AF738" s="209"/>
      <c r="AG738" s="8"/>
    </row>
    <row r="739" spans="1:33" x14ac:dyDescent="0.45">
      <c r="A739" s="22">
        <f t="shared" ref="A739:A743" si="1232">A738</f>
        <v>44878</v>
      </c>
      <c r="B739" s="15" t="s">
        <v>5</v>
      </c>
      <c r="C739" s="48">
        <f>120*W739</f>
        <v>3480</v>
      </c>
      <c r="D739" s="13">
        <v>80</v>
      </c>
      <c r="E739" s="13">
        <v>40</v>
      </c>
      <c r="F739" s="13">
        <v>12</v>
      </c>
      <c r="G739" s="13">
        <v>6</v>
      </c>
      <c r="H739" s="13">
        <v>0</v>
      </c>
      <c r="I739" s="13">
        <v>0</v>
      </c>
      <c r="J739" s="13">
        <v>0</v>
      </c>
      <c r="K739" s="13">
        <v>0</v>
      </c>
      <c r="L739" s="45">
        <v>0</v>
      </c>
      <c r="M739" s="34"/>
      <c r="N739" s="13">
        <v>80</v>
      </c>
      <c r="O739" s="13">
        <v>40</v>
      </c>
      <c r="P739" s="13">
        <v>12</v>
      </c>
      <c r="Q739" s="13">
        <v>6</v>
      </c>
      <c r="R739" s="34"/>
      <c r="S739" s="13">
        <f t="shared" si="1228"/>
        <v>138</v>
      </c>
      <c r="T739" s="13">
        <f t="shared" si="1225"/>
        <v>138</v>
      </c>
      <c r="U739" s="13">
        <f t="shared" ref="U739:U741" si="1233">SUM(H739:K739)</f>
        <v>0</v>
      </c>
      <c r="V739" s="34"/>
      <c r="W739" s="45">
        <v>29</v>
      </c>
      <c r="X739" s="10">
        <f t="shared" si="1222"/>
        <v>4930</v>
      </c>
      <c r="Y739" s="10">
        <f t="shared" si="1217"/>
        <v>0</v>
      </c>
      <c r="Z739" s="10">
        <f t="shared" si="1223"/>
        <v>0</v>
      </c>
      <c r="AA739" s="14">
        <f t="shared" si="1230"/>
        <v>0</v>
      </c>
      <c r="AB739" s="14">
        <f t="shared" si="1224"/>
        <v>4930</v>
      </c>
      <c r="AC739" s="63">
        <f t="shared" si="1231"/>
        <v>0</v>
      </c>
      <c r="AD739" s="209"/>
      <c r="AE739" s="63">
        <f t="shared" si="1218"/>
        <v>0</v>
      </c>
      <c r="AF739" s="209"/>
      <c r="AG739" s="8"/>
    </row>
    <row r="740" spans="1:33" x14ac:dyDescent="0.45">
      <c r="A740" s="22">
        <f t="shared" si="1232"/>
        <v>44878</v>
      </c>
      <c r="B740" s="15" t="s">
        <v>6</v>
      </c>
      <c r="C740" s="48">
        <f>80*W740</f>
        <v>2400</v>
      </c>
      <c r="D740" s="13">
        <v>80</v>
      </c>
      <c r="E740" s="13">
        <v>22</v>
      </c>
      <c r="F740" s="13">
        <v>12</v>
      </c>
      <c r="G740" s="13">
        <v>8.5</v>
      </c>
      <c r="H740" s="13">
        <v>0</v>
      </c>
      <c r="I740" s="13">
        <v>0</v>
      </c>
      <c r="J740" s="13">
        <v>0</v>
      </c>
      <c r="K740" s="13">
        <v>0</v>
      </c>
      <c r="L740" s="45">
        <v>0</v>
      </c>
      <c r="M740" s="34"/>
      <c r="N740" s="13">
        <v>80</v>
      </c>
      <c r="O740" s="13">
        <v>18</v>
      </c>
      <c r="P740" s="13">
        <v>17</v>
      </c>
      <c r="Q740" s="13">
        <v>7.5</v>
      </c>
      <c r="R740" s="34"/>
      <c r="S740" s="13">
        <f t="shared" si="1228"/>
        <v>122.5</v>
      </c>
      <c r="T740" s="13">
        <f t="shared" si="1225"/>
        <v>122.5</v>
      </c>
      <c r="U740" s="13">
        <f t="shared" si="1233"/>
        <v>0</v>
      </c>
      <c r="V740" s="34"/>
      <c r="W740" s="45">
        <v>30</v>
      </c>
      <c r="X740" s="10">
        <f>(W740*1*D740)+(W740*1.5*E740)+(W740*2*F740)+(W740*1*G740)</f>
        <v>4365</v>
      </c>
      <c r="Y740" s="10">
        <f t="shared" si="1217"/>
        <v>0</v>
      </c>
      <c r="Z740" s="10">
        <f t="shared" si="1223"/>
        <v>0</v>
      </c>
      <c r="AA740" s="14">
        <f t="shared" si="1230"/>
        <v>0</v>
      </c>
      <c r="AB740" s="14">
        <f t="shared" si="1224"/>
        <v>4455</v>
      </c>
      <c r="AC740" s="63">
        <f t="shared" si="1231"/>
        <v>0</v>
      </c>
      <c r="AD740" s="209"/>
      <c r="AE740" s="63">
        <f t="shared" si="1218"/>
        <v>90</v>
      </c>
      <c r="AF740" s="209"/>
      <c r="AG740" s="8"/>
    </row>
    <row r="741" spans="1:33" x14ac:dyDescent="0.45">
      <c r="A741" s="22">
        <f>A740</f>
        <v>44878</v>
      </c>
      <c r="B741" s="15" t="s">
        <v>9</v>
      </c>
      <c r="C741" s="48">
        <f>120*W741</f>
        <v>3600</v>
      </c>
      <c r="D741" s="13">
        <v>0</v>
      </c>
      <c r="E741" s="13">
        <v>0</v>
      </c>
      <c r="F741" s="13">
        <v>0</v>
      </c>
      <c r="G741" s="13">
        <v>0</v>
      </c>
      <c r="H741" s="13">
        <v>0</v>
      </c>
      <c r="I741" s="13">
        <v>0</v>
      </c>
      <c r="J741" s="13">
        <v>0</v>
      </c>
      <c r="K741" s="13">
        <v>0</v>
      </c>
      <c r="L741" s="45">
        <v>0</v>
      </c>
      <c r="M741" s="34"/>
      <c r="N741" s="13">
        <v>0</v>
      </c>
      <c r="O741" s="13">
        <v>0</v>
      </c>
      <c r="P741" s="13">
        <v>0</v>
      </c>
      <c r="Q741" s="13">
        <v>0</v>
      </c>
      <c r="R741" s="34"/>
      <c r="S741" s="13">
        <f t="shared" si="1228"/>
        <v>0</v>
      </c>
      <c r="T741" s="13">
        <f t="shared" si="1225"/>
        <v>0</v>
      </c>
      <c r="U741" s="13">
        <f t="shared" si="1233"/>
        <v>0</v>
      </c>
      <c r="V741" s="34"/>
      <c r="W741" s="45">
        <v>30</v>
      </c>
      <c r="X741" s="10">
        <f t="shared" ref="X741" si="1234">(W741*1*D741)+(W741*1.5*E741)+(W741*2*F741)+(W741*1*G741)</f>
        <v>0</v>
      </c>
      <c r="Y741" s="10">
        <f>(W741*0*H741)+(W741*1*I741)</f>
        <v>0</v>
      </c>
      <c r="Z741" s="10">
        <f t="shared" si="1223"/>
        <v>0</v>
      </c>
      <c r="AA741" s="14">
        <f t="shared" si="1230"/>
        <v>0</v>
      </c>
      <c r="AB741" s="14">
        <f t="shared" si="1224"/>
        <v>0</v>
      </c>
      <c r="AC741" s="63">
        <f t="shared" si="1231"/>
        <v>0</v>
      </c>
      <c r="AD741" s="209"/>
      <c r="AE741" s="63">
        <f t="shared" si="1218"/>
        <v>0</v>
      </c>
      <c r="AF741" s="209"/>
      <c r="AG741" s="8"/>
    </row>
    <row r="742" spans="1:33" x14ac:dyDescent="0.45">
      <c r="A742" s="22">
        <f t="shared" si="1232"/>
        <v>44878</v>
      </c>
      <c r="B742" s="50" t="s">
        <v>31</v>
      </c>
      <c r="C742" s="48">
        <f>120*W742</f>
        <v>3600</v>
      </c>
      <c r="D742" s="51">
        <v>80</v>
      </c>
      <c r="E742" s="51">
        <v>9.5</v>
      </c>
      <c r="F742" s="51">
        <v>0</v>
      </c>
      <c r="G742" s="51">
        <v>5</v>
      </c>
      <c r="H742" s="51">
        <v>0</v>
      </c>
      <c r="I742" s="51">
        <v>0</v>
      </c>
      <c r="J742" s="51">
        <v>0</v>
      </c>
      <c r="K742" s="51">
        <v>0</v>
      </c>
      <c r="L742" s="52">
        <v>0</v>
      </c>
      <c r="M742" s="34"/>
      <c r="N742" s="13">
        <v>80</v>
      </c>
      <c r="O742" s="13">
        <v>6</v>
      </c>
      <c r="P742" s="13">
        <v>3.5</v>
      </c>
      <c r="Q742" s="13">
        <v>5</v>
      </c>
      <c r="R742" s="34"/>
      <c r="S742" s="51">
        <f t="shared" ref="S742" si="1235">SUM(D742:G742)</f>
        <v>94.5</v>
      </c>
      <c r="T742" s="51">
        <f>SUM(N742:Q742)</f>
        <v>94.5</v>
      </c>
      <c r="U742" s="51">
        <f t="shared" ref="U742" si="1236">SUM(H742:K742)</f>
        <v>0</v>
      </c>
      <c r="V742" s="34"/>
      <c r="W742" s="52">
        <v>30</v>
      </c>
      <c r="X742" s="53">
        <f>(W742*1*D742)+(W742*1.5*E742)+(W742*2*F742)+(W742*1*G742)</f>
        <v>2977.5</v>
      </c>
      <c r="Y742" s="53">
        <f t="shared" ref="Y742:Y750" si="1237">(W742*0*H742)+(W742*1*I742)</f>
        <v>0</v>
      </c>
      <c r="Z742" s="53">
        <f>(W742*1*J742)+L742</f>
        <v>0</v>
      </c>
      <c r="AA742" s="54">
        <f t="shared" si="1230"/>
        <v>0</v>
      </c>
      <c r="AB742" s="54">
        <f>(W742*1*N742)+(W742*1.5*O742)+(W742*2*P742)+(W742*1*Q742)</f>
        <v>3030</v>
      </c>
      <c r="AC742" s="64">
        <f t="shared" si="1231"/>
        <v>0</v>
      </c>
      <c r="AD742" s="209"/>
      <c r="AE742" s="64">
        <f t="shared" ref="AE742:AE751" si="1238">AB742-(X742+Z742)</f>
        <v>52.5</v>
      </c>
      <c r="AF742" s="209"/>
      <c r="AG742" s="8"/>
    </row>
    <row r="743" spans="1:33" x14ac:dyDescent="0.45">
      <c r="A743" s="22">
        <f t="shared" si="1232"/>
        <v>44878</v>
      </c>
      <c r="B743" s="50" t="s">
        <v>64</v>
      </c>
      <c r="C743" s="48">
        <f t="shared" ref="C743:C746" si="1239">80*W743</f>
        <v>1512</v>
      </c>
      <c r="D743" s="51">
        <v>0</v>
      </c>
      <c r="E743" s="51">
        <v>0</v>
      </c>
      <c r="F743" s="51">
        <v>0</v>
      </c>
      <c r="G743" s="51">
        <v>0</v>
      </c>
      <c r="H743" s="51">
        <v>0</v>
      </c>
      <c r="I743" s="51">
        <v>0</v>
      </c>
      <c r="J743" s="51">
        <v>0</v>
      </c>
      <c r="K743" s="51">
        <v>80</v>
      </c>
      <c r="L743" s="52">
        <v>0</v>
      </c>
      <c r="M743" s="34"/>
      <c r="N743" s="51">
        <v>0</v>
      </c>
      <c r="O743" s="51">
        <v>0</v>
      </c>
      <c r="P743" s="51">
        <v>0</v>
      </c>
      <c r="Q743" s="51">
        <v>0</v>
      </c>
      <c r="R743" s="34"/>
      <c r="S743" s="51">
        <f t="shared" ref="S743:S745" si="1240">SUM(D743:G743)</f>
        <v>0</v>
      </c>
      <c r="T743" s="51">
        <f>SUM(N743:Q743)</f>
        <v>0</v>
      </c>
      <c r="U743" s="51">
        <f t="shared" ref="U743:U745" si="1241">SUM(H743:K743)</f>
        <v>80</v>
      </c>
      <c r="V743" s="34"/>
      <c r="W743" s="52">
        <v>18.899999999999999</v>
      </c>
      <c r="X743" s="53">
        <f t="shared" ref="X743:X749" si="1242">(W743*1*D743)+(W743*1.5*E743)+(W743*2*F743)+(W743*1*G743)</f>
        <v>0</v>
      </c>
      <c r="Y743" s="53">
        <f t="shared" si="1237"/>
        <v>0</v>
      </c>
      <c r="Z743" s="53">
        <f t="shared" ref="Z743:Z751" si="1243">(W743*1*J743)+L743</f>
        <v>0</v>
      </c>
      <c r="AA743" s="54">
        <f t="shared" si="1230"/>
        <v>1512</v>
      </c>
      <c r="AB743" s="54">
        <f t="shared" ref="AB743:AB751" si="1244">(W743*1*N743)+(W743*1.5*O743)+(W743*2*P743)+(W743*1*Q743)</f>
        <v>0</v>
      </c>
      <c r="AC743" s="64">
        <f t="shared" si="1231"/>
        <v>-1512</v>
      </c>
      <c r="AD743" s="209"/>
      <c r="AE743" s="64">
        <f t="shared" si="1238"/>
        <v>0</v>
      </c>
      <c r="AF743" s="209"/>
      <c r="AG743" s="8"/>
    </row>
    <row r="744" spans="1:33" x14ac:dyDescent="0.45">
      <c r="A744" s="22">
        <f>A743</f>
        <v>44878</v>
      </c>
      <c r="B744" s="50" t="s">
        <v>53</v>
      </c>
      <c r="C744" s="48">
        <f t="shared" si="1239"/>
        <v>1840</v>
      </c>
      <c r="D744" s="51">
        <v>80</v>
      </c>
      <c r="E744" s="51">
        <v>22.25</v>
      </c>
      <c r="F744" s="51">
        <v>0</v>
      </c>
      <c r="G744" s="51">
        <v>0</v>
      </c>
      <c r="H744" s="51">
        <v>0</v>
      </c>
      <c r="I744" s="51">
        <v>0</v>
      </c>
      <c r="J744" s="51">
        <v>0</v>
      </c>
      <c r="K744" s="51">
        <v>0</v>
      </c>
      <c r="L744" s="52">
        <v>0</v>
      </c>
      <c r="M744" s="34"/>
      <c r="N744" s="13">
        <v>80</v>
      </c>
      <c r="O744" s="13">
        <v>22.25</v>
      </c>
      <c r="P744" s="13">
        <v>0</v>
      </c>
      <c r="Q744" s="13">
        <v>0</v>
      </c>
      <c r="R744" s="34"/>
      <c r="S744" s="51">
        <f t="shared" si="1240"/>
        <v>102.25</v>
      </c>
      <c r="T744" s="51">
        <f>SUM(N744:Q744)</f>
        <v>102.25</v>
      </c>
      <c r="U744" s="51">
        <f t="shared" si="1241"/>
        <v>0</v>
      </c>
      <c r="V744" s="34"/>
      <c r="W744" s="52">
        <v>23</v>
      </c>
      <c r="X744" s="53">
        <f t="shared" si="1242"/>
        <v>2607.625</v>
      </c>
      <c r="Y744" s="53">
        <f t="shared" si="1237"/>
        <v>0</v>
      </c>
      <c r="Z744" s="53">
        <f t="shared" si="1243"/>
        <v>0</v>
      </c>
      <c r="AA744" s="54">
        <f t="shared" si="1230"/>
        <v>0</v>
      </c>
      <c r="AB744" s="54">
        <f t="shared" si="1244"/>
        <v>2607.625</v>
      </c>
      <c r="AC744" s="64">
        <f t="shared" si="1231"/>
        <v>0</v>
      </c>
      <c r="AD744" s="209"/>
      <c r="AE744" s="64">
        <f t="shared" si="1238"/>
        <v>0</v>
      </c>
      <c r="AF744" s="209"/>
      <c r="AG744" s="8"/>
    </row>
    <row r="745" spans="1:33" x14ac:dyDescent="0.45">
      <c r="A745" s="22">
        <f>A743</f>
        <v>44878</v>
      </c>
      <c r="B745" s="50" t="s">
        <v>54</v>
      </c>
      <c r="C745" s="48">
        <f t="shared" si="1239"/>
        <v>1840</v>
      </c>
      <c r="D745" s="51">
        <v>66</v>
      </c>
      <c r="E745" s="51">
        <v>10.5</v>
      </c>
      <c r="F745" s="51">
        <v>0</v>
      </c>
      <c r="G745" s="51">
        <v>6</v>
      </c>
      <c r="H745" s="51">
        <v>0</v>
      </c>
      <c r="I745" s="51">
        <v>0</v>
      </c>
      <c r="J745" s="51">
        <v>0</v>
      </c>
      <c r="K745" s="51">
        <v>0</v>
      </c>
      <c r="L745" s="52">
        <v>0</v>
      </c>
      <c r="M745" s="34"/>
      <c r="N745" s="51">
        <v>66</v>
      </c>
      <c r="O745" s="51">
        <v>10.5</v>
      </c>
      <c r="P745" s="51">
        <v>0</v>
      </c>
      <c r="Q745" s="51">
        <v>6</v>
      </c>
      <c r="R745" s="34"/>
      <c r="S745" s="51">
        <f t="shared" si="1240"/>
        <v>82.5</v>
      </c>
      <c r="T745" s="51">
        <f t="shared" ref="T745:T751" si="1245">SUM(N745:Q745)</f>
        <v>82.5</v>
      </c>
      <c r="U745" s="51">
        <f t="shared" si="1241"/>
        <v>0</v>
      </c>
      <c r="V745" s="34"/>
      <c r="W745" s="52">
        <v>23</v>
      </c>
      <c r="X745" s="53">
        <f t="shared" si="1242"/>
        <v>2018.25</v>
      </c>
      <c r="Y745" s="53">
        <f t="shared" si="1237"/>
        <v>0</v>
      </c>
      <c r="Z745" s="53">
        <f t="shared" si="1243"/>
        <v>0</v>
      </c>
      <c r="AA745" s="54">
        <f t="shared" si="1230"/>
        <v>0</v>
      </c>
      <c r="AB745" s="54">
        <f t="shared" si="1244"/>
        <v>2018.25</v>
      </c>
      <c r="AC745" s="64">
        <f>0-Y745-AA745</f>
        <v>0</v>
      </c>
      <c r="AD745" s="209"/>
      <c r="AE745" s="64">
        <f t="shared" si="1238"/>
        <v>0</v>
      </c>
      <c r="AF745" s="209"/>
      <c r="AG745" s="8"/>
    </row>
    <row r="746" spans="1:33" ht="14.65" thickBot="1" x14ac:dyDescent="0.5">
      <c r="A746" s="23">
        <f>A743</f>
        <v>44878</v>
      </c>
      <c r="B746" s="24" t="s">
        <v>62</v>
      </c>
      <c r="C746" s="49">
        <f t="shared" si="1239"/>
        <v>2000</v>
      </c>
      <c r="D746" s="25">
        <v>77.25</v>
      </c>
      <c r="E746" s="25">
        <v>21.25</v>
      </c>
      <c r="F746" s="25">
        <v>0</v>
      </c>
      <c r="G746" s="25">
        <v>0</v>
      </c>
      <c r="H746" s="25">
        <v>0</v>
      </c>
      <c r="I746" s="25">
        <v>0</v>
      </c>
      <c r="J746" s="25">
        <v>0</v>
      </c>
      <c r="K746" s="25">
        <v>0</v>
      </c>
      <c r="L746" s="46">
        <v>0</v>
      </c>
      <c r="M746" s="35"/>
      <c r="N746" s="25">
        <v>80</v>
      </c>
      <c r="O746" s="25">
        <v>18.5</v>
      </c>
      <c r="P746" s="25">
        <v>0</v>
      </c>
      <c r="Q746" s="25">
        <v>0</v>
      </c>
      <c r="R746" s="35"/>
      <c r="S746" s="25">
        <f t="shared" ref="S746" si="1246">SUM(D746:G746)</f>
        <v>98.5</v>
      </c>
      <c r="T746" s="25">
        <f t="shared" si="1245"/>
        <v>98.5</v>
      </c>
      <c r="U746" s="25">
        <f t="shared" ref="U746:U747" si="1247">SUM(H746:K746)</f>
        <v>0</v>
      </c>
      <c r="V746" s="35"/>
      <c r="W746" s="46">
        <v>25</v>
      </c>
      <c r="X746" s="26">
        <f t="shared" si="1242"/>
        <v>2728.125</v>
      </c>
      <c r="Y746" s="26">
        <f t="shared" si="1237"/>
        <v>0</v>
      </c>
      <c r="Z746" s="26">
        <f t="shared" si="1243"/>
        <v>0</v>
      </c>
      <c r="AA746" s="27">
        <f t="shared" si="1230"/>
        <v>0</v>
      </c>
      <c r="AB746" s="27">
        <f t="shared" si="1244"/>
        <v>2693.75</v>
      </c>
      <c r="AC746" s="65">
        <f t="shared" ref="AC746:AC754" si="1248">0-Y746-AA746</f>
        <v>0</v>
      </c>
      <c r="AD746" s="210"/>
      <c r="AE746" s="65">
        <f t="shared" si="1238"/>
        <v>-34.375</v>
      </c>
      <c r="AF746" s="210"/>
      <c r="AG746" s="8"/>
    </row>
    <row r="747" spans="1:33" x14ac:dyDescent="0.45">
      <c r="A747" s="16">
        <f>A746+14</f>
        <v>44892</v>
      </c>
      <c r="B747" s="17" t="s">
        <v>30</v>
      </c>
      <c r="C747" s="47">
        <f>120*W747</f>
        <v>3900</v>
      </c>
      <c r="D747" s="18">
        <v>80</v>
      </c>
      <c r="E747" s="18">
        <v>12</v>
      </c>
      <c r="F747" s="18">
        <v>0</v>
      </c>
      <c r="G747" s="18">
        <v>7</v>
      </c>
      <c r="H747" s="18">
        <v>8</v>
      </c>
      <c r="I747" s="18">
        <v>0</v>
      </c>
      <c r="J747" s="18">
        <v>0</v>
      </c>
      <c r="K747" s="18">
        <v>0</v>
      </c>
      <c r="L747" s="44">
        <v>0</v>
      </c>
      <c r="M747" s="33"/>
      <c r="N747" s="18">
        <v>80</v>
      </c>
      <c r="O747" s="18">
        <v>12</v>
      </c>
      <c r="P747" s="18">
        <v>0</v>
      </c>
      <c r="Q747" s="18">
        <v>7</v>
      </c>
      <c r="R747" s="33"/>
      <c r="S747" s="18">
        <f t="shared" ref="S747:S751" si="1249">SUM(D747:G747)</f>
        <v>99</v>
      </c>
      <c r="T747" s="18">
        <f t="shared" si="1245"/>
        <v>99</v>
      </c>
      <c r="U747" s="18">
        <f t="shared" si="1247"/>
        <v>8</v>
      </c>
      <c r="V747" s="33"/>
      <c r="W747" s="44">
        <v>32.5</v>
      </c>
      <c r="X747" s="19">
        <f t="shared" si="1242"/>
        <v>3412.5</v>
      </c>
      <c r="Y747" s="19">
        <f t="shared" si="1237"/>
        <v>0</v>
      </c>
      <c r="Z747" s="19">
        <f t="shared" si="1243"/>
        <v>0</v>
      </c>
      <c r="AA747" s="20">
        <f t="shared" ref="AA747:AA756" si="1250">(W747*1*K747)</f>
        <v>0</v>
      </c>
      <c r="AB747" s="20">
        <f t="shared" si="1244"/>
        <v>3412.5</v>
      </c>
      <c r="AC747" s="66">
        <f t="shared" si="1248"/>
        <v>0</v>
      </c>
      <c r="AD747" s="208"/>
      <c r="AE747" s="66">
        <f t="shared" si="1238"/>
        <v>0</v>
      </c>
      <c r="AF747" s="208">
        <f>SUM(AE747:AE756)</f>
        <v>-1841.65</v>
      </c>
      <c r="AG747" s="8"/>
    </row>
    <row r="748" spans="1:33" x14ac:dyDescent="0.45">
      <c r="A748" s="22">
        <f>A747</f>
        <v>44892</v>
      </c>
      <c r="B748" s="15" t="s">
        <v>4</v>
      </c>
      <c r="C748" s="48">
        <f>80*W748</f>
        <v>2400</v>
      </c>
      <c r="D748" s="13">
        <v>80</v>
      </c>
      <c r="E748" s="13">
        <v>15.75</v>
      </c>
      <c r="F748" s="13">
        <v>0</v>
      </c>
      <c r="G748" s="13">
        <v>11.5</v>
      </c>
      <c r="H748" s="13">
        <v>0</v>
      </c>
      <c r="I748" s="13">
        <v>0</v>
      </c>
      <c r="J748" s="13">
        <v>0</v>
      </c>
      <c r="K748" s="13">
        <v>0</v>
      </c>
      <c r="L748" s="45">
        <v>1000</v>
      </c>
      <c r="M748" s="34"/>
      <c r="N748" s="13">
        <v>74.25</v>
      </c>
      <c r="O748" s="13">
        <v>8</v>
      </c>
      <c r="P748" s="13">
        <v>0</v>
      </c>
      <c r="Q748" s="13">
        <v>15</v>
      </c>
      <c r="R748" s="34"/>
      <c r="S748" s="13">
        <f t="shared" si="1249"/>
        <v>107.25</v>
      </c>
      <c r="T748" s="13">
        <f t="shared" si="1245"/>
        <v>97.25</v>
      </c>
      <c r="U748" s="13">
        <f>SUM(H748:K748)</f>
        <v>0</v>
      </c>
      <c r="V748" s="34"/>
      <c r="W748" s="45">
        <v>30</v>
      </c>
      <c r="X748" s="10">
        <f t="shared" si="1242"/>
        <v>3453.75</v>
      </c>
      <c r="Y748" s="10">
        <f t="shared" si="1237"/>
        <v>0</v>
      </c>
      <c r="Z748" s="10">
        <f t="shared" si="1243"/>
        <v>1000</v>
      </c>
      <c r="AA748" s="14">
        <f t="shared" si="1250"/>
        <v>0</v>
      </c>
      <c r="AB748" s="14">
        <f t="shared" si="1244"/>
        <v>3037.5</v>
      </c>
      <c r="AC748" s="63">
        <f t="shared" si="1248"/>
        <v>0</v>
      </c>
      <c r="AD748" s="209"/>
      <c r="AE748" s="63">
        <f t="shared" si="1238"/>
        <v>-1416.25</v>
      </c>
      <c r="AF748" s="209"/>
      <c r="AG748" s="8"/>
    </row>
    <row r="749" spans="1:33" x14ac:dyDescent="0.45">
      <c r="A749" s="22">
        <f t="shared" ref="A749:A753" si="1251">A748</f>
        <v>44892</v>
      </c>
      <c r="B749" s="15" t="s">
        <v>5</v>
      </c>
      <c r="C749" s="48">
        <f>120*W749</f>
        <v>3480</v>
      </c>
      <c r="D749" s="13">
        <v>80</v>
      </c>
      <c r="E749" s="13">
        <v>28</v>
      </c>
      <c r="F749" s="13">
        <v>12</v>
      </c>
      <c r="G749" s="13">
        <v>7</v>
      </c>
      <c r="H749" s="13">
        <v>0</v>
      </c>
      <c r="I749" s="13">
        <v>0</v>
      </c>
      <c r="J749" s="13">
        <v>0</v>
      </c>
      <c r="K749" s="13">
        <v>0</v>
      </c>
      <c r="L749" s="45">
        <v>0</v>
      </c>
      <c r="M749" s="34"/>
      <c r="N749" s="13">
        <v>80</v>
      </c>
      <c r="O749" s="13">
        <v>28</v>
      </c>
      <c r="P749" s="13">
        <v>12</v>
      </c>
      <c r="Q749" s="13">
        <v>7</v>
      </c>
      <c r="R749" s="34"/>
      <c r="S749" s="13">
        <f t="shared" si="1249"/>
        <v>127</v>
      </c>
      <c r="T749" s="13">
        <f>SUM(N749:Q749)</f>
        <v>127</v>
      </c>
      <c r="U749" s="13">
        <f t="shared" ref="U749:U751" si="1252">SUM(H749:K749)</f>
        <v>0</v>
      </c>
      <c r="V749" s="34"/>
      <c r="W749" s="45">
        <v>29</v>
      </c>
      <c r="X749" s="10">
        <f t="shared" si="1242"/>
        <v>4437</v>
      </c>
      <c r="Y749" s="10">
        <f t="shared" si="1237"/>
        <v>0</v>
      </c>
      <c r="Z749" s="10">
        <f t="shared" si="1243"/>
        <v>0</v>
      </c>
      <c r="AA749" s="14">
        <f t="shared" si="1250"/>
        <v>0</v>
      </c>
      <c r="AB749" s="14">
        <f t="shared" si="1244"/>
        <v>4437</v>
      </c>
      <c r="AC749" s="63">
        <f t="shared" si="1248"/>
        <v>0</v>
      </c>
      <c r="AD749" s="209"/>
      <c r="AE749" s="63">
        <f t="shared" si="1238"/>
        <v>0</v>
      </c>
      <c r="AF749" s="209"/>
      <c r="AG749" s="8"/>
    </row>
    <row r="750" spans="1:33" x14ac:dyDescent="0.45">
      <c r="A750" s="22">
        <f t="shared" si="1251"/>
        <v>44892</v>
      </c>
      <c r="B750" s="15" t="s">
        <v>6</v>
      </c>
      <c r="C750" s="48">
        <f>80*W750</f>
        <v>2400</v>
      </c>
      <c r="D750" s="13">
        <v>61</v>
      </c>
      <c r="E750" s="13">
        <v>2</v>
      </c>
      <c r="F750" s="13">
        <v>0</v>
      </c>
      <c r="G750" s="13">
        <v>7</v>
      </c>
      <c r="H750" s="13">
        <v>24</v>
      </c>
      <c r="I750" s="13">
        <v>0</v>
      </c>
      <c r="J750" s="13">
        <v>0</v>
      </c>
      <c r="K750" s="13">
        <v>0</v>
      </c>
      <c r="L750" s="45">
        <v>0</v>
      </c>
      <c r="M750" s="34"/>
      <c r="N750" s="13">
        <v>51</v>
      </c>
      <c r="O750" s="13">
        <v>2</v>
      </c>
      <c r="P750" s="13">
        <v>0</v>
      </c>
      <c r="Q750" s="13">
        <v>7</v>
      </c>
      <c r="R750" s="34"/>
      <c r="S750" s="13">
        <f t="shared" si="1249"/>
        <v>70</v>
      </c>
      <c r="T750" s="13">
        <f t="shared" si="1245"/>
        <v>60</v>
      </c>
      <c r="U750" s="13">
        <f t="shared" si="1252"/>
        <v>24</v>
      </c>
      <c r="V750" s="34"/>
      <c r="W750" s="45">
        <v>30</v>
      </c>
      <c r="X750" s="10">
        <f>(W750*1*D750)+(W750*1.5*E750)+(W750*2*F750)+(W750*1*G750)</f>
        <v>2130</v>
      </c>
      <c r="Y750" s="10">
        <f t="shared" si="1237"/>
        <v>0</v>
      </c>
      <c r="Z750" s="10">
        <f t="shared" si="1243"/>
        <v>0</v>
      </c>
      <c r="AA750" s="14">
        <f t="shared" si="1250"/>
        <v>0</v>
      </c>
      <c r="AB750" s="14">
        <f t="shared" si="1244"/>
        <v>1830</v>
      </c>
      <c r="AC750" s="63">
        <f t="shared" si="1248"/>
        <v>0</v>
      </c>
      <c r="AD750" s="209"/>
      <c r="AE750" s="63">
        <f t="shared" si="1238"/>
        <v>-300</v>
      </c>
      <c r="AF750" s="209"/>
      <c r="AG750" s="8"/>
    </row>
    <row r="751" spans="1:33" x14ac:dyDescent="0.45">
      <c r="A751" s="22">
        <f>A750</f>
        <v>44892</v>
      </c>
      <c r="B751" s="15" t="s">
        <v>9</v>
      </c>
      <c r="C751" s="48">
        <f>120*W751</f>
        <v>3600</v>
      </c>
      <c r="D751" s="13">
        <v>72</v>
      </c>
      <c r="E751" s="13">
        <v>0</v>
      </c>
      <c r="F751" s="13">
        <v>0</v>
      </c>
      <c r="G751" s="13">
        <v>0</v>
      </c>
      <c r="H751" s="13">
        <v>0</v>
      </c>
      <c r="I751" s="13">
        <v>0</v>
      </c>
      <c r="J751" s="13">
        <v>0</v>
      </c>
      <c r="K751" s="13">
        <v>8</v>
      </c>
      <c r="L751" s="45">
        <v>0</v>
      </c>
      <c r="M751" s="34"/>
      <c r="N751" s="13">
        <v>72</v>
      </c>
      <c r="O751" s="13">
        <v>0</v>
      </c>
      <c r="P751" s="13">
        <v>0</v>
      </c>
      <c r="Q751" s="13">
        <v>0</v>
      </c>
      <c r="R751" s="34"/>
      <c r="S751" s="13">
        <f t="shared" si="1249"/>
        <v>72</v>
      </c>
      <c r="T751" s="13">
        <f t="shared" si="1245"/>
        <v>72</v>
      </c>
      <c r="U751" s="13">
        <f t="shared" si="1252"/>
        <v>8</v>
      </c>
      <c r="V751" s="34"/>
      <c r="W751" s="45">
        <v>30</v>
      </c>
      <c r="X751" s="10">
        <f t="shared" ref="X751" si="1253">(W751*1*D751)+(W751*1.5*E751)+(W751*2*F751)+(W751*1*G751)</f>
        <v>2160</v>
      </c>
      <c r="Y751" s="10">
        <f>(W751*0*H751)+(W751*1*I751)</f>
        <v>0</v>
      </c>
      <c r="Z751" s="10">
        <f t="shared" si="1243"/>
        <v>0</v>
      </c>
      <c r="AA751" s="14">
        <f t="shared" si="1250"/>
        <v>240</v>
      </c>
      <c r="AB751" s="14">
        <f t="shared" si="1244"/>
        <v>2160</v>
      </c>
      <c r="AC751" s="63">
        <f t="shared" si="1248"/>
        <v>-240</v>
      </c>
      <c r="AD751" s="209"/>
      <c r="AE751" s="63">
        <f t="shared" si="1238"/>
        <v>0</v>
      </c>
      <c r="AF751" s="209"/>
      <c r="AG751" s="8"/>
    </row>
    <row r="752" spans="1:33" x14ac:dyDescent="0.45">
      <c r="A752" s="22">
        <f t="shared" si="1251"/>
        <v>44892</v>
      </c>
      <c r="B752" s="50" t="s">
        <v>31</v>
      </c>
      <c r="C752" s="48">
        <f>120*W752</f>
        <v>3600</v>
      </c>
      <c r="D752" s="51">
        <v>80</v>
      </c>
      <c r="E752" s="51">
        <v>16</v>
      </c>
      <c r="F752" s="51">
        <v>0</v>
      </c>
      <c r="G752" s="51">
        <v>6</v>
      </c>
      <c r="H752" s="51">
        <v>0</v>
      </c>
      <c r="I752" s="51">
        <v>0</v>
      </c>
      <c r="J752" s="51">
        <v>0</v>
      </c>
      <c r="K752" s="51">
        <v>0</v>
      </c>
      <c r="L752" s="52">
        <v>0</v>
      </c>
      <c r="M752" s="34"/>
      <c r="N752" s="13">
        <v>80</v>
      </c>
      <c r="O752" s="13">
        <v>16</v>
      </c>
      <c r="P752" s="13">
        <v>0</v>
      </c>
      <c r="Q752" s="13">
        <v>6</v>
      </c>
      <c r="R752" s="34"/>
      <c r="S752" s="51">
        <f t="shared" ref="S752" si="1254">SUM(D752:G752)</f>
        <v>102</v>
      </c>
      <c r="T752" s="51">
        <f>SUM(N752:Q752)</f>
        <v>102</v>
      </c>
      <c r="U752" s="51">
        <f t="shared" ref="U752" si="1255">SUM(H752:K752)</f>
        <v>0</v>
      </c>
      <c r="V752" s="34"/>
      <c r="W752" s="52">
        <v>30</v>
      </c>
      <c r="X752" s="53">
        <f>(W752*1*D752)+(W752*1.5*E752)+(W752*2*F752)+(W752*1*G752)</f>
        <v>3300</v>
      </c>
      <c r="Y752" s="53">
        <f t="shared" ref="Y752:Y760" si="1256">(W752*0*H752)+(W752*1*I752)</f>
        <v>0</v>
      </c>
      <c r="Z752" s="53">
        <f>(W752*1*J752)+L752</f>
        <v>0</v>
      </c>
      <c r="AA752" s="54">
        <f t="shared" si="1250"/>
        <v>0</v>
      </c>
      <c r="AB752" s="54">
        <f>(W752*1*N752)+(W752*1.5*O752)+(W752*2*P752)+(W752*1*Q752)</f>
        <v>3300</v>
      </c>
      <c r="AC752" s="64">
        <f t="shared" si="1248"/>
        <v>0</v>
      </c>
      <c r="AD752" s="209"/>
      <c r="AE752" s="64">
        <f t="shared" ref="AE752:AE761" si="1257">AB752-(X752+Z752)</f>
        <v>0</v>
      </c>
      <c r="AF752" s="209"/>
      <c r="AG752" s="8"/>
    </row>
    <row r="753" spans="1:33" x14ac:dyDescent="0.45">
      <c r="A753" s="22">
        <f t="shared" si="1251"/>
        <v>44892</v>
      </c>
      <c r="B753" s="50" t="s">
        <v>64</v>
      </c>
      <c r="C753" s="48">
        <f t="shared" ref="C753:C756" si="1258">80*W753</f>
        <v>1672</v>
      </c>
      <c r="D753" s="51">
        <v>0</v>
      </c>
      <c r="E753" s="51">
        <v>4</v>
      </c>
      <c r="F753" s="51">
        <v>0</v>
      </c>
      <c r="G753" s="51">
        <v>0</v>
      </c>
      <c r="H753" s="51">
        <v>0</v>
      </c>
      <c r="I753" s="51">
        <v>0</v>
      </c>
      <c r="J753" s="51">
        <v>0</v>
      </c>
      <c r="K753" s="51">
        <v>80</v>
      </c>
      <c r="L753" s="52">
        <v>0</v>
      </c>
      <c r="M753" s="34"/>
      <c r="N753" s="51">
        <v>0</v>
      </c>
      <c r="O753" s="51">
        <v>0</v>
      </c>
      <c r="P753" s="51">
        <v>0</v>
      </c>
      <c r="Q753" s="51">
        <v>0</v>
      </c>
      <c r="R753" s="34"/>
      <c r="S753" s="51">
        <f t="shared" ref="S753:S755" si="1259">SUM(D753:G753)</f>
        <v>4</v>
      </c>
      <c r="T753" s="51">
        <f>SUM(N753:Q753)</f>
        <v>0</v>
      </c>
      <c r="U753" s="51">
        <f t="shared" ref="U753:U755" si="1260">SUM(H753:K753)</f>
        <v>80</v>
      </c>
      <c r="V753" s="34"/>
      <c r="W753" s="58">
        <v>20.9</v>
      </c>
      <c r="X753" s="53">
        <f t="shared" ref="X753:X759" si="1261">(W753*1*D753)+(W753*1.5*E753)+(W753*2*F753)+(W753*1*G753)</f>
        <v>125.39999999999999</v>
      </c>
      <c r="Y753" s="53">
        <f t="shared" si="1256"/>
        <v>0</v>
      </c>
      <c r="Z753" s="53">
        <f t="shared" ref="Z753:Z766" si="1262">(W753*1*J753)+L753</f>
        <v>0</v>
      </c>
      <c r="AA753" s="54">
        <f t="shared" si="1250"/>
        <v>1672</v>
      </c>
      <c r="AB753" s="54">
        <f t="shared" ref="AB753:AB761" si="1263">(W753*1*N753)+(W753*1.5*O753)+(W753*2*P753)+(W753*1*Q753)</f>
        <v>0</v>
      </c>
      <c r="AC753" s="64">
        <f t="shared" si="1248"/>
        <v>-1672</v>
      </c>
      <c r="AD753" s="209"/>
      <c r="AE753" s="64">
        <f t="shared" si="1257"/>
        <v>-125.39999999999999</v>
      </c>
      <c r="AF753" s="209"/>
      <c r="AG753" s="8"/>
    </row>
    <row r="754" spans="1:33" x14ac:dyDescent="0.45">
      <c r="A754" s="22">
        <f>A753</f>
        <v>44892</v>
      </c>
      <c r="B754" s="50" t="s">
        <v>53</v>
      </c>
      <c r="C754" s="48">
        <f t="shared" si="1258"/>
        <v>1840</v>
      </c>
      <c r="D754" s="51">
        <v>80</v>
      </c>
      <c r="E754" s="51">
        <v>41.25</v>
      </c>
      <c r="F754" s="51">
        <v>12</v>
      </c>
      <c r="G754" s="51">
        <v>8</v>
      </c>
      <c r="H754" s="51">
        <v>0</v>
      </c>
      <c r="I754" s="51">
        <v>0</v>
      </c>
      <c r="J754" s="51">
        <v>0</v>
      </c>
      <c r="K754" s="51">
        <v>0</v>
      </c>
      <c r="L754" s="52">
        <v>0</v>
      </c>
      <c r="M754" s="34"/>
      <c r="N754" s="13">
        <v>80</v>
      </c>
      <c r="O754" s="13">
        <v>41.25</v>
      </c>
      <c r="P754" s="13">
        <v>12</v>
      </c>
      <c r="Q754" s="13">
        <v>8</v>
      </c>
      <c r="R754" s="34"/>
      <c r="S754" s="51">
        <f t="shared" si="1259"/>
        <v>141.25</v>
      </c>
      <c r="T754" s="51">
        <f>SUM(N754:Q754)</f>
        <v>141.25</v>
      </c>
      <c r="U754" s="51">
        <f t="shared" si="1260"/>
        <v>0</v>
      </c>
      <c r="V754" s="34"/>
      <c r="W754" s="52">
        <v>23</v>
      </c>
      <c r="X754" s="53">
        <f t="shared" si="1261"/>
        <v>3999.125</v>
      </c>
      <c r="Y754" s="53">
        <f t="shared" si="1256"/>
        <v>0</v>
      </c>
      <c r="Z754" s="53">
        <f t="shared" si="1262"/>
        <v>0</v>
      </c>
      <c r="AA754" s="54">
        <f t="shared" si="1250"/>
        <v>0</v>
      </c>
      <c r="AB754" s="54">
        <f t="shared" si="1263"/>
        <v>3999.125</v>
      </c>
      <c r="AC754" s="64">
        <f t="shared" si="1248"/>
        <v>0</v>
      </c>
      <c r="AD754" s="209"/>
      <c r="AE754" s="64">
        <f t="shared" si="1257"/>
        <v>0</v>
      </c>
      <c r="AF754" s="209"/>
      <c r="AG754" s="8"/>
    </row>
    <row r="755" spans="1:33" x14ac:dyDescent="0.45">
      <c r="A755" s="22">
        <f>A753</f>
        <v>44892</v>
      </c>
      <c r="B755" s="50" t="s">
        <v>54</v>
      </c>
      <c r="C755" s="48">
        <f t="shared" si="1258"/>
        <v>1840</v>
      </c>
      <c r="D755" s="51">
        <v>80</v>
      </c>
      <c r="E755" s="51">
        <v>21</v>
      </c>
      <c r="F755" s="51">
        <v>0</v>
      </c>
      <c r="G755" s="51">
        <v>6</v>
      </c>
      <c r="H755" s="51">
        <v>0</v>
      </c>
      <c r="I755" s="51">
        <v>0</v>
      </c>
      <c r="J755" s="51">
        <v>0</v>
      </c>
      <c r="K755" s="51">
        <v>0</v>
      </c>
      <c r="L755" s="52">
        <v>0</v>
      </c>
      <c r="M755" s="34"/>
      <c r="N755" s="51">
        <v>80</v>
      </c>
      <c r="O755" s="51">
        <v>21</v>
      </c>
      <c r="P755" s="51">
        <v>0</v>
      </c>
      <c r="Q755" s="51">
        <v>6</v>
      </c>
      <c r="R755" s="34"/>
      <c r="S755" s="51">
        <f t="shared" si="1259"/>
        <v>107</v>
      </c>
      <c r="T755" s="51">
        <f t="shared" ref="T755:T758" si="1264">SUM(N755:Q755)</f>
        <v>107</v>
      </c>
      <c r="U755" s="51">
        <f t="shared" si="1260"/>
        <v>0</v>
      </c>
      <c r="V755" s="34"/>
      <c r="W755" s="52">
        <v>23</v>
      </c>
      <c r="X755" s="53">
        <f t="shared" si="1261"/>
        <v>2702.5</v>
      </c>
      <c r="Y755" s="53">
        <f t="shared" si="1256"/>
        <v>0</v>
      </c>
      <c r="Z755" s="53">
        <f t="shared" si="1262"/>
        <v>0</v>
      </c>
      <c r="AA755" s="54">
        <f t="shared" si="1250"/>
        <v>0</v>
      </c>
      <c r="AB755" s="54">
        <f t="shared" si="1263"/>
        <v>2702.5</v>
      </c>
      <c r="AC755" s="64">
        <f>0-Y755-AA755</f>
        <v>0</v>
      </c>
      <c r="AD755" s="209"/>
      <c r="AE755" s="64">
        <f t="shared" si="1257"/>
        <v>0</v>
      </c>
      <c r="AF755" s="209"/>
      <c r="AG755" s="8"/>
    </row>
    <row r="756" spans="1:33" ht="14.65" thickBot="1" x14ac:dyDescent="0.5">
      <c r="A756" s="23">
        <f>A753</f>
        <v>44892</v>
      </c>
      <c r="B756" s="24" t="s">
        <v>62</v>
      </c>
      <c r="C756" s="49">
        <f t="shared" si="1258"/>
        <v>2000</v>
      </c>
      <c r="D756" s="25">
        <v>80</v>
      </c>
      <c r="E756" s="25">
        <v>27.75</v>
      </c>
      <c r="F756" s="25">
        <v>4.75</v>
      </c>
      <c r="G756" s="25">
        <v>0</v>
      </c>
      <c r="H756" s="25">
        <v>0</v>
      </c>
      <c r="I756" s="25">
        <v>0</v>
      </c>
      <c r="J756" s="25">
        <v>0</v>
      </c>
      <c r="K756" s="25">
        <v>0</v>
      </c>
      <c r="L756" s="46">
        <v>0</v>
      </c>
      <c r="M756" s="35"/>
      <c r="N756" s="25">
        <v>80</v>
      </c>
      <c r="O756" s="25">
        <v>27.75</v>
      </c>
      <c r="P756" s="25">
        <v>4.75</v>
      </c>
      <c r="Q756" s="25">
        <v>0</v>
      </c>
      <c r="R756" s="35"/>
      <c r="S756" s="25">
        <f t="shared" ref="S756" si="1265">SUM(D756:G756)</f>
        <v>112.5</v>
      </c>
      <c r="T756" s="25">
        <f t="shared" si="1264"/>
        <v>112.5</v>
      </c>
      <c r="U756" s="25">
        <f t="shared" ref="U756:U757" si="1266">SUM(H756:K756)</f>
        <v>0</v>
      </c>
      <c r="V756" s="35"/>
      <c r="W756" s="46">
        <v>25</v>
      </c>
      <c r="X756" s="26">
        <f t="shared" si="1261"/>
        <v>3278.125</v>
      </c>
      <c r="Y756" s="26">
        <f t="shared" si="1256"/>
        <v>0</v>
      </c>
      <c r="Z756" s="26">
        <f t="shared" si="1262"/>
        <v>0</v>
      </c>
      <c r="AA756" s="27">
        <f t="shared" si="1250"/>
        <v>0</v>
      </c>
      <c r="AB756" s="27">
        <f t="shared" si="1263"/>
        <v>3278.125</v>
      </c>
      <c r="AC756" s="65">
        <f t="shared" ref="AC756:AC764" si="1267">0-Y756-AA756</f>
        <v>0</v>
      </c>
      <c r="AD756" s="210"/>
      <c r="AE756" s="65">
        <f t="shared" si="1257"/>
        <v>0</v>
      </c>
      <c r="AF756" s="210"/>
      <c r="AG756" s="8"/>
    </row>
    <row r="757" spans="1:33" x14ac:dyDescent="0.45">
      <c r="A757" s="16">
        <f>A756+14</f>
        <v>44906</v>
      </c>
      <c r="B757" s="17" t="s">
        <v>30</v>
      </c>
      <c r="C757" s="47">
        <f>120*W757</f>
        <v>3900</v>
      </c>
      <c r="D757" s="18">
        <v>80</v>
      </c>
      <c r="E757" s="18">
        <v>18</v>
      </c>
      <c r="F757" s="18">
        <v>0</v>
      </c>
      <c r="G757" s="18">
        <v>0</v>
      </c>
      <c r="H757" s="18">
        <v>0</v>
      </c>
      <c r="I757" s="18">
        <v>0</v>
      </c>
      <c r="J757" s="18">
        <v>0</v>
      </c>
      <c r="K757" s="18">
        <v>0</v>
      </c>
      <c r="L757" s="44">
        <v>1000</v>
      </c>
      <c r="M757" s="33"/>
      <c r="N757" s="18">
        <v>80</v>
      </c>
      <c r="O757" s="18">
        <v>18</v>
      </c>
      <c r="P757" s="18">
        <v>0</v>
      </c>
      <c r="Q757" s="18">
        <v>0</v>
      </c>
      <c r="R757" s="33"/>
      <c r="S757" s="18">
        <f t="shared" ref="S757:S761" si="1268">SUM(D757:G757)</f>
        <v>98</v>
      </c>
      <c r="T757" s="18">
        <f t="shared" si="1264"/>
        <v>98</v>
      </c>
      <c r="U757" s="18">
        <f t="shared" si="1266"/>
        <v>0</v>
      </c>
      <c r="V757" s="33"/>
      <c r="W757" s="44">
        <v>32.5</v>
      </c>
      <c r="X757" s="19">
        <f t="shared" si="1261"/>
        <v>3477.5</v>
      </c>
      <c r="Y757" s="19">
        <f t="shared" si="1256"/>
        <v>0</v>
      </c>
      <c r="Z757" s="19">
        <f t="shared" si="1262"/>
        <v>1000</v>
      </c>
      <c r="AA757" s="20">
        <f t="shared" ref="AA757:AA766" si="1269">(W757*1*K757)</f>
        <v>0</v>
      </c>
      <c r="AB757" s="20">
        <f t="shared" si="1263"/>
        <v>3477.5</v>
      </c>
      <c r="AC757" s="66">
        <f t="shared" si="1267"/>
        <v>0</v>
      </c>
      <c r="AD757" s="208"/>
      <c r="AE757" s="66">
        <f t="shared" si="1257"/>
        <v>-1000</v>
      </c>
      <c r="AF757" s="208">
        <f>SUM(AE757:AE766)</f>
        <v>-9067.4624999999996</v>
      </c>
      <c r="AG757" s="8"/>
    </row>
    <row r="758" spans="1:33" x14ac:dyDescent="0.45">
      <c r="A758" s="22">
        <f>A757</f>
        <v>44906</v>
      </c>
      <c r="B758" s="15" t="s">
        <v>4</v>
      </c>
      <c r="C758" s="48">
        <f>80*W758</f>
        <v>2400</v>
      </c>
      <c r="D758" s="13">
        <v>37</v>
      </c>
      <c r="E758" s="13">
        <v>0</v>
      </c>
      <c r="F758" s="13">
        <v>0</v>
      </c>
      <c r="G758" s="13">
        <v>10</v>
      </c>
      <c r="H758" s="13">
        <v>0</v>
      </c>
      <c r="I758" s="13">
        <v>0</v>
      </c>
      <c r="J758" s="13">
        <v>0</v>
      </c>
      <c r="K758" s="13">
        <v>0</v>
      </c>
      <c r="L758" s="45">
        <v>1000</v>
      </c>
      <c r="M758" s="34"/>
      <c r="N758" s="13">
        <v>37</v>
      </c>
      <c r="O758" s="13">
        <v>0</v>
      </c>
      <c r="P758" s="13">
        <v>0</v>
      </c>
      <c r="Q758" s="13">
        <v>10</v>
      </c>
      <c r="R758" s="34"/>
      <c r="S758" s="13">
        <f t="shared" si="1268"/>
        <v>47</v>
      </c>
      <c r="T758" s="13">
        <f t="shared" si="1264"/>
        <v>47</v>
      </c>
      <c r="U758" s="13">
        <f>SUM(H758:K758)</f>
        <v>0</v>
      </c>
      <c r="V758" s="34"/>
      <c r="W758" s="45">
        <v>30</v>
      </c>
      <c r="X758" s="10">
        <f t="shared" si="1261"/>
        <v>1410</v>
      </c>
      <c r="Y758" s="10">
        <f t="shared" si="1256"/>
        <v>0</v>
      </c>
      <c r="Z758" s="10">
        <f t="shared" si="1262"/>
        <v>1000</v>
      </c>
      <c r="AA758" s="14">
        <f t="shared" si="1269"/>
        <v>0</v>
      </c>
      <c r="AB758" s="14">
        <f t="shared" si="1263"/>
        <v>1410</v>
      </c>
      <c r="AC758" s="63">
        <f t="shared" si="1267"/>
        <v>0</v>
      </c>
      <c r="AD758" s="209"/>
      <c r="AE758" s="63">
        <f t="shared" si="1257"/>
        <v>-1000</v>
      </c>
      <c r="AF758" s="209"/>
      <c r="AG758" s="8"/>
    </row>
    <row r="759" spans="1:33" x14ac:dyDescent="0.45">
      <c r="A759" s="22">
        <f t="shared" ref="A759:A763" si="1270">A758</f>
        <v>44906</v>
      </c>
      <c r="B759" s="15" t="s">
        <v>5</v>
      </c>
      <c r="C759" s="48">
        <f>120*W759</f>
        <v>3480</v>
      </c>
      <c r="D759" s="13">
        <v>80</v>
      </c>
      <c r="E759" s="13">
        <v>22.5</v>
      </c>
      <c r="F759" s="13">
        <v>12</v>
      </c>
      <c r="G759" s="13">
        <v>8</v>
      </c>
      <c r="H759" s="13">
        <v>0</v>
      </c>
      <c r="I759" s="13">
        <v>0</v>
      </c>
      <c r="J759" s="13">
        <v>0</v>
      </c>
      <c r="K759" s="13">
        <v>0</v>
      </c>
      <c r="L759" s="45">
        <v>1000</v>
      </c>
      <c r="M759" s="34"/>
      <c r="N759" s="13">
        <v>80</v>
      </c>
      <c r="O759" s="13">
        <v>21</v>
      </c>
      <c r="P759" s="13">
        <v>13</v>
      </c>
      <c r="Q759" s="13">
        <v>8.5</v>
      </c>
      <c r="R759" s="34"/>
      <c r="S759" s="13">
        <f t="shared" si="1268"/>
        <v>122.5</v>
      </c>
      <c r="T759" s="13">
        <f>SUM(N759:Q759)</f>
        <v>122.5</v>
      </c>
      <c r="U759" s="13">
        <f t="shared" ref="U759:U761" si="1271">SUM(H759:K759)</f>
        <v>0</v>
      </c>
      <c r="V759" s="34"/>
      <c r="W759" s="45">
        <v>29</v>
      </c>
      <c r="X759" s="10">
        <f t="shared" si="1261"/>
        <v>4226.75</v>
      </c>
      <c r="Y759" s="10">
        <f t="shared" si="1256"/>
        <v>0</v>
      </c>
      <c r="Z759" s="10">
        <f t="shared" si="1262"/>
        <v>1000</v>
      </c>
      <c r="AA759" s="14">
        <f t="shared" si="1269"/>
        <v>0</v>
      </c>
      <c r="AB759" s="14">
        <f t="shared" si="1263"/>
        <v>4234</v>
      </c>
      <c r="AC759" s="63">
        <f t="shared" si="1267"/>
        <v>0</v>
      </c>
      <c r="AD759" s="209"/>
      <c r="AE759" s="63">
        <f t="shared" si="1257"/>
        <v>-992.75</v>
      </c>
      <c r="AF759" s="209"/>
      <c r="AG759" s="8"/>
    </row>
    <row r="760" spans="1:33" x14ac:dyDescent="0.45">
      <c r="A760" s="22">
        <f t="shared" si="1270"/>
        <v>44906</v>
      </c>
      <c r="B760" s="15" t="s">
        <v>6</v>
      </c>
      <c r="C760" s="48">
        <f>80*W760</f>
        <v>2400</v>
      </c>
      <c r="D760" s="13">
        <v>77.75</v>
      </c>
      <c r="E760" s="13">
        <v>4</v>
      </c>
      <c r="F760" s="13">
        <v>0</v>
      </c>
      <c r="G760" s="13">
        <v>0</v>
      </c>
      <c r="H760" s="13">
        <v>0</v>
      </c>
      <c r="I760" s="13">
        <v>0</v>
      </c>
      <c r="J760" s="13">
        <v>0</v>
      </c>
      <c r="K760" s="13">
        <v>0</v>
      </c>
      <c r="L760" s="45">
        <v>1000</v>
      </c>
      <c r="M760" s="34"/>
      <c r="N760" s="13">
        <v>77.75</v>
      </c>
      <c r="O760" s="13">
        <v>4</v>
      </c>
      <c r="P760" s="13">
        <v>0</v>
      </c>
      <c r="Q760" s="13">
        <v>0</v>
      </c>
      <c r="R760" s="34"/>
      <c r="S760" s="13">
        <f t="shared" si="1268"/>
        <v>81.75</v>
      </c>
      <c r="T760" s="13">
        <f t="shared" ref="T760:T761" si="1272">SUM(N760:Q760)</f>
        <v>81.75</v>
      </c>
      <c r="U760" s="13">
        <f t="shared" si="1271"/>
        <v>0</v>
      </c>
      <c r="V760" s="34"/>
      <c r="W760" s="45">
        <v>30</v>
      </c>
      <c r="X760" s="10">
        <f>(W760*1*D760)+(W760*1.5*E760)+(W760*2*F760)+(W760*1*G760)</f>
        <v>2512.5</v>
      </c>
      <c r="Y760" s="10">
        <f t="shared" si="1256"/>
        <v>0</v>
      </c>
      <c r="Z760" s="10">
        <f t="shared" si="1262"/>
        <v>1000</v>
      </c>
      <c r="AA760" s="14">
        <f t="shared" si="1269"/>
        <v>0</v>
      </c>
      <c r="AB760" s="14">
        <f t="shared" si="1263"/>
        <v>2512.5</v>
      </c>
      <c r="AC760" s="63">
        <f t="shared" si="1267"/>
        <v>0</v>
      </c>
      <c r="AD760" s="209"/>
      <c r="AE760" s="63">
        <f t="shared" si="1257"/>
        <v>-1000</v>
      </c>
      <c r="AF760" s="209"/>
      <c r="AG760" s="8"/>
    </row>
    <row r="761" spans="1:33" x14ac:dyDescent="0.45">
      <c r="A761" s="22">
        <f>A760</f>
        <v>44906</v>
      </c>
      <c r="B761" s="15" t="s">
        <v>9</v>
      </c>
      <c r="C761" s="48">
        <f>120*W761</f>
        <v>3600</v>
      </c>
      <c r="D761" s="13">
        <v>59.75</v>
      </c>
      <c r="E761" s="13">
        <v>0</v>
      </c>
      <c r="F761" s="13">
        <v>8</v>
      </c>
      <c r="G761" s="13">
        <v>4</v>
      </c>
      <c r="H761" s="13">
        <v>16</v>
      </c>
      <c r="I761" s="13">
        <v>0</v>
      </c>
      <c r="J761" s="13">
        <v>0</v>
      </c>
      <c r="K761" s="13">
        <v>0</v>
      </c>
      <c r="L761" s="45">
        <v>1000</v>
      </c>
      <c r="M761" s="34"/>
      <c r="N761" s="13">
        <v>59.75</v>
      </c>
      <c r="O761" s="13">
        <v>0</v>
      </c>
      <c r="P761" s="13">
        <v>8</v>
      </c>
      <c r="Q761" s="13">
        <v>4</v>
      </c>
      <c r="R761" s="34"/>
      <c r="S761" s="13">
        <f t="shared" si="1268"/>
        <v>71.75</v>
      </c>
      <c r="T761" s="13">
        <f t="shared" si="1272"/>
        <v>71.75</v>
      </c>
      <c r="U761" s="13">
        <f t="shared" si="1271"/>
        <v>16</v>
      </c>
      <c r="V761" s="34"/>
      <c r="W761" s="45">
        <v>30</v>
      </c>
      <c r="X761" s="10">
        <f t="shared" ref="X761" si="1273">(W761*1*D761)+(W761*1.5*E761)+(W761*2*F761)+(W761*1*G761)</f>
        <v>2392.5</v>
      </c>
      <c r="Y761" s="10">
        <f>(W761*0*H761)+(W761*1*I761)</f>
        <v>0</v>
      </c>
      <c r="Z761" s="10">
        <f t="shared" si="1262"/>
        <v>1000</v>
      </c>
      <c r="AA761" s="14">
        <f t="shared" si="1269"/>
        <v>0</v>
      </c>
      <c r="AB761" s="14">
        <f t="shared" si="1263"/>
        <v>2392.5</v>
      </c>
      <c r="AC761" s="63">
        <f t="shared" si="1267"/>
        <v>0</v>
      </c>
      <c r="AD761" s="209"/>
      <c r="AE761" s="63">
        <f t="shared" si="1257"/>
        <v>-1000</v>
      </c>
      <c r="AF761" s="209"/>
      <c r="AG761" s="8"/>
    </row>
    <row r="762" spans="1:33" x14ac:dyDescent="0.45">
      <c r="A762" s="22">
        <f t="shared" si="1270"/>
        <v>44906</v>
      </c>
      <c r="B762" s="50" t="s">
        <v>31</v>
      </c>
      <c r="C762" s="48">
        <f>120*W762</f>
        <v>3600</v>
      </c>
      <c r="D762" s="51">
        <v>65</v>
      </c>
      <c r="E762" s="51">
        <v>3</v>
      </c>
      <c r="F762" s="51">
        <v>0</v>
      </c>
      <c r="G762" s="51">
        <v>10</v>
      </c>
      <c r="H762" s="51">
        <v>0</v>
      </c>
      <c r="I762" s="51">
        <v>16</v>
      </c>
      <c r="J762" s="51">
        <v>0</v>
      </c>
      <c r="K762" s="51">
        <v>0</v>
      </c>
      <c r="L762" s="52">
        <v>1000</v>
      </c>
      <c r="M762" s="34"/>
      <c r="N762" s="13">
        <v>65</v>
      </c>
      <c r="O762" s="13">
        <v>3</v>
      </c>
      <c r="P762" s="13">
        <v>0</v>
      </c>
      <c r="Q762" s="13">
        <v>10</v>
      </c>
      <c r="R762" s="34"/>
      <c r="S762" s="51">
        <f t="shared" ref="S762" si="1274">SUM(D762:G762)</f>
        <v>78</v>
      </c>
      <c r="T762" s="51">
        <f>SUM(N762:Q762)</f>
        <v>78</v>
      </c>
      <c r="U762" s="51">
        <f t="shared" ref="U762" si="1275">SUM(H762:K762)</f>
        <v>16</v>
      </c>
      <c r="V762" s="34"/>
      <c r="W762" s="52">
        <v>30</v>
      </c>
      <c r="X762" s="53">
        <f>(W762*1*D762)+(W762*1.5*E762)+(W762*2*F762)+(W762*1*G762)</f>
        <v>2385</v>
      </c>
      <c r="Y762" s="53">
        <f t="shared" ref="Y762:Y770" si="1276">(W762*0*H762)+(W762*1*I762)</f>
        <v>480</v>
      </c>
      <c r="Z762" s="53">
        <f>(W762*1*J762)+L762</f>
        <v>1000</v>
      </c>
      <c r="AA762" s="54">
        <f t="shared" si="1269"/>
        <v>0</v>
      </c>
      <c r="AB762" s="54">
        <f>(W762*1*N762)+(W762*1.5*O762)+(W762*2*P762)+(W762*1*Q762)</f>
        <v>2385</v>
      </c>
      <c r="AC762" s="64">
        <f t="shared" si="1267"/>
        <v>-480</v>
      </c>
      <c r="AD762" s="209"/>
      <c r="AE762" s="64">
        <f t="shared" ref="AE762:AE771" si="1277">AB762-(X762+Z762)</f>
        <v>-1000</v>
      </c>
      <c r="AF762" s="209"/>
      <c r="AG762" s="8"/>
    </row>
    <row r="763" spans="1:33" x14ac:dyDescent="0.45">
      <c r="A763" s="22">
        <f t="shared" si="1270"/>
        <v>44906</v>
      </c>
      <c r="B763" s="50" t="s">
        <v>64</v>
      </c>
      <c r="C763" s="48">
        <f t="shared" ref="C763:C766" si="1278">80*W763</f>
        <v>1672</v>
      </c>
      <c r="D763" s="51">
        <v>40</v>
      </c>
      <c r="E763" s="51">
        <v>14.25</v>
      </c>
      <c r="F763" s="51">
        <v>0</v>
      </c>
      <c r="G763" s="51">
        <v>0</v>
      </c>
      <c r="H763" s="51">
        <v>0</v>
      </c>
      <c r="I763" s="51">
        <v>0</v>
      </c>
      <c r="J763" s="51">
        <v>0</v>
      </c>
      <c r="K763" s="51">
        <v>40</v>
      </c>
      <c r="L763" s="52">
        <v>500</v>
      </c>
      <c r="M763" s="34"/>
      <c r="N763" s="51">
        <v>40</v>
      </c>
      <c r="O763" s="51">
        <v>11.5</v>
      </c>
      <c r="P763" s="51">
        <v>0</v>
      </c>
      <c r="Q763" s="51">
        <v>0</v>
      </c>
      <c r="R763" s="34"/>
      <c r="S763" s="51">
        <f t="shared" ref="S763:S765" si="1279">SUM(D763:G763)</f>
        <v>54.25</v>
      </c>
      <c r="T763" s="51">
        <f>SUM(N763:Q763)</f>
        <v>51.5</v>
      </c>
      <c r="U763" s="51">
        <f t="shared" ref="U763:U765" si="1280">SUM(H763:K763)</f>
        <v>40</v>
      </c>
      <c r="V763" s="34"/>
      <c r="W763" s="52">
        <v>20.9</v>
      </c>
      <c r="X763" s="53">
        <f t="shared" ref="X763:X769" si="1281">(W763*1*D763)+(W763*1.5*E763)+(W763*2*F763)+(W763*1*G763)</f>
        <v>1282.7375</v>
      </c>
      <c r="Y763" s="53">
        <f t="shared" si="1276"/>
        <v>0</v>
      </c>
      <c r="Z763" s="53">
        <f t="shared" si="1262"/>
        <v>500</v>
      </c>
      <c r="AA763" s="54">
        <f t="shared" si="1269"/>
        <v>836</v>
      </c>
      <c r="AB763" s="54">
        <f t="shared" ref="AB763:AB771" si="1282">(W763*1*N763)+(W763*1.5*O763)+(W763*2*P763)+(W763*1*Q763)</f>
        <v>1196.5250000000001</v>
      </c>
      <c r="AC763" s="64">
        <f t="shared" si="1267"/>
        <v>-836</v>
      </c>
      <c r="AD763" s="209"/>
      <c r="AE763" s="64">
        <f t="shared" si="1277"/>
        <v>-586.21249999999986</v>
      </c>
      <c r="AF763" s="209"/>
      <c r="AG763" s="8"/>
    </row>
    <row r="764" spans="1:33" x14ac:dyDescent="0.45">
      <c r="A764" s="22">
        <f>A763</f>
        <v>44906</v>
      </c>
      <c r="B764" s="50" t="s">
        <v>53</v>
      </c>
      <c r="C764" s="48">
        <f t="shared" si="1278"/>
        <v>1840</v>
      </c>
      <c r="D764" s="51">
        <v>80</v>
      </c>
      <c r="E764" s="51">
        <v>42.5</v>
      </c>
      <c r="F764" s="51">
        <v>12</v>
      </c>
      <c r="G764" s="51">
        <v>8</v>
      </c>
      <c r="H764" s="51">
        <v>0</v>
      </c>
      <c r="I764" s="51">
        <v>0</v>
      </c>
      <c r="J764" s="51">
        <v>0</v>
      </c>
      <c r="K764" s="51">
        <v>0</v>
      </c>
      <c r="L764" s="52">
        <v>1000</v>
      </c>
      <c r="M764" s="34"/>
      <c r="N764" s="13">
        <v>80</v>
      </c>
      <c r="O764" s="13">
        <v>41.5</v>
      </c>
      <c r="P764" s="13">
        <v>13</v>
      </c>
      <c r="Q764" s="13">
        <v>8</v>
      </c>
      <c r="R764" s="34"/>
      <c r="S764" s="51">
        <f t="shared" si="1279"/>
        <v>142.5</v>
      </c>
      <c r="T764" s="51">
        <f>SUM(N764:Q764)</f>
        <v>142.5</v>
      </c>
      <c r="U764" s="51">
        <f t="shared" si="1280"/>
        <v>0</v>
      </c>
      <c r="V764" s="34"/>
      <c r="W764" s="52">
        <v>23</v>
      </c>
      <c r="X764" s="53">
        <f t="shared" si="1281"/>
        <v>4042.25</v>
      </c>
      <c r="Y764" s="53">
        <f t="shared" si="1276"/>
        <v>0</v>
      </c>
      <c r="Z764" s="53">
        <f t="shared" si="1262"/>
        <v>1000</v>
      </c>
      <c r="AA764" s="54">
        <f t="shared" si="1269"/>
        <v>0</v>
      </c>
      <c r="AB764" s="54">
        <f t="shared" si="1282"/>
        <v>4053.75</v>
      </c>
      <c r="AC764" s="64">
        <f t="shared" si="1267"/>
        <v>0</v>
      </c>
      <c r="AD764" s="209"/>
      <c r="AE764" s="64">
        <f t="shared" si="1277"/>
        <v>-988.5</v>
      </c>
      <c r="AF764" s="209"/>
      <c r="AG764" s="8"/>
    </row>
    <row r="765" spans="1:33" x14ac:dyDescent="0.45">
      <c r="A765" s="22">
        <f>A763</f>
        <v>44906</v>
      </c>
      <c r="B765" s="50" t="s">
        <v>54</v>
      </c>
      <c r="C765" s="48">
        <f t="shared" si="1278"/>
        <v>1840</v>
      </c>
      <c r="D765" s="51">
        <v>80</v>
      </c>
      <c r="E765" s="51">
        <v>14</v>
      </c>
      <c r="F765" s="51">
        <v>0</v>
      </c>
      <c r="G765" s="51">
        <v>0</v>
      </c>
      <c r="H765" s="51">
        <v>0</v>
      </c>
      <c r="I765" s="51">
        <v>0</v>
      </c>
      <c r="J765" s="51">
        <v>0</v>
      </c>
      <c r="K765" s="51">
        <v>0</v>
      </c>
      <c r="L765" s="52">
        <v>1000</v>
      </c>
      <c r="M765" s="34"/>
      <c r="N765" s="51">
        <v>80</v>
      </c>
      <c r="O765" s="51">
        <v>14</v>
      </c>
      <c r="P765" s="51">
        <v>0</v>
      </c>
      <c r="Q765" s="51">
        <v>0</v>
      </c>
      <c r="R765" s="34"/>
      <c r="S765" s="51">
        <f t="shared" si="1279"/>
        <v>94</v>
      </c>
      <c r="T765" s="51">
        <f t="shared" ref="T765:T768" si="1283">SUM(N765:Q765)</f>
        <v>94</v>
      </c>
      <c r="U765" s="51">
        <f t="shared" si="1280"/>
        <v>0</v>
      </c>
      <c r="V765" s="34"/>
      <c r="W765" s="52">
        <v>23</v>
      </c>
      <c r="X765" s="53">
        <f t="shared" si="1281"/>
        <v>2323</v>
      </c>
      <c r="Y765" s="53">
        <f t="shared" si="1276"/>
        <v>0</v>
      </c>
      <c r="Z765" s="53">
        <f t="shared" si="1262"/>
        <v>1000</v>
      </c>
      <c r="AA765" s="54">
        <f t="shared" si="1269"/>
        <v>0</v>
      </c>
      <c r="AB765" s="54">
        <f t="shared" si="1282"/>
        <v>2323</v>
      </c>
      <c r="AC765" s="64">
        <f>0-Y765-AA765</f>
        <v>0</v>
      </c>
      <c r="AD765" s="209"/>
      <c r="AE765" s="64">
        <f t="shared" si="1277"/>
        <v>-1000</v>
      </c>
      <c r="AF765" s="209"/>
      <c r="AG765" s="8"/>
    </row>
    <row r="766" spans="1:33" ht="14.65" thickBot="1" x14ac:dyDescent="0.5">
      <c r="A766" s="23">
        <f>A763</f>
        <v>44906</v>
      </c>
      <c r="B766" s="24" t="s">
        <v>62</v>
      </c>
      <c r="C766" s="49">
        <f t="shared" si="1278"/>
        <v>2000</v>
      </c>
      <c r="D766" s="25">
        <v>80</v>
      </c>
      <c r="E766" s="25">
        <v>15.25</v>
      </c>
      <c r="F766" s="25">
        <v>0</v>
      </c>
      <c r="G766" s="25">
        <v>0</v>
      </c>
      <c r="H766" s="25">
        <v>0</v>
      </c>
      <c r="I766" s="25">
        <v>0</v>
      </c>
      <c r="J766" s="25">
        <v>0</v>
      </c>
      <c r="K766" s="25">
        <v>0</v>
      </c>
      <c r="L766" s="46">
        <v>500</v>
      </c>
      <c r="M766" s="35"/>
      <c r="N766" s="25">
        <v>80</v>
      </c>
      <c r="O766" s="25">
        <v>15.25</v>
      </c>
      <c r="P766" s="25">
        <v>0</v>
      </c>
      <c r="Q766" s="25">
        <v>0</v>
      </c>
      <c r="R766" s="35"/>
      <c r="S766" s="25">
        <f t="shared" ref="S766" si="1284">SUM(D766:G766)</f>
        <v>95.25</v>
      </c>
      <c r="T766" s="25">
        <f t="shared" si="1283"/>
        <v>95.25</v>
      </c>
      <c r="U766" s="25">
        <f t="shared" ref="U766:U767" si="1285">SUM(H766:K766)</f>
        <v>0</v>
      </c>
      <c r="V766" s="35"/>
      <c r="W766" s="46">
        <v>25</v>
      </c>
      <c r="X766" s="26">
        <f t="shared" si="1281"/>
        <v>2571.875</v>
      </c>
      <c r="Y766" s="26">
        <f t="shared" si="1276"/>
        <v>0</v>
      </c>
      <c r="Z766" s="26">
        <f t="shared" si="1262"/>
        <v>500</v>
      </c>
      <c r="AA766" s="27">
        <f t="shared" si="1269"/>
        <v>0</v>
      </c>
      <c r="AB766" s="27">
        <f t="shared" si="1282"/>
        <v>2571.875</v>
      </c>
      <c r="AC766" s="65">
        <f t="shared" ref="AC766:AC774" si="1286">0-Y766-AA766</f>
        <v>0</v>
      </c>
      <c r="AD766" s="210"/>
      <c r="AE766" s="65">
        <f t="shared" si="1277"/>
        <v>-500</v>
      </c>
      <c r="AF766" s="210"/>
      <c r="AG766" s="8"/>
    </row>
    <row r="767" spans="1:33" x14ac:dyDescent="0.45">
      <c r="A767" s="16">
        <f>A766+14</f>
        <v>44920</v>
      </c>
      <c r="B767" s="17" t="s">
        <v>30</v>
      </c>
      <c r="C767" s="47">
        <f>120*W767</f>
        <v>3900</v>
      </c>
      <c r="D767" s="18">
        <v>80</v>
      </c>
      <c r="E767" s="18">
        <v>14</v>
      </c>
      <c r="F767" s="18">
        <v>0</v>
      </c>
      <c r="G767" s="18">
        <v>0</v>
      </c>
      <c r="H767" s="18">
        <v>0</v>
      </c>
      <c r="I767" s="18">
        <v>0</v>
      </c>
      <c r="J767" s="18">
        <v>0</v>
      </c>
      <c r="K767" s="18">
        <v>0</v>
      </c>
      <c r="L767" s="44">
        <v>0</v>
      </c>
      <c r="M767" s="33"/>
      <c r="N767" s="18">
        <v>80</v>
      </c>
      <c r="O767" s="18">
        <v>14</v>
      </c>
      <c r="P767" s="18">
        <v>0</v>
      </c>
      <c r="Q767" s="18">
        <v>0</v>
      </c>
      <c r="R767" s="33"/>
      <c r="S767" s="18">
        <f t="shared" ref="S767:S771" si="1287">SUM(D767:G767)</f>
        <v>94</v>
      </c>
      <c r="T767" s="18">
        <f t="shared" si="1283"/>
        <v>94</v>
      </c>
      <c r="U767" s="18">
        <f t="shared" si="1285"/>
        <v>0</v>
      </c>
      <c r="V767" s="33"/>
      <c r="W767" s="44">
        <v>32.5</v>
      </c>
      <c r="X767" s="19">
        <f t="shared" si="1281"/>
        <v>3282.5</v>
      </c>
      <c r="Y767" s="19">
        <f t="shared" si="1276"/>
        <v>0</v>
      </c>
      <c r="Z767" s="19">
        <f t="shared" ref="Z767:Z771" si="1288">(W767*1*J767)+L767</f>
        <v>0</v>
      </c>
      <c r="AA767" s="20">
        <f t="shared" ref="AA767:AA776" si="1289">(W767*1*K767)</f>
        <v>0</v>
      </c>
      <c r="AB767" s="20">
        <f t="shared" si="1282"/>
        <v>3282.5</v>
      </c>
      <c r="AC767" s="66">
        <f t="shared" si="1286"/>
        <v>0</v>
      </c>
      <c r="AD767" s="208"/>
      <c r="AE767" s="66">
        <f t="shared" si="1277"/>
        <v>0</v>
      </c>
      <c r="AF767" s="208">
        <f>SUM(AE767:AE776)</f>
        <v>-240</v>
      </c>
      <c r="AG767" s="8"/>
    </row>
    <row r="768" spans="1:33" x14ac:dyDescent="0.45">
      <c r="A768" s="22">
        <f>A767</f>
        <v>44920</v>
      </c>
      <c r="B768" s="15" t="s">
        <v>4</v>
      </c>
      <c r="C768" s="48">
        <f>80*W768</f>
        <v>2400</v>
      </c>
      <c r="D768" s="13">
        <v>0</v>
      </c>
      <c r="E768" s="13">
        <v>0</v>
      </c>
      <c r="F768" s="13">
        <v>0</v>
      </c>
      <c r="G768" s="13">
        <v>0</v>
      </c>
      <c r="H768" s="13">
        <v>0</v>
      </c>
      <c r="I768" s="13">
        <v>80</v>
      </c>
      <c r="J768" s="13">
        <v>0</v>
      </c>
      <c r="K768" s="13">
        <v>0</v>
      </c>
      <c r="L768" s="45">
        <v>0</v>
      </c>
      <c r="M768" s="34"/>
      <c r="N768" s="13">
        <v>0</v>
      </c>
      <c r="O768" s="13">
        <v>0</v>
      </c>
      <c r="P768" s="13">
        <v>0</v>
      </c>
      <c r="Q768" s="13">
        <v>0</v>
      </c>
      <c r="R768" s="34"/>
      <c r="S768" s="13">
        <f t="shared" si="1287"/>
        <v>0</v>
      </c>
      <c r="T768" s="13">
        <f t="shared" si="1283"/>
        <v>0</v>
      </c>
      <c r="U768" s="13">
        <f>SUM(H768:K768)</f>
        <v>80</v>
      </c>
      <c r="V768" s="34"/>
      <c r="W768" s="45">
        <v>30</v>
      </c>
      <c r="X768" s="10">
        <f t="shared" si="1281"/>
        <v>0</v>
      </c>
      <c r="Y768" s="10">
        <f t="shared" si="1276"/>
        <v>2400</v>
      </c>
      <c r="Z768" s="10">
        <f t="shared" si="1288"/>
        <v>0</v>
      </c>
      <c r="AA768" s="14">
        <f t="shared" si="1289"/>
        <v>0</v>
      </c>
      <c r="AB768" s="14">
        <f t="shared" si="1282"/>
        <v>0</v>
      </c>
      <c r="AC768" s="63">
        <f t="shared" si="1286"/>
        <v>-2400</v>
      </c>
      <c r="AD768" s="209"/>
      <c r="AE768" s="63">
        <f t="shared" si="1277"/>
        <v>0</v>
      </c>
      <c r="AF768" s="209"/>
      <c r="AG768" s="8"/>
    </row>
    <row r="769" spans="1:33" x14ac:dyDescent="0.45">
      <c r="A769" s="22">
        <f t="shared" ref="A769:A773" si="1290">A768</f>
        <v>44920</v>
      </c>
      <c r="B769" s="15" t="s">
        <v>5</v>
      </c>
      <c r="C769" s="48">
        <f>120*W769</f>
        <v>3480</v>
      </c>
      <c r="D769" s="13">
        <v>75.75</v>
      </c>
      <c r="E769" s="13">
        <v>4</v>
      </c>
      <c r="F769" s="13">
        <v>0</v>
      </c>
      <c r="G769" s="13">
        <v>11</v>
      </c>
      <c r="H769" s="13">
        <v>0</v>
      </c>
      <c r="I769" s="13">
        <v>8</v>
      </c>
      <c r="J769" s="13">
        <v>0</v>
      </c>
      <c r="K769" s="13">
        <v>0</v>
      </c>
      <c r="L769" s="45">
        <v>0</v>
      </c>
      <c r="M769" s="34"/>
      <c r="N769" s="13">
        <v>75.75</v>
      </c>
      <c r="O769" s="13">
        <v>4</v>
      </c>
      <c r="P769" s="13">
        <v>0</v>
      </c>
      <c r="Q769" s="13">
        <v>11</v>
      </c>
      <c r="R769" s="34"/>
      <c r="S769" s="13">
        <f t="shared" si="1287"/>
        <v>90.75</v>
      </c>
      <c r="T769" s="13">
        <f>SUM(N769:Q769)</f>
        <v>90.75</v>
      </c>
      <c r="U769" s="13">
        <f t="shared" ref="U769:U771" si="1291">SUM(H769:K769)</f>
        <v>8</v>
      </c>
      <c r="V769" s="34"/>
      <c r="W769" s="45">
        <v>29</v>
      </c>
      <c r="X769" s="10">
        <f t="shared" si="1281"/>
        <v>2689.75</v>
      </c>
      <c r="Y769" s="10">
        <f t="shared" si="1276"/>
        <v>232</v>
      </c>
      <c r="Z769" s="10">
        <f t="shared" si="1288"/>
        <v>0</v>
      </c>
      <c r="AA769" s="14">
        <f t="shared" si="1289"/>
        <v>0</v>
      </c>
      <c r="AB769" s="14">
        <f t="shared" si="1282"/>
        <v>2689.75</v>
      </c>
      <c r="AC769" s="63">
        <f t="shared" si="1286"/>
        <v>-232</v>
      </c>
      <c r="AD769" s="209"/>
      <c r="AE769" s="63">
        <f t="shared" si="1277"/>
        <v>0</v>
      </c>
      <c r="AF769" s="209"/>
      <c r="AG769" s="8"/>
    </row>
    <row r="770" spans="1:33" x14ac:dyDescent="0.45">
      <c r="A770" s="22">
        <f t="shared" si="1290"/>
        <v>44920</v>
      </c>
      <c r="B770" s="15" t="s">
        <v>6</v>
      </c>
      <c r="C770" s="48">
        <f>80*W770</f>
        <v>2400</v>
      </c>
      <c r="D770" s="13">
        <v>74.25</v>
      </c>
      <c r="E770" s="13">
        <v>11.25</v>
      </c>
      <c r="F770" s="13">
        <v>0</v>
      </c>
      <c r="G770" s="13">
        <v>0</v>
      </c>
      <c r="H770" s="13">
        <v>0</v>
      </c>
      <c r="I770" s="13">
        <v>0</v>
      </c>
      <c r="J770" s="13">
        <v>0</v>
      </c>
      <c r="K770" s="13">
        <v>0</v>
      </c>
      <c r="L770" s="45">
        <v>0</v>
      </c>
      <c r="M770" s="34"/>
      <c r="N770" s="13">
        <v>74.25</v>
      </c>
      <c r="O770" s="13">
        <v>11.25</v>
      </c>
      <c r="P770" s="13">
        <v>0</v>
      </c>
      <c r="Q770" s="13">
        <v>0</v>
      </c>
      <c r="R770" s="34"/>
      <c r="S770" s="13">
        <f t="shared" si="1287"/>
        <v>85.5</v>
      </c>
      <c r="T770" s="13">
        <f t="shared" ref="T770:T771" si="1292">SUM(N770:Q770)</f>
        <v>85.5</v>
      </c>
      <c r="U770" s="13">
        <f t="shared" si="1291"/>
        <v>0</v>
      </c>
      <c r="V770" s="34"/>
      <c r="W770" s="45">
        <v>30</v>
      </c>
      <c r="X770" s="10">
        <f>(W770*1*D770)+(W770*1.5*E770)+(W770*2*F770)+(W770*1*G770)</f>
        <v>2733.75</v>
      </c>
      <c r="Y770" s="10">
        <f t="shared" si="1276"/>
        <v>0</v>
      </c>
      <c r="Z770" s="10">
        <f t="shared" si="1288"/>
        <v>0</v>
      </c>
      <c r="AA770" s="14">
        <f t="shared" si="1289"/>
        <v>0</v>
      </c>
      <c r="AB770" s="14">
        <f t="shared" si="1282"/>
        <v>2733.75</v>
      </c>
      <c r="AC770" s="63">
        <f t="shared" si="1286"/>
        <v>0</v>
      </c>
      <c r="AD770" s="209"/>
      <c r="AE770" s="63">
        <f t="shared" si="1277"/>
        <v>0</v>
      </c>
      <c r="AF770" s="209"/>
      <c r="AG770" s="8"/>
    </row>
    <row r="771" spans="1:33" x14ac:dyDescent="0.45">
      <c r="A771" s="22">
        <f>A770</f>
        <v>44920</v>
      </c>
      <c r="B771" s="15" t="s">
        <v>9</v>
      </c>
      <c r="C771" s="48">
        <f>120*W771</f>
        <v>3600</v>
      </c>
      <c r="D771" s="13">
        <v>72</v>
      </c>
      <c r="E771" s="13">
        <v>5</v>
      </c>
      <c r="F771" s="13">
        <v>0</v>
      </c>
      <c r="G771" s="13">
        <v>2</v>
      </c>
      <c r="H771" s="13">
        <v>0</v>
      </c>
      <c r="I771" s="13">
        <v>0</v>
      </c>
      <c r="J771" s="43">
        <v>8</v>
      </c>
      <c r="K771" s="13">
        <v>0</v>
      </c>
      <c r="L771" s="45">
        <v>0</v>
      </c>
      <c r="M771" s="34"/>
      <c r="N771" s="13">
        <v>72</v>
      </c>
      <c r="O771" s="13">
        <v>5</v>
      </c>
      <c r="P771" s="13">
        <v>0</v>
      </c>
      <c r="Q771" s="13">
        <v>2</v>
      </c>
      <c r="R771" s="34"/>
      <c r="S771" s="13">
        <f t="shared" si="1287"/>
        <v>79</v>
      </c>
      <c r="T771" s="13">
        <f t="shared" si="1292"/>
        <v>79</v>
      </c>
      <c r="U771" s="13">
        <f t="shared" si="1291"/>
        <v>8</v>
      </c>
      <c r="V771" s="34"/>
      <c r="W771" s="45">
        <v>30</v>
      </c>
      <c r="X771" s="10">
        <f t="shared" ref="X771" si="1293">(W771*1*D771)+(W771*1.5*E771)+(W771*2*F771)+(W771*1*G771)</f>
        <v>2445</v>
      </c>
      <c r="Y771" s="10">
        <f>(W771*0*H771)+(W771*1*I771)</f>
        <v>0</v>
      </c>
      <c r="Z771" s="10">
        <f t="shared" si="1288"/>
        <v>240</v>
      </c>
      <c r="AA771" s="14">
        <f t="shared" si="1289"/>
        <v>0</v>
      </c>
      <c r="AB771" s="14">
        <f t="shared" si="1282"/>
        <v>2445</v>
      </c>
      <c r="AC771" s="63">
        <f t="shared" si="1286"/>
        <v>0</v>
      </c>
      <c r="AD771" s="209"/>
      <c r="AE771" s="63">
        <f t="shared" si="1277"/>
        <v>-240</v>
      </c>
      <c r="AF771" s="209"/>
      <c r="AG771" s="8"/>
    </row>
    <row r="772" spans="1:33" x14ac:dyDescent="0.45">
      <c r="A772" s="22">
        <f t="shared" si="1290"/>
        <v>44920</v>
      </c>
      <c r="B772" s="50" t="s">
        <v>31</v>
      </c>
      <c r="C772" s="48">
        <f>120*W772</f>
        <v>3600</v>
      </c>
      <c r="D772" s="51">
        <v>80</v>
      </c>
      <c r="E772" s="51">
        <v>2.5</v>
      </c>
      <c r="F772" s="51">
        <v>0</v>
      </c>
      <c r="G772" s="51">
        <v>0</v>
      </c>
      <c r="H772" s="51">
        <v>0</v>
      </c>
      <c r="I772" s="51">
        <v>0</v>
      </c>
      <c r="J772" s="51">
        <v>0</v>
      </c>
      <c r="K772" s="51">
        <v>0</v>
      </c>
      <c r="L772" s="52">
        <v>0</v>
      </c>
      <c r="M772" s="34"/>
      <c r="N772" s="13">
        <v>80</v>
      </c>
      <c r="O772" s="13">
        <v>2.5</v>
      </c>
      <c r="P772" s="13">
        <v>0</v>
      </c>
      <c r="Q772" s="13">
        <v>0</v>
      </c>
      <c r="R772" s="34"/>
      <c r="S772" s="51">
        <f t="shared" ref="S772" si="1294">SUM(D772:G772)</f>
        <v>82.5</v>
      </c>
      <c r="T772" s="51">
        <f>SUM(N772:Q772)</f>
        <v>82.5</v>
      </c>
      <c r="U772" s="51">
        <f t="shared" ref="U772" si="1295">SUM(H772:K772)</f>
        <v>0</v>
      </c>
      <c r="V772" s="34"/>
      <c r="W772" s="52">
        <v>30</v>
      </c>
      <c r="X772" s="53">
        <f>(W772*1*D772)+(W772*1.5*E772)+(W772*2*F772)+(W772*1*G772)</f>
        <v>2512.5</v>
      </c>
      <c r="Y772" s="53">
        <f t="shared" ref="Y772:Y780" si="1296">(W772*0*H772)+(W772*1*I772)</f>
        <v>0</v>
      </c>
      <c r="Z772" s="53">
        <f>(W772*1*J772)+L772</f>
        <v>0</v>
      </c>
      <c r="AA772" s="54">
        <f t="shared" si="1289"/>
        <v>0</v>
      </c>
      <c r="AB772" s="54">
        <f>(W772*1*N772)+(W772*1.5*O772)+(W772*2*P772)+(W772*1*Q772)</f>
        <v>2512.5</v>
      </c>
      <c r="AC772" s="64">
        <f t="shared" si="1286"/>
        <v>0</v>
      </c>
      <c r="AD772" s="209"/>
      <c r="AE772" s="64">
        <f t="shared" ref="AE772:AE781" si="1297">AB772-(X772+Z772)</f>
        <v>0</v>
      </c>
      <c r="AF772" s="209"/>
      <c r="AG772" s="8"/>
    </row>
    <row r="773" spans="1:33" x14ac:dyDescent="0.45">
      <c r="A773" s="22">
        <f t="shared" si="1290"/>
        <v>44920</v>
      </c>
      <c r="B773" s="50" t="s">
        <v>64</v>
      </c>
      <c r="C773" s="48">
        <f t="shared" ref="C773:C776" si="1298">80*W773</f>
        <v>1672</v>
      </c>
      <c r="D773" s="51">
        <v>80</v>
      </c>
      <c r="E773" s="51">
        <v>17.25</v>
      </c>
      <c r="F773" s="51">
        <v>0</v>
      </c>
      <c r="G773" s="51">
        <v>0</v>
      </c>
      <c r="H773" s="51">
        <v>0</v>
      </c>
      <c r="I773" s="51">
        <v>0</v>
      </c>
      <c r="J773" s="51">
        <v>0</v>
      </c>
      <c r="K773" s="51">
        <v>0</v>
      </c>
      <c r="L773" s="52">
        <v>0</v>
      </c>
      <c r="M773" s="34"/>
      <c r="N773" s="51">
        <v>80</v>
      </c>
      <c r="O773" s="51">
        <v>17.25</v>
      </c>
      <c r="P773" s="51">
        <v>0</v>
      </c>
      <c r="Q773" s="51">
        <v>0</v>
      </c>
      <c r="R773" s="34"/>
      <c r="S773" s="51">
        <f t="shared" ref="S773:S775" si="1299">SUM(D773:G773)</f>
        <v>97.25</v>
      </c>
      <c r="T773" s="51">
        <f>SUM(N773:Q773)</f>
        <v>97.25</v>
      </c>
      <c r="U773" s="51">
        <f t="shared" ref="U773:U775" si="1300">SUM(H773:K773)</f>
        <v>0</v>
      </c>
      <c r="V773" s="34"/>
      <c r="W773" s="52">
        <v>20.9</v>
      </c>
      <c r="X773" s="53">
        <f t="shared" ref="X773:X779" si="1301">(W773*1*D773)+(W773*1.5*E773)+(W773*2*F773)+(W773*1*G773)</f>
        <v>2212.7874999999999</v>
      </c>
      <c r="Y773" s="53">
        <f t="shared" si="1296"/>
        <v>0</v>
      </c>
      <c r="Z773" s="53">
        <f t="shared" ref="Z773:Z781" si="1302">(W773*1*J773)+L773</f>
        <v>0</v>
      </c>
      <c r="AA773" s="54">
        <f t="shared" si="1289"/>
        <v>0</v>
      </c>
      <c r="AB773" s="54">
        <f t="shared" ref="AB773:AB781" si="1303">(W773*1*N773)+(W773*1.5*O773)+(W773*2*P773)+(W773*1*Q773)</f>
        <v>2212.7874999999999</v>
      </c>
      <c r="AC773" s="64">
        <f t="shared" si="1286"/>
        <v>0</v>
      </c>
      <c r="AD773" s="209"/>
      <c r="AE773" s="64">
        <f t="shared" si="1297"/>
        <v>0</v>
      </c>
      <c r="AF773" s="209"/>
      <c r="AG773" s="8"/>
    </row>
    <row r="774" spans="1:33" x14ac:dyDescent="0.45">
      <c r="A774" s="22">
        <f>A773</f>
        <v>44920</v>
      </c>
      <c r="B774" s="50" t="s">
        <v>53</v>
      </c>
      <c r="C774" s="48">
        <f t="shared" si="1298"/>
        <v>1840</v>
      </c>
      <c r="D774" s="51">
        <v>79.25</v>
      </c>
      <c r="E774" s="51">
        <v>9.25</v>
      </c>
      <c r="F774" s="51">
        <v>0</v>
      </c>
      <c r="G774" s="51">
        <v>8</v>
      </c>
      <c r="H774" s="51">
        <v>0</v>
      </c>
      <c r="I774" s="51">
        <v>0</v>
      </c>
      <c r="J774" s="51">
        <v>0</v>
      </c>
      <c r="K774" s="51">
        <v>0</v>
      </c>
      <c r="L774" s="52">
        <v>0</v>
      </c>
      <c r="M774" s="34"/>
      <c r="N774" s="13">
        <v>79.25</v>
      </c>
      <c r="O774" s="13">
        <v>9.25</v>
      </c>
      <c r="P774" s="13">
        <v>0</v>
      </c>
      <c r="Q774" s="13">
        <v>8</v>
      </c>
      <c r="R774" s="34"/>
      <c r="S774" s="51">
        <f t="shared" si="1299"/>
        <v>96.5</v>
      </c>
      <c r="T774" s="51">
        <f>SUM(N774:Q774)</f>
        <v>96.5</v>
      </c>
      <c r="U774" s="51">
        <f t="shared" si="1300"/>
        <v>0</v>
      </c>
      <c r="V774" s="34"/>
      <c r="W774" s="52">
        <v>23</v>
      </c>
      <c r="X774" s="53">
        <f t="shared" si="1301"/>
        <v>2325.875</v>
      </c>
      <c r="Y774" s="53">
        <f t="shared" si="1296"/>
        <v>0</v>
      </c>
      <c r="Z774" s="53">
        <f t="shared" si="1302"/>
        <v>0</v>
      </c>
      <c r="AA774" s="54">
        <f t="shared" si="1289"/>
        <v>0</v>
      </c>
      <c r="AB774" s="54">
        <f t="shared" si="1303"/>
        <v>2325.875</v>
      </c>
      <c r="AC774" s="64">
        <f t="shared" si="1286"/>
        <v>0</v>
      </c>
      <c r="AD774" s="209"/>
      <c r="AE774" s="64">
        <f t="shared" si="1297"/>
        <v>0</v>
      </c>
      <c r="AF774" s="209"/>
      <c r="AG774" s="8"/>
    </row>
    <row r="775" spans="1:33" x14ac:dyDescent="0.45">
      <c r="A775" s="22">
        <f>A773</f>
        <v>44920</v>
      </c>
      <c r="B775" s="50" t="s">
        <v>54</v>
      </c>
      <c r="C775" s="48">
        <f t="shared" si="1298"/>
        <v>1840</v>
      </c>
      <c r="D775" s="51">
        <v>80</v>
      </c>
      <c r="E775" s="51">
        <v>19.25</v>
      </c>
      <c r="F775" s="51">
        <v>0</v>
      </c>
      <c r="G775" s="51">
        <v>0</v>
      </c>
      <c r="H775" s="51">
        <v>0</v>
      </c>
      <c r="I775" s="51">
        <v>0</v>
      </c>
      <c r="J775" s="51">
        <v>0</v>
      </c>
      <c r="K775" s="51">
        <v>0</v>
      </c>
      <c r="L775" s="52">
        <v>0</v>
      </c>
      <c r="M775" s="34"/>
      <c r="N775" s="51">
        <v>80</v>
      </c>
      <c r="O775" s="51">
        <v>19.25</v>
      </c>
      <c r="P775" s="51">
        <v>0</v>
      </c>
      <c r="Q775" s="51">
        <v>0</v>
      </c>
      <c r="R775" s="34"/>
      <c r="S775" s="51">
        <f t="shared" si="1299"/>
        <v>99.25</v>
      </c>
      <c r="T775" s="51">
        <f t="shared" ref="T775:T778" si="1304">SUM(N775:Q775)</f>
        <v>99.25</v>
      </c>
      <c r="U775" s="51">
        <f t="shared" si="1300"/>
        <v>0</v>
      </c>
      <c r="V775" s="34"/>
      <c r="W775" s="52">
        <v>23</v>
      </c>
      <c r="X775" s="53">
        <f t="shared" si="1301"/>
        <v>2504.125</v>
      </c>
      <c r="Y775" s="53">
        <f t="shared" si="1296"/>
        <v>0</v>
      </c>
      <c r="Z775" s="53">
        <f t="shared" si="1302"/>
        <v>0</v>
      </c>
      <c r="AA775" s="54">
        <f t="shared" si="1289"/>
        <v>0</v>
      </c>
      <c r="AB775" s="54">
        <f t="shared" si="1303"/>
        <v>2504.125</v>
      </c>
      <c r="AC775" s="64">
        <f>0-Y775-AA775</f>
        <v>0</v>
      </c>
      <c r="AD775" s="209"/>
      <c r="AE775" s="64">
        <f t="shared" si="1297"/>
        <v>0</v>
      </c>
      <c r="AF775" s="209"/>
      <c r="AG775" s="8"/>
    </row>
    <row r="776" spans="1:33" ht="14.65" thickBot="1" x14ac:dyDescent="0.5">
      <c r="A776" s="23">
        <f>A773</f>
        <v>44920</v>
      </c>
      <c r="B776" s="24" t="s">
        <v>62</v>
      </c>
      <c r="C776" s="49">
        <f t="shared" si="1298"/>
        <v>2000</v>
      </c>
      <c r="D776" s="25">
        <v>35</v>
      </c>
      <c r="E776" s="25">
        <v>0</v>
      </c>
      <c r="F776" s="25">
        <v>0</v>
      </c>
      <c r="G776" s="25">
        <v>0</v>
      </c>
      <c r="H776" s="25">
        <v>8</v>
      </c>
      <c r="I776" s="25">
        <v>40</v>
      </c>
      <c r="J776" s="25">
        <v>0</v>
      </c>
      <c r="K776" s="25">
        <v>0</v>
      </c>
      <c r="L776" s="46">
        <v>0</v>
      </c>
      <c r="M776" s="35"/>
      <c r="N776" s="25">
        <v>35</v>
      </c>
      <c r="O776" s="25">
        <v>0</v>
      </c>
      <c r="P776" s="25">
        <v>0</v>
      </c>
      <c r="Q776" s="25">
        <v>0</v>
      </c>
      <c r="R776" s="35"/>
      <c r="S776" s="25">
        <f t="shared" ref="S776" si="1305">SUM(D776:G776)</f>
        <v>35</v>
      </c>
      <c r="T776" s="25">
        <f t="shared" si="1304"/>
        <v>35</v>
      </c>
      <c r="U776" s="25">
        <f t="shared" ref="U776:U777" si="1306">SUM(H776:K776)</f>
        <v>48</v>
      </c>
      <c r="V776" s="35"/>
      <c r="W776" s="46">
        <v>25</v>
      </c>
      <c r="X776" s="26">
        <f t="shared" si="1301"/>
        <v>875</v>
      </c>
      <c r="Y776" s="26">
        <f t="shared" si="1296"/>
        <v>1000</v>
      </c>
      <c r="Z776" s="26">
        <f t="shared" si="1302"/>
        <v>0</v>
      </c>
      <c r="AA776" s="27">
        <f t="shared" si="1289"/>
        <v>0</v>
      </c>
      <c r="AB776" s="27">
        <f t="shared" si="1303"/>
        <v>875</v>
      </c>
      <c r="AC776" s="65">
        <f t="shared" ref="AC776:AC784" si="1307">0-Y776-AA776</f>
        <v>-1000</v>
      </c>
      <c r="AD776" s="210"/>
      <c r="AE776" s="65">
        <f t="shared" si="1297"/>
        <v>0</v>
      </c>
      <c r="AF776" s="210"/>
      <c r="AG776" s="8"/>
    </row>
    <row r="777" spans="1:33" x14ac:dyDescent="0.45">
      <c r="A777" s="16">
        <f>A776+14</f>
        <v>44934</v>
      </c>
      <c r="B777" s="17" t="s">
        <v>30</v>
      </c>
      <c r="C777" s="47">
        <f>120*W777</f>
        <v>3900</v>
      </c>
      <c r="D777" s="18">
        <v>40</v>
      </c>
      <c r="E777" s="18">
        <v>7</v>
      </c>
      <c r="F777" s="18">
        <v>0</v>
      </c>
      <c r="G777" s="18">
        <v>0</v>
      </c>
      <c r="H777" s="18">
        <v>0</v>
      </c>
      <c r="I777" s="18">
        <v>16</v>
      </c>
      <c r="J777" s="18">
        <v>24</v>
      </c>
      <c r="K777" s="18">
        <v>0</v>
      </c>
      <c r="L777" s="44">
        <v>0</v>
      </c>
      <c r="M777" s="33"/>
      <c r="N777" s="18">
        <v>40</v>
      </c>
      <c r="O777" s="18">
        <v>7</v>
      </c>
      <c r="P777" s="18">
        <v>0</v>
      </c>
      <c r="Q777" s="18">
        <v>0</v>
      </c>
      <c r="R777" s="33"/>
      <c r="S777" s="18">
        <f t="shared" ref="S777:S781" si="1308">SUM(D777:G777)</f>
        <v>47</v>
      </c>
      <c r="T777" s="18">
        <f t="shared" si="1304"/>
        <v>47</v>
      </c>
      <c r="U777" s="18">
        <f t="shared" si="1306"/>
        <v>40</v>
      </c>
      <c r="V777" s="33"/>
      <c r="W777" s="44">
        <v>32.5</v>
      </c>
      <c r="X777" s="19">
        <f t="shared" si="1301"/>
        <v>1641.25</v>
      </c>
      <c r="Y777" s="19">
        <f t="shared" si="1296"/>
        <v>520</v>
      </c>
      <c r="Z777" s="19">
        <f t="shared" si="1302"/>
        <v>780</v>
      </c>
      <c r="AA777" s="20">
        <f t="shared" ref="AA777:AA786" si="1309">(W777*1*K777)</f>
        <v>0</v>
      </c>
      <c r="AB777" s="20">
        <f t="shared" si="1303"/>
        <v>1641.25</v>
      </c>
      <c r="AC777" s="66">
        <f t="shared" si="1307"/>
        <v>-520</v>
      </c>
      <c r="AD777" s="208"/>
      <c r="AE777" s="66">
        <f t="shared" si="1297"/>
        <v>-780</v>
      </c>
      <c r="AF777" s="208">
        <f>SUM(AE777:AE786)</f>
        <v>-6299.1</v>
      </c>
      <c r="AG777" s="8"/>
    </row>
    <row r="778" spans="1:33" x14ac:dyDescent="0.45">
      <c r="A778" s="22">
        <f>A777</f>
        <v>44934</v>
      </c>
      <c r="B778" s="15" t="s">
        <v>4</v>
      </c>
      <c r="C778" s="48">
        <f>80*W778</f>
        <v>2400</v>
      </c>
      <c r="D778" s="13">
        <v>40</v>
      </c>
      <c r="E778" s="13">
        <v>14.25</v>
      </c>
      <c r="F778" s="13">
        <v>0</v>
      </c>
      <c r="G778" s="13">
        <v>0</v>
      </c>
      <c r="H778" s="13">
        <v>0</v>
      </c>
      <c r="I778" s="13">
        <v>0</v>
      </c>
      <c r="J778" s="13">
        <v>24</v>
      </c>
      <c r="K778" s="13">
        <v>0</v>
      </c>
      <c r="L778" s="45">
        <v>0</v>
      </c>
      <c r="M778" s="34"/>
      <c r="N778" s="13">
        <v>40</v>
      </c>
      <c r="O778" s="13">
        <v>6.25</v>
      </c>
      <c r="P778" s="13">
        <v>0</v>
      </c>
      <c r="Q778" s="13">
        <v>0</v>
      </c>
      <c r="R778" s="34"/>
      <c r="S778" s="13">
        <f t="shared" si="1308"/>
        <v>54.25</v>
      </c>
      <c r="T778" s="13">
        <f t="shared" si="1304"/>
        <v>46.25</v>
      </c>
      <c r="U778" s="13">
        <f>SUM(H778:K778)</f>
        <v>24</v>
      </c>
      <c r="V778" s="34"/>
      <c r="W778" s="45">
        <v>30</v>
      </c>
      <c r="X778" s="10">
        <f t="shared" si="1301"/>
        <v>1841.25</v>
      </c>
      <c r="Y778" s="10">
        <f t="shared" si="1296"/>
        <v>0</v>
      </c>
      <c r="Z778" s="10">
        <f t="shared" si="1302"/>
        <v>720</v>
      </c>
      <c r="AA778" s="14">
        <f t="shared" si="1309"/>
        <v>0</v>
      </c>
      <c r="AB778" s="14">
        <f t="shared" si="1303"/>
        <v>1481.25</v>
      </c>
      <c r="AC778" s="63">
        <f t="shared" si="1307"/>
        <v>0</v>
      </c>
      <c r="AD778" s="209"/>
      <c r="AE778" s="63">
        <f t="shared" si="1297"/>
        <v>-1080</v>
      </c>
      <c r="AF778" s="209"/>
      <c r="AG778" s="8"/>
    </row>
    <row r="779" spans="1:33" x14ac:dyDescent="0.45">
      <c r="A779" s="22">
        <f t="shared" ref="A779:A783" si="1310">A778</f>
        <v>44934</v>
      </c>
      <c r="B779" s="15" t="s">
        <v>5</v>
      </c>
      <c r="C779" s="48">
        <f>120*W779</f>
        <v>3480</v>
      </c>
      <c r="D779" s="13">
        <v>40</v>
      </c>
      <c r="E779" s="13">
        <v>5.25</v>
      </c>
      <c r="F779" s="13">
        <v>0</v>
      </c>
      <c r="G779" s="13">
        <v>0</v>
      </c>
      <c r="H779" s="13">
        <v>0</v>
      </c>
      <c r="I779" s="13">
        <v>0</v>
      </c>
      <c r="J779" s="13">
        <v>24</v>
      </c>
      <c r="K779" s="13">
        <v>0</v>
      </c>
      <c r="L779" s="45">
        <v>0</v>
      </c>
      <c r="M779" s="34"/>
      <c r="N779" s="13">
        <v>40</v>
      </c>
      <c r="O779" s="13">
        <v>5.25</v>
      </c>
      <c r="P779" s="13">
        <v>0</v>
      </c>
      <c r="Q779" s="13">
        <v>0</v>
      </c>
      <c r="R779" s="34"/>
      <c r="S779" s="13">
        <f t="shared" si="1308"/>
        <v>45.25</v>
      </c>
      <c r="T779" s="13">
        <f>SUM(N779:Q779)</f>
        <v>45.25</v>
      </c>
      <c r="U779" s="13">
        <f t="shared" ref="U779:U781" si="1311">SUM(H779:K779)</f>
        <v>24</v>
      </c>
      <c r="V779" s="34"/>
      <c r="W779" s="45">
        <v>29</v>
      </c>
      <c r="X779" s="10">
        <f t="shared" si="1301"/>
        <v>1388.375</v>
      </c>
      <c r="Y779" s="10">
        <f t="shared" si="1296"/>
        <v>0</v>
      </c>
      <c r="Z779" s="10">
        <f t="shared" si="1302"/>
        <v>696</v>
      </c>
      <c r="AA779" s="14">
        <f t="shared" si="1309"/>
        <v>0</v>
      </c>
      <c r="AB779" s="14">
        <f t="shared" si="1303"/>
        <v>1388.375</v>
      </c>
      <c r="AC779" s="63">
        <f t="shared" si="1307"/>
        <v>0</v>
      </c>
      <c r="AD779" s="209"/>
      <c r="AE779" s="63">
        <f t="shared" si="1297"/>
        <v>-696</v>
      </c>
      <c r="AF779" s="209"/>
      <c r="AG779" s="8"/>
    </row>
    <row r="780" spans="1:33" x14ac:dyDescent="0.45">
      <c r="A780" s="22">
        <f t="shared" si="1310"/>
        <v>44934</v>
      </c>
      <c r="B780" s="15" t="s">
        <v>6</v>
      </c>
      <c r="C780" s="48">
        <f>80*W780</f>
        <v>2400</v>
      </c>
      <c r="D780" s="13">
        <v>59</v>
      </c>
      <c r="E780" s="13">
        <v>31.5</v>
      </c>
      <c r="F780" s="13">
        <v>12</v>
      </c>
      <c r="G780" s="13">
        <v>2.5</v>
      </c>
      <c r="H780" s="13">
        <v>0</v>
      </c>
      <c r="I780" s="13">
        <v>0</v>
      </c>
      <c r="J780" s="13">
        <v>24</v>
      </c>
      <c r="K780" s="13">
        <v>0</v>
      </c>
      <c r="L780" s="45">
        <v>0</v>
      </c>
      <c r="M780" s="34"/>
      <c r="N780" s="13">
        <v>59</v>
      </c>
      <c r="O780" s="13">
        <v>32</v>
      </c>
      <c r="P780" s="13">
        <v>12</v>
      </c>
      <c r="Q780" s="13">
        <v>2.5</v>
      </c>
      <c r="R780" s="34"/>
      <c r="S780" s="13">
        <f t="shared" si="1308"/>
        <v>105</v>
      </c>
      <c r="T780" s="13">
        <f t="shared" ref="T780:T781" si="1312">SUM(N780:Q780)</f>
        <v>105.5</v>
      </c>
      <c r="U780" s="13">
        <f t="shared" si="1311"/>
        <v>24</v>
      </c>
      <c r="V780" s="34"/>
      <c r="W780" s="45">
        <v>30</v>
      </c>
      <c r="X780" s="10">
        <f>(W780*1*D780)+(W780*1.5*E780)+(W780*2*F780)+(W780*1*G780)</f>
        <v>3982.5</v>
      </c>
      <c r="Y780" s="10">
        <f t="shared" si="1296"/>
        <v>0</v>
      </c>
      <c r="Z780" s="10">
        <f t="shared" si="1302"/>
        <v>720</v>
      </c>
      <c r="AA780" s="14">
        <f t="shared" si="1309"/>
        <v>0</v>
      </c>
      <c r="AB780" s="14">
        <f t="shared" si="1303"/>
        <v>4005</v>
      </c>
      <c r="AC780" s="63">
        <f t="shared" si="1307"/>
        <v>0</v>
      </c>
      <c r="AD780" s="209"/>
      <c r="AE780" s="63">
        <f t="shared" si="1297"/>
        <v>-697.5</v>
      </c>
      <c r="AF780" s="209"/>
      <c r="AG780" s="8"/>
    </row>
    <row r="781" spans="1:33" x14ac:dyDescent="0.45">
      <c r="A781" s="22">
        <f>A780</f>
        <v>44934</v>
      </c>
      <c r="B781" s="15" t="s">
        <v>9</v>
      </c>
      <c r="C781" s="48">
        <f>120*W781</f>
        <v>3600</v>
      </c>
      <c r="D781" s="13">
        <v>0</v>
      </c>
      <c r="E781" s="13">
        <v>0</v>
      </c>
      <c r="F781" s="13">
        <v>0</v>
      </c>
      <c r="G781" s="13">
        <v>0</v>
      </c>
      <c r="H781" s="13">
        <v>0</v>
      </c>
      <c r="I781" s="13">
        <v>0</v>
      </c>
      <c r="J781" s="13">
        <v>0</v>
      </c>
      <c r="K781" s="13">
        <v>0</v>
      </c>
      <c r="L781" s="45">
        <v>0</v>
      </c>
      <c r="M781" s="34"/>
      <c r="N781" s="13">
        <v>0</v>
      </c>
      <c r="O781" s="13">
        <v>0</v>
      </c>
      <c r="P781" s="13">
        <v>0</v>
      </c>
      <c r="Q781" s="13">
        <v>0</v>
      </c>
      <c r="R781" s="34"/>
      <c r="S781" s="13">
        <f t="shared" si="1308"/>
        <v>0</v>
      </c>
      <c r="T781" s="13">
        <f t="shared" si="1312"/>
        <v>0</v>
      </c>
      <c r="U781" s="13">
        <f t="shared" si="1311"/>
        <v>0</v>
      </c>
      <c r="V781" s="34"/>
      <c r="W781" s="45">
        <v>30</v>
      </c>
      <c r="X781" s="10">
        <f t="shared" ref="X781" si="1313">(W781*1*D781)+(W781*1.5*E781)+(W781*2*F781)+(W781*1*G781)</f>
        <v>0</v>
      </c>
      <c r="Y781" s="10">
        <f>(W781*0*H781)+(W781*1*I781)</f>
        <v>0</v>
      </c>
      <c r="Z781" s="10">
        <f t="shared" si="1302"/>
        <v>0</v>
      </c>
      <c r="AA781" s="14">
        <f t="shared" si="1309"/>
        <v>0</v>
      </c>
      <c r="AB781" s="14">
        <f t="shared" si="1303"/>
        <v>0</v>
      </c>
      <c r="AC781" s="63">
        <f t="shared" si="1307"/>
        <v>0</v>
      </c>
      <c r="AD781" s="209"/>
      <c r="AE781" s="63">
        <f t="shared" si="1297"/>
        <v>0</v>
      </c>
      <c r="AF781" s="209"/>
      <c r="AG781" s="8"/>
    </row>
    <row r="782" spans="1:33" x14ac:dyDescent="0.45">
      <c r="A782" s="22">
        <f t="shared" si="1310"/>
        <v>44934</v>
      </c>
      <c r="B782" s="50" t="s">
        <v>31</v>
      </c>
      <c r="C782" s="48">
        <f>120*W782</f>
        <v>3600</v>
      </c>
      <c r="D782" s="51">
        <v>32</v>
      </c>
      <c r="E782" s="51">
        <v>14.5</v>
      </c>
      <c r="F782" s="51">
        <v>0</v>
      </c>
      <c r="G782" s="51">
        <v>4.5</v>
      </c>
      <c r="H782" s="51">
        <v>0</v>
      </c>
      <c r="I782" s="51">
        <v>32</v>
      </c>
      <c r="J782" s="51">
        <v>24</v>
      </c>
      <c r="K782" s="51">
        <v>0</v>
      </c>
      <c r="L782" s="52">
        <v>0</v>
      </c>
      <c r="M782" s="34"/>
      <c r="N782" s="13">
        <v>40</v>
      </c>
      <c r="O782" s="13">
        <v>6.5</v>
      </c>
      <c r="P782" s="13">
        <v>0</v>
      </c>
      <c r="Q782" s="13">
        <v>4.5</v>
      </c>
      <c r="R782" s="34"/>
      <c r="S782" s="51">
        <f t="shared" ref="S782" si="1314">SUM(D782:G782)</f>
        <v>51</v>
      </c>
      <c r="T782" s="51">
        <f>SUM(N782:Q782)</f>
        <v>51</v>
      </c>
      <c r="U782" s="51">
        <f t="shared" ref="U782" si="1315">SUM(H782:K782)</f>
        <v>56</v>
      </c>
      <c r="V782" s="34"/>
      <c r="W782" s="52">
        <v>30</v>
      </c>
      <c r="X782" s="53">
        <f>(W782*1*D782)+(W782*1.5*E782)+(W782*2*F782)+(W782*1*G782)</f>
        <v>1747.5</v>
      </c>
      <c r="Y782" s="53">
        <f t="shared" ref="Y782:Y790" si="1316">(W782*0*H782)+(W782*1*I782)</f>
        <v>960</v>
      </c>
      <c r="Z782" s="53">
        <f>(W782*1*J782)+L782</f>
        <v>720</v>
      </c>
      <c r="AA782" s="54">
        <f t="shared" si="1309"/>
        <v>0</v>
      </c>
      <c r="AB782" s="54">
        <f>(W782*1*N782)+(W782*1.5*O782)+(W782*2*P782)+(W782*1*Q782)</f>
        <v>1627.5</v>
      </c>
      <c r="AC782" s="64">
        <f t="shared" si="1307"/>
        <v>-960</v>
      </c>
      <c r="AD782" s="209"/>
      <c r="AE782" s="64">
        <f t="shared" ref="AE782:AE791" si="1317">AB782-(X782+Z782)</f>
        <v>-840</v>
      </c>
      <c r="AF782" s="209"/>
      <c r="AG782" s="8"/>
    </row>
    <row r="783" spans="1:33" x14ac:dyDescent="0.45">
      <c r="A783" s="22">
        <f t="shared" si="1310"/>
        <v>44934</v>
      </c>
      <c r="B783" s="50" t="s">
        <v>64</v>
      </c>
      <c r="C783" s="48">
        <f t="shared" ref="C783:C786" si="1318">80*W783</f>
        <v>1672</v>
      </c>
      <c r="D783" s="51">
        <v>40</v>
      </c>
      <c r="E783" s="51">
        <v>25</v>
      </c>
      <c r="F783" s="51">
        <v>0</v>
      </c>
      <c r="G783" s="51">
        <v>0</v>
      </c>
      <c r="H783" s="51">
        <v>0</v>
      </c>
      <c r="I783" s="51">
        <v>0</v>
      </c>
      <c r="J783" s="51">
        <v>24</v>
      </c>
      <c r="K783" s="51">
        <v>0</v>
      </c>
      <c r="L783" s="52">
        <v>0</v>
      </c>
      <c r="M783" s="34"/>
      <c r="N783" s="51">
        <v>40</v>
      </c>
      <c r="O783" s="51">
        <v>25</v>
      </c>
      <c r="P783" s="51">
        <v>0</v>
      </c>
      <c r="Q783" s="51">
        <v>0</v>
      </c>
      <c r="R783" s="34"/>
      <c r="S783" s="51">
        <f t="shared" ref="S783:S785" si="1319">SUM(D783:G783)</f>
        <v>65</v>
      </c>
      <c r="T783" s="51">
        <f>SUM(N783:Q783)</f>
        <v>65</v>
      </c>
      <c r="U783" s="51">
        <f t="shared" ref="U783:U785" si="1320">SUM(H783:K783)</f>
        <v>24</v>
      </c>
      <c r="V783" s="34"/>
      <c r="W783" s="52">
        <v>20.9</v>
      </c>
      <c r="X783" s="53">
        <f t="shared" ref="X783:X789" si="1321">(W783*1*D783)+(W783*1.5*E783)+(W783*2*F783)+(W783*1*G783)</f>
        <v>1619.75</v>
      </c>
      <c r="Y783" s="53">
        <f t="shared" si="1316"/>
        <v>0</v>
      </c>
      <c r="Z783" s="53">
        <f t="shared" ref="Z783:Z791" si="1322">(W783*1*J783)+L783</f>
        <v>501.59999999999997</v>
      </c>
      <c r="AA783" s="54">
        <f t="shared" si="1309"/>
        <v>0</v>
      </c>
      <c r="AB783" s="54">
        <f t="shared" ref="AB783:AB791" si="1323">(W783*1*N783)+(W783*1.5*O783)+(W783*2*P783)+(W783*1*Q783)</f>
        <v>1619.75</v>
      </c>
      <c r="AC783" s="64">
        <f t="shared" si="1307"/>
        <v>0</v>
      </c>
      <c r="AD783" s="209"/>
      <c r="AE783" s="64">
        <f t="shared" si="1317"/>
        <v>-501.59999999999991</v>
      </c>
      <c r="AF783" s="209"/>
      <c r="AG783" s="8"/>
    </row>
    <row r="784" spans="1:33" x14ac:dyDescent="0.45">
      <c r="A784" s="22">
        <f>A783</f>
        <v>44934</v>
      </c>
      <c r="B784" s="50" t="s">
        <v>53</v>
      </c>
      <c r="C784" s="48">
        <f t="shared" si="1318"/>
        <v>1840</v>
      </c>
      <c r="D784" s="51">
        <v>40</v>
      </c>
      <c r="E784" s="51">
        <v>4.5</v>
      </c>
      <c r="F784" s="51">
        <v>0</v>
      </c>
      <c r="G784" s="51">
        <v>8</v>
      </c>
      <c r="H784" s="51">
        <v>0</v>
      </c>
      <c r="I784" s="51">
        <v>16</v>
      </c>
      <c r="J784" s="51">
        <v>24</v>
      </c>
      <c r="K784" s="51">
        <v>0</v>
      </c>
      <c r="L784" s="52">
        <v>0</v>
      </c>
      <c r="M784" s="34"/>
      <c r="N784" s="13">
        <v>40</v>
      </c>
      <c r="O784" s="13">
        <v>4.5</v>
      </c>
      <c r="P784" s="13">
        <v>0</v>
      </c>
      <c r="Q784" s="13">
        <v>8</v>
      </c>
      <c r="R784" s="34"/>
      <c r="S784" s="51">
        <f t="shared" si="1319"/>
        <v>52.5</v>
      </c>
      <c r="T784" s="51">
        <f>SUM(N784:Q784)</f>
        <v>52.5</v>
      </c>
      <c r="U784" s="51">
        <f t="shared" si="1320"/>
        <v>40</v>
      </c>
      <c r="V784" s="34"/>
      <c r="W784" s="52">
        <v>23</v>
      </c>
      <c r="X784" s="53">
        <f t="shared" si="1321"/>
        <v>1259.25</v>
      </c>
      <c r="Y784" s="53">
        <f t="shared" si="1316"/>
        <v>368</v>
      </c>
      <c r="Z784" s="53">
        <f t="shared" si="1322"/>
        <v>552</v>
      </c>
      <c r="AA784" s="54">
        <f t="shared" si="1309"/>
        <v>0</v>
      </c>
      <c r="AB784" s="54">
        <f t="shared" si="1323"/>
        <v>1259.25</v>
      </c>
      <c r="AC784" s="64">
        <f t="shared" si="1307"/>
        <v>-368</v>
      </c>
      <c r="AD784" s="209"/>
      <c r="AE784" s="64">
        <f t="shared" si="1317"/>
        <v>-552</v>
      </c>
      <c r="AF784" s="209"/>
      <c r="AG784" s="8"/>
    </row>
    <row r="785" spans="1:33" x14ac:dyDescent="0.45">
      <c r="A785" s="22">
        <f>A783</f>
        <v>44934</v>
      </c>
      <c r="B785" s="50" t="s">
        <v>54</v>
      </c>
      <c r="C785" s="48">
        <f t="shared" si="1318"/>
        <v>1840</v>
      </c>
      <c r="D785" s="51">
        <v>40</v>
      </c>
      <c r="E785" s="51">
        <v>27.25</v>
      </c>
      <c r="F785" s="51">
        <v>12</v>
      </c>
      <c r="G785" s="51">
        <v>1.5</v>
      </c>
      <c r="H785" s="51">
        <v>0</v>
      </c>
      <c r="I785" s="51">
        <v>20</v>
      </c>
      <c r="J785" s="51">
        <v>24</v>
      </c>
      <c r="K785" s="51">
        <v>0</v>
      </c>
      <c r="L785" s="52">
        <v>0</v>
      </c>
      <c r="M785" s="34"/>
      <c r="N785" s="51">
        <v>40</v>
      </c>
      <c r="O785" s="51">
        <v>27.25</v>
      </c>
      <c r="P785" s="51">
        <v>12</v>
      </c>
      <c r="Q785" s="51">
        <v>1.5</v>
      </c>
      <c r="R785" s="34"/>
      <c r="S785" s="51">
        <f t="shared" si="1319"/>
        <v>80.75</v>
      </c>
      <c r="T785" s="51">
        <f t="shared" ref="T785:T788" si="1324">SUM(N785:Q785)</f>
        <v>80.75</v>
      </c>
      <c r="U785" s="51">
        <f t="shared" si="1320"/>
        <v>44</v>
      </c>
      <c r="V785" s="34"/>
      <c r="W785" s="52">
        <v>23</v>
      </c>
      <c r="X785" s="53">
        <f t="shared" si="1321"/>
        <v>2446.625</v>
      </c>
      <c r="Y785" s="53">
        <f t="shared" si="1316"/>
        <v>460</v>
      </c>
      <c r="Z785" s="53">
        <f t="shared" si="1322"/>
        <v>552</v>
      </c>
      <c r="AA785" s="54">
        <f t="shared" si="1309"/>
        <v>0</v>
      </c>
      <c r="AB785" s="54">
        <f t="shared" si="1323"/>
        <v>2446.625</v>
      </c>
      <c r="AC785" s="64">
        <f>0-Y785-AA785</f>
        <v>-460</v>
      </c>
      <c r="AD785" s="209"/>
      <c r="AE785" s="64">
        <f t="shared" si="1317"/>
        <v>-552</v>
      </c>
      <c r="AF785" s="209"/>
      <c r="AG785" s="8"/>
    </row>
    <row r="786" spans="1:33" ht="14.65" thickBot="1" x14ac:dyDescent="0.5">
      <c r="A786" s="23">
        <f>A783</f>
        <v>44934</v>
      </c>
      <c r="B786" s="24" t="s">
        <v>62</v>
      </c>
      <c r="C786" s="49">
        <f t="shared" si="1318"/>
        <v>2000</v>
      </c>
      <c r="D786" s="25">
        <v>28.25</v>
      </c>
      <c r="E786" s="25">
        <v>0</v>
      </c>
      <c r="F786" s="25">
        <v>0</v>
      </c>
      <c r="G786" s="25">
        <v>0</v>
      </c>
      <c r="H786" s="25">
        <v>0</v>
      </c>
      <c r="I786" s="25">
        <v>0</v>
      </c>
      <c r="J786" s="25">
        <v>24</v>
      </c>
      <c r="K786" s="25">
        <v>0</v>
      </c>
      <c r="L786" s="46">
        <v>0</v>
      </c>
      <c r="M786" s="35"/>
      <c r="N786" s="25">
        <v>28.25</v>
      </c>
      <c r="O786" s="25">
        <v>0</v>
      </c>
      <c r="P786" s="25">
        <v>0</v>
      </c>
      <c r="Q786" s="25">
        <v>0</v>
      </c>
      <c r="R786" s="35"/>
      <c r="S786" s="25">
        <f t="shared" ref="S786" si="1325">SUM(D786:G786)</f>
        <v>28.25</v>
      </c>
      <c r="T786" s="25">
        <f t="shared" si="1324"/>
        <v>28.25</v>
      </c>
      <c r="U786" s="25">
        <f t="shared" ref="U786:U787" si="1326">SUM(H786:K786)</f>
        <v>24</v>
      </c>
      <c r="V786" s="35"/>
      <c r="W786" s="46">
        <v>25</v>
      </c>
      <c r="X786" s="26">
        <f t="shared" si="1321"/>
        <v>706.25</v>
      </c>
      <c r="Y786" s="26">
        <f t="shared" si="1316"/>
        <v>0</v>
      </c>
      <c r="Z786" s="26">
        <f t="shared" si="1322"/>
        <v>600</v>
      </c>
      <c r="AA786" s="27">
        <f t="shared" si="1309"/>
        <v>0</v>
      </c>
      <c r="AB786" s="27">
        <f t="shared" si="1323"/>
        <v>706.25</v>
      </c>
      <c r="AC786" s="65">
        <f t="shared" ref="AC786:AC794" si="1327">0-Y786-AA786</f>
        <v>0</v>
      </c>
      <c r="AD786" s="210"/>
      <c r="AE786" s="65">
        <f t="shared" si="1317"/>
        <v>-600</v>
      </c>
      <c r="AF786" s="210"/>
      <c r="AG786" s="8"/>
    </row>
    <row r="787" spans="1:33" x14ac:dyDescent="0.45">
      <c r="A787" s="16">
        <f>A786+14</f>
        <v>44948</v>
      </c>
      <c r="B787" s="17" t="s">
        <v>30</v>
      </c>
      <c r="C787" s="47">
        <f>120*W787</f>
        <v>3900</v>
      </c>
      <c r="D787" s="18">
        <v>80</v>
      </c>
      <c r="E787" s="18">
        <v>12</v>
      </c>
      <c r="F787" s="18">
        <v>0</v>
      </c>
      <c r="G787" s="18">
        <v>0</v>
      </c>
      <c r="H787" s="18">
        <v>0</v>
      </c>
      <c r="I787" s="18">
        <v>0</v>
      </c>
      <c r="J787" s="18">
        <v>0</v>
      </c>
      <c r="K787" s="18">
        <v>0</v>
      </c>
      <c r="L787" s="44">
        <v>0</v>
      </c>
      <c r="M787" s="33"/>
      <c r="N787" s="18">
        <v>80</v>
      </c>
      <c r="O787" s="18">
        <v>12</v>
      </c>
      <c r="P787" s="18">
        <v>0</v>
      </c>
      <c r="Q787" s="18">
        <v>0</v>
      </c>
      <c r="R787" s="33"/>
      <c r="S787" s="18">
        <f t="shared" ref="S787:S791" si="1328">SUM(D787:G787)</f>
        <v>92</v>
      </c>
      <c r="T787" s="18">
        <f t="shared" si="1324"/>
        <v>92</v>
      </c>
      <c r="U787" s="18">
        <f t="shared" si="1326"/>
        <v>0</v>
      </c>
      <c r="V787" s="33"/>
      <c r="W787" s="44">
        <v>32.5</v>
      </c>
      <c r="X787" s="19">
        <f t="shared" si="1321"/>
        <v>3185</v>
      </c>
      <c r="Y787" s="19">
        <f t="shared" si="1316"/>
        <v>0</v>
      </c>
      <c r="Z787" s="19">
        <f t="shared" si="1322"/>
        <v>0</v>
      </c>
      <c r="AA787" s="20">
        <f t="shared" ref="AA787:AA796" si="1329">(W787*1*K787)</f>
        <v>0</v>
      </c>
      <c r="AB787" s="20">
        <f t="shared" si="1323"/>
        <v>3185</v>
      </c>
      <c r="AC787" s="66">
        <f t="shared" si="1327"/>
        <v>0</v>
      </c>
      <c r="AD787" s="208"/>
      <c r="AE787" s="66">
        <f t="shared" si="1317"/>
        <v>0</v>
      </c>
      <c r="AF787" s="208">
        <f>SUM(AE787:AE796)</f>
        <v>0</v>
      </c>
      <c r="AG787" s="8"/>
    </row>
    <row r="788" spans="1:33" x14ac:dyDescent="0.45">
      <c r="A788" s="22">
        <f>A787</f>
        <v>44948</v>
      </c>
      <c r="B788" s="15" t="s">
        <v>4</v>
      </c>
      <c r="C788" s="48">
        <f>80*W788</f>
        <v>2400</v>
      </c>
      <c r="D788" s="13">
        <v>73.25</v>
      </c>
      <c r="E788" s="13">
        <v>8.25</v>
      </c>
      <c r="F788" s="13">
        <v>0</v>
      </c>
      <c r="G788" s="13">
        <v>0</v>
      </c>
      <c r="H788" s="13">
        <v>16</v>
      </c>
      <c r="I788" s="13">
        <v>0</v>
      </c>
      <c r="J788" s="13">
        <v>0</v>
      </c>
      <c r="K788" s="13">
        <v>0</v>
      </c>
      <c r="L788" s="45">
        <v>0</v>
      </c>
      <c r="M788" s="34"/>
      <c r="N788" s="13">
        <v>73.25</v>
      </c>
      <c r="O788" s="13">
        <v>8.25</v>
      </c>
      <c r="P788" s="13">
        <v>0</v>
      </c>
      <c r="Q788" s="13">
        <v>0</v>
      </c>
      <c r="R788" s="34"/>
      <c r="S788" s="13">
        <f t="shared" si="1328"/>
        <v>81.5</v>
      </c>
      <c r="T788" s="13">
        <f t="shared" si="1324"/>
        <v>81.5</v>
      </c>
      <c r="U788" s="13">
        <f>SUM(H788:K788)</f>
        <v>16</v>
      </c>
      <c r="V788" s="34"/>
      <c r="W788" s="45">
        <v>30</v>
      </c>
      <c r="X788" s="10">
        <f t="shared" si="1321"/>
        <v>2568.75</v>
      </c>
      <c r="Y788" s="10">
        <f t="shared" si="1316"/>
        <v>0</v>
      </c>
      <c r="Z788" s="10">
        <f t="shared" si="1322"/>
        <v>0</v>
      </c>
      <c r="AA788" s="14">
        <f t="shared" si="1329"/>
        <v>0</v>
      </c>
      <c r="AB788" s="14">
        <f t="shared" si="1323"/>
        <v>2568.75</v>
      </c>
      <c r="AC788" s="63">
        <f t="shared" si="1327"/>
        <v>0</v>
      </c>
      <c r="AD788" s="209"/>
      <c r="AE788" s="63">
        <f t="shared" si="1317"/>
        <v>0</v>
      </c>
      <c r="AF788" s="209"/>
      <c r="AG788" s="8"/>
    </row>
    <row r="789" spans="1:33" x14ac:dyDescent="0.45">
      <c r="A789" s="22">
        <f t="shared" ref="A789:A793" si="1330">A788</f>
        <v>44948</v>
      </c>
      <c r="B789" s="15" t="s">
        <v>5</v>
      </c>
      <c r="C789" s="48">
        <f>120*W789</f>
        <v>3480</v>
      </c>
      <c r="D789" s="13">
        <v>80</v>
      </c>
      <c r="E789" s="13">
        <v>20</v>
      </c>
      <c r="F789" s="13">
        <v>12</v>
      </c>
      <c r="G789" s="13">
        <v>29.5</v>
      </c>
      <c r="H789" s="13">
        <v>0</v>
      </c>
      <c r="I789" s="13">
        <v>0</v>
      </c>
      <c r="J789" s="13">
        <v>0</v>
      </c>
      <c r="K789" s="13">
        <v>0</v>
      </c>
      <c r="L789" s="45">
        <v>0</v>
      </c>
      <c r="M789" s="34"/>
      <c r="N789" s="13">
        <v>80</v>
      </c>
      <c r="O789" s="13">
        <v>20</v>
      </c>
      <c r="P789" s="13">
        <v>12</v>
      </c>
      <c r="Q789" s="13">
        <v>29.5</v>
      </c>
      <c r="R789" s="34"/>
      <c r="S789" s="13">
        <f t="shared" si="1328"/>
        <v>141.5</v>
      </c>
      <c r="T789" s="13">
        <f>SUM(N789:Q789)</f>
        <v>141.5</v>
      </c>
      <c r="U789" s="13">
        <f t="shared" ref="U789:U791" si="1331">SUM(H789:K789)</f>
        <v>0</v>
      </c>
      <c r="V789" s="34"/>
      <c r="W789" s="45">
        <v>29</v>
      </c>
      <c r="X789" s="10">
        <f t="shared" si="1321"/>
        <v>4741.5</v>
      </c>
      <c r="Y789" s="10">
        <f t="shared" si="1316"/>
        <v>0</v>
      </c>
      <c r="Z789" s="10">
        <f t="shared" si="1322"/>
        <v>0</v>
      </c>
      <c r="AA789" s="14">
        <f t="shared" si="1329"/>
        <v>0</v>
      </c>
      <c r="AB789" s="14">
        <f t="shared" si="1323"/>
        <v>4741.5</v>
      </c>
      <c r="AC789" s="63">
        <f t="shared" si="1327"/>
        <v>0</v>
      </c>
      <c r="AD789" s="209"/>
      <c r="AE789" s="63">
        <f t="shared" si="1317"/>
        <v>0</v>
      </c>
      <c r="AF789" s="209"/>
      <c r="AG789" s="8"/>
    </row>
    <row r="790" spans="1:33" x14ac:dyDescent="0.45">
      <c r="A790" s="22">
        <f t="shared" si="1330"/>
        <v>44948</v>
      </c>
      <c r="B790" s="15" t="s">
        <v>6</v>
      </c>
      <c r="C790" s="48">
        <f>80*W790</f>
        <v>2400</v>
      </c>
      <c r="D790" s="13">
        <v>80</v>
      </c>
      <c r="E790" s="13">
        <v>47</v>
      </c>
      <c r="F790" s="13">
        <v>12</v>
      </c>
      <c r="G790" s="13">
        <v>1</v>
      </c>
      <c r="H790" s="13">
        <v>0</v>
      </c>
      <c r="I790" s="13">
        <v>0</v>
      </c>
      <c r="J790" s="13">
        <v>0</v>
      </c>
      <c r="K790" s="13">
        <v>0</v>
      </c>
      <c r="L790" s="45">
        <v>0</v>
      </c>
      <c r="M790" s="34"/>
      <c r="N790" s="13">
        <v>80</v>
      </c>
      <c r="O790" s="13">
        <v>47</v>
      </c>
      <c r="P790" s="13">
        <v>12</v>
      </c>
      <c r="Q790" s="13">
        <v>1</v>
      </c>
      <c r="R790" s="34"/>
      <c r="S790" s="13">
        <f t="shared" si="1328"/>
        <v>140</v>
      </c>
      <c r="T790" s="13">
        <f t="shared" ref="T790:T791" si="1332">SUM(N790:Q790)</f>
        <v>140</v>
      </c>
      <c r="U790" s="13">
        <f t="shared" si="1331"/>
        <v>0</v>
      </c>
      <c r="V790" s="34"/>
      <c r="W790" s="45">
        <v>30</v>
      </c>
      <c r="X790" s="10">
        <f>(W790*1*D790)+(W790*1.5*E790)+(W790*2*F790)+(W790*1*G790)</f>
        <v>5265</v>
      </c>
      <c r="Y790" s="10">
        <f t="shared" si="1316"/>
        <v>0</v>
      </c>
      <c r="Z790" s="10">
        <f t="shared" si="1322"/>
        <v>0</v>
      </c>
      <c r="AA790" s="14">
        <f t="shared" si="1329"/>
        <v>0</v>
      </c>
      <c r="AB790" s="14">
        <f t="shared" si="1323"/>
        <v>5265</v>
      </c>
      <c r="AC790" s="63">
        <f t="shared" si="1327"/>
        <v>0</v>
      </c>
      <c r="AD790" s="209"/>
      <c r="AE790" s="63">
        <f t="shared" si="1317"/>
        <v>0</v>
      </c>
      <c r="AF790" s="209"/>
      <c r="AG790" s="8"/>
    </row>
    <row r="791" spans="1:33" x14ac:dyDescent="0.45">
      <c r="A791" s="22">
        <f>A790</f>
        <v>44948</v>
      </c>
      <c r="B791" s="15" t="s">
        <v>9</v>
      </c>
      <c r="C791" s="48">
        <f>120*W791</f>
        <v>3600</v>
      </c>
      <c r="D791" s="13">
        <v>72</v>
      </c>
      <c r="E791" s="13">
        <v>10</v>
      </c>
      <c r="F791" s="13">
        <v>10</v>
      </c>
      <c r="G791" s="13">
        <v>19.25</v>
      </c>
      <c r="H791" s="13">
        <v>0</v>
      </c>
      <c r="I791" s="13">
        <v>0</v>
      </c>
      <c r="J791" s="13">
        <v>0</v>
      </c>
      <c r="K791" s="13">
        <v>0</v>
      </c>
      <c r="L791" s="45">
        <v>0</v>
      </c>
      <c r="M791" s="34"/>
      <c r="N791" s="13">
        <v>72</v>
      </c>
      <c r="O791" s="13">
        <v>10</v>
      </c>
      <c r="P791" s="13">
        <v>10</v>
      </c>
      <c r="Q791" s="13">
        <f>10.5+8.75</f>
        <v>19.25</v>
      </c>
      <c r="R791" s="34"/>
      <c r="S791" s="13">
        <f t="shared" si="1328"/>
        <v>111.25</v>
      </c>
      <c r="T791" s="13">
        <f t="shared" si="1332"/>
        <v>111.25</v>
      </c>
      <c r="U791" s="13">
        <f t="shared" si="1331"/>
        <v>0</v>
      </c>
      <c r="V791" s="34"/>
      <c r="W791" s="45">
        <v>30</v>
      </c>
      <c r="X791" s="10">
        <f t="shared" ref="X791" si="1333">(W791*1*D791)+(W791*1.5*E791)+(W791*2*F791)+(W791*1*G791)</f>
        <v>3787.5</v>
      </c>
      <c r="Y791" s="10">
        <f>(W791*0*H791)+(W791*1*I791)</f>
        <v>0</v>
      </c>
      <c r="Z791" s="10">
        <f t="shared" si="1322"/>
        <v>0</v>
      </c>
      <c r="AA791" s="14">
        <f t="shared" si="1329"/>
        <v>0</v>
      </c>
      <c r="AB791" s="14">
        <f t="shared" si="1323"/>
        <v>3787.5</v>
      </c>
      <c r="AC791" s="63">
        <f t="shared" si="1327"/>
        <v>0</v>
      </c>
      <c r="AD791" s="209"/>
      <c r="AE791" s="63">
        <f t="shared" si="1317"/>
        <v>0</v>
      </c>
      <c r="AF791" s="209"/>
      <c r="AG791" s="8"/>
    </row>
    <row r="792" spans="1:33" x14ac:dyDescent="0.45">
      <c r="A792" s="22">
        <f t="shared" si="1330"/>
        <v>44948</v>
      </c>
      <c r="B792" s="50" t="s">
        <v>31</v>
      </c>
      <c r="C792" s="48">
        <f>120*W792</f>
        <v>3600</v>
      </c>
      <c r="D792" s="51">
        <v>80</v>
      </c>
      <c r="E792" s="51">
        <v>19</v>
      </c>
      <c r="F792" s="51">
        <v>0</v>
      </c>
      <c r="G792" s="51">
        <v>0</v>
      </c>
      <c r="H792" s="51">
        <v>0</v>
      </c>
      <c r="I792" s="51">
        <v>0</v>
      </c>
      <c r="J792" s="51">
        <v>0</v>
      </c>
      <c r="K792" s="51">
        <v>0</v>
      </c>
      <c r="L792" s="52">
        <v>0</v>
      </c>
      <c r="M792" s="34"/>
      <c r="N792" s="13">
        <v>80</v>
      </c>
      <c r="O792" s="13">
        <v>19</v>
      </c>
      <c r="P792" s="13">
        <v>0</v>
      </c>
      <c r="Q792" s="13">
        <v>0</v>
      </c>
      <c r="R792" s="34"/>
      <c r="S792" s="51">
        <f t="shared" ref="S792" si="1334">SUM(D792:G792)</f>
        <v>99</v>
      </c>
      <c r="T792" s="51">
        <f>SUM(N792:Q792)</f>
        <v>99</v>
      </c>
      <c r="U792" s="51">
        <f t="shared" ref="U792" si="1335">SUM(H792:K792)</f>
        <v>0</v>
      </c>
      <c r="V792" s="34"/>
      <c r="W792" s="52">
        <v>30</v>
      </c>
      <c r="X792" s="53">
        <f>(W792*1*D792)+(W792*1.5*E792)+(W792*2*F792)+(W792*1*G792)</f>
        <v>3255</v>
      </c>
      <c r="Y792" s="53">
        <f t="shared" ref="Y792:Y800" si="1336">(W792*0*H792)+(W792*1*I792)</f>
        <v>0</v>
      </c>
      <c r="Z792" s="53">
        <f>(W792*1*J792)+L792</f>
        <v>0</v>
      </c>
      <c r="AA792" s="54">
        <f t="shared" si="1329"/>
        <v>0</v>
      </c>
      <c r="AB792" s="54">
        <f>(W792*1*N792)+(W792*1.5*O792)+(W792*2*P792)+(W792*1*Q792)</f>
        <v>3255</v>
      </c>
      <c r="AC792" s="64">
        <f t="shared" si="1327"/>
        <v>0</v>
      </c>
      <c r="AD792" s="209"/>
      <c r="AE792" s="64">
        <f t="shared" ref="AE792:AE801" si="1337">AB792-(X792+Z792)</f>
        <v>0</v>
      </c>
      <c r="AF792" s="209"/>
      <c r="AG792" s="8"/>
    </row>
    <row r="793" spans="1:33" x14ac:dyDescent="0.45">
      <c r="A793" s="22">
        <f t="shared" si="1330"/>
        <v>44948</v>
      </c>
      <c r="B793" s="50" t="s">
        <v>64</v>
      </c>
      <c r="C793" s="48">
        <f t="shared" ref="C793:C796" si="1338">80*W793</f>
        <v>1672</v>
      </c>
      <c r="D793" s="51">
        <v>80</v>
      </c>
      <c r="E793" s="51">
        <v>34</v>
      </c>
      <c r="F793" s="51">
        <v>0</v>
      </c>
      <c r="G793" s="51">
        <v>0</v>
      </c>
      <c r="H793" s="51">
        <v>0</v>
      </c>
      <c r="I793" s="51">
        <v>0</v>
      </c>
      <c r="J793" s="51">
        <v>0</v>
      </c>
      <c r="K793" s="51">
        <v>0</v>
      </c>
      <c r="L793" s="52">
        <v>0</v>
      </c>
      <c r="M793" s="34"/>
      <c r="N793" s="51">
        <v>80</v>
      </c>
      <c r="O793" s="51">
        <v>34</v>
      </c>
      <c r="P793" s="51">
        <v>0</v>
      </c>
      <c r="Q793" s="51">
        <v>0</v>
      </c>
      <c r="R793" s="34"/>
      <c r="S793" s="51">
        <f t="shared" ref="S793:S795" si="1339">SUM(D793:G793)</f>
        <v>114</v>
      </c>
      <c r="T793" s="51">
        <f>SUM(N793:Q793)</f>
        <v>114</v>
      </c>
      <c r="U793" s="51">
        <f t="shared" ref="U793:U795" si="1340">SUM(H793:K793)</f>
        <v>0</v>
      </c>
      <c r="V793" s="34"/>
      <c r="W793" s="52">
        <v>20.9</v>
      </c>
      <c r="X793" s="53">
        <f t="shared" ref="X793:X799" si="1341">(W793*1*D793)+(W793*1.5*E793)+(W793*2*F793)+(W793*1*G793)</f>
        <v>2737.8999999999996</v>
      </c>
      <c r="Y793" s="53">
        <f t="shared" si="1336"/>
        <v>0</v>
      </c>
      <c r="Z793" s="53">
        <f t="shared" ref="Z793:Z801" si="1342">(W793*1*J793)+L793</f>
        <v>0</v>
      </c>
      <c r="AA793" s="54">
        <f t="shared" si="1329"/>
        <v>0</v>
      </c>
      <c r="AB793" s="54">
        <f t="shared" ref="AB793:AB801" si="1343">(W793*1*N793)+(W793*1.5*O793)+(W793*2*P793)+(W793*1*Q793)</f>
        <v>2737.8999999999996</v>
      </c>
      <c r="AC793" s="64">
        <f t="shared" si="1327"/>
        <v>0</v>
      </c>
      <c r="AD793" s="209"/>
      <c r="AE793" s="64">
        <f t="shared" si="1337"/>
        <v>0</v>
      </c>
      <c r="AF793" s="209"/>
      <c r="AG793" s="8"/>
    </row>
    <row r="794" spans="1:33" x14ac:dyDescent="0.45">
      <c r="A794" s="22">
        <f>A793</f>
        <v>44948</v>
      </c>
      <c r="B794" s="50" t="s">
        <v>53</v>
      </c>
      <c r="C794" s="48">
        <f t="shared" si="1338"/>
        <v>1840</v>
      </c>
      <c r="D794" s="51">
        <v>80</v>
      </c>
      <c r="E794" s="51">
        <v>10.5</v>
      </c>
      <c r="F794" s="51">
        <v>0</v>
      </c>
      <c r="G794" s="51">
        <v>8</v>
      </c>
      <c r="H794" s="51">
        <v>0</v>
      </c>
      <c r="I794" s="51">
        <v>0</v>
      </c>
      <c r="J794" s="51">
        <v>0</v>
      </c>
      <c r="K794" s="51">
        <v>0</v>
      </c>
      <c r="L794" s="52">
        <v>0</v>
      </c>
      <c r="M794" s="34"/>
      <c r="N794" s="13">
        <v>80</v>
      </c>
      <c r="O794" s="13">
        <v>10.5</v>
      </c>
      <c r="P794" s="13">
        <v>0</v>
      </c>
      <c r="Q794" s="13">
        <v>8</v>
      </c>
      <c r="R794" s="34"/>
      <c r="S794" s="51">
        <f t="shared" si="1339"/>
        <v>98.5</v>
      </c>
      <c r="T794" s="51">
        <f>SUM(N794:Q794)</f>
        <v>98.5</v>
      </c>
      <c r="U794" s="51">
        <f t="shared" si="1340"/>
        <v>0</v>
      </c>
      <c r="V794" s="34"/>
      <c r="W794" s="52">
        <v>23</v>
      </c>
      <c r="X794" s="53">
        <f t="shared" si="1341"/>
        <v>2386.25</v>
      </c>
      <c r="Y794" s="53">
        <f t="shared" si="1336"/>
        <v>0</v>
      </c>
      <c r="Z794" s="53">
        <f t="shared" si="1342"/>
        <v>0</v>
      </c>
      <c r="AA794" s="54">
        <f t="shared" si="1329"/>
        <v>0</v>
      </c>
      <c r="AB794" s="54">
        <f t="shared" si="1343"/>
        <v>2386.25</v>
      </c>
      <c r="AC794" s="64">
        <f t="shared" si="1327"/>
        <v>0</v>
      </c>
      <c r="AD794" s="209"/>
      <c r="AE794" s="64">
        <f t="shared" si="1337"/>
        <v>0</v>
      </c>
      <c r="AF794" s="209"/>
      <c r="AG794" s="8"/>
    </row>
    <row r="795" spans="1:33" x14ac:dyDescent="0.45">
      <c r="A795" s="22">
        <f>A793</f>
        <v>44948</v>
      </c>
      <c r="B795" s="50" t="s">
        <v>54</v>
      </c>
      <c r="C795" s="48">
        <f t="shared" si="1338"/>
        <v>1840</v>
      </c>
      <c r="D795" s="51">
        <v>80</v>
      </c>
      <c r="E795" s="51">
        <v>41</v>
      </c>
      <c r="F795" s="51">
        <v>0</v>
      </c>
      <c r="G795" s="51">
        <v>3</v>
      </c>
      <c r="H795" s="51">
        <v>0</v>
      </c>
      <c r="I795" s="51">
        <v>0</v>
      </c>
      <c r="J795" s="51">
        <v>0</v>
      </c>
      <c r="K795" s="51">
        <v>0</v>
      </c>
      <c r="L795" s="52">
        <v>0</v>
      </c>
      <c r="M795" s="34"/>
      <c r="N795" s="51">
        <v>80</v>
      </c>
      <c r="O795" s="51">
        <v>41</v>
      </c>
      <c r="P795" s="51">
        <v>0</v>
      </c>
      <c r="Q795" s="51">
        <v>3</v>
      </c>
      <c r="R795" s="34"/>
      <c r="S795" s="51">
        <f t="shared" si="1339"/>
        <v>124</v>
      </c>
      <c r="T795" s="51">
        <f t="shared" ref="T795:T798" si="1344">SUM(N795:Q795)</f>
        <v>124</v>
      </c>
      <c r="U795" s="51">
        <f t="shared" si="1340"/>
        <v>0</v>
      </c>
      <c r="V795" s="34"/>
      <c r="W795" s="52">
        <v>23</v>
      </c>
      <c r="X795" s="53">
        <f t="shared" si="1341"/>
        <v>3323.5</v>
      </c>
      <c r="Y795" s="53">
        <f t="shared" si="1336"/>
        <v>0</v>
      </c>
      <c r="Z795" s="53">
        <f t="shared" si="1342"/>
        <v>0</v>
      </c>
      <c r="AA795" s="54">
        <f t="shared" si="1329"/>
        <v>0</v>
      </c>
      <c r="AB795" s="54">
        <f t="shared" si="1343"/>
        <v>3323.5</v>
      </c>
      <c r="AC795" s="64">
        <f>0-Y795-AA795</f>
        <v>0</v>
      </c>
      <c r="AD795" s="209"/>
      <c r="AE795" s="64">
        <f t="shared" si="1337"/>
        <v>0</v>
      </c>
      <c r="AF795" s="209"/>
      <c r="AG795" s="8"/>
    </row>
    <row r="796" spans="1:33" ht="14.65" thickBot="1" x14ac:dyDescent="0.5">
      <c r="A796" s="23">
        <f>A793</f>
        <v>44948</v>
      </c>
      <c r="B796" s="24" t="s">
        <v>62</v>
      </c>
      <c r="C796" s="49">
        <f t="shared" si="1338"/>
        <v>2000</v>
      </c>
      <c r="D796" s="25">
        <v>80</v>
      </c>
      <c r="E796" s="25">
        <v>24.5</v>
      </c>
      <c r="F796" s="25">
        <v>0</v>
      </c>
      <c r="G796" s="25">
        <v>0</v>
      </c>
      <c r="H796" s="25">
        <v>0</v>
      </c>
      <c r="I796" s="25">
        <v>0</v>
      </c>
      <c r="J796" s="25">
        <v>0</v>
      </c>
      <c r="K796" s="25">
        <v>0</v>
      </c>
      <c r="L796" s="46">
        <v>0</v>
      </c>
      <c r="M796" s="35"/>
      <c r="N796" s="25">
        <v>80</v>
      </c>
      <c r="O796" s="25">
        <v>24.5</v>
      </c>
      <c r="P796" s="25">
        <v>0</v>
      </c>
      <c r="Q796" s="25">
        <v>0</v>
      </c>
      <c r="R796" s="35"/>
      <c r="S796" s="25">
        <f t="shared" ref="S796" si="1345">SUM(D796:G796)</f>
        <v>104.5</v>
      </c>
      <c r="T796" s="25">
        <f t="shared" si="1344"/>
        <v>104.5</v>
      </c>
      <c r="U796" s="25">
        <f t="shared" ref="U796" si="1346">SUM(H796:K796)</f>
        <v>0</v>
      </c>
      <c r="V796" s="35"/>
      <c r="W796" s="46">
        <v>25</v>
      </c>
      <c r="X796" s="26">
        <f t="shared" si="1341"/>
        <v>2918.75</v>
      </c>
      <c r="Y796" s="26">
        <f t="shared" si="1336"/>
        <v>0</v>
      </c>
      <c r="Z796" s="26">
        <f t="shared" si="1342"/>
        <v>0</v>
      </c>
      <c r="AA796" s="27">
        <f t="shared" si="1329"/>
        <v>0</v>
      </c>
      <c r="AB796" s="27">
        <f t="shared" si="1343"/>
        <v>2918.75</v>
      </c>
      <c r="AC796" s="65">
        <f t="shared" ref="AC796:AC804" si="1347">0-Y796-AA796</f>
        <v>0</v>
      </c>
      <c r="AD796" s="210"/>
      <c r="AE796" s="65">
        <f t="shared" si="1337"/>
        <v>0</v>
      </c>
      <c r="AF796" s="210"/>
      <c r="AG796" s="8"/>
    </row>
    <row r="797" spans="1:33" x14ac:dyDescent="0.45">
      <c r="A797" s="16">
        <f>A796+14</f>
        <v>44962</v>
      </c>
      <c r="B797" s="17" t="s">
        <v>30</v>
      </c>
      <c r="C797" s="47">
        <f>120*W797</f>
        <v>3900</v>
      </c>
      <c r="D797" s="18">
        <v>80</v>
      </c>
      <c r="E797" s="18">
        <v>11</v>
      </c>
      <c r="F797" s="18">
        <v>0</v>
      </c>
      <c r="G797" s="18">
        <v>0</v>
      </c>
      <c r="H797" s="18">
        <v>0</v>
      </c>
      <c r="I797" s="18">
        <v>0</v>
      </c>
      <c r="J797" s="18">
        <v>0</v>
      </c>
      <c r="K797" s="18">
        <v>0</v>
      </c>
      <c r="L797" s="44">
        <v>0</v>
      </c>
      <c r="M797" s="33"/>
      <c r="N797" s="18">
        <v>80</v>
      </c>
      <c r="O797" s="18">
        <v>11</v>
      </c>
      <c r="P797" s="18">
        <v>0</v>
      </c>
      <c r="Q797" s="18">
        <v>0</v>
      </c>
      <c r="R797" s="33"/>
      <c r="S797" s="18">
        <f>SUM(D797:G797)</f>
        <v>91</v>
      </c>
      <c r="T797" s="18">
        <f>SUM(N797:Q797)</f>
        <v>91</v>
      </c>
      <c r="U797" s="18">
        <f>SUM(H797:K797)</f>
        <v>0</v>
      </c>
      <c r="V797" s="33"/>
      <c r="W797" s="44">
        <v>32.5</v>
      </c>
      <c r="X797" s="19">
        <f>(W797*1*D797)+(W797*1.5*E797)+(W797*2*F797)+(W797*1*G797)</f>
        <v>3136.25</v>
      </c>
      <c r="Y797" s="19">
        <f>(W797*0*H797)+(W797*1*I797)</f>
        <v>0</v>
      </c>
      <c r="Z797" s="19">
        <f>(W797*1*J797)+L797</f>
        <v>0</v>
      </c>
      <c r="AA797" s="20">
        <f>(W797*1*K797)</f>
        <v>0</v>
      </c>
      <c r="AB797" s="20">
        <f>(W797*1*N797)+(W797*1.5*O797)+(W797*2*P797)+(W797*1*Q797)</f>
        <v>3136.25</v>
      </c>
      <c r="AC797" s="66">
        <f t="shared" si="1347"/>
        <v>0</v>
      </c>
      <c r="AD797" s="208"/>
      <c r="AE797" s="66">
        <f t="shared" si="1337"/>
        <v>0</v>
      </c>
      <c r="AF797" s="208">
        <f>SUM(AE797:AE806)</f>
        <v>-405.18000000000029</v>
      </c>
      <c r="AG797" s="8"/>
    </row>
    <row r="798" spans="1:33" x14ac:dyDescent="0.45">
      <c r="A798" s="22">
        <f>A797</f>
        <v>44962</v>
      </c>
      <c r="B798" s="15" t="s">
        <v>4</v>
      </c>
      <c r="C798" s="48">
        <f>80*W798</f>
        <v>2400</v>
      </c>
      <c r="D798" s="13">
        <v>80</v>
      </c>
      <c r="E798" s="13">
        <v>16</v>
      </c>
      <c r="F798" s="13">
        <v>0</v>
      </c>
      <c r="G798" s="13">
        <v>0</v>
      </c>
      <c r="H798" s="13">
        <v>0</v>
      </c>
      <c r="I798" s="13">
        <v>0</v>
      </c>
      <c r="J798" s="13">
        <v>0</v>
      </c>
      <c r="K798" s="13">
        <v>0</v>
      </c>
      <c r="L798" s="45">
        <v>0</v>
      </c>
      <c r="M798" s="34"/>
      <c r="N798" s="13">
        <v>80</v>
      </c>
      <c r="O798" s="13">
        <v>16</v>
      </c>
      <c r="P798" s="13">
        <v>0</v>
      </c>
      <c r="Q798" s="13">
        <v>0</v>
      </c>
      <c r="R798" s="34"/>
      <c r="S798" s="13">
        <f t="shared" ref="S798:S801" si="1348">SUM(D798:G798)</f>
        <v>96</v>
      </c>
      <c r="T798" s="13">
        <f t="shared" si="1344"/>
        <v>96</v>
      </c>
      <c r="U798" s="13">
        <f>SUM(H798:K798)</f>
        <v>0</v>
      </c>
      <c r="V798" s="34"/>
      <c r="W798" s="45">
        <v>30</v>
      </c>
      <c r="X798" s="10">
        <f t="shared" si="1341"/>
        <v>3120</v>
      </c>
      <c r="Y798" s="10">
        <f t="shared" si="1336"/>
        <v>0</v>
      </c>
      <c r="Z798" s="10">
        <f t="shared" si="1342"/>
        <v>0</v>
      </c>
      <c r="AA798" s="14">
        <f t="shared" ref="AA798:AA806" si="1349">(W798*1*K798)</f>
        <v>0</v>
      </c>
      <c r="AB798" s="14">
        <f t="shared" si="1343"/>
        <v>3120</v>
      </c>
      <c r="AC798" s="63">
        <f t="shared" si="1347"/>
        <v>0</v>
      </c>
      <c r="AD798" s="209"/>
      <c r="AE798" s="63">
        <f t="shared" si="1337"/>
        <v>0</v>
      </c>
      <c r="AF798" s="209"/>
      <c r="AG798" s="8"/>
    </row>
    <row r="799" spans="1:33" x14ac:dyDescent="0.45">
      <c r="A799" s="22">
        <f t="shared" ref="A799:A803" si="1350">A798</f>
        <v>44962</v>
      </c>
      <c r="B799" s="15" t="s">
        <v>5</v>
      </c>
      <c r="C799" s="48">
        <f>120*W799</f>
        <v>3480</v>
      </c>
      <c r="D799" s="13">
        <v>80</v>
      </c>
      <c r="E799" s="13">
        <v>32</v>
      </c>
      <c r="F799" s="13">
        <v>12</v>
      </c>
      <c r="G799" s="13">
        <v>20.5</v>
      </c>
      <c r="H799" s="13">
        <v>0</v>
      </c>
      <c r="I799" s="13">
        <v>0</v>
      </c>
      <c r="J799" s="13">
        <v>0</v>
      </c>
      <c r="K799" s="13">
        <v>0</v>
      </c>
      <c r="L799" s="45">
        <v>0</v>
      </c>
      <c r="M799" s="34"/>
      <c r="N799" s="13">
        <v>80</v>
      </c>
      <c r="O799" s="13">
        <v>30</v>
      </c>
      <c r="P799" s="13">
        <v>14</v>
      </c>
      <c r="Q799" s="13">
        <v>20.5</v>
      </c>
      <c r="R799" s="34"/>
      <c r="S799" s="13">
        <f t="shared" si="1348"/>
        <v>144.5</v>
      </c>
      <c r="T799" s="13">
        <f>SUM(N799:Q799)</f>
        <v>144.5</v>
      </c>
      <c r="U799" s="13">
        <f t="shared" ref="U799:U801" si="1351">SUM(H799:K799)</f>
        <v>0</v>
      </c>
      <c r="V799" s="34"/>
      <c r="W799" s="45">
        <v>29</v>
      </c>
      <c r="X799" s="10">
        <f t="shared" si="1341"/>
        <v>5002.5</v>
      </c>
      <c r="Y799" s="10">
        <f t="shared" si="1336"/>
        <v>0</v>
      </c>
      <c r="Z799" s="10">
        <f t="shared" si="1342"/>
        <v>0</v>
      </c>
      <c r="AA799" s="14">
        <f t="shared" si="1349"/>
        <v>0</v>
      </c>
      <c r="AB799" s="14">
        <f t="shared" si="1343"/>
        <v>5031.5</v>
      </c>
      <c r="AC799" s="63">
        <f t="shared" si="1347"/>
        <v>0</v>
      </c>
      <c r="AD799" s="209"/>
      <c r="AE799" s="63">
        <f t="shared" si="1337"/>
        <v>29</v>
      </c>
      <c r="AF799" s="209"/>
      <c r="AG799" s="8"/>
    </row>
    <row r="800" spans="1:33" x14ac:dyDescent="0.45">
      <c r="A800" s="22">
        <f t="shared" si="1350"/>
        <v>44962</v>
      </c>
      <c r="B800" s="15" t="s">
        <v>6</v>
      </c>
      <c r="C800" s="67">
        <f>120*W800</f>
        <v>3600</v>
      </c>
      <c r="D800" s="13">
        <v>80</v>
      </c>
      <c r="E800" s="13">
        <v>48</v>
      </c>
      <c r="F800" s="13">
        <v>12</v>
      </c>
      <c r="G800" s="13">
        <v>1</v>
      </c>
      <c r="H800" s="13">
        <v>0</v>
      </c>
      <c r="I800" s="13">
        <v>0</v>
      </c>
      <c r="J800" s="13">
        <v>0</v>
      </c>
      <c r="K800" s="13">
        <v>0</v>
      </c>
      <c r="L800" s="45">
        <v>434.18</v>
      </c>
      <c r="M800" s="34"/>
      <c r="N800" s="13">
        <v>80</v>
      </c>
      <c r="O800" s="13">
        <v>48</v>
      </c>
      <c r="P800" s="13">
        <v>12</v>
      </c>
      <c r="Q800" s="13">
        <v>1</v>
      </c>
      <c r="R800" s="34"/>
      <c r="S800" s="13">
        <f t="shared" si="1348"/>
        <v>141</v>
      </c>
      <c r="T800" s="13">
        <f t="shared" ref="T800:T801" si="1352">SUM(N800:Q800)</f>
        <v>141</v>
      </c>
      <c r="U800" s="13">
        <f t="shared" si="1351"/>
        <v>0</v>
      </c>
      <c r="V800" s="34"/>
      <c r="W800" s="45">
        <v>30</v>
      </c>
      <c r="X800" s="10">
        <f>(W800*1*D800)+(W800*1.5*E800)+(W800*2*F800)+(W800*1*G800)</f>
        <v>5310</v>
      </c>
      <c r="Y800" s="10">
        <f t="shared" si="1336"/>
        <v>0</v>
      </c>
      <c r="Z800" s="10">
        <f t="shared" si="1342"/>
        <v>434.18</v>
      </c>
      <c r="AA800" s="14">
        <f t="shared" si="1349"/>
        <v>0</v>
      </c>
      <c r="AB800" s="14">
        <f t="shared" si="1343"/>
        <v>5310</v>
      </c>
      <c r="AC800" s="63">
        <f t="shared" si="1347"/>
        <v>0</v>
      </c>
      <c r="AD800" s="209"/>
      <c r="AE800" s="63">
        <f t="shared" si="1337"/>
        <v>-434.18000000000029</v>
      </c>
      <c r="AF800" s="209"/>
      <c r="AG800" s="8"/>
    </row>
    <row r="801" spans="1:33" x14ac:dyDescent="0.45">
      <c r="A801" s="22">
        <f>A800</f>
        <v>44962</v>
      </c>
      <c r="B801" s="15" t="s">
        <v>9</v>
      </c>
      <c r="C801" s="48">
        <f>120*W801</f>
        <v>3600</v>
      </c>
      <c r="D801" s="13">
        <v>32</v>
      </c>
      <c r="E801" s="13">
        <v>0</v>
      </c>
      <c r="F801" s="13">
        <v>0</v>
      </c>
      <c r="G801" s="13">
        <v>7</v>
      </c>
      <c r="H801" s="13">
        <v>0</v>
      </c>
      <c r="I801" s="13">
        <v>0</v>
      </c>
      <c r="J801" s="13">
        <v>0</v>
      </c>
      <c r="K801" s="13">
        <v>0</v>
      </c>
      <c r="L801" s="45">
        <v>0</v>
      </c>
      <c r="M801" s="34"/>
      <c r="N801" s="13">
        <v>32</v>
      </c>
      <c r="O801" s="13">
        <v>0</v>
      </c>
      <c r="P801" s="13">
        <v>0</v>
      </c>
      <c r="Q801" s="13">
        <v>7</v>
      </c>
      <c r="R801" s="34"/>
      <c r="S801" s="13">
        <f t="shared" si="1348"/>
        <v>39</v>
      </c>
      <c r="T801" s="13">
        <f t="shared" si="1352"/>
        <v>39</v>
      </c>
      <c r="U801" s="13">
        <f t="shared" si="1351"/>
        <v>0</v>
      </c>
      <c r="V801" s="34"/>
      <c r="W801" s="45">
        <v>30</v>
      </c>
      <c r="X801" s="10">
        <f t="shared" ref="X801" si="1353">(W801*1*D801)+(W801*1.5*E801)+(W801*2*F801)+(W801*1*G801)</f>
        <v>1170</v>
      </c>
      <c r="Y801" s="10">
        <f>(W801*0*H801)+(W801*1*I801)</f>
        <v>0</v>
      </c>
      <c r="Z801" s="10">
        <f t="shared" si="1342"/>
        <v>0</v>
      </c>
      <c r="AA801" s="14">
        <f t="shared" si="1349"/>
        <v>0</v>
      </c>
      <c r="AB801" s="14">
        <f t="shared" si="1343"/>
        <v>1170</v>
      </c>
      <c r="AC801" s="63">
        <f t="shared" si="1347"/>
        <v>0</v>
      </c>
      <c r="AD801" s="209"/>
      <c r="AE801" s="63">
        <f t="shared" si="1337"/>
        <v>0</v>
      </c>
      <c r="AF801" s="209"/>
      <c r="AG801" s="8"/>
    </row>
    <row r="802" spans="1:33" x14ac:dyDescent="0.45">
      <c r="A802" s="22">
        <f t="shared" si="1350"/>
        <v>44962</v>
      </c>
      <c r="B802" s="50" t="s">
        <v>31</v>
      </c>
      <c r="C802" s="48">
        <f>120*W802</f>
        <v>3600</v>
      </c>
      <c r="D802" s="51">
        <v>80</v>
      </c>
      <c r="E802" s="51">
        <v>11</v>
      </c>
      <c r="F802" s="51">
        <v>0</v>
      </c>
      <c r="G802" s="51">
        <v>3</v>
      </c>
      <c r="H802" s="51">
        <v>0</v>
      </c>
      <c r="I802" s="51">
        <v>0</v>
      </c>
      <c r="J802" s="51">
        <v>0</v>
      </c>
      <c r="K802" s="51">
        <v>0</v>
      </c>
      <c r="L802" s="52">
        <v>0</v>
      </c>
      <c r="M802" s="34"/>
      <c r="N802" s="13">
        <v>80</v>
      </c>
      <c r="O802" s="13">
        <v>11</v>
      </c>
      <c r="P802" s="13">
        <v>0</v>
      </c>
      <c r="Q802" s="13">
        <v>3</v>
      </c>
      <c r="R802" s="34"/>
      <c r="S802" s="51">
        <f t="shared" ref="S802" si="1354">SUM(D802:G802)</f>
        <v>94</v>
      </c>
      <c r="T802" s="51">
        <f>SUM(N802:Q802)</f>
        <v>94</v>
      </c>
      <c r="U802" s="51">
        <f t="shared" ref="U802" si="1355">SUM(H802:K802)</f>
        <v>0</v>
      </c>
      <c r="V802" s="34"/>
      <c r="W802" s="52">
        <v>30</v>
      </c>
      <c r="X802" s="53">
        <f>(W802*1*D802)+(W802*1.5*E802)+(W802*2*F802)+(W802*1*G802)</f>
        <v>2985</v>
      </c>
      <c r="Y802" s="53">
        <f t="shared" ref="Y802:Y806" si="1356">(W802*0*H802)+(W802*1*I802)</f>
        <v>0</v>
      </c>
      <c r="Z802" s="53">
        <f>(W802*1*J802)+L802</f>
        <v>0</v>
      </c>
      <c r="AA802" s="54">
        <f t="shared" si="1349"/>
        <v>0</v>
      </c>
      <c r="AB802" s="54">
        <f>(W802*1*N802)+(W802*1.5*O802)+(W802*2*P802)+(W802*1*Q802)</f>
        <v>2985</v>
      </c>
      <c r="AC802" s="64">
        <f t="shared" si="1347"/>
        <v>0</v>
      </c>
      <c r="AD802" s="209"/>
      <c r="AE802" s="64">
        <f t="shared" ref="AE802:AE811" si="1357">AB802-(X802+Z802)</f>
        <v>0</v>
      </c>
      <c r="AF802" s="209"/>
      <c r="AG802" s="8"/>
    </row>
    <row r="803" spans="1:33" x14ac:dyDescent="0.45">
      <c r="A803" s="22">
        <f t="shared" si="1350"/>
        <v>44962</v>
      </c>
      <c r="B803" s="50" t="s">
        <v>64</v>
      </c>
      <c r="C803" s="48">
        <f t="shared" ref="C803:C806" si="1358">80*W803</f>
        <v>1672</v>
      </c>
      <c r="D803" s="51">
        <v>80</v>
      </c>
      <c r="E803" s="51">
        <v>23.25</v>
      </c>
      <c r="F803" s="51">
        <v>0</v>
      </c>
      <c r="G803" s="51">
        <v>0</v>
      </c>
      <c r="H803" s="51">
        <v>0</v>
      </c>
      <c r="I803" s="51">
        <v>0</v>
      </c>
      <c r="J803" s="51">
        <v>0</v>
      </c>
      <c r="K803" s="51">
        <v>0</v>
      </c>
      <c r="L803" s="52">
        <v>0</v>
      </c>
      <c r="M803" s="34"/>
      <c r="N803" s="51">
        <v>80</v>
      </c>
      <c r="O803" s="51">
        <v>23.25</v>
      </c>
      <c r="P803" s="51">
        <v>0</v>
      </c>
      <c r="Q803" s="51">
        <v>0</v>
      </c>
      <c r="R803" s="34"/>
      <c r="S803" s="51">
        <f t="shared" ref="S803:S805" si="1359">SUM(D803:G803)</f>
        <v>103.25</v>
      </c>
      <c r="T803" s="51">
        <f>SUM(N803:Q803)</f>
        <v>103.25</v>
      </c>
      <c r="U803" s="51">
        <f t="shared" ref="U803:U805" si="1360">SUM(H803:K803)</f>
        <v>0</v>
      </c>
      <c r="V803" s="34"/>
      <c r="W803" s="52">
        <v>20.9</v>
      </c>
      <c r="X803" s="53">
        <f t="shared" ref="X803:X806" si="1361">(W803*1*D803)+(W803*1.5*E803)+(W803*2*F803)+(W803*1*G803)</f>
        <v>2400.8874999999998</v>
      </c>
      <c r="Y803" s="53">
        <f t="shared" si="1356"/>
        <v>0</v>
      </c>
      <c r="Z803" s="53">
        <f t="shared" ref="Z803:Z806" si="1362">(W803*1*J803)+L803</f>
        <v>0</v>
      </c>
      <c r="AA803" s="54">
        <f t="shared" si="1349"/>
        <v>0</v>
      </c>
      <c r="AB803" s="54">
        <f t="shared" ref="AB803:AB806" si="1363">(W803*1*N803)+(W803*1.5*O803)+(W803*2*P803)+(W803*1*Q803)</f>
        <v>2400.8874999999998</v>
      </c>
      <c r="AC803" s="64">
        <f t="shared" si="1347"/>
        <v>0</v>
      </c>
      <c r="AD803" s="209"/>
      <c r="AE803" s="64">
        <f t="shared" si="1357"/>
        <v>0</v>
      </c>
      <c r="AF803" s="209"/>
      <c r="AG803" s="8"/>
    </row>
    <row r="804" spans="1:33" x14ac:dyDescent="0.45">
      <c r="A804" s="22">
        <f>A803</f>
        <v>44962</v>
      </c>
      <c r="B804" s="50" t="s">
        <v>53</v>
      </c>
      <c r="C804" s="48">
        <f t="shared" si="1358"/>
        <v>1840</v>
      </c>
      <c r="D804" s="51">
        <v>80</v>
      </c>
      <c r="E804" s="51">
        <v>14</v>
      </c>
      <c r="F804" s="51">
        <v>0</v>
      </c>
      <c r="G804" s="51">
        <v>16</v>
      </c>
      <c r="H804" s="51">
        <v>0</v>
      </c>
      <c r="I804" s="51">
        <v>0</v>
      </c>
      <c r="J804" s="51">
        <v>0</v>
      </c>
      <c r="K804" s="51">
        <v>0</v>
      </c>
      <c r="L804" s="52">
        <v>0</v>
      </c>
      <c r="M804" s="34"/>
      <c r="N804" s="13">
        <v>80</v>
      </c>
      <c r="O804" s="13">
        <v>14</v>
      </c>
      <c r="P804" s="13">
        <v>0</v>
      </c>
      <c r="Q804" s="13">
        <v>16</v>
      </c>
      <c r="R804" s="34"/>
      <c r="S804" s="51">
        <f t="shared" si="1359"/>
        <v>110</v>
      </c>
      <c r="T804" s="51">
        <f>SUM(N804:Q804)</f>
        <v>110</v>
      </c>
      <c r="U804" s="51">
        <f t="shared" si="1360"/>
        <v>0</v>
      </c>
      <c r="V804" s="34"/>
      <c r="W804" s="52">
        <v>23</v>
      </c>
      <c r="X804" s="53">
        <f t="shared" si="1361"/>
        <v>2691</v>
      </c>
      <c r="Y804" s="53">
        <f t="shared" si="1356"/>
        <v>0</v>
      </c>
      <c r="Z804" s="53">
        <f t="shared" si="1362"/>
        <v>0</v>
      </c>
      <c r="AA804" s="54">
        <f t="shared" si="1349"/>
        <v>0</v>
      </c>
      <c r="AB804" s="54">
        <f t="shared" si="1363"/>
        <v>2691</v>
      </c>
      <c r="AC804" s="64">
        <f t="shared" si="1347"/>
        <v>0</v>
      </c>
      <c r="AD804" s="209"/>
      <c r="AE804" s="64">
        <f t="shared" si="1357"/>
        <v>0</v>
      </c>
      <c r="AF804" s="209"/>
      <c r="AG804" s="8"/>
    </row>
    <row r="805" spans="1:33" x14ac:dyDescent="0.45">
      <c r="A805" s="22">
        <f>A803</f>
        <v>44962</v>
      </c>
      <c r="B805" s="50" t="s">
        <v>54</v>
      </c>
      <c r="C805" s="48">
        <f t="shared" si="1358"/>
        <v>1840</v>
      </c>
      <c r="D805" s="51">
        <v>80</v>
      </c>
      <c r="E805" s="51">
        <v>12</v>
      </c>
      <c r="F805" s="51">
        <v>0</v>
      </c>
      <c r="G805" s="51">
        <v>0</v>
      </c>
      <c r="H805" s="51">
        <v>0</v>
      </c>
      <c r="I805" s="51">
        <v>0</v>
      </c>
      <c r="J805" s="51">
        <v>0</v>
      </c>
      <c r="K805" s="51">
        <v>0</v>
      </c>
      <c r="L805" s="52">
        <v>0</v>
      </c>
      <c r="M805" s="34"/>
      <c r="N805" s="51">
        <v>80</v>
      </c>
      <c r="O805" s="51">
        <v>12</v>
      </c>
      <c r="P805" s="51">
        <v>0</v>
      </c>
      <c r="Q805" s="51">
        <v>0</v>
      </c>
      <c r="R805" s="34"/>
      <c r="S805" s="51">
        <f t="shared" si="1359"/>
        <v>92</v>
      </c>
      <c r="T805" s="51">
        <f t="shared" ref="T805:T806" si="1364">SUM(N805:Q805)</f>
        <v>92</v>
      </c>
      <c r="U805" s="51">
        <f t="shared" si="1360"/>
        <v>0</v>
      </c>
      <c r="V805" s="34"/>
      <c r="W805" s="52">
        <v>23</v>
      </c>
      <c r="X805" s="53">
        <f t="shared" si="1361"/>
        <v>2254</v>
      </c>
      <c r="Y805" s="53">
        <f t="shared" si="1356"/>
        <v>0</v>
      </c>
      <c r="Z805" s="53">
        <f t="shared" si="1362"/>
        <v>0</v>
      </c>
      <c r="AA805" s="54">
        <f t="shared" si="1349"/>
        <v>0</v>
      </c>
      <c r="AB805" s="54">
        <f t="shared" si="1363"/>
        <v>2254</v>
      </c>
      <c r="AC805" s="64">
        <f>0-Y805-AA805</f>
        <v>0</v>
      </c>
      <c r="AD805" s="209"/>
      <c r="AE805" s="64">
        <f t="shared" si="1357"/>
        <v>0</v>
      </c>
      <c r="AF805" s="209"/>
      <c r="AG805" s="8"/>
    </row>
    <row r="806" spans="1:33" ht="14.65" thickBot="1" x14ac:dyDescent="0.5">
      <c r="A806" s="23">
        <f>A803</f>
        <v>44962</v>
      </c>
      <c r="B806" s="24" t="s">
        <v>62</v>
      </c>
      <c r="C806" s="49">
        <f t="shared" si="1358"/>
        <v>2000</v>
      </c>
      <c r="D806" s="25">
        <v>80</v>
      </c>
      <c r="E806" s="25">
        <v>15.25</v>
      </c>
      <c r="F806" s="25">
        <v>0</v>
      </c>
      <c r="G806" s="25">
        <v>0</v>
      </c>
      <c r="H806" s="25">
        <v>0</v>
      </c>
      <c r="I806" s="25">
        <v>0</v>
      </c>
      <c r="J806" s="25">
        <v>0</v>
      </c>
      <c r="K806" s="25">
        <v>0</v>
      </c>
      <c r="L806" s="46">
        <v>0</v>
      </c>
      <c r="M806" s="35"/>
      <c r="N806" s="25">
        <v>80</v>
      </c>
      <c r="O806" s="25">
        <v>15.25</v>
      </c>
      <c r="P806" s="25">
        <v>0</v>
      </c>
      <c r="Q806" s="25">
        <v>0</v>
      </c>
      <c r="R806" s="35"/>
      <c r="S806" s="25">
        <f t="shared" ref="S806" si="1365">SUM(D806:G806)</f>
        <v>95.25</v>
      </c>
      <c r="T806" s="25">
        <f t="shared" si="1364"/>
        <v>95.25</v>
      </c>
      <c r="U806" s="25">
        <f t="shared" ref="U806" si="1366">SUM(H806:K806)</f>
        <v>0</v>
      </c>
      <c r="V806" s="35"/>
      <c r="W806" s="46">
        <v>25</v>
      </c>
      <c r="X806" s="26">
        <f t="shared" si="1361"/>
        <v>2571.875</v>
      </c>
      <c r="Y806" s="26">
        <f t="shared" si="1356"/>
        <v>0</v>
      </c>
      <c r="Z806" s="26">
        <f t="shared" si="1362"/>
        <v>0</v>
      </c>
      <c r="AA806" s="27">
        <f t="shared" si="1349"/>
        <v>0</v>
      </c>
      <c r="AB806" s="27">
        <f t="shared" si="1363"/>
        <v>2571.875</v>
      </c>
      <c r="AC806" s="65">
        <f t="shared" ref="AC806:AC814" si="1367">0-Y806-AA806</f>
        <v>0</v>
      </c>
      <c r="AD806" s="210"/>
      <c r="AE806" s="65">
        <f t="shared" si="1357"/>
        <v>0</v>
      </c>
      <c r="AF806" s="210"/>
      <c r="AG806" s="8"/>
    </row>
    <row r="807" spans="1:33" x14ac:dyDescent="0.45">
      <c r="A807" s="16">
        <f>A806+14</f>
        <v>44976</v>
      </c>
      <c r="B807" s="17" t="s">
        <v>30</v>
      </c>
      <c r="C807" s="47">
        <f>120*W807</f>
        <v>4098</v>
      </c>
      <c r="D807" s="18">
        <v>80</v>
      </c>
      <c r="E807" s="18">
        <v>12</v>
      </c>
      <c r="F807" s="18">
        <v>0</v>
      </c>
      <c r="G807" s="18">
        <v>0</v>
      </c>
      <c r="H807" s="18">
        <v>0</v>
      </c>
      <c r="I807" s="18">
        <v>0</v>
      </c>
      <c r="J807" s="18">
        <v>0</v>
      </c>
      <c r="K807" s="18">
        <v>0</v>
      </c>
      <c r="L807" s="44">
        <v>0</v>
      </c>
      <c r="M807" s="33"/>
      <c r="N807" s="18">
        <v>80</v>
      </c>
      <c r="O807" s="18">
        <v>12</v>
      </c>
      <c r="P807" s="18">
        <v>0</v>
      </c>
      <c r="Q807" s="18">
        <v>0</v>
      </c>
      <c r="R807" s="33"/>
      <c r="S807" s="18">
        <f>SUM(D807:G807)</f>
        <v>92</v>
      </c>
      <c r="T807" s="18">
        <f>SUM(N807:Q807)</f>
        <v>92</v>
      </c>
      <c r="U807" s="18">
        <f>SUM(H807:K807)</f>
        <v>0</v>
      </c>
      <c r="V807" s="33"/>
      <c r="W807" s="56">
        <v>34.15</v>
      </c>
      <c r="X807" s="19">
        <f>(W807*1*D807)+(W807*1.5*E807)+(W807*2*F807)+(W807*1*G807)</f>
        <v>3346.7</v>
      </c>
      <c r="Y807" s="19">
        <f>(W807*0*H807)+(W807*1*I807)</f>
        <v>0</v>
      </c>
      <c r="Z807" s="19">
        <f>(W807*1*J807)+L807</f>
        <v>0</v>
      </c>
      <c r="AA807" s="20">
        <f>(W807*1*K807)</f>
        <v>0</v>
      </c>
      <c r="AB807" s="20">
        <f>(W807*1*N807)+(W807*1.5*O807)+(W807*2*P807)+(W807*1*Q807)</f>
        <v>3346.7</v>
      </c>
      <c r="AC807" s="66">
        <f t="shared" si="1367"/>
        <v>0</v>
      </c>
      <c r="AD807" s="208"/>
      <c r="AE807" s="66">
        <f t="shared" si="1357"/>
        <v>0</v>
      </c>
      <c r="AF807" s="208">
        <f>SUM(AE807:AE818)</f>
        <v>34.849999999999909</v>
      </c>
      <c r="AG807" s="8"/>
    </row>
    <row r="808" spans="1:33" x14ac:dyDescent="0.45">
      <c r="A808" s="22">
        <f>A807</f>
        <v>44976</v>
      </c>
      <c r="B808" s="15" t="s">
        <v>4</v>
      </c>
      <c r="C808" s="48">
        <f>80*W808</f>
        <v>2520</v>
      </c>
      <c r="D808" s="13">
        <v>80</v>
      </c>
      <c r="E808" s="13">
        <v>12</v>
      </c>
      <c r="F808" s="13">
        <v>0</v>
      </c>
      <c r="G808" s="13">
        <v>0</v>
      </c>
      <c r="H808" s="13">
        <v>0</v>
      </c>
      <c r="I808" s="13">
        <v>0</v>
      </c>
      <c r="J808" s="13">
        <v>0</v>
      </c>
      <c r="K808" s="13">
        <v>0</v>
      </c>
      <c r="L808" s="45">
        <v>0</v>
      </c>
      <c r="M808" s="34"/>
      <c r="N808" s="13">
        <v>80</v>
      </c>
      <c r="O808" s="13">
        <v>12</v>
      </c>
      <c r="P808" s="13">
        <v>0</v>
      </c>
      <c r="Q808" s="13">
        <v>0</v>
      </c>
      <c r="R808" s="34"/>
      <c r="S808" s="13">
        <f t="shared" ref="S808:S811" si="1368">SUM(D808:G808)</f>
        <v>92</v>
      </c>
      <c r="T808" s="13">
        <f t="shared" ref="T808" si="1369">SUM(N808:Q808)</f>
        <v>92</v>
      </c>
      <c r="U808" s="13">
        <f>SUM(H808:K808)</f>
        <v>0</v>
      </c>
      <c r="V808" s="34"/>
      <c r="W808" s="57">
        <v>31.5</v>
      </c>
      <c r="X808" s="10">
        <f t="shared" ref="X808:X809" si="1370">(W808*1*D808)+(W808*1.5*E808)+(W808*2*F808)+(W808*1*G808)</f>
        <v>3087</v>
      </c>
      <c r="Y808" s="10">
        <f t="shared" ref="Y808:Y810" si="1371">(W808*0*H808)+(W808*1*I808)</f>
        <v>0</v>
      </c>
      <c r="Z808" s="10">
        <f t="shared" ref="Z808:Z811" si="1372">(W808*1*J808)+L808</f>
        <v>0</v>
      </c>
      <c r="AA808" s="14">
        <f t="shared" ref="AA808:AA818" si="1373">(W808*1*K808)</f>
        <v>0</v>
      </c>
      <c r="AB808" s="14">
        <f t="shared" ref="AB808:AB811" si="1374">(W808*1*N808)+(W808*1.5*O808)+(W808*2*P808)+(W808*1*Q808)</f>
        <v>3087</v>
      </c>
      <c r="AC808" s="63">
        <f t="shared" si="1367"/>
        <v>0</v>
      </c>
      <c r="AD808" s="209"/>
      <c r="AE808" s="63">
        <f t="shared" si="1357"/>
        <v>0</v>
      </c>
      <c r="AF808" s="209"/>
      <c r="AG808" s="8"/>
    </row>
    <row r="809" spans="1:33" x14ac:dyDescent="0.45">
      <c r="A809" s="22">
        <f t="shared" ref="A809:A813" si="1375">A808</f>
        <v>44976</v>
      </c>
      <c r="B809" s="15" t="s">
        <v>5</v>
      </c>
      <c r="C809" s="48">
        <f>120*W809</f>
        <v>3654</v>
      </c>
      <c r="D809" s="13">
        <v>80</v>
      </c>
      <c r="E809" s="13">
        <v>34.5</v>
      </c>
      <c r="F809" s="13">
        <v>12</v>
      </c>
      <c r="G809" s="13">
        <v>14</v>
      </c>
      <c r="H809" s="13">
        <v>0</v>
      </c>
      <c r="I809" s="13">
        <v>0</v>
      </c>
      <c r="J809" s="13">
        <v>0</v>
      </c>
      <c r="K809" s="13">
        <v>0</v>
      </c>
      <c r="L809" s="45">
        <v>0</v>
      </c>
      <c r="M809" s="34"/>
      <c r="N809" s="13">
        <v>80</v>
      </c>
      <c r="O809" s="13">
        <v>34.5</v>
      </c>
      <c r="P809" s="13">
        <v>12</v>
      </c>
      <c r="Q809" s="13">
        <v>14</v>
      </c>
      <c r="R809" s="34"/>
      <c r="S809" s="13">
        <f t="shared" si="1368"/>
        <v>140.5</v>
      </c>
      <c r="T809" s="13">
        <f>SUM(N809:Q809)</f>
        <v>140.5</v>
      </c>
      <c r="U809" s="13">
        <f t="shared" ref="U809:U811" si="1376">SUM(H809:K809)</f>
        <v>0</v>
      </c>
      <c r="V809" s="34"/>
      <c r="W809" s="57">
        <v>30.45</v>
      </c>
      <c r="X809" s="10">
        <f t="shared" si="1370"/>
        <v>5168.8874999999998</v>
      </c>
      <c r="Y809" s="10">
        <f t="shared" si="1371"/>
        <v>0</v>
      </c>
      <c r="Z809" s="10">
        <f t="shared" si="1372"/>
        <v>0</v>
      </c>
      <c r="AA809" s="14">
        <f t="shared" si="1373"/>
        <v>0</v>
      </c>
      <c r="AB809" s="14">
        <f t="shared" si="1374"/>
        <v>5168.8874999999998</v>
      </c>
      <c r="AC809" s="63">
        <f t="shared" si="1367"/>
        <v>0</v>
      </c>
      <c r="AD809" s="209"/>
      <c r="AE809" s="63">
        <f t="shared" si="1357"/>
        <v>0</v>
      </c>
      <c r="AF809" s="209"/>
      <c r="AG809" s="8"/>
    </row>
    <row r="810" spans="1:33" x14ac:dyDescent="0.45">
      <c r="A810" s="22">
        <f t="shared" si="1375"/>
        <v>44976</v>
      </c>
      <c r="B810" s="15" t="s">
        <v>6</v>
      </c>
      <c r="C810" s="67">
        <f>120*W810</f>
        <v>3780</v>
      </c>
      <c r="D810" s="13">
        <v>79</v>
      </c>
      <c r="E810" s="13">
        <v>49</v>
      </c>
      <c r="F810" s="13">
        <v>10.5</v>
      </c>
      <c r="G810" s="13">
        <v>1</v>
      </c>
      <c r="H810" s="13">
        <v>0</v>
      </c>
      <c r="I810" s="13">
        <v>0</v>
      </c>
      <c r="J810" s="13">
        <v>0</v>
      </c>
      <c r="K810" s="13">
        <v>1</v>
      </c>
      <c r="L810" s="45">
        <v>0</v>
      </c>
      <c r="M810" s="34"/>
      <c r="N810" s="13">
        <v>80</v>
      </c>
      <c r="O810" s="13">
        <v>48</v>
      </c>
      <c r="P810" s="13">
        <v>10.5</v>
      </c>
      <c r="Q810" s="13">
        <v>1</v>
      </c>
      <c r="R810" s="34"/>
      <c r="S810" s="13">
        <f t="shared" si="1368"/>
        <v>139.5</v>
      </c>
      <c r="T810" s="13">
        <f t="shared" ref="T810:T811" si="1377">SUM(N810:Q810)</f>
        <v>139.5</v>
      </c>
      <c r="U810" s="13">
        <f t="shared" si="1376"/>
        <v>1</v>
      </c>
      <c r="V810" s="34"/>
      <c r="W810" s="57">
        <v>31.5</v>
      </c>
      <c r="X810" s="10">
        <f>(W810*1*D810)+(W810*1.5*E810)+(W810*2*F810)+(W810*1*G810)</f>
        <v>5496.75</v>
      </c>
      <c r="Y810" s="10">
        <f t="shared" si="1371"/>
        <v>0</v>
      </c>
      <c r="Z810" s="10">
        <f t="shared" si="1372"/>
        <v>0</v>
      </c>
      <c r="AA810" s="14">
        <f t="shared" si="1373"/>
        <v>31.5</v>
      </c>
      <c r="AB810" s="14">
        <f t="shared" si="1374"/>
        <v>5481</v>
      </c>
      <c r="AC810" s="63">
        <f t="shared" si="1367"/>
        <v>-31.5</v>
      </c>
      <c r="AD810" s="209"/>
      <c r="AE810" s="63">
        <f t="shared" si="1357"/>
        <v>-15.75</v>
      </c>
      <c r="AF810" s="209"/>
      <c r="AG810" s="8"/>
    </row>
    <row r="811" spans="1:33" s="78" customFormat="1" x14ac:dyDescent="0.45">
      <c r="A811" s="69">
        <f>A810</f>
        <v>44976</v>
      </c>
      <c r="B811" s="70" t="s">
        <v>9</v>
      </c>
      <c r="C811" s="71">
        <f>120*W811</f>
        <v>3780</v>
      </c>
      <c r="D811" s="72">
        <v>0</v>
      </c>
      <c r="E811" s="72">
        <v>0</v>
      </c>
      <c r="F811" s="72">
        <v>0</v>
      </c>
      <c r="G811" s="72">
        <v>0</v>
      </c>
      <c r="H811" s="72">
        <v>0</v>
      </c>
      <c r="I811" s="72">
        <v>0</v>
      </c>
      <c r="J811" s="72">
        <v>0</v>
      </c>
      <c r="K811" s="72">
        <v>0</v>
      </c>
      <c r="L811" s="73">
        <v>0</v>
      </c>
      <c r="M811" s="74"/>
      <c r="N811" s="72">
        <v>0</v>
      </c>
      <c r="O811" s="72">
        <v>0</v>
      </c>
      <c r="P811" s="72">
        <v>0</v>
      </c>
      <c r="Q811" s="72">
        <v>0</v>
      </c>
      <c r="R811" s="74"/>
      <c r="S811" s="72">
        <f t="shared" si="1368"/>
        <v>0</v>
      </c>
      <c r="T811" s="72">
        <f t="shared" si="1377"/>
        <v>0</v>
      </c>
      <c r="U811" s="72">
        <f t="shared" si="1376"/>
        <v>0</v>
      </c>
      <c r="V811" s="74"/>
      <c r="W811" s="73">
        <v>31.5</v>
      </c>
      <c r="X811" s="73">
        <f t="shared" ref="X811" si="1378">(W811*1*D811)+(W811*1.5*E811)+(W811*2*F811)+(W811*1*G811)</f>
        <v>0</v>
      </c>
      <c r="Y811" s="73">
        <f>(W811*0*H811)+(W811*1*I811)</f>
        <v>0</v>
      </c>
      <c r="Z811" s="73">
        <f t="shared" si="1372"/>
        <v>0</v>
      </c>
      <c r="AA811" s="75">
        <f t="shared" si="1373"/>
        <v>0</v>
      </c>
      <c r="AB811" s="75">
        <f t="shared" si="1374"/>
        <v>0</v>
      </c>
      <c r="AC811" s="76">
        <f t="shared" si="1367"/>
        <v>0</v>
      </c>
      <c r="AD811" s="209"/>
      <c r="AE811" s="76">
        <f t="shared" si="1357"/>
        <v>0</v>
      </c>
      <c r="AF811" s="209"/>
      <c r="AG811" s="77"/>
    </row>
    <row r="812" spans="1:33" x14ac:dyDescent="0.45">
      <c r="A812" s="22">
        <f t="shared" si="1375"/>
        <v>44976</v>
      </c>
      <c r="B812" s="50" t="s">
        <v>31</v>
      </c>
      <c r="C812" s="48">
        <f>120*W812</f>
        <v>3780</v>
      </c>
      <c r="D812" s="51">
        <v>80</v>
      </c>
      <c r="E812" s="51">
        <v>51.75</v>
      </c>
      <c r="F812" s="51">
        <v>24</v>
      </c>
      <c r="G812" s="51">
        <v>5</v>
      </c>
      <c r="H812" s="51">
        <v>0</v>
      </c>
      <c r="I812" s="51">
        <v>0</v>
      </c>
      <c r="J812" s="51">
        <v>0</v>
      </c>
      <c r="K812" s="51">
        <v>0</v>
      </c>
      <c r="L812" s="52">
        <v>0</v>
      </c>
      <c r="M812" s="34"/>
      <c r="N812" s="13">
        <v>80</v>
      </c>
      <c r="O812" s="13">
        <v>51.75</v>
      </c>
      <c r="P812" s="13">
        <v>24</v>
      </c>
      <c r="Q812" s="13">
        <v>5</v>
      </c>
      <c r="R812" s="34"/>
      <c r="S812" s="51">
        <f t="shared" ref="S812" si="1379">SUM(D812:G812)</f>
        <v>160.75</v>
      </c>
      <c r="T812" s="51">
        <f>SUM(N812:Q812)</f>
        <v>160.75</v>
      </c>
      <c r="U812" s="51">
        <f t="shared" ref="U812" si="1380">SUM(H812:K812)</f>
        <v>0</v>
      </c>
      <c r="V812" s="34"/>
      <c r="W812" s="58">
        <v>31.5</v>
      </c>
      <c r="X812" s="53">
        <f>(W812*1*D812)+(W812*1.5*E812)+(W812*2*F812)+(W812*1*G812)</f>
        <v>6634.6875</v>
      </c>
      <c r="Y812" s="53">
        <f t="shared" ref="Y812:Y818" si="1381">(W812*0*H812)+(W812*1*I812)</f>
        <v>0</v>
      </c>
      <c r="Z812" s="53">
        <f>(W812*1*J812)+L812</f>
        <v>0</v>
      </c>
      <c r="AA812" s="54">
        <f t="shared" si="1373"/>
        <v>0</v>
      </c>
      <c r="AB812" s="54">
        <f>(W812*1*N812)+(W812*1.5*O812)+(W812*2*P812)+(W812*1*Q812)</f>
        <v>6634.6875</v>
      </c>
      <c r="AC812" s="64">
        <f t="shared" si="1367"/>
        <v>0</v>
      </c>
      <c r="AD812" s="209"/>
      <c r="AE812" s="64">
        <f t="shared" ref="AE812:AE822" si="1382">AB812-(X812+Z812)</f>
        <v>0</v>
      </c>
      <c r="AF812" s="209"/>
      <c r="AG812" s="8"/>
    </row>
    <row r="813" spans="1:33" x14ac:dyDescent="0.45">
      <c r="A813" s="22">
        <f t="shared" si="1375"/>
        <v>44976</v>
      </c>
      <c r="B813" s="50" t="s">
        <v>64</v>
      </c>
      <c r="C813" s="48">
        <f t="shared" ref="C813:C818" si="1383">80*W813</f>
        <v>1672</v>
      </c>
      <c r="D813" s="51">
        <v>80</v>
      </c>
      <c r="E813" s="51">
        <v>19.5</v>
      </c>
      <c r="F813" s="51">
        <v>0</v>
      </c>
      <c r="G813" s="51">
        <v>3</v>
      </c>
      <c r="H813" s="51">
        <v>0</v>
      </c>
      <c r="I813" s="51">
        <v>0</v>
      </c>
      <c r="J813" s="51">
        <v>0</v>
      </c>
      <c r="K813" s="51">
        <v>0</v>
      </c>
      <c r="L813" s="52">
        <v>0</v>
      </c>
      <c r="M813" s="34"/>
      <c r="N813" s="51">
        <v>80</v>
      </c>
      <c r="O813" s="51">
        <v>19.5</v>
      </c>
      <c r="P813" s="51">
        <v>0</v>
      </c>
      <c r="Q813" s="51">
        <v>3</v>
      </c>
      <c r="R813" s="34"/>
      <c r="S813" s="51">
        <f t="shared" ref="S813:S815" si="1384">SUM(D813:G813)</f>
        <v>102.5</v>
      </c>
      <c r="T813" s="51">
        <f>SUM(N813:Q813)</f>
        <v>102.5</v>
      </c>
      <c r="U813" s="51">
        <f t="shared" ref="U813:U815" si="1385">SUM(H813:K813)</f>
        <v>0</v>
      </c>
      <c r="V813" s="34"/>
      <c r="W813" s="52">
        <v>20.9</v>
      </c>
      <c r="X813" s="53">
        <f t="shared" ref="X813:X818" si="1386">(W813*1*D813)+(W813*1.5*E813)+(W813*2*F813)+(W813*1*G813)</f>
        <v>2346.0249999999996</v>
      </c>
      <c r="Y813" s="53">
        <f t="shared" si="1381"/>
        <v>0</v>
      </c>
      <c r="Z813" s="53">
        <f t="shared" ref="Z813:Z818" si="1387">(W813*1*J813)+L813</f>
        <v>0</v>
      </c>
      <c r="AA813" s="54">
        <f t="shared" si="1373"/>
        <v>0</v>
      </c>
      <c r="AB813" s="54">
        <f t="shared" ref="AB813:AB818" si="1388">(W813*1*N813)+(W813*1.5*O813)+(W813*2*P813)+(W813*1*Q813)</f>
        <v>2346.0249999999996</v>
      </c>
      <c r="AC813" s="64">
        <f t="shared" si="1367"/>
        <v>0</v>
      </c>
      <c r="AD813" s="209"/>
      <c r="AE813" s="64">
        <f t="shared" si="1382"/>
        <v>0</v>
      </c>
      <c r="AF813" s="209"/>
      <c r="AG813" s="8"/>
    </row>
    <row r="814" spans="1:33" x14ac:dyDescent="0.45">
      <c r="A814" s="22">
        <f>A813</f>
        <v>44976</v>
      </c>
      <c r="B814" s="50" t="s">
        <v>53</v>
      </c>
      <c r="C814" s="48">
        <f t="shared" si="1383"/>
        <v>2024</v>
      </c>
      <c r="D814" s="51">
        <v>78</v>
      </c>
      <c r="E814" s="51">
        <v>17.75</v>
      </c>
      <c r="F814" s="51">
        <v>0</v>
      </c>
      <c r="G814" s="51">
        <v>14.5</v>
      </c>
      <c r="H814" s="51">
        <v>0</v>
      </c>
      <c r="I814" s="51">
        <v>0</v>
      </c>
      <c r="J814" s="51">
        <v>0</v>
      </c>
      <c r="K814" s="51">
        <v>2</v>
      </c>
      <c r="L814" s="52">
        <v>0</v>
      </c>
      <c r="M814" s="34"/>
      <c r="N814" s="13">
        <v>80</v>
      </c>
      <c r="O814" s="13">
        <v>17.75</v>
      </c>
      <c r="P814" s="13">
        <v>0</v>
      </c>
      <c r="Q814" s="13">
        <v>14.5</v>
      </c>
      <c r="R814" s="34"/>
      <c r="S814" s="51">
        <f t="shared" si="1384"/>
        <v>110.25</v>
      </c>
      <c r="T814" s="51">
        <f>SUM(N814:Q814)</f>
        <v>112.25</v>
      </c>
      <c r="U814" s="51">
        <f t="shared" si="1385"/>
        <v>2</v>
      </c>
      <c r="V814" s="34"/>
      <c r="W814" s="58">
        <v>25.3</v>
      </c>
      <c r="X814" s="53">
        <f t="shared" si="1386"/>
        <v>3013.8625000000002</v>
      </c>
      <c r="Y814" s="53">
        <f t="shared" si="1381"/>
        <v>0</v>
      </c>
      <c r="Z814" s="53">
        <f t="shared" si="1387"/>
        <v>0</v>
      </c>
      <c r="AA814" s="54">
        <f t="shared" si="1373"/>
        <v>50.6</v>
      </c>
      <c r="AB814" s="54">
        <f t="shared" si="1388"/>
        <v>3064.4625000000001</v>
      </c>
      <c r="AC814" s="64">
        <f t="shared" si="1367"/>
        <v>-50.6</v>
      </c>
      <c r="AD814" s="209"/>
      <c r="AE814" s="64">
        <f t="shared" si="1382"/>
        <v>50.599999999999909</v>
      </c>
      <c r="AF814" s="209"/>
      <c r="AG814" s="8"/>
    </row>
    <row r="815" spans="1:33" x14ac:dyDescent="0.45">
      <c r="A815" s="22">
        <f>A813</f>
        <v>44976</v>
      </c>
      <c r="B815" s="50" t="s">
        <v>54</v>
      </c>
      <c r="C815" s="48">
        <f t="shared" si="1383"/>
        <v>2024</v>
      </c>
      <c r="D815" s="51">
        <v>80</v>
      </c>
      <c r="E815" s="51">
        <v>44.75</v>
      </c>
      <c r="F815" s="51">
        <v>24</v>
      </c>
      <c r="G815" s="51">
        <v>2</v>
      </c>
      <c r="H815" s="51">
        <v>0</v>
      </c>
      <c r="I815" s="51">
        <v>0</v>
      </c>
      <c r="J815" s="51">
        <v>0</v>
      </c>
      <c r="K815" s="51">
        <v>3.25</v>
      </c>
      <c r="L815" s="52">
        <v>0</v>
      </c>
      <c r="M815" s="34"/>
      <c r="N815" s="51">
        <v>80</v>
      </c>
      <c r="O815" s="51">
        <v>44.75</v>
      </c>
      <c r="P815" s="51">
        <v>24</v>
      </c>
      <c r="Q815" s="51">
        <v>2</v>
      </c>
      <c r="R815" s="34"/>
      <c r="S815" s="51">
        <f t="shared" si="1384"/>
        <v>150.75</v>
      </c>
      <c r="T815" s="51">
        <f t="shared" ref="T815:T818" si="1389">SUM(N815:Q815)</f>
        <v>150.75</v>
      </c>
      <c r="U815" s="51">
        <f t="shared" si="1385"/>
        <v>3.25</v>
      </c>
      <c r="V815" s="34"/>
      <c r="W815" s="58">
        <v>25.3</v>
      </c>
      <c r="X815" s="53">
        <f t="shared" si="1386"/>
        <v>4987.2625000000007</v>
      </c>
      <c r="Y815" s="53">
        <f t="shared" si="1381"/>
        <v>0</v>
      </c>
      <c r="Z815" s="53">
        <f t="shared" si="1387"/>
        <v>0</v>
      </c>
      <c r="AA815" s="54">
        <f t="shared" si="1373"/>
        <v>82.225000000000009</v>
      </c>
      <c r="AB815" s="54">
        <f t="shared" si="1388"/>
        <v>4987.2625000000007</v>
      </c>
      <c r="AC815" s="64">
        <f>0-Y815-AA815</f>
        <v>-82.225000000000009</v>
      </c>
      <c r="AD815" s="209"/>
      <c r="AE815" s="64">
        <f t="shared" si="1382"/>
        <v>0</v>
      </c>
      <c r="AF815" s="209"/>
      <c r="AG815" s="8"/>
    </row>
    <row r="816" spans="1:33" x14ac:dyDescent="0.45">
      <c r="A816" s="68">
        <v>44976</v>
      </c>
      <c r="B816" s="50" t="s">
        <v>65</v>
      </c>
      <c r="C816" s="48">
        <f t="shared" si="1383"/>
        <v>1512</v>
      </c>
      <c r="D816" s="51">
        <v>0</v>
      </c>
      <c r="E816" s="51">
        <v>0</v>
      </c>
      <c r="F816" s="51">
        <v>0</v>
      </c>
      <c r="G816" s="51">
        <v>0</v>
      </c>
      <c r="H816" s="51">
        <v>0</v>
      </c>
      <c r="I816" s="51">
        <v>0</v>
      </c>
      <c r="J816" s="51">
        <v>0</v>
      </c>
      <c r="K816" s="51">
        <v>80</v>
      </c>
      <c r="L816" s="52">
        <v>0</v>
      </c>
      <c r="M816" s="34"/>
      <c r="N816" s="51">
        <v>0</v>
      </c>
      <c r="O816" s="51">
        <v>0</v>
      </c>
      <c r="P816" s="51">
        <v>0</v>
      </c>
      <c r="Q816" s="51">
        <v>0</v>
      </c>
      <c r="R816" s="34"/>
      <c r="S816" s="51">
        <f t="shared" ref="S816:S817" si="1390">SUM(D816:G816)</f>
        <v>0</v>
      </c>
      <c r="T816" s="51">
        <f t="shared" ref="T816:T817" si="1391">SUM(N816:Q816)</f>
        <v>0</v>
      </c>
      <c r="U816" s="51">
        <f t="shared" ref="U816:U817" si="1392">SUM(H816:K816)</f>
        <v>80</v>
      </c>
      <c r="V816" s="34"/>
      <c r="W816" s="58">
        <v>18.899999999999999</v>
      </c>
      <c r="X816" s="53">
        <f t="shared" si="1386"/>
        <v>0</v>
      </c>
      <c r="Y816" s="53">
        <f t="shared" si="1381"/>
        <v>0</v>
      </c>
      <c r="Z816" s="53">
        <f t="shared" si="1387"/>
        <v>0</v>
      </c>
      <c r="AA816" s="54">
        <f t="shared" si="1373"/>
        <v>1512</v>
      </c>
      <c r="AB816" s="54">
        <f t="shared" si="1388"/>
        <v>0</v>
      </c>
      <c r="AC816" s="64">
        <f>0-Y816-AA816</f>
        <v>-1512</v>
      </c>
      <c r="AD816" s="209"/>
      <c r="AE816" s="64">
        <f t="shared" si="1382"/>
        <v>0</v>
      </c>
      <c r="AF816" s="209"/>
      <c r="AG816" s="8"/>
    </row>
    <row r="817" spans="1:33" x14ac:dyDescent="0.45">
      <c r="A817" s="68">
        <v>44976</v>
      </c>
      <c r="B817" s="50" t="s">
        <v>66</v>
      </c>
      <c r="C817" s="48">
        <f t="shared" si="1383"/>
        <v>1512</v>
      </c>
      <c r="D817" s="51">
        <v>0</v>
      </c>
      <c r="E817" s="51">
        <v>0</v>
      </c>
      <c r="F817" s="51">
        <v>0</v>
      </c>
      <c r="G817" s="51">
        <v>0</v>
      </c>
      <c r="H817" s="51">
        <v>0</v>
      </c>
      <c r="I817" s="51">
        <v>0</v>
      </c>
      <c r="J817" s="51">
        <v>0</v>
      </c>
      <c r="K817" s="51">
        <v>72</v>
      </c>
      <c r="L817" s="52">
        <v>0</v>
      </c>
      <c r="M817" s="34"/>
      <c r="N817" s="51">
        <v>0</v>
      </c>
      <c r="O817" s="51">
        <v>0</v>
      </c>
      <c r="P817" s="51">
        <v>0</v>
      </c>
      <c r="Q817" s="51">
        <v>0</v>
      </c>
      <c r="R817" s="34"/>
      <c r="S817" s="51">
        <f t="shared" si="1390"/>
        <v>0</v>
      </c>
      <c r="T817" s="51">
        <f t="shared" si="1391"/>
        <v>0</v>
      </c>
      <c r="U817" s="51">
        <f t="shared" si="1392"/>
        <v>72</v>
      </c>
      <c r="V817" s="34"/>
      <c r="W817" s="58">
        <v>18.899999999999999</v>
      </c>
      <c r="X817" s="53">
        <f t="shared" ref="X817" si="1393">(W817*1*D817)+(W817*1.5*E817)+(W817*2*F817)+(W817*1*G817)</f>
        <v>0</v>
      </c>
      <c r="Y817" s="53">
        <f t="shared" ref="Y817" si="1394">(W817*0*H817)+(W817*1*I817)</f>
        <v>0</v>
      </c>
      <c r="Z817" s="53">
        <f t="shared" ref="Z817" si="1395">(W817*1*J817)+L817</f>
        <v>0</v>
      </c>
      <c r="AA817" s="54">
        <f t="shared" ref="AA817" si="1396">(W817*1*K817)</f>
        <v>1360.8</v>
      </c>
      <c r="AB817" s="54">
        <f t="shared" ref="AB817" si="1397">(W817*1*N817)+(W817*1.5*O817)+(W817*2*P817)+(W817*1*Q817)</f>
        <v>0</v>
      </c>
      <c r="AC817" s="64">
        <f>0-Y817-AA817</f>
        <v>-1360.8</v>
      </c>
      <c r="AD817" s="209"/>
      <c r="AE817" s="64">
        <f t="shared" si="1382"/>
        <v>0</v>
      </c>
      <c r="AF817" s="209"/>
      <c r="AG817" s="8"/>
    </row>
    <row r="818" spans="1:33" ht="14.65" thickBot="1" x14ac:dyDescent="0.5">
      <c r="A818" s="23">
        <f>A813</f>
        <v>44976</v>
      </c>
      <c r="B818" s="24" t="s">
        <v>62</v>
      </c>
      <c r="C818" s="49">
        <f t="shared" si="1383"/>
        <v>2000</v>
      </c>
      <c r="D818" s="25">
        <v>80</v>
      </c>
      <c r="E818" s="25">
        <v>17.75</v>
      </c>
      <c r="F818" s="25">
        <v>0</v>
      </c>
      <c r="G818" s="25">
        <v>7</v>
      </c>
      <c r="H818" s="25">
        <v>0</v>
      </c>
      <c r="I818" s="25">
        <v>0</v>
      </c>
      <c r="J818" s="25">
        <v>0</v>
      </c>
      <c r="K818" s="25">
        <v>0</v>
      </c>
      <c r="L818" s="46">
        <v>0</v>
      </c>
      <c r="M818" s="35"/>
      <c r="N818" s="25">
        <v>80</v>
      </c>
      <c r="O818" s="25">
        <v>17.75</v>
      </c>
      <c r="P818" s="25">
        <v>0</v>
      </c>
      <c r="Q818" s="25">
        <v>7</v>
      </c>
      <c r="R818" s="35"/>
      <c r="S818" s="25">
        <f t="shared" ref="S818" si="1398">SUM(D818:G818)</f>
        <v>104.75</v>
      </c>
      <c r="T818" s="25">
        <f t="shared" si="1389"/>
        <v>104.75</v>
      </c>
      <c r="U818" s="25">
        <f t="shared" ref="U818" si="1399">SUM(H818:K818)</f>
        <v>0</v>
      </c>
      <c r="V818" s="35"/>
      <c r="W818" s="46">
        <v>25</v>
      </c>
      <c r="X818" s="26">
        <f t="shared" si="1386"/>
        <v>2840.625</v>
      </c>
      <c r="Y818" s="26">
        <f t="shared" si="1381"/>
        <v>0</v>
      </c>
      <c r="Z818" s="26">
        <f t="shared" si="1387"/>
        <v>0</v>
      </c>
      <c r="AA818" s="27">
        <f t="shared" si="1373"/>
        <v>0</v>
      </c>
      <c r="AB818" s="27">
        <f t="shared" si="1388"/>
        <v>2840.625</v>
      </c>
      <c r="AC818" s="65">
        <f t="shared" ref="AC818:AC825" si="1400">0-Y818-AA818</f>
        <v>0</v>
      </c>
      <c r="AD818" s="210"/>
      <c r="AE818" s="65">
        <f t="shared" si="1382"/>
        <v>0</v>
      </c>
      <c r="AF818" s="210"/>
      <c r="AG818" s="8"/>
    </row>
    <row r="819" spans="1:33" x14ac:dyDescent="0.45">
      <c r="A819" s="16">
        <f>A818+14</f>
        <v>44990</v>
      </c>
      <c r="B819" s="17" t="s">
        <v>30</v>
      </c>
      <c r="C819" s="47">
        <f>120*W819</f>
        <v>4098</v>
      </c>
      <c r="D819" s="18">
        <v>72</v>
      </c>
      <c r="E819" s="18">
        <v>15</v>
      </c>
      <c r="F819" s="18">
        <v>0</v>
      </c>
      <c r="G819" s="18">
        <v>8</v>
      </c>
      <c r="H819" s="18">
        <v>0</v>
      </c>
      <c r="I819" s="18">
        <v>0</v>
      </c>
      <c r="J819" s="18">
        <v>8</v>
      </c>
      <c r="K819" s="18">
        <v>0</v>
      </c>
      <c r="L819" s="44">
        <v>0</v>
      </c>
      <c r="M819" s="33"/>
      <c r="N819" s="18">
        <v>80</v>
      </c>
      <c r="O819" s="18">
        <v>7</v>
      </c>
      <c r="P819" s="18">
        <v>0</v>
      </c>
      <c r="Q819" s="18">
        <v>8</v>
      </c>
      <c r="R819" s="33"/>
      <c r="S819" s="18">
        <f>SUM(D819:G819)</f>
        <v>95</v>
      </c>
      <c r="T819" s="18">
        <f>SUM(N819:Q819)</f>
        <v>95</v>
      </c>
      <c r="U819" s="18">
        <f>SUM(H819:K819)</f>
        <v>8</v>
      </c>
      <c r="V819" s="33"/>
      <c r="W819" s="44">
        <v>34.15</v>
      </c>
      <c r="X819" s="19">
        <f>(W819*1*D819)+(W819*1.5*E819)+(W819*2*F819)+(W819*1*G819)</f>
        <v>3500.3749999999995</v>
      </c>
      <c r="Y819" s="19">
        <f>(W819*0*H819)+(W819*1*I819)</f>
        <v>0</v>
      </c>
      <c r="Z819" s="19">
        <f>(W819*1*J819)+L819</f>
        <v>273.2</v>
      </c>
      <c r="AA819" s="20">
        <f>(W819*1*K819)</f>
        <v>0</v>
      </c>
      <c r="AB819" s="20">
        <f>(W819*1*N819)+(W819*1.5*O819)+(W819*2*P819)+(W819*1*Q819)</f>
        <v>3363.7749999999996</v>
      </c>
      <c r="AC819" s="66">
        <f t="shared" si="1400"/>
        <v>0</v>
      </c>
      <c r="AD819" s="208"/>
      <c r="AE819" s="66">
        <f t="shared" si="1382"/>
        <v>-409.79999999999973</v>
      </c>
      <c r="AF819" s="208">
        <f>SUM(AE819:AE829)</f>
        <v>-3832.815833333334</v>
      </c>
      <c r="AG819" s="8"/>
    </row>
    <row r="820" spans="1:33" x14ac:dyDescent="0.45">
      <c r="A820" s="22">
        <f>A819</f>
        <v>44990</v>
      </c>
      <c r="B820" s="15" t="s">
        <v>4</v>
      </c>
      <c r="C820" s="48">
        <f>80*W820</f>
        <v>2520</v>
      </c>
      <c r="D820" s="13">
        <v>72</v>
      </c>
      <c r="E820" s="13">
        <v>31</v>
      </c>
      <c r="F820" s="13">
        <v>0</v>
      </c>
      <c r="G820" s="13">
        <v>4.5</v>
      </c>
      <c r="H820" s="13">
        <v>0</v>
      </c>
      <c r="I820" s="13">
        <v>0</v>
      </c>
      <c r="J820" s="13">
        <v>8</v>
      </c>
      <c r="K820" s="13">
        <v>0</v>
      </c>
      <c r="L820" s="45">
        <v>0</v>
      </c>
      <c r="M820" s="34"/>
      <c r="N820" s="13">
        <v>80</v>
      </c>
      <c r="O820" s="13">
        <v>24.75</v>
      </c>
      <c r="P820" s="13">
        <v>0</v>
      </c>
      <c r="Q820" s="13">
        <v>4.5</v>
      </c>
      <c r="R820" s="34"/>
      <c r="S820" s="13">
        <f t="shared" ref="S820:S822" si="1401">SUM(D820:G820)</f>
        <v>107.5</v>
      </c>
      <c r="T820" s="13">
        <f t="shared" ref="T820" si="1402">SUM(N820:Q820)</f>
        <v>109.25</v>
      </c>
      <c r="U820" s="13">
        <f>SUM(H820:K820)</f>
        <v>8</v>
      </c>
      <c r="V820" s="34"/>
      <c r="W820" s="45">
        <v>31.5</v>
      </c>
      <c r="X820" s="10">
        <f t="shared" ref="X820:X821" si="1403">(W820*1*D820)+(W820*1.5*E820)+(W820*2*F820)+(W820*1*G820)</f>
        <v>3874.5</v>
      </c>
      <c r="Y820" s="10">
        <f t="shared" ref="Y820:Y822" si="1404">(W820*0*H820)+(W820*1*I820)</f>
        <v>0</v>
      </c>
      <c r="Z820" s="10">
        <f t="shared" ref="Z820:Z822" si="1405">(W820*1*J820)+L820</f>
        <v>252</v>
      </c>
      <c r="AA820" s="14">
        <f t="shared" ref="AA820:AA829" si="1406">(W820*1*K820)</f>
        <v>0</v>
      </c>
      <c r="AB820" s="14">
        <f t="shared" ref="AB820:AB822" si="1407">(W820*1*N820)+(W820*1.5*O820)+(W820*2*P820)+(W820*1*Q820)</f>
        <v>3831.1875</v>
      </c>
      <c r="AC820" s="63">
        <f t="shared" si="1400"/>
        <v>0</v>
      </c>
      <c r="AD820" s="209"/>
      <c r="AE820" s="63">
        <f t="shared" si="1382"/>
        <v>-295.3125</v>
      </c>
      <c r="AF820" s="209"/>
      <c r="AG820" s="8"/>
    </row>
    <row r="821" spans="1:33" x14ac:dyDescent="0.45">
      <c r="A821" s="22">
        <f t="shared" ref="A821:A829" si="1408">A820</f>
        <v>44990</v>
      </c>
      <c r="B821" s="15" t="s">
        <v>5</v>
      </c>
      <c r="C821" s="48">
        <f>120*W821</f>
        <v>3654</v>
      </c>
      <c r="D821" s="13">
        <v>68</v>
      </c>
      <c r="E821" s="13">
        <v>30</v>
      </c>
      <c r="F821" s="13">
        <v>12</v>
      </c>
      <c r="G821" s="13">
        <v>20</v>
      </c>
      <c r="H821" s="13">
        <v>8</v>
      </c>
      <c r="I821" s="13">
        <v>0</v>
      </c>
      <c r="J821" s="13">
        <v>8</v>
      </c>
      <c r="K821" s="13">
        <v>0</v>
      </c>
      <c r="L821" s="45">
        <v>0</v>
      </c>
      <c r="M821" s="34"/>
      <c r="N821" s="13">
        <v>76</v>
      </c>
      <c r="O821" s="13">
        <v>22</v>
      </c>
      <c r="P821" s="13">
        <v>12</v>
      </c>
      <c r="Q821" s="13">
        <v>20</v>
      </c>
      <c r="R821" s="34"/>
      <c r="S821" s="13">
        <f t="shared" si="1401"/>
        <v>130</v>
      </c>
      <c r="T821" s="13">
        <f>SUM(N821:Q821)</f>
        <v>130</v>
      </c>
      <c r="U821" s="13">
        <f t="shared" ref="U821:U822" si="1409">SUM(H821:K821)</f>
        <v>16</v>
      </c>
      <c r="V821" s="34"/>
      <c r="W821" s="45">
        <v>30.45</v>
      </c>
      <c r="X821" s="10">
        <f t="shared" si="1403"/>
        <v>4780.6499999999996</v>
      </c>
      <c r="Y821" s="10">
        <f t="shared" si="1404"/>
        <v>0</v>
      </c>
      <c r="Z821" s="10">
        <f t="shared" si="1405"/>
        <v>243.6</v>
      </c>
      <c r="AA821" s="14">
        <f t="shared" si="1406"/>
        <v>0</v>
      </c>
      <c r="AB821" s="14">
        <f t="shared" si="1407"/>
        <v>4658.8499999999995</v>
      </c>
      <c r="AC821" s="63">
        <f t="shared" si="1400"/>
        <v>0</v>
      </c>
      <c r="AD821" s="209"/>
      <c r="AE821" s="63">
        <f t="shared" si="1382"/>
        <v>-365.40000000000055</v>
      </c>
      <c r="AF821" s="209"/>
      <c r="AG821" s="8"/>
    </row>
    <row r="822" spans="1:33" x14ac:dyDescent="0.45">
      <c r="A822" s="22">
        <f t="shared" si="1408"/>
        <v>44990</v>
      </c>
      <c r="B822" s="15" t="s">
        <v>6</v>
      </c>
      <c r="C822" s="48">
        <f>120*W822</f>
        <v>3780</v>
      </c>
      <c r="D822" s="13">
        <v>72</v>
      </c>
      <c r="E822" s="13">
        <v>32</v>
      </c>
      <c r="F822" s="13">
        <v>0</v>
      </c>
      <c r="G822" s="13">
        <v>1.75</v>
      </c>
      <c r="H822" s="13">
        <v>0</v>
      </c>
      <c r="I822" s="13">
        <v>0</v>
      </c>
      <c r="J822" s="13">
        <v>8</v>
      </c>
      <c r="K822" s="13">
        <v>1</v>
      </c>
      <c r="L822" s="45">
        <v>0</v>
      </c>
      <c r="M822" s="34"/>
      <c r="N822" s="13">
        <v>80</v>
      </c>
      <c r="O822" s="13">
        <v>25</v>
      </c>
      <c r="P822" s="13">
        <v>0</v>
      </c>
      <c r="Q822" s="13">
        <v>1.75</v>
      </c>
      <c r="R822" s="34"/>
      <c r="S822" s="13">
        <f t="shared" si="1401"/>
        <v>105.75</v>
      </c>
      <c r="T822" s="13">
        <f t="shared" ref="T822" si="1410">SUM(N822:Q822)</f>
        <v>106.75</v>
      </c>
      <c r="U822" s="13">
        <f t="shared" si="1409"/>
        <v>9</v>
      </c>
      <c r="V822" s="34"/>
      <c r="W822" s="45">
        <v>31.5</v>
      </c>
      <c r="X822" s="45">
        <f>(W822*1*D822)+(W822*1.5*E822)+(W822*2*F822)+(W822*1*G822)</f>
        <v>3835.125</v>
      </c>
      <c r="Y822" s="45">
        <f t="shared" si="1404"/>
        <v>0</v>
      </c>
      <c r="Z822" s="45">
        <f t="shared" si="1405"/>
        <v>252</v>
      </c>
      <c r="AA822" s="79">
        <f t="shared" si="1406"/>
        <v>31.5</v>
      </c>
      <c r="AB822" s="79">
        <f t="shared" si="1407"/>
        <v>3756.375</v>
      </c>
      <c r="AC822" s="80">
        <f t="shared" si="1400"/>
        <v>-31.5</v>
      </c>
      <c r="AD822" s="209"/>
      <c r="AE822" s="80">
        <f t="shared" si="1382"/>
        <v>-330.75</v>
      </c>
      <c r="AF822" s="209"/>
      <c r="AG822" s="8"/>
    </row>
    <row r="823" spans="1:33" x14ac:dyDescent="0.45">
      <c r="A823" s="82">
        <f t="shared" si="1408"/>
        <v>44990</v>
      </c>
      <c r="B823" s="81" t="s">
        <v>31</v>
      </c>
      <c r="C823" s="48">
        <f>120*W823</f>
        <v>3780</v>
      </c>
      <c r="D823" s="51">
        <v>72</v>
      </c>
      <c r="E823" s="51">
        <v>26</v>
      </c>
      <c r="F823" s="51">
        <v>0</v>
      </c>
      <c r="G823" s="51">
        <v>17.5</v>
      </c>
      <c r="H823" s="51">
        <v>0</v>
      </c>
      <c r="I823" s="51">
        <v>0</v>
      </c>
      <c r="J823" s="51">
        <v>8</v>
      </c>
      <c r="K823" s="51">
        <v>0</v>
      </c>
      <c r="L823" s="52">
        <f>1779.46/3</f>
        <v>593.15333333333331</v>
      </c>
      <c r="M823" s="34"/>
      <c r="N823" s="13">
        <v>80</v>
      </c>
      <c r="O823" s="13">
        <v>18</v>
      </c>
      <c r="P823" s="13">
        <v>0</v>
      </c>
      <c r="Q823" s="13">
        <v>17.5</v>
      </c>
      <c r="R823" s="34"/>
      <c r="S823" s="51">
        <f t="shared" ref="S823" si="1411">SUM(D823:G823)</f>
        <v>115.5</v>
      </c>
      <c r="T823" s="51">
        <f>SUM(N823:Q823)</f>
        <v>115.5</v>
      </c>
      <c r="U823" s="51">
        <f t="shared" ref="U823" si="1412">SUM(H823:K823)</f>
        <v>8</v>
      </c>
      <c r="V823" s="34"/>
      <c r="W823" s="52">
        <v>31.5</v>
      </c>
      <c r="X823" s="53">
        <f>(W823*1*D823)+(W823*1.5*E823)+(W823*2*F823)+(W823*1*G823)</f>
        <v>4047.75</v>
      </c>
      <c r="Y823" s="53">
        <f t="shared" ref="Y823:Y829" si="1413">(W823*0*H823)+(W823*1*I823)</f>
        <v>0</v>
      </c>
      <c r="Z823" s="53">
        <f>(W823*1*J823)+L823</f>
        <v>845.15333333333331</v>
      </c>
      <c r="AA823" s="54">
        <f t="shared" si="1406"/>
        <v>0</v>
      </c>
      <c r="AB823" s="54">
        <f>(W823*1*N823)+(W823*1.5*O823)+(W823*2*P823)+(W823*1*Q823)</f>
        <v>3921.75</v>
      </c>
      <c r="AC823" s="64">
        <f t="shared" si="1400"/>
        <v>0</v>
      </c>
      <c r="AD823" s="209"/>
      <c r="AE823" s="64">
        <f t="shared" ref="AE823:AE833" si="1414">AB823-(X823+Z823)</f>
        <v>-971.15333333333365</v>
      </c>
      <c r="AF823" s="209"/>
      <c r="AG823" s="8"/>
    </row>
    <row r="824" spans="1:33" x14ac:dyDescent="0.45">
      <c r="A824" s="22">
        <f t="shared" si="1408"/>
        <v>44990</v>
      </c>
      <c r="B824" s="50" t="s">
        <v>64</v>
      </c>
      <c r="C824" s="48">
        <f t="shared" ref="C824:C829" si="1415">80*W824</f>
        <v>1672</v>
      </c>
      <c r="D824" s="51">
        <v>72</v>
      </c>
      <c r="E824" s="51">
        <v>27.5</v>
      </c>
      <c r="F824" s="51">
        <v>0</v>
      </c>
      <c r="G824" s="51">
        <v>6</v>
      </c>
      <c r="H824" s="51">
        <v>0</v>
      </c>
      <c r="I824" s="51">
        <v>0</v>
      </c>
      <c r="J824" s="51">
        <v>8</v>
      </c>
      <c r="K824" s="51">
        <v>0</v>
      </c>
      <c r="L824" s="52">
        <v>0</v>
      </c>
      <c r="M824" s="34"/>
      <c r="N824" s="51">
        <v>80</v>
      </c>
      <c r="O824" s="51">
        <v>19.5</v>
      </c>
      <c r="P824" s="51">
        <v>0</v>
      </c>
      <c r="Q824" s="51">
        <v>6</v>
      </c>
      <c r="R824" s="34"/>
      <c r="S824" s="51">
        <f t="shared" ref="S824:S826" si="1416">SUM(D824:G824)</f>
        <v>105.5</v>
      </c>
      <c r="T824" s="51">
        <f>SUM(N824:Q824)</f>
        <v>105.5</v>
      </c>
      <c r="U824" s="51">
        <f t="shared" ref="U824:U826" si="1417">SUM(H824:K824)</f>
        <v>8</v>
      </c>
      <c r="V824" s="34"/>
      <c r="W824" s="52">
        <v>20.9</v>
      </c>
      <c r="X824" s="53">
        <f t="shared" ref="X824:X829" si="1418">(W824*1*D824)+(W824*1.5*E824)+(W824*2*F824)+(W824*1*G824)</f>
        <v>2492.3249999999998</v>
      </c>
      <c r="Y824" s="53">
        <f t="shared" si="1413"/>
        <v>0</v>
      </c>
      <c r="Z824" s="53">
        <f t="shared" ref="Z824:Z829" si="1419">(W824*1*J824)+L824</f>
        <v>167.2</v>
      </c>
      <c r="AA824" s="54">
        <f t="shared" si="1406"/>
        <v>0</v>
      </c>
      <c r="AB824" s="54">
        <f t="shared" ref="AB824:AB829" si="1420">(W824*1*N824)+(W824*1.5*O824)+(W824*2*P824)+(W824*1*Q824)</f>
        <v>2408.7249999999999</v>
      </c>
      <c r="AC824" s="64">
        <f t="shared" si="1400"/>
        <v>0</v>
      </c>
      <c r="AD824" s="209"/>
      <c r="AE824" s="64">
        <f t="shared" si="1414"/>
        <v>-250.79999999999973</v>
      </c>
      <c r="AF824" s="209"/>
      <c r="AG824" s="8"/>
    </row>
    <row r="825" spans="1:33" x14ac:dyDescent="0.45">
      <c r="A825" s="22">
        <f t="shared" si="1408"/>
        <v>44990</v>
      </c>
      <c r="B825" s="50" t="s">
        <v>53</v>
      </c>
      <c r="C825" s="48">
        <f t="shared" si="1415"/>
        <v>2024</v>
      </c>
      <c r="D825" s="51">
        <v>72</v>
      </c>
      <c r="E825" s="51">
        <v>10.25</v>
      </c>
      <c r="F825" s="51">
        <v>0</v>
      </c>
      <c r="G825" s="51">
        <v>0</v>
      </c>
      <c r="H825" s="51">
        <v>0</v>
      </c>
      <c r="I825" s="51">
        <v>0</v>
      </c>
      <c r="J825" s="51">
        <v>8</v>
      </c>
      <c r="K825" s="51">
        <v>0</v>
      </c>
      <c r="L825" s="52">
        <v>0</v>
      </c>
      <c r="M825" s="34"/>
      <c r="N825" s="13">
        <v>80</v>
      </c>
      <c r="O825" s="13">
        <v>2.25</v>
      </c>
      <c r="P825" s="13">
        <v>0</v>
      </c>
      <c r="Q825" s="13">
        <v>0</v>
      </c>
      <c r="R825" s="34"/>
      <c r="S825" s="51">
        <f t="shared" si="1416"/>
        <v>82.25</v>
      </c>
      <c r="T825" s="51">
        <f>SUM(N825:Q825)</f>
        <v>82.25</v>
      </c>
      <c r="U825" s="51">
        <f t="shared" si="1417"/>
        <v>8</v>
      </c>
      <c r="V825" s="34"/>
      <c r="W825" s="52">
        <v>25.3</v>
      </c>
      <c r="X825" s="53">
        <f t="shared" si="1418"/>
        <v>2210.5875000000001</v>
      </c>
      <c r="Y825" s="53">
        <f t="shared" si="1413"/>
        <v>0</v>
      </c>
      <c r="Z825" s="53">
        <f t="shared" si="1419"/>
        <v>202.4</v>
      </c>
      <c r="AA825" s="54">
        <f t="shared" si="1406"/>
        <v>0</v>
      </c>
      <c r="AB825" s="54">
        <f t="shared" si="1420"/>
        <v>2109.3874999999998</v>
      </c>
      <c r="AC825" s="64">
        <f t="shared" si="1400"/>
        <v>0</v>
      </c>
      <c r="AD825" s="209"/>
      <c r="AE825" s="64">
        <f t="shared" si="1414"/>
        <v>-303.60000000000036</v>
      </c>
      <c r="AF825" s="209"/>
      <c r="AG825" s="8"/>
    </row>
    <row r="826" spans="1:33" x14ac:dyDescent="0.45">
      <c r="A826" s="22">
        <f t="shared" si="1408"/>
        <v>44990</v>
      </c>
      <c r="B826" s="50" t="s">
        <v>54</v>
      </c>
      <c r="C826" s="48">
        <f t="shared" si="1415"/>
        <v>2024</v>
      </c>
      <c r="D826" s="51">
        <v>72</v>
      </c>
      <c r="E826" s="51">
        <v>30.5</v>
      </c>
      <c r="F826" s="51">
        <v>0</v>
      </c>
      <c r="G826" s="51">
        <v>10.5</v>
      </c>
      <c r="H826" s="51">
        <v>0</v>
      </c>
      <c r="I826" s="51">
        <v>0</v>
      </c>
      <c r="J826" s="51">
        <v>8</v>
      </c>
      <c r="K826" s="51">
        <v>0</v>
      </c>
      <c r="L826" s="52">
        <v>0</v>
      </c>
      <c r="M826" s="34"/>
      <c r="N826" s="51">
        <v>80</v>
      </c>
      <c r="O826" s="51">
        <v>22.5</v>
      </c>
      <c r="P826" s="51">
        <v>0</v>
      </c>
      <c r="Q826" s="51">
        <v>10.5</v>
      </c>
      <c r="R826" s="34"/>
      <c r="S826" s="51">
        <f t="shared" si="1416"/>
        <v>113</v>
      </c>
      <c r="T826" s="51">
        <f t="shared" ref="T826" si="1421">SUM(N826:Q826)</f>
        <v>113</v>
      </c>
      <c r="U826" s="51">
        <f t="shared" si="1417"/>
        <v>8</v>
      </c>
      <c r="V826" s="34"/>
      <c r="W826" s="52">
        <v>25.3</v>
      </c>
      <c r="X826" s="53">
        <f t="shared" si="1418"/>
        <v>3244.7250000000004</v>
      </c>
      <c r="Y826" s="53">
        <f t="shared" si="1413"/>
        <v>0</v>
      </c>
      <c r="Z826" s="53">
        <f t="shared" si="1419"/>
        <v>202.4</v>
      </c>
      <c r="AA826" s="54">
        <f t="shared" si="1406"/>
        <v>0</v>
      </c>
      <c r="AB826" s="54">
        <f t="shared" si="1420"/>
        <v>3143.5250000000001</v>
      </c>
      <c r="AC826" s="64">
        <f>0-Y826-AA826</f>
        <v>0</v>
      </c>
      <c r="AD826" s="209"/>
      <c r="AE826" s="64">
        <f t="shared" si="1414"/>
        <v>-303.60000000000036</v>
      </c>
      <c r="AF826" s="209"/>
      <c r="AG826" s="8"/>
    </row>
    <row r="827" spans="1:33" x14ac:dyDescent="0.45">
      <c r="A827" s="22">
        <f t="shared" si="1408"/>
        <v>44990</v>
      </c>
      <c r="B827" s="50" t="s">
        <v>65</v>
      </c>
      <c r="C827" s="48">
        <f t="shared" si="1415"/>
        <v>1512</v>
      </c>
      <c r="D827" s="51">
        <v>0</v>
      </c>
      <c r="E827" s="51">
        <v>0</v>
      </c>
      <c r="F827" s="51">
        <v>0</v>
      </c>
      <c r="G827" s="51">
        <v>0</v>
      </c>
      <c r="H827" s="51">
        <v>0</v>
      </c>
      <c r="I827" s="51">
        <v>0</v>
      </c>
      <c r="J827" s="51">
        <v>8</v>
      </c>
      <c r="K827" s="51">
        <v>72</v>
      </c>
      <c r="L827" s="52">
        <v>0</v>
      </c>
      <c r="M827" s="34"/>
      <c r="N827" s="51">
        <v>0</v>
      </c>
      <c r="O827" s="51">
        <v>0</v>
      </c>
      <c r="P827" s="51">
        <v>0</v>
      </c>
      <c r="Q827" s="51">
        <v>0</v>
      </c>
      <c r="R827" s="34"/>
      <c r="S827" s="51">
        <f t="shared" ref="S827:S829" si="1422">SUM(D827:G827)</f>
        <v>0</v>
      </c>
      <c r="T827" s="51">
        <f t="shared" ref="T827:T828" si="1423">SUM(N827:Q827)</f>
        <v>0</v>
      </c>
      <c r="U827" s="51">
        <f t="shared" ref="U827:U829" si="1424">SUM(H827:K827)</f>
        <v>80</v>
      </c>
      <c r="V827" s="34"/>
      <c r="W827" s="52">
        <v>18.899999999999999</v>
      </c>
      <c r="X827" s="53">
        <f t="shared" si="1418"/>
        <v>0</v>
      </c>
      <c r="Y827" s="53">
        <f t="shared" si="1413"/>
        <v>0</v>
      </c>
      <c r="Z827" s="53">
        <f t="shared" si="1419"/>
        <v>151.19999999999999</v>
      </c>
      <c r="AA827" s="54">
        <f t="shared" si="1406"/>
        <v>1360.8</v>
      </c>
      <c r="AB827" s="54">
        <f t="shared" si="1420"/>
        <v>0</v>
      </c>
      <c r="AC827" s="64">
        <f>0-Y827-AA827</f>
        <v>-1360.8</v>
      </c>
      <c r="AD827" s="209"/>
      <c r="AE827" s="64">
        <f t="shared" si="1414"/>
        <v>-151.19999999999999</v>
      </c>
      <c r="AF827" s="209"/>
      <c r="AG827" s="8"/>
    </row>
    <row r="828" spans="1:33" x14ac:dyDescent="0.45">
      <c r="A828" s="22">
        <f t="shared" si="1408"/>
        <v>44990</v>
      </c>
      <c r="B828" s="50" t="s">
        <v>66</v>
      </c>
      <c r="C828" s="48">
        <f t="shared" si="1415"/>
        <v>1512</v>
      </c>
      <c r="D828" s="51">
        <v>0</v>
      </c>
      <c r="E828" s="51">
        <v>0</v>
      </c>
      <c r="F828" s="51">
        <v>0</v>
      </c>
      <c r="G828" s="51">
        <v>0</v>
      </c>
      <c r="H828" s="51">
        <v>0</v>
      </c>
      <c r="I828" s="51">
        <v>0</v>
      </c>
      <c r="J828" s="51">
        <v>8</v>
      </c>
      <c r="K828" s="51">
        <v>71</v>
      </c>
      <c r="L828" s="52">
        <v>0</v>
      </c>
      <c r="M828" s="34"/>
      <c r="N828" s="51">
        <v>0</v>
      </c>
      <c r="O828" s="51">
        <v>0</v>
      </c>
      <c r="P828" s="51">
        <v>0</v>
      </c>
      <c r="Q828" s="51">
        <v>0</v>
      </c>
      <c r="R828" s="34"/>
      <c r="S828" s="51">
        <f t="shared" si="1422"/>
        <v>0</v>
      </c>
      <c r="T828" s="51">
        <f t="shared" si="1423"/>
        <v>0</v>
      </c>
      <c r="U828" s="51">
        <f t="shared" si="1424"/>
        <v>79</v>
      </c>
      <c r="V828" s="34"/>
      <c r="W828" s="52">
        <v>18.899999999999999</v>
      </c>
      <c r="X828" s="53">
        <f t="shared" si="1418"/>
        <v>0</v>
      </c>
      <c r="Y828" s="53">
        <f t="shared" si="1413"/>
        <v>0</v>
      </c>
      <c r="Z828" s="53">
        <f t="shared" si="1419"/>
        <v>151.19999999999999</v>
      </c>
      <c r="AA828" s="54">
        <f t="shared" si="1406"/>
        <v>1341.8999999999999</v>
      </c>
      <c r="AB828" s="54">
        <f t="shared" si="1420"/>
        <v>0</v>
      </c>
      <c r="AC828" s="64">
        <f>0-Y828-AA828</f>
        <v>-1341.8999999999999</v>
      </c>
      <c r="AD828" s="209"/>
      <c r="AE828" s="64">
        <f t="shared" si="1414"/>
        <v>-151.19999999999999</v>
      </c>
      <c r="AF828" s="209"/>
      <c r="AG828" s="8"/>
    </row>
    <row r="829" spans="1:33" ht="14.65" thickBot="1" x14ac:dyDescent="0.5">
      <c r="A829" s="23">
        <f t="shared" si="1408"/>
        <v>44990</v>
      </c>
      <c r="B829" s="24" t="s">
        <v>62</v>
      </c>
      <c r="C829" s="49">
        <f t="shared" si="1415"/>
        <v>2000</v>
      </c>
      <c r="D829" s="25">
        <v>72</v>
      </c>
      <c r="E829" s="25">
        <v>27.75</v>
      </c>
      <c r="F829" s="25">
        <v>0</v>
      </c>
      <c r="G829" s="25">
        <v>14</v>
      </c>
      <c r="H829" s="25">
        <v>0</v>
      </c>
      <c r="I829" s="25">
        <v>0</v>
      </c>
      <c r="J829" s="25">
        <v>8</v>
      </c>
      <c r="K829" s="25">
        <v>0</v>
      </c>
      <c r="L829" s="46">
        <v>0</v>
      </c>
      <c r="M829" s="35"/>
      <c r="N829" s="25">
        <v>80</v>
      </c>
      <c r="O829" s="25">
        <v>19.75</v>
      </c>
      <c r="P829" s="25">
        <v>0</v>
      </c>
      <c r="Q829" s="25">
        <v>14</v>
      </c>
      <c r="R829" s="35"/>
      <c r="S829" s="25">
        <f t="shared" si="1422"/>
        <v>113.75</v>
      </c>
      <c r="T829" s="25">
        <f t="shared" ref="T829" si="1425">SUM(N829:Q829)</f>
        <v>113.75</v>
      </c>
      <c r="U829" s="25">
        <f t="shared" si="1424"/>
        <v>8</v>
      </c>
      <c r="V829" s="35"/>
      <c r="W829" s="46">
        <v>25</v>
      </c>
      <c r="X829" s="26">
        <f t="shared" si="1418"/>
        <v>3190.625</v>
      </c>
      <c r="Y829" s="26">
        <f t="shared" si="1413"/>
        <v>0</v>
      </c>
      <c r="Z829" s="26">
        <f t="shared" si="1419"/>
        <v>200</v>
      </c>
      <c r="AA829" s="27">
        <f t="shared" si="1406"/>
        <v>0</v>
      </c>
      <c r="AB829" s="27">
        <f t="shared" si="1420"/>
        <v>3090.625</v>
      </c>
      <c r="AC829" s="65">
        <f t="shared" ref="AC829:AC836" si="1426">0-Y829-AA829</f>
        <v>0</v>
      </c>
      <c r="AD829" s="210"/>
      <c r="AE829" s="65">
        <f t="shared" si="1414"/>
        <v>-300</v>
      </c>
      <c r="AF829" s="210"/>
      <c r="AG829" s="8"/>
    </row>
    <row r="830" spans="1:33" x14ac:dyDescent="0.45">
      <c r="A830" s="16">
        <f>A829+14</f>
        <v>45004</v>
      </c>
      <c r="B830" s="17" t="s">
        <v>30</v>
      </c>
      <c r="C830" s="47">
        <f>120*W830</f>
        <v>4098</v>
      </c>
      <c r="D830" s="18">
        <v>80</v>
      </c>
      <c r="E830" s="18">
        <v>4.5</v>
      </c>
      <c r="F830" s="18">
        <v>0</v>
      </c>
      <c r="G830" s="18">
        <v>0</v>
      </c>
      <c r="H830" s="18">
        <v>0</v>
      </c>
      <c r="I830" s="18">
        <v>0</v>
      </c>
      <c r="J830" s="18">
        <v>0</v>
      </c>
      <c r="K830" s="18">
        <v>0</v>
      </c>
      <c r="L830" s="44">
        <v>0</v>
      </c>
      <c r="M830" s="33"/>
      <c r="N830" s="18">
        <v>80</v>
      </c>
      <c r="O830" s="18">
        <v>4.5</v>
      </c>
      <c r="P830" s="18">
        <v>0</v>
      </c>
      <c r="Q830" s="18">
        <v>0</v>
      </c>
      <c r="R830" s="33"/>
      <c r="S830" s="18">
        <f>SUM(D830:G830)</f>
        <v>84.5</v>
      </c>
      <c r="T830" s="18">
        <f>SUM(N830:Q830)</f>
        <v>84.5</v>
      </c>
      <c r="U830" s="18">
        <f>SUM(H830:K830)</f>
        <v>0</v>
      </c>
      <c r="V830" s="33"/>
      <c r="W830" s="44">
        <v>34.15</v>
      </c>
      <c r="X830" s="19">
        <f>(W830*1*D830)+(W830*1.5*E830)+(W830*2*F830)+(W830*1*G830)</f>
        <v>2962.5124999999998</v>
      </c>
      <c r="Y830" s="19">
        <f>(W830*0*H830)+(W830*1*I830)</f>
        <v>0</v>
      </c>
      <c r="Z830" s="19">
        <f>(W830*1*J830)+L830</f>
        <v>0</v>
      </c>
      <c r="AA830" s="20">
        <f>(W830*1*K830)</f>
        <v>0</v>
      </c>
      <c r="AB830" s="20">
        <f>(W830*1*N830)+(W830*1.5*O830)+(W830*2*P830)+(W830*1*Q830)</f>
        <v>2962.5124999999998</v>
      </c>
      <c r="AC830" s="66">
        <f t="shared" si="1426"/>
        <v>0</v>
      </c>
      <c r="AD830" s="208"/>
      <c r="AE830" s="66">
        <f t="shared" si="1414"/>
        <v>0</v>
      </c>
      <c r="AF830" s="208">
        <f>SUM(AE830:AE840)</f>
        <v>-453.24083333333328</v>
      </c>
      <c r="AG830" s="8"/>
    </row>
    <row r="831" spans="1:33" x14ac:dyDescent="0.45">
      <c r="A831" s="22">
        <f>A830</f>
        <v>45004</v>
      </c>
      <c r="B831" s="15" t="s">
        <v>4</v>
      </c>
      <c r="C831" s="48">
        <f>80*W831</f>
        <v>2520</v>
      </c>
      <c r="D831" s="13">
        <v>80</v>
      </c>
      <c r="E831" s="13">
        <v>36</v>
      </c>
      <c r="F831" s="13">
        <v>10</v>
      </c>
      <c r="G831" s="13">
        <v>16</v>
      </c>
      <c r="H831" s="13">
        <v>0</v>
      </c>
      <c r="I831" s="13">
        <v>0</v>
      </c>
      <c r="J831" s="13">
        <v>0</v>
      </c>
      <c r="K831" s="13">
        <v>0</v>
      </c>
      <c r="L831" s="45">
        <v>0</v>
      </c>
      <c r="M831" s="34"/>
      <c r="N831" s="13">
        <v>80</v>
      </c>
      <c r="O831" s="13">
        <v>35</v>
      </c>
      <c r="P831" s="13">
        <v>11</v>
      </c>
      <c r="Q831" s="13">
        <v>16</v>
      </c>
      <c r="R831" s="34"/>
      <c r="S831" s="13">
        <f t="shared" ref="S831:S833" si="1427">SUM(D831:G831)</f>
        <v>142</v>
      </c>
      <c r="T831" s="13">
        <f t="shared" ref="T831" si="1428">SUM(N831:Q831)</f>
        <v>142</v>
      </c>
      <c r="U831" s="13">
        <f>SUM(H831:K831)</f>
        <v>0</v>
      </c>
      <c r="V831" s="34"/>
      <c r="W831" s="45">
        <v>31.5</v>
      </c>
      <c r="X831" s="10">
        <f t="shared" ref="X831:X832" si="1429">(W831*1*D831)+(W831*1.5*E831)+(W831*2*F831)+(W831*1*G831)</f>
        <v>5355</v>
      </c>
      <c r="Y831" s="10">
        <f t="shared" ref="Y831:Y840" si="1430">(W831*0*H831)+(W831*1*I831)</f>
        <v>0</v>
      </c>
      <c r="Z831" s="10">
        <f t="shared" ref="Z831:Z833" si="1431">(W831*1*J831)+L831</f>
        <v>0</v>
      </c>
      <c r="AA831" s="14">
        <f t="shared" ref="AA831:AA840" si="1432">(W831*1*K831)</f>
        <v>0</v>
      </c>
      <c r="AB831" s="14">
        <f t="shared" ref="AB831:AB833" si="1433">(W831*1*N831)+(W831*1.5*O831)+(W831*2*P831)+(W831*1*Q831)</f>
        <v>5370.75</v>
      </c>
      <c r="AC831" s="63">
        <f t="shared" si="1426"/>
        <v>0</v>
      </c>
      <c r="AD831" s="209"/>
      <c r="AE831" s="63">
        <f t="shared" si="1414"/>
        <v>15.75</v>
      </c>
      <c r="AF831" s="209"/>
      <c r="AG831" s="8"/>
    </row>
    <row r="832" spans="1:33" x14ac:dyDescent="0.45">
      <c r="A832" s="22">
        <f t="shared" ref="A832:A840" si="1434">A831</f>
        <v>45004</v>
      </c>
      <c r="B832" s="15" t="s">
        <v>5</v>
      </c>
      <c r="C832" s="48">
        <f>120*W832</f>
        <v>3654</v>
      </c>
      <c r="D832" s="13">
        <v>76.5</v>
      </c>
      <c r="E832" s="13">
        <v>6.5</v>
      </c>
      <c r="F832" s="13">
        <v>0</v>
      </c>
      <c r="G832" s="13">
        <v>10</v>
      </c>
      <c r="H832" s="13">
        <v>0</v>
      </c>
      <c r="I832" s="13">
        <v>8</v>
      </c>
      <c r="J832" s="13">
        <v>0</v>
      </c>
      <c r="K832" s="13">
        <v>0</v>
      </c>
      <c r="L832" s="45">
        <v>0</v>
      </c>
      <c r="M832" s="34"/>
      <c r="N832" s="13">
        <v>74</v>
      </c>
      <c r="O832" s="13">
        <v>8</v>
      </c>
      <c r="P832" s="13">
        <v>1</v>
      </c>
      <c r="Q832" s="13">
        <v>10</v>
      </c>
      <c r="R832" s="34"/>
      <c r="S832" s="13">
        <f t="shared" si="1427"/>
        <v>93</v>
      </c>
      <c r="T832" s="13">
        <f>SUM(N832:Q832)</f>
        <v>93</v>
      </c>
      <c r="U832" s="13">
        <f t="shared" ref="U832:U833" si="1435">SUM(H832:K832)</f>
        <v>8</v>
      </c>
      <c r="V832" s="34"/>
      <c r="W832" s="45">
        <v>30.45</v>
      </c>
      <c r="X832" s="10">
        <f t="shared" si="1429"/>
        <v>2930.8124999999995</v>
      </c>
      <c r="Y832" s="10">
        <f t="shared" si="1430"/>
        <v>243.6</v>
      </c>
      <c r="Z832" s="10">
        <f t="shared" si="1431"/>
        <v>0</v>
      </c>
      <c r="AA832" s="14">
        <f t="shared" si="1432"/>
        <v>0</v>
      </c>
      <c r="AB832" s="14">
        <f t="shared" si="1433"/>
        <v>2984.1</v>
      </c>
      <c r="AC832" s="63">
        <f t="shared" si="1426"/>
        <v>-243.6</v>
      </c>
      <c r="AD832" s="209"/>
      <c r="AE832" s="63">
        <f t="shared" si="1414"/>
        <v>53.287500000000364</v>
      </c>
      <c r="AF832" s="209"/>
      <c r="AG832" s="8"/>
    </row>
    <row r="833" spans="1:33" x14ac:dyDescent="0.45">
      <c r="A833" s="22">
        <f t="shared" si="1434"/>
        <v>45004</v>
      </c>
      <c r="B833" s="15" t="s">
        <v>6</v>
      </c>
      <c r="C833" s="48">
        <f>120*W833</f>
        <v>3780</v>
      </c>
      <c r="D833" s="13">
        <v>80</v>
      </c>
      <c r="E833" s="13">
        <v>19.75</v>
      </c>
      <c r="F833" s="13">
        <v>0</v>
      </c>
      <c r="G833" s="13">
        <v>0</v>
      </c>
      <c r="H833" s="13">
        <v>0</v>
      </c>
      <c r="I833" s="13">
        <v>0</v>
      </c>
      <c r="J833" s="13">
        <v>0</v>
      </c>
      <c r="K833" s="13">
        <v>0</v>
      </c>
      <c r="L833" s="45">
        <v>0</v>
      </c>
      <c r="M833" s="34"/>
      <c r="N833" s="13">
        <v>80</v>
      </c>
      <c r="O833" s="13">
        <v>21.25</v>
      </c>
      <c r="P833" s="13">
        <v>0</v>
      </c>
      <c r="Q833" s="13">
        <v>0</v>
      </c>
      <c r="R833" s="34"/>
      <c r="S833" s="13">
        <f t="shared" si="1427"/>
        <v>99.75</v>
      </c>
      <c r="T833" s="13">
        <f t="shared" ref="T833" si="1436">SUM(N833:Q833)</f>
        <v>101.25</v>
      </c>
      <c r="U833" s="13">
        <f t="shared" si="1435"/>
        <v>0</v>
      </c>
      <c r="V833" s="34"/>
      <c r="W833" s="45">
        <v>31.5</v>
      </c>
      <c r="X833" s="45">
        <f>(W833*1*D833)+(W833*1.5*E833)+(W833*2*F833)+(W833*1*G833)</f>
        <v>3453.1875</v>
      </c>
      <c r="Y833" s="45">
        <f t="shared" si="1430"/>
        <v>0</v>
      </c>
      <c r="Z833" s="45">
        <f t="shared" si="1431"/>
        <v>0</v>
      </c>
      <c r="AA833" s="79">
        <f t="shared" si="1432"/>
        <v>0</v>
      </c>
      <c r="AB833" s="79">
        <f t="shared" si="1433"/>
        <v>3524.0625</v>
      </c>
      <c r="AC833" s="80">
        <f t="shared" si="1426"/>
        <v>0</v>
      </c>
      <c r="AD833" s="209"/>
      <c r="AE833" s="80">
        <f t="shared" si="1414"/>
        <v>70.875</v>
      </c>
      <c r="AF833" s="209"/>
      <c r="AG833" s="8"/>
    </row>
    <row r="834" spans="1:33" x14ac:dyDescent="0.45">
      <c r="A834" s="82">
        <f t="shared" si="1434"/>
        <v>45004</v>
      </c>
      <c r="B834" s="81" t="s">
        <v>31</v>
      </c>
      <c r="C834" s="48">
        <f>120*W834</f>
        <v>3780</v>
      </c>
      <c r="D834" s="51">
        <v>80</v>
      </c>
      <c r="E834" s="51">
        <v>34.5</v>
      </c>
      <c r="F834" s="51">
        <v>0</v>
      </c>
      <c r="G834" s="51">
        <v>0</v>
      </c>
      <c r="H834" s="51">
        <v>0</v>
      </c>
      <c r="I834" s="51">
        <v>0</v>
      </c>
      <c r="J834" s="51">
        <v>0</v>
      </c>
      <c r="K834" s="51">
        <v>0</v>
      </c>
      <c r="L834" s="52">
        <f>1779.46/3</f>
        <v>593.15333333333331</v>
      </c>
      <c r="M834" s="34"/>
      <c r="N834" s="13">
        <v>80</v>
      </c>
      <c r="O834" s="13">
        <v>34.5</v>
      </c>
      <c r="P834" s="13">
        <v>0</v>
      </c>
      <c r="Q834" s="13">
        <v>0</v>
      </c>
      <c r="R834" s="34"/>
      <c r="S834" s="51">
        <f t="shared" ref="S834" si="1437">SUM(D834:G834)</f>
        <v>114.5</v>
      </c>
      <c r="T834" s="51">
        <f>SUM(N834:Q834)</f>
        <v>114.5</v>
      </c>
      <c r="U834" s="51">
        <f t="shared" ref="U834" si="1438">SUM(H834:K834)</f>
        <v>0</v>
      </c>
      <c r="V834" s="34"/>
      <c r="W834" s="52">
        <v>31.5</v>
      </c>
      <c r="X834" s="53">
        <f>(W834*1*D834)+(W834*1.5*E834)+(W834*2*F834)+(W834*1*G834)</f>
        <v>4150.125</v>
      </c>
      <c r="Y834" s="53">
        <f t="shared" si="1430"/>
        <v>0</v>
      </c>
      <c r="Z834" s="53">
        <f>(W834*1*J834)+L834</f>
        <v>593.15333333333331</v>
      </c>
      <c r="AA834" s="54">
        <f t="shared" si="1432"/>
        <v>0</v>
      </c>
      <c r="AB834" s="54">
        <f>(W834*1*N834)+(W834*1.5*O834)+(W834*2*P834)+(W834*1*Q834)</f>
        <v>4150.125</v>
      </c>
      <c r="AC834" s="64">
        <f t="shared" si="1426"/>
        <v>0</v>
      </c>
      <c r="AD834" s="209"/>
      <c r="AE834" s="64">
        <f t="shared" ref="AE834:AE844" si="1439">AB834-(X834+Z834)</f>
        <v>-593.15333333333365</v>
      </c>
      <c r="AF834" s="209"/>
      <c r="AG834" s="8"/>
    </row>
    <row r="835" spans="1:33" x14ac:dyDescent="0.45">
      <c r="A835" s="22">
        <f t="shared" si="1434"/>
        <v>45004</v>
      </c>
      <c r="B835" s="50" t="s">
        <v>64</v>
      </c>
      <c r="C835" s="48">
        <f t="shared" ref="C835:C840" si="1440">80*W835</f>
        <v>1672</v>
      </c>
      <c r="D835" s="51">
        <v>80</v>
      </c>
      <c r="E835" s="51">
        <v>22</v>
      </c>
      <c r="F835" s="51">
        <v>0</v>
      </c>
      <c r="G835" s="51">
        <v>7</v>
      </c>
      <c r="H835" s="51">
        <v>0</v>
      </c>
      <c r="I835" s="51">
        <v>0</v>
      </c>
      <c r="J835" s="51">
        <v>0</v>
      </c>
      <c r="K835" s="51">
        <v>0</v>
      </c>
      <c r="L835" s="52">
        <v>0</v>
      </c>
      <c r="M835" s="34"/>
      <c r="N835" s="51">
        <v>80</v>
      </c>
      <c r="O835" s="51">
        <v>22</v>
      </c>
      <c r="P835" s="51">
        <v>0</v>
      </c>
      <c r="Q835" s="51">
        <v>7</v>
      </c>
      <c r="R835" s="34"/>
      <c r="S835" s="51">
        <f t="shared" ref="S835:S837" si="1441">SUM(D835:G835)</f>
        <v>109</v>
      </c>
      <c r="T835" s="51">
        <f>SUM(N835:Q835)</f>
        <v>109</v>
      </c>
      <c r="U835" s="51">
        <f t="shared" ref="U835:U837" si="1442">SUM(H835:K835)</f>
        <v>0</v>
      </c>
      <c r="V835" s="34"/>
      <c r="W835" s="52">
        <v>20.9</v>
      </c>
      <c r="X835" s="53">
        <f t="shared" ref="X835:X840" si="1443">(W835*1*D835)+(W835*1.5*E835)+(W835*2*F835)+(W835*1*G835)</f>
        <v>2508</v>
      </c>
      <c r="Y835" s="53">
        <f t="shared" si="1430"/>
        <v>0</v>
      </c>
      <c r="Z835" s="53">
        <f t="shared" ref="Z835:Z840" si="1444">(W835*1*J835)+L835</f>
        <v>0</v>
      </c>
      <c r="AA835" s="54">
        <f t="shared" si="1432"/>
        <v>0</v>
      </c>
      <c r="AB835" s="54">
        <f t="shared" ref="AB835:AB840" si="1445">(W835*1*N835)+(W835*1.5*O835)+(W835*2*P835)+(W835*1*Q835)</f>
        <v>2508</v>
      </c>
      <c r="AC835" s="64">
        <f t="shared" si="1426"/>
        <v>0</v>
      </c>
      <c r="AD835" s="209"/>
      <c r="AE835" s="64">
        <f t="shared" si="1439"/>
        <v>0</v>
      </c>
      <c r="AF835" s="209"/>
      <c r="AG835" s="8"/>
    </row>
    <row r="836" spans="1:33" x14ac:dyDescent="0.45">
      <c r="A836" s="22">
        <f t="shared" si="1434"/>
        <v>45004</v>
      </c>
      <c r="B836" s="50" t="s">
        <v>53</v>
      </c>
      <c r="C836" s="48">
        <f t="shared" si="1440"/>
        <v>2024</v>
      </c>
      <c r="D836" s="51">
        <v>80</v>
      </c>
      <c r="E836" s="51">
        <v>13.25</v>
      </c>
      <c r="F836" s="51">
        <v>0</v>
      </c>
      <c r="G836" s="51">
        <v>8</v>
      </c>
      <c r="H836" s="51">
        <v>0</v>
      </c>
      <c r="I836" s="51">
        <v>0</v>
      </c>
      <c r="J836" s="51">
        <v>0</v>
      </c>
      <c r="K836" s="51">
        <v>0</v>
      </c>
      <c r="L836" s="52">
        <v>0</v>
      </c>
      <c r="M836" s="34"/>
      <c r="N836" s="13">
        <v>80</v>
      </c>
      <c r="O836" s="13">
        <v>13.25</v>
      </c>
      <c r="P836" s="13">
        <v>0</v>
      </c>
      <c r="Q836" s="13">
        <v>8</v>
      </c>
      <c r="R836" s="34"/>
      <c r="S836" s="51">
        <f t="shared" si="1441"/>
        <v>101.25</v>
      </c>
      <c r="T836" s="51">
        <f>SUM(N836:Q836)</f>
        <v>101.25</v>
      </c>
      <c r="U836" s="51">
        <f t="shared" si="1442"/>
        <v>0</v>
      </c>
      <c r="V836" s="34"/>
      <c r="W836" s="52">
        <v>25.3</v>
      </c>
      <c r="X836" s="53">
        <f t="shared" si="1443"/>
        <v>2729.2375000000002</v>
      </c>
      <c r="Y836" s="53">
        <f t="shared" si="1430"/>
        <v>0</v>
      </c>
      <c r="Z836" s="53">
        <f t="shared" si="1444"/>
        <v>0</v>
      </c>
      <c r="AA836" s="54">
        <f t="shared" si="1432"/>
        <v>0</v>
      </c>
      <c r="AB836" s="54">
        <f t="shared" si="1445"/>
        <v>2729.2375000000002</v>
      </c>
      <c r="AC836" s="64">
        <f t="shared" si="1426"/>
        <v>0</v>
      </c>
      <c r="AD836" s="209"/>
      <c r="AE836" s="64">
        <f t="shared" si="1439"/>
        <v>0</v>
      </c>
      <c r="AF836" s="209"/>
      <c r="AG836" s="8"/>
    </row>
    <row r="837" spans="1:33" x14ac:dyDescent="0.45">
      <c r="A837" s="22">
        <f t="shared" si="1434"/>
        <v>45004</v>
      </c>
      <c r="B837" s="50" t="s">
        <v>54</v>
      </c>
      <c r="C837" s="48">
        <f t="shared" si="1440"/>
        <v>2024</v>
      </c>
      <c r="D837" s="51">
        <v>80</v>
      </c>
      <c r="E837" s="51">
        <v>20.5</v>
      </c>
      <c r="F837" s="51">
        <v>0</v>
      </c>
      <c r="G837" s="51">
        <v>1.5</v>
      </c>
      <c r="H837" s="51">
        <v>0</v>
      </c>
      <c r="I837" s="51">
        <v>0</v>
      </c>
      <c r="J837" s="51">
        <v>0</v>
      </c>
      <c r="K837" s="51">
        <v>0</v>
      </c>
      <c r="L837" s="52">
        <v>0</v>
      </c>
      <c r="M837" s="34"/>
      <c r="N837" s="51">
        <v>80</v>
      </c>
      <c r="O837" s="51">
        <v>20.5</v>
      </c>
      <c r="P837" s="51">
        <v>0</v>
      </c>
      <c r="Q837" s="51">
        <v>1.5</v>
      </c>
      <c r="R837" s="34"/>
      <c r="S837" s="51">
        <f t="shared" si="1441"/>
        <v>102</v>
      </c>
      <c r="T837" s="51">
        <f t="shared" ref="T837" si="1446">SUM(N837:Q837)</f>
        <v>102</v>
      </c>
      <c r="U837" s="51">
        <f t="shared" si="1442"/>
        <v>0</v>
      </c>
      <c r="V837" s="34"/>
      <c r="W837" s="52">
        <v>25.3</v>
      </c>
      <c r="X837" s="53">
        <f t="shared" si="1443"/>
        <v>2839.9249999999997</v>
      </c>
      <c r="Y837" s="53">
        <f t="shared" si="1430"/>
        <v>0</v>
      </c>
      <c r="Z837" s="53">
        <f t="shared" si="1444"/>
        <v>0</v>
      </c>
      <c r="AA837" s="54">
        <f t="shared" si="1432"/>
        <v>0</v>
      </c>
      <c r="AB837" s="54">
        <f t="shared" si="1445"/>
        <v>2839.9249999999997</v>
      </c>
      <c r="AC837" s="64">
        <f>0-Y837-AA837</f>
        <v>0</v>
      </c>
      <c r="AD837" s="209"/>
      <c r="AE837" s="64">
        <f t="shared" si="1439"/>
        <v>0</v>
      </c>
      <c r="AF837" s="209"/>
      <c r="AG837" s="8"/>
    </row>
    <row r="838" spans="1:33" x14ac:dyDescent="0.45">
      <c r="A838" s="22">
        <f t="shared" si="1434"/>
        <v>45004</v>
      </c>
      <c r="B838" s="50" t="s">
        <v>65</v>
      </c>
      <c r="C838" s="48">
        <f t="shared" si="1440"/>
        <v>1512</v>
      </c>
      <c r="D838" s="51">
        <v>0</v>
      </c>
      <c r="E838" s="51">
        <v>0</v>
      </c>
      <c r="F838" s="51">
        <v>0</v>
      </c>
      <c r="G838" s="51">
        <v>0</v>
      </c>
      <c r="H838" s="51">
        <v>0</v>
      </c>
      <c r="I838" s="51">
        <v>0</v>
      </c>
      <c r="J838" s="51">
        <v>0</v>
      </c>
      <c r="K838" s="51">
        <v>80</v>
      </c>
      <c r="L838" s="52">
        <v>0</v>
      </c>
      <c r="M838" s="34"/>
      <c r="N838" s="51">
        <v>0</v>
      </c>
      <c r="O838" s="51">
        <v>0</v>
      </c>
      <c r="P838" s="51">
        <v>0</v>
      </c>
      <c r="Q838" s="51">
        <v>0</v>
      </c>
      <c r="R838" s="34"/>
      <c r="S838" s="51">
        <f t="shared" ref="S838:S840" si="1447">SUM(D838:G838)</f>
        <v>0</v>
      </c>
      <c r="T838" s="51">
        <f t="shared" ref="T838:T840" si="1448">SUM(N838:Q838)</f>
        <v>0</v>
      </c>
      <c r="U838" s="51">
        <f t="shared" ref="U838:U840" si="1449">SUM(H838:K838)</f>
        <v>80</v>
      </c>
      <c r="V838" s="34"/>
      <c r="W838" s="52">
        <v>18.899999999999999</v>
      </c>
      <c r="X838" s="53">
        <f t="shared" si="1443"/>
        <v>0</v>
      </c>
      <c r="Y838" s="53">
        <f t="shared" si="1430"/>
        <v>0</v>
      </c>
      <c r="Z838" s="53">
        <f t="shared" si="1444"/>
        <v>0</v>
      </c>
      <c r="AA838" s="54">
        <f t="shared" si="1432"/>
        <v>1512</v>
      </c>
      <c r="AB838" s="54">
        <f t="shared" si="1445"/>
        <v>0</v>
      </c>
      <c r="AC838" s="64">
        <f>0-Y838-AA838</f>
        <v>-1512</v>
      </c>
      <c r="AD838" s="209"/>
      <c r="AE838" s="64">
        <f t="shared" si="1439"/>
        <v>0</v>
      </c>
      <c r="AF838" s="209"/>
      <c r="AG838" s="8"/>
    </row>
    <row r="839" spans="1:33" x14ac:dyDescent="0.45">
      <c r="A839" s="22">
        <f t="shared" si="1434"/>
        <v>45004</v>
      </c>
      <c r="B839" s="50" t="s">
        <v>66</v>
      </c>
      <c r="C839" s="48">
        <f t="shared" si="1440"/>
        <v>1512</v>
      </c>
      <c r="D839" s="51">
        <v>0</v>
      </c>
      <c r="E839" s="51">
        <v>0</v>
      </c>
      <c r="F839" s="51">
        <v>0</v>
      </c>
      <c r="G839" s="51">
        <v>0</v>
      </c>
      <c r="H839" s="51">
        <v>0</v>
      </c>
      <c r="I839" s="51">
        <v>0</v>
      </c>
      <c r="J839" s="51">
        <v>0</v>
      </c>
      <c r="K839" s="51">
        <v>80</v>
      </c>
      <c r="L839" s="52">
        <v>0</v>
      </c>
      <c r="M839" s="34"/>
      <c r="N839" s="51">
        <v>0</v>
      </c>
      <c r="O839" s="51">
        <v>0</v>
      </c>
      <c r="P839" s="51">
        <v>0</v>
      </c>
      <c r="Q839" s="51">
        <v>0</v>
      </c>
      <c r="R839" s="34"/>
      <c r="S839" s="51">
        <f t="shared" si="1447"/>
        <v>0</v>
      </c>
      <c r="T839" s="51">
        <f t="shared" si="1448"/>
        <v>0</v>
      </c>
      <c r="U839" s="51">
        <f t="shared" si="1449"/>
        <v>80</v>
      </c>
      <c r="V839" s="34"/>
      <c r="W839" s="52">
        <v>18.899999999999999</v>
      </c>
      <c r="X839" s="53">
        <f t="shared" si="1443"/>
        <v>0</v>
      </c>
      <c r="Y839" s="53">
        <f t="shared" si="1430"/>
        <v>0</v>
      </c>
      <c r="Z839" s="53">
        <f t="shared" si="1444"/>
        <v>0</v>
      </c>
      <c r="AA839" s="54">
        <f t="shared" si="1432"/>
        <v>1512</v>
      </c>
      <c r="AB839" s="54">
        <f t="shared" si="1445"/>
        <v>0</v>
      </c>
      <c r="AC839" s="64">
        <f>0-Y839-AA839</f>
        <v>-1512</v>
      </c>
      <c r="AD839" s="209"/>
      <c r="AE839" s="64">
        <f t="shared" si="1439"/>
        <v>0</v>
      </c>
      <c r="AF839" s="209"/>
      <c r="AG839" s="8"/>
    </row>
    <row r="840" spans="1:33" ht="14.65" thickBot="1" x14ac:dyDescent="0.5">
      <c r="A840" s="23">
        <f t="shared" si="1434"/>
        <v>45004</v>
      </c>
      <c r="B840" s="24" t="s">
        <v>62</v>
      </c>
      <c r="C840" s="49">
        <f t="shared" si="1440"/>
        <v>2000</v>
      </c>
      <c r="D840" s="25">
        <v>75.75</v>
      </c>
      <c r="E840" s="25">
        <v>16.5</v>
      </c>
      <c r="F840" s="25">
        <v>0</v>
      </c>
      <c r="G840" s="25">
        <v>7.5</v>
      </c>
      <c r="H840" s="25">
        <v>8</v>
      </c>
      <c r="I840" s="25">
        <v>0</v>
      </c>
      <c r="J840" s="25">
        <v>0</v>
      </c>
      <c r="K840" s="25">
        <v>0</v>
      </c>
      <c r="L840" s="46">
        <v>0</v>
      </c>
      <c r="M840" s="35"/>
      <c r="N840" s="25">
        <v>75.75</v>
      </c>
      <c r="O840" s="25">
        <v>16.5</v>
      </c>
      <c r="P840" s="25">
        <v>0</v>
      </c>
      <c r="Q840" s="25">
        <v>7.5</v>
      </c>
      <c r="R840" s="35"/>
      <c r="S840" s="25">
        <f t="shared" si="1447"/>
        <v>99.75</v>
      </c>
      <c r="T840" s="25">
        <f t="shared" si="1448"/>
        <v>99.75</v>
      </c>
      <c r="U840" s="25">
        <f t="shared" si="1449"/>
        <v>8</v>
      </c>
      <c r="V840" s="35"/>
      <c r="W840" s="46">
        <v>25</v>
      </c>
      <c r="X840" s="26">
        <f t="shared" si="1443"/>
        <v>2700</v>
      </c>
      <c r="Y840" s="26">
        <f t="shared" si="1430"/>
        <v>0</v>
      </c>
      <c r="Z840" s="26">
        <f t="shared" si="1444"/>
        <v>0</v>
      </c>
      <c r="AA840" s="27">
        <f t="shared" si="1432"/>
        <v>0</v>
      </c>
      <c r="AB840" s="27">
        <f t="shared" si="1445"/>
        <v>2700</v>
      </c>
      <c r="AC840" s="65">
        <f t="shared" ref="AC840:AC847" si="1450">0-Y840-AA840</f>
        <v>0</v>
      </c>
      <c r="AD840" s="210"/>
      <c r="AE840" s="65">
        <f t="shared" si="1439"/>
        <v>0</v>
      </c>
      <c r="AF840" s="210"/>
      <c r="AG840" s="8"/>
    </row>
    <row r="841" spans="1:33" x14ac:dyDescent="0.45">
      <c r="A841" s="16">
        <f>A840+14</f>
        <v>45018</v>
      </c>
      <c r="B841" s="17" t="s">
        <v>30</v>
      </c>
      <c r="C841" s="47">
        <f>120*W841</f>
        <v>4098</v>
      </c>
      <c r="D841" s="18">
        <v>80</v>
      </c>
      <c r="E841" s="18">
        <v>8</v>
      </c>
      <c r="F841" s="18">
        <v>0</v>
      </c>
      <c r="G841" s="18">
        <v>0</v>
      </c>
      <c r="H841" s="18">
        <v>0</v>
      </c>
      <c r="I841" s="18">
        <v>0</v>
      </c>
      <c r="J841" s="18">
        <v>0</v>
      </c>
      <c r="K841" s="18">
        <v>0</v>
      </c>
      <c r="L841" s="44">
        <v>0</v>
      </c>
      <c r="M841" s="33"/>
      <c r="N841" s="18">
        <v>80</v>
      </c>
      <c r="O841" s="18">
        <v>8</v>
      </c>
      <c r="P841" s="18">
        <v>0</v>
      </c>
      <c r="Q841" s="18">
        <v>0</v>
      </c>
      <c r="R841" s="33"/>
      <c r="S841" s="18">
        <f>SUM(D841:G841)</f>
        <v>88</v>
      </c>
      <c r="T841" s="18">
        <f>SUM(N841:Q841)</f>
        <v>88</v>
      </c>
      <c r="U841" s="18">
        <f>SUM(H841:K841)</f>
        <v>0</v>
      </c>
      <c r="V841" s="33"/>
      <c r="W841" s="44">
        <v>34.15</v>
      </c>
      <c r="X841" s="19">
        <f>(W841*1*D841)+(W841*1.5*E841)+(W841*2*F841)+(W841*1*G841)</f>
        <v>3141.8</v>
      </c>
      <c r="Y841" s="19">
        <f>(W841*0*H841)+(W841*1*I841)</f>
        <v>0</v>
      </c>
      <c r="Z841" s="19">
        <f>(W841*1*J841)+L841</f>
        <v>0</v>
      </c>
      <c r="AA841" s="20">
        <f>(W841*1*K841)</f>
        <v>0</v>
      </c>
      <c r="AB841" s="20">
        <f>(W841*1*N841)+(W841*1.5*O841)+(W841*2*P841)+(W841*1*Q841)</f>
        <v>3141.8</v>
      </c>
      <c r="AC841" s="66">
        <f t="shared" si="1450"/>
        <v>0</v>
      </c>
      <c r="AD841" s="208"/>
      <c r="AE841" s="66">
        <f t="shared" si="1439"/>
        <v>0</v>
      </c>
      <c r="AF841" s="208">
        <f>SUM(AE841:AE851)</f>
        <v>-593.15333333333365</v>
      </c>
      <c r="AG841" s="8"/>
    </row>
    <row r="842" spans="1:33" x14ac:dyDescent="0.45">
      <c r="A842" s="22">
        <f>A841</f>
        <v>45018</v>
      </c>
      <c r="B842" s="15" t="s">
        <v>4</v>
      </c>
      <c r="C842" s="48">
        <f>80*W842</f>
        <v>2520</v>
      </c>
      <c r="D842" s="13">
        <v>79.75</v>
      </c>
      <c r="E842" s="13">
        <v>23</v>
      </c>
      <c r="F842" s="13">
        <v>9</v>
      </c>
      <c r="G842" s="13">
        <v>17</v>
      </c>
      <c r="H842" s="13">
        <v>0</v>
      </c>
      <c r="I842" s="13">
        <v>0</v>
      </c>
      <c r="J842" s="13">
        <v>0</v>
      </c>
      <c r="K842" s="13">
        <v>0</v>
      </c>
      <c r="L842" s="45">
        <v>0</v>
      </c>
      <c r="M842" s="34"/>
      <c r="N842" s="13">
        <v>79.75</v>
      </c>
      <c r="O842" s="13">
        <v>23</v>
      </c>
      <c r="P842" s="13">
        <v>9</v>
      </c>
      <c r="Q842" s="13">
        <v>17</v>
      </c>
      <c r="R842" s="34"/>
      <c r="S842" s="13">
        <f t="shared" ref="S842:S844" si="1451">SUM(D842:G842)</f>
        <v>128.75</v>
      </c>
      <c r="T842" s="13">
        <f t="shared" ref="T842" si="1452">SUM(N842:Q842)</f>
        <v>128.75</v>
      </c>
      <c r="U842" s="13">
        <f>SUM(H842:K842)</f>
        <v>0</v>
      </c>
      <c r="V842" s="34"/>
      <c r="W842" s="45">
        <v>31.5</v>
      </c>
      <c r="X842" s="10">
        <f t="shared" ref="X842:X843" si="1453">(W842*1*D842)+(W842*1.5*E842)+(W842*2*F842)+(W842*1*G842)</f>
        <v>4701.375</v>
      </c>
      <c r="Y842" s="10">
        <f t="shared" ref="Y842:Y851" si="1454">(W842*0*H842)+(W842*1*I842)</f>
        <v>0</v>
      </c>
      <c r="Z842" s="10">
        <f t="shared" ref="Z842:Z844" si="1455">(W842*1*J842)+L842</f>
        <v>0</v>
      </c>
      <c r="AA842" s="14">
        <f t="shared" ref="AA842:AA851" si="1456">(W842*1*K842)</f>
        <v>0</v>
      </c>
      <c r="AB842" s="14">
        <f t="shared" ref="AB842:AB844" si="1457">(W842*1*N842)+(W842*1.5*O842)+(W842*2*P842)+(W842*1*Q842)</f>
        <v>4701.375</v>
      </c>
      <c r="AC842" s="63">
        <f t="shared" si="1450"/>
        <v>0</v>
      </c>
      <c r="AD842" s="209"/>
      <c r="AE842" s="63">
        <f t="shared" si="1439"/>
        <v>0</v>
      </c>
      <c r="AF842" s="209"/>
      <c r="AG842" s="8"/>
    </row>
    <row r="843" spans="1:33" x14ac:dyDescent="0.45">
      <c r="A843" s="22">
        <f t="shared" ref="A843:A851" si="1458">A842</f>
        <v>45018</v>
      </c>
      <c r="B843" s="15" t="s">
        <v>5</v>
      </c>
      <c r="C843" s="48">
        <f>120*W843</f>
        <v>3654</v>
      </c>
      <c r="D843" s="13">
        <v>71</v>
      </c>
      <c r="E843" s="13">
        <v>24</v>
      </c>
      <c r="F843" s="13">
        <v>12</v>
      </c>
      <c r="G843" s="13">
        <v>8</v>
      </c>
      <c r="H843" s="13">
        <v>8</v>
      </c>
      <c r="I843" s="13">
        <v>0</v>
      </c>
      <c r="J843" s="13">
        <v>0</v>
      </c>
      <c r="K843" s="13">
        <v>0</v>
      </c>
      <c r="L843" s="45">
        <v>0</v>
      </c>
      <c r="M843" s="34"/>
      <c r="N843" s="13">
        <v>71</v>
      </c>
      <c r="O843" s="13">
        <v>24</v>
      </c>
      <c r="P843" s="13">
        <v>12</v>
      </c>
      <c r="Q843" s="13">
        <v>8</v>
      </c>
      <c r="R843" s="34"/>
      <c r="S843" s="13">
        <f t="shared" si="1451"/>
        <v>115</v>
      </c>
      <c r="T843" s="13">
        <f>SUM(N843:Q843)</f>
        <v>115</v>
      </c>
      <c r="U843" s="13">
        <f t="shared" ref="U843:U844" si="1459">SUM(H843:K843)</f>
        <v>8</v>
      </c>
      <c r="V843" s="34"/>
      <c r="W843" s="45">
        <v>30.45</v>
      </c>
      <c r="X843" s="10">
        <f t="shared" si="1453"/>
        <v>4232.55</v>
      </c>
      <c r="Y843" s="10">
        <f t="shared" si="1454"/>
        <v>0</v>
      </c>
      <c r="Z843" s="10">
        <f t="shared" si="1455"/>
        <v>0</v>
      </c>
      <c r="AA843" s="14">
        <f t="shared" si="1456"/>
        <v>0</v>
      </c>
      <c r="AB843" s="14">
        <f t="shared" si="1457"/>
        <v>4232.55</v>
      </c>
      <c r="AC843" s="63">
        <f t="shared" si="1450"/>
        <v>0</v>
      </c>
      <c r="AD843" s="209"/>
      <c r="AE843" s="63">
        <f t="shared" si="1439"/>
        <v>0</v>
      </c>
      <c r="AF843" s="209"/>
      <c r="AG843" s="8"/>
    </row>
    <row r="844" spans="1:33" x14ac:dyDescent="0.45">
      <c r="A844" s="22">
        <f t="shared" si="1458"/>
        <v>45018</v>
      </c>
      <c r="B844" s="15" t="s">
        <v>6</v>
      </c>
      <c r="C844" s="48">
        <f>120*W844</f>
        <v>3780</v>
      </c>
      <c r="D844" s="13">
        <v>78.25</v>
      </c>
      <c r="E844" s="13">
        <v>10</v>
      </c>
      <c r="F844" s="13">
        <v>7.75</v>
      </c>
      <c r="G844" s="13">
        <v>3</v>
      </c>
      <c r="H844" s="13">
        <v>0</v>
      </c>
      <c r="I844" s="13">
        <v>0</v>
      </c>
      <c r="J844" s="13">
        <v>0</v>
      </c>
      <c r="K844" s="13">
        <v>0</v>
      </c>
      <c r="L844" s="45">
        <v>0</v>
      </c>
      <c r="M844" s="34"/>
      <c r="N844" s="13">
        <v>78.25</v>
      </c>
      <c r="O844" s="13">
        <v>10</v>
      </c>
      <c r="P844" s="13">
        <v>7.75</v>
      </c>
      <c r="Q844" s="13">
        <v>3</v>
      </c>
      <c r="R844" s="34"/>
      <c r="S844" s="13">
        <f t="shared" si="1451"/>
        <v>99</v>
      </c>
      <c r="T844" s="13">
        <f t="shared" ref="T844" si="1460">SUM(N844:Q844)</f>
        <v>99</v>
      </c>
      <c r="U844" s="13">
        <f t="shared" si="1459"/>
        <v>0</v>
      </c>
      <c r="V844" s="34"/>
      <c r="W844" s="45">
        <v>31.5</v>
      </c>
      <c r="X844" s="45">
        <f>(W844*1*D844)+(W844*1.5*E844)+(W844*2*F844)+(W844*1*G844)</f>
        <v>3520.125</v>
      </c>
      <c r="Y844" s="45">
        <f t="shared" si="1454"/>
        <v>0</v>
      </c>
      <c r="Z844" s="45">
        <f t="shared" si="1455"/>
        <v>0</v>
      </c>
      <c r="AA844" s="79">
        <f t="shared" si="1456"/>
        <v>0</v>
      </c>
      <c r="AB844" s="79">
        <f t="shared" si="1457"/>
        <v>3520.125</v>
      </c>
      <c r="AC844" s="80">
        <f t="shared" si="1450"/>
        <v>0</v>
      </c>
      <c r="AD844" s="209"/>
      <c r="AE844" s="80">
        <f t="shared" si="1439"/>
        <v>0</v>
      </c>
      <c r="AF844" s="209"/>
      <c r="AG844" s="8"/>
    </row>
    <row r="845" spans="1:33" x14ac:dyDescent="0.45">
      <c r="A845" s="82">
        <f t="shared" si="1458"/>
        <v>45018</v>
      </c>
      <c r="B845" s="81" t="s">
        <v>31</v>
      </c>
      <c r="C845" s="48">
        <f>120*W845</f>
        <v>3780</v>
      </c>
      <c r="D845" s="51">
        <v>80</v>
      </c>
      <c r="E845" s="51">
        <v>32.5</v>
      </c>
      <c r="F845" s="51">
        <v>12</v>
      </c>
      <c r="G845" s="51">
        <v>2</v>
      </c>
      <c r="H845" s="51">
        <v>0</v>
      </c>
      <c r="I845" s="51">
        <v>0</v>
      </c>
      <c r="J845" s="51">
        <v>0</v>
      </c>
      <c r="K845" s="51">
        <v>0</v>
      </c>
      <c r="L845" s="52">
        <f>1779.46/3</f>
        <v>593.15333333333331</v>
      </c>
      <c r="M845" s="34"/>
      <c r="N845" s="13">
        <v>80</v>
      </c>
      <c r="O845" s="13">
        <v>32.5</v>
      </c>
      <c r="P845" s="13">
        <v>12</v>
      </c>
      <c r="Q845" s="13">
        <v>2</v>
      </c>
      <c r="R845" s="34"/>
      <c r="S845" s="51">
        <f t="shared" ref="S845" si="1461">SUM(D845:G845)</f>
        <v>126.5</v>
      </c>
      <c r="T845" s="51">
        <f>SUM(N845:Q845)</f>
        <v>126.5</v>
      </c>
      <c r="U845" s="51">
        <f t="shared" ref="U845" si="1462">SUM(H845:K845)</f>
        <v>0</v>
      </c>
      <c r="V845" s="34"/>
      <c r="W845" s="52">
        <v>31.5</v>
      </c>
      <c r="X845" s="53">
        <f>(W845*1*D845)+(W845*1.5*E845)+(W845*2*F845)+(W845*1*G845)</f>
        <v>4874.625</v>
      </c>
      <c r="Y845" s="53">
        <f t="shared" si="1454"/>
        <v>0</v>
      </c>
      <c r="Z845" s="53">
        <f>(W845*1*J845)+L845</f>
        <v>593.15333333333331</v>
      </c>
      <c r="AA845" s="54">
        <f t="shared" si="1456"/>
        <v>0</v>
      </c>
      <c r="AB845" s="54">
        <f>(W845*1*N845)+(W845*1.5*O845)+(W845*2*P845)+(W845*1*Q845)</f>
        <v>4874.625</v>
      </c>
      <c r="AC845" s="64">
        <f t="shared" si="1450"/>
        <v>0</v>
      </c>
      <c r="AD845" s="209"/>
      <c r="AE845" s="64">
        <f t="shared" ref="AE845:AE855" si="1463">AB845-(X845+Z845)</f>
        <v>-593.15333333333365</v>
      </c>
      <c r="AF845" s="209"/>
      <c r="AG845" s="8"/>
    </row>
    <row r="846" spans="1:33" x14ac:dyDescent="0.45">
      <c r="A846" s="22">
        <f t="shared" si="1458"/>
        <v>45018</v>
      </c>
      <c r="B846" s="50" t="s">
        <v>64</v>
      </c>
      <c r="C846" s="48">
        <f t="shared" ref="C846:C851" si="1464">80*W846</f>
        <v>1672</v>
      </c>
      <c r="D846" s="51">
        <v>80</v>
      </c>
      <c r="E846" s="51">
        <v>14.5</v>
      </c>
      <c r="F846" s="51">
        <v>0</v>
      </c>
      <c r="G846" s="51">
        <v>3</v>
      </c>
      <c r="H846" s="51">
        <v>0</v>
      </c>
      <c r="I846" s="51">
        <v>0</v>
      </c>
      <c r="J846" s="51">
        <v>0</v>
      </c>
      <c r="K846" s="51">
        <v>0</v>
      </c>
      <c r="L846" s="52">
        <v>0</v>
      </c>
      <c r="M846" s="34"/>
      <c r="N846" s="51">
        <v>80</v>
      </c>
      <c r="O846" s="51">
        <v>14.5</v>
      </c>
      <c r="P846" s="51">
        <v>0</v>
      </c>
      <c r="Q846" s="51">
        <v>3</v>
      </c>
      <c r="R846" s="34"/>
      <c r="S846" s="51">
        <f t="shared" ref="S846:S848" si="1465">SUM(D846:G846)</f>
        <v>97.5</v>
      </c>
      <c r="T846" s="51">
        <f>SUM(N846:Q846)</f>
        <v>97.5</v>
      </c>
      <c r="U846" s="51">
        <f t="shared" ref="U846:U848" si="1466">SUM(H846:K846)</f>
        <v>0</v>
      </c>
      <c r="V846" s="34"/>
      <c r="W846" s="52">
        <v>20.9</v>
      </c>
      <c r="X846" s="53">
        <f t="shared" ref="X846:X851" si="1467">(W846*1*D846)+(W846*1.5*E846)+(W846*2*F846)+(W846*1*G846)</f>
        <v>2189.2749999999996</v>
      </c>
      <c r="Y846" s="53">
        <f t="shared" si="1454"/>
        <v>0</v>
      </c>
      <c r="Z846" s="53">
        <f t="shared" ref="Z846:Z851" si="1468">(W846*1*J846)+L846</f>
        <v>0</v>
      </c>
      <c r="AA846" s="54">
        <f t="shared" si="1456"/>
        <v>0</v>
      </c>
      <c r="AB846" s="54">
        <f t="shared" ref="AB846:AB851" si="1469">(W846*1*N846)+(W846*1.5*O846)+(W846*2*P846)+(W846*1*Q846)</f>
        <v>2189.2749999999996</v>
      </c>
      <c r="AC846" s="64">
        <f t="shared" si="1450"/>
        <v>0</v>
      </c>
      <c r="AD846" s="209"/>
      <c r="AE846" s="64">
        <f t="shared" si="1463"/>
        <v>0</v>
      </c>
      <c r="AF846" s="209"/>
      <c r="AG846" s="8"/>
    </row>
    <row r="847" spans="1:33" x14ac:dyDescent="0.45">
      <c r="A847" s="22">
        <f t="shared" si="1458"/>
        <v>45018</v>
      </c>
      <c r="B847" s="50" t="s">
        <v>53</v>
      </c>
      <c r="C847" s="48">
        <f t="shared" si="1464"/>
        <v>2024</v>
      </c>
      <c r="D847" s="51">
        <v>78</v>
      </c>
      <c r="E847" s="51">
        <v>9.75</v>
      </c>
      <c r="F847" s="51">
        <v>0</v>
      </c>
      <c r="G847" s="51">
        <v>8.5</v>
      </c>
      <c r="H847" s="51">
        <v>8</v>
      </c>
      <c r="I847" s="51">
        <v>0</v>
      </c>
      <c r="J847" s="51">
        <v>0</v>
      </c>
      <c r="K847" s="51">
        <v>0</v>
      </c>
      <c r="L847" s="52">
        <v>0</v>
      </c>
      <c r="M847" s="34"/>
      <c r="N847" s="13">
        <v>78</v>
      </c>
      <c r="O847" s="13">
        <v>9.75</v>
      </c>
      <c r="P847" s="13">
        <v>0</v>
      </c>
      <c r="Q847" s="13">
        <v>8.5</v>
      </c>
      <c r="R847" s="34"/>
      <c r="S847" s="51">
        <f t="shared" si="1465"/>
        <v>96.25</v>
      </c>
      <c r="T847" s="51">
        <f>SUM(N847:Q847)</f>
        <v>96.25</v>
      </c>
      <c r="U847" s="51">
        <f t="shared" si="1466"/>
        <v>8</v>
      </c>
      <c r="V847" s="34"/>
      <c r="W847" s="52">
        <v>25.3</v>
      </c>
      <c r="X847" s="53">
        <f t="shared" si="1467"/>
        <v>2558.4625000000005</v>
      </c>
      <c r="Y847" s="53">
        <f t="shared" si="1454"/>
        <v>0</v>
      </c>
      <c r="Z847" s="53">
        <f t="shared" si="1468"/>
        <v>0</v>
      </c>
      <c r="AA847" s="54">
        <f t="shared" si="1456"/>
        <v>0</v>
      </c>
      <c r="AB847" s="54">
        <f t="shared" si="1469"/>
        <v>2558.4625000000005</v>
      </c>
      <c r="AC847" s="64">
        <f t="shared" si="1450"/>
        <v>0</v>
      </c>
      <c r="AD847" s="209"/>
      <c r="AE847" s="64">
        <f t="shared" si="1463"/>
        <v>0</v>
      </c>
      <c r="AF847" s="209"/>
      <c r="AG847" s="8"/>
    </row>
    <row r="848" spans="1:33" x14ac:dyDescent="0.45">
      <c r="A848" s="22">
        <f t="shared" si="1458"/>
        <v>45018</v>
      </c>
      <c r="B848" s="50" t="s">
        <v>54</v>
      </c>
      <c r="C848" s="48">
        <f t="shared" si="1464"/>
        <v>2024</v>
      </c>
      <c r="D848" s="51">
        <v>80</v>
      </c>
      <c r="E848" s="51">
        <v>27</v>
      </c>
      <c r="F848" s="51">
        <v>12</v>
      </c>
      <c r="G848" s="51">
        <v>5</v>
      </c>
      <c r="H848" s="51">
        <v>0</v>
      </c>
      <c r="I848" s="51">
        <v>0</v>
      </c>
      <c r="J848" s="51">
        <v>0</v>
      </c>
      <c r="K848" s="51">
        <v>0</v>
      </c>
      <c r="L848" s="52">
        <v>0</v>
      </c>
      <c r="M848" s="34"/>
      <c r="N848" s="51">
        <v>80</v>
      </c>
      <c r="O848" s="51">
        <v>27</v>
      </c>
      <c r="P848" s="51">
        <v>12</v>
      </c>
      <c r="Q848" s="51">
        <v>5</v>
      </c>
      <c r="R848" s="34"/>
      <c r="S848" s="51">
        <f t="shared" si="1465"/>
        <v>124</v>
      </c>
      <c r="T848" s="51">
        <f t="shared" ref="T848" si="1470">SUM(N848:Q848)</f>
        <v>124</v>
      </c>
      <c r="U848" s="51">
        <f t="shared" si="1466"/>
        <v>0</v>
      </c>
      <c r="V848" s="34"/>
      <c r="W848" s="52">
        <v>25.3</v>
      </c>
      <c r="X848" s="53">
        <f t="shared" si="1467"/>
        <v>3782.3500000000004</v>
      </c>
      <c r="Y848" s="53">
        <f t="shared" si="1454"/>
        <v>0</v>
      </c>
      <c r="Z848" s="53">
        <f t="shared" si="1468"/>
        <v>0</v>
      </c>
      <c r="AA848" s="54">
        <f t="shared" si="1456"/>
        <v>0</v>
      </c>
      <c r="AB848" s="54">
        <f t="shared" si="1469"/>
        <v>3782.3500000000004</v>
      </c>
      <c r="AC848" s="64">
        <f>0-Y848-AA848</f>
        <v>0</v>
      </c>
      <c r="AD848" s="209"/>
      <c r="AE848" s="64">
        <f t="shared" si="1463"/>
        <v>0</v>
      </c>
      <c r="AF848" s="209"/>
      <c r="AG848" s="8"/>
    </row>
    <row r="849" spans="1:33" x14ac:dyDescent="0.45">
      <c r="A849" s="22">
        <f t="shared" si="1458"/>
        <v>45018</v>
      </c>
      <c r="B849" s="50" t="s">
        <v>65</v>
      </c>
      <c r="C849" s="48">
        <f t="shared" si="1464"/>
        <v>1512</v>
      </c>
      <c r="D849" s="51">
        <v>0</v>
      </c>
      <c r="E849" s="51">
        <v>0</v>
      </c>
      <c r="F849" s="51">
        <v>0</v>
      </c>
      <c r="G849" s="51">
        <v>0</v>
      </c>
      <c r="H849" s="51">
        <v>0</v>
      </c>
      <c r="I849" s="51">
        <v>0</v>
      </c>
      <c r="J849" s="51">
        <v>0</v>
      </c>
      <c r="K849" s="51">
        <v>80</v>
      </c>
      <c r="L849" s="52">
        <v>0</v>
      </c>
      <c r="M849" s="34"/>
      <c r="N849" s="51">
        <v>0</v>
      </c>
      <c r="O849" s="51">
        <v>0</v>
      </c>
      <c r="P849" s="51">
        <v>0</v>
      </c>
      <c r="Q849" s="51">
        <v>0</v>
      </c>
      <c r="R849" s="34"/>
      <c r="S849" s="51">
        <f t="shared" ref="S849:S851" si="1471">SUM(D849:G849)</f>
        <v>0</v>
      </c>
      <c r="T849" s="51">
        <f t="shared" ref="T849:T851" si="1472">SUM(N849:Q849)</f>
        <v>0</v>
      </c>
      <c r="U849" s="51">
        <f t="shared" ref="U849:U851" si="1473">SUM(H849:K849)</f>
        <v>80</v>
      </c>
      <c r="V849" s="34"/>
      <c r="W849" s="52">
        <v>18.899999999999999</v>
      </c>
      <c r="X849" s="53">
        <f t="shared" si="1467"/>
        <v>0</v>
      </c>
      <c r="Y849" s="53">
        <f t="shared" si="1454"/>
        <v>0</v>
      </c>
      <c r="Z849" s="53">
        <f t="shared" si="1468"/>
        <v>0</v>
      </c>
      <c r="AA849" s="54">
        <f t="shared" si="1456"/>
        <v>1512</v>
      </c>
      <c r="AB849" s="54">
        <f t="shared" si="1469"/>
        <v>0</v>
      </c>
      <c r="AC849" s="64">
        <f>0-Y849-AA849</f>
        <v>-1512</v>
      </c>
      <c r="AD849" s="209"/>
      <c r="AE849" s="64">
        <f t="shared" si="1463"/>
        <v>0</v>
      </c>
      <c r="AF849" s="209"/>
      <c r="AG849" s="8"/>
    </row>
    <row r="850" spans="1:33" x14ac:dyDescent="0.45">
      <c r="A850" s="22">
        <f t="shared" si="1458"/>
        <v>45018</v>
      </c>
      <c r="B850" s="50" t="s">
        <v>66</v>
      </c>
      <c r="C850" s="48">
        <f t="shared" si="1464"/>
        <v>1512</v>
      </c>
      <c r="D850" s="51">
        <v>0</v>
      </c>
      <c r="E850" s="51">
        <v>0</v>
      </c>
      <c r="F850" s="51">
        <v>0</v>
      </c>
      <c r="G850" s="51">
        <v>0</v>
      </c>
      <c r="H850" s="51">
        <v>0</v>
      </c>
      <c r="I850" s="51">
        <v>0</v>
      </c>
      <c r="J850" s="51">
        <v>0</v>
      </c>
      <c r="K850" s="51">
        <v>72</v>
      </c>
      <c r="L850" s="52">
        <v>0</v>
      </c>
      <c r="M850" s="34"/>
      <c r="N850" s="51">
        <v>0</v>
      </c>
      <c r="O850" s="51">
        <v>0</v>
      </c>
      <c r="P850" s="51">
        <v>0</v>
      </c>
      <c r="Q850" s="51">
        <v>0</v>
      </c>
      <c r="R850" s="34"/>
      <c r="S850" s="51">
        <f t="shared" si="1471"/>
        <v>0</v>
      </c>
      <c r="T850" s="51">
        <f t="shared" si="1472"/>
        <v>0</v>
      </c>
      <c r="U850" s="51">
        <f t="shared" si="1473"/>
        <v>72</v>
      </c>
      <c r="V850" s="34"/>
      <c r="W850" s="52">
        <v>18.899999999999999</v>
      </c>
      <c r="X850" s="53">
        <f t="shared" si="1467"/>
        <v>0</v>
      </c>
      <c r="Y850" s="53">
        <f t="shared" si="1454"/>
        <v>0</v>
      </c>
      <c r="Z850" s="53">
        <f t="shared" si="1468"/>
        <v>0</v>
      </c>
      <c r="AA850" s="54">
        <f t="shared" si="1456"/>
        <v>1360.8</v>
      </c>
      <c r="AB850" s="54">
        <f t="shared" si="1469"/>
        <v>0</v>
      </c>
      <c r="AC850" s="64">
        <f>0-Y850-AA850</f>
        <v>-1360.8</v>
      </c>
      <c r="AD850" s="209"/>
      <c r="AE850" s="64">
        <f t="shared" si="1463"/>
        <v>0</v>
      </c>
      <c r="AF850" s="209"/>
      <c r="AG850" s="8"/>
    </row>
    <row r="851" spans="1:33" ht="14.65" thickBot="1" x14ac:dyDescent="0.5">
      <c r="A851" s="23">
        <f t="shared" si="1458"/>
        <v>45018</v>
      </c>
      <c r="B851" s="24" t="s">
        <v>62</v>
      </c>
      <c r="C851" s="49">
        <f t="shared" si="1464"/>
        <v>2000</v>
      </c>
      <c r="D851" s="25">
        <v>80</v>
      </c>
      <c r="E851" s="25">
        <v>29</v>
      </c>
      <c r="F851" s="25">
        <v>12</v>
      </c>
      <c r="G851" s="25">
        <v>2</v>
      </c>
      <c r="H851" s="25">
        <v>0</v>
      </c>
      <c r="I851" s="25">
        <v>0</v>
      </c>
      <c r="J851" s="25">
        <v>0</v>
      </c>
      <c r="K851" s="25">
        <v>0</v>
      </c>
      <c r="L851" s="46">
        <v>0</v>
      </c>
      <c r="M851" s="35"/>
      <c r="N851" s="25">
        <v>80</v>
      </c>
      <c r="O851" s="25">
        <v>29</v>
      </c>
      <c r="P851" s="25">
        <v>12</v>
      </c>
      <c r="Q851" s="25">
        <v>2</v>
      </c>
      <c r="R851" s="35"/>
      <c r="S851" s="25">
        <f t="shared" si="1471"/>
        <v>123</v>
      </c>
      <c r="T851" s="25">
        <f t="shared" si="1472"/>
        <v>123</v>
      </c>
      <c r="U851" s="25">
        <f t="shared" si="1473"/>
        <v>0</v>
      </c>
      <c r="V851" s="35"/>
      <c r="W851" s="46">
        <v>25</v>
      </c>
      <c r="X851" s="26">
        <f t="shared" si="1467"/>
        <v>3737.5</v>
      </c>
      <c r="Y851" s="26">
        <f t="shared" si="1454"/>
        <v>0</v>
      </c>
      <c r="Z851" s="26">
        <f t="shared" si="1468"/>
        <v>0</v>
      </c>
      <c r="AA851" s="27">
        <f t="shared" si="1456"/>
        <v>0</v>
      </c>
      <c r="AB851" s="27">
        <f t="shared" si="1469"/>
        <v>3737.5</v>
      </c>
      <c r="AC851" s="65">
        <f t="shared" ref="AC851:AC858" si="1474">0-Y851-AA851</f>
        <v>0</v>
      </c>
      <c r="AD851" s="210"/>
      <c r="AE851" s="65">
        <f t="shared" si="1463"/>
        <v>0</v>
      </c>
      <c r="AF851" s="210"/>
      <c r="AG851" s="8"/>
    </row>
    <row r="852" spans="1:33" x14ac:dyDescent="0.45">
      <c r="A852" s="16">
        <f>A851+14</f>
        <v>45032</v>
      </c>
      <c r="B852" s="17" t="s">
        <v>30</v>
      </c>
      <c r="C852" s="47">
        <f>120*W852</f>
        <v>4098</v>
      </c>
      <c r="D852" s="18">
        <v>72</v>
      </c>
      <c r="E852" s="18">
        <v>6</v>
      </c>
      <c r="F852" s="18">
        <v>0</v>
      </c>
      <c r="G852" s="18">
        <v>0</v>
      </c>
      <c r="H852" s="18">
        <v>0</v>
      </c>
      <c r="I852" s="18">
        <v>0</v>
      </c>
      <c r="J852" s="18">
        <v>8</v>
      </c>
      <c r="K852" s="18">
        <v>0</v>
      </c>
      <c r="L852" s="44">
        <v>0</v>
      </c>
      <c r="M852" s="33"/>
      <c r="N852" s="18">
        <v>72</v>
      </c>
      <c r="O852" s="18">
        <v>6</v>
      </c>
      <c r="P852" s="18">
        <v>0</v>
      </c>
      <c r="Q852" s="18">
        <v>0</v>
      </c>
      <c r="R852" s="33"/>
      <c r="S852" s="18">
        <f>SUM(D852:G852)</f>
        <v>78</v>
      </c>
      <c r="T852" s="18">
        <f>SUM(N852:Q852)</f>
        <v>78</v>
      </c>
      <c r="U852" s="18">
        <f>SUM(H852:K852)</f>
        <v>8</v>
      </c>
      <c r="V852" s="33"/>
      <c r="W852" s="44">
        <v>34.15</v>
      </c>
      <c r="X852" s="19">
        <f>(W852*1*D852)+(W852*1.5*E852)+(W852*2*F852)+(W852*1*G852)</f>
        <v>2766.1499999999996</v>
      </c>
      <c r="Y852" s="19">
        <f>(W852*0*H852)+(W852*1*I852)</f>
        <v>0</v>
      </c>
      <c r="Z852" s="19">
        <f>(W852*1*J852)+L852</f>
        <v>273.2</v>
      </c>
      <c r="AA852" s="20">
        <f>(W852*1*K852)</f>
        <v>0</v>
      </c>
      <c r="AB852" s="20">
        <f>(W852*1*N852)+(W852*1.5*O852)+(W852*2*P852)+(W852*1*Q852)</f>
        <v>2766.1499999999996</v>
      </c>
      <c r="AC852" s="66">
        <f t="shared" si="1474"/>
        <v>0</v>
      </c>
      <c r="AD852" s="208"/>
      <c r="AE852" s="66">
        <f t="shared" si="1463"/>
        <v>-273.19999999999982</v>
      </c>
      <c r="AF852" s="208">
        <f>SUM(AE852:AE862)</f>
        <v>-2127.3749999999995</v>
      </c>
      <c r="AG852" s="8"/>
    </row>
    <row r="853" spans="1:33" x14ac:dyDescent="0.45">
      <c r="A853" s="22">
        <f>A852</f>
        <v>45032</v>
      </c>
      <c r="B853" s="15" t="s">
        <v>4</v>
      </c>
      <c r="C853" s="48">
        <f>80*W853</f>
        <v>2520</v>
      </c>
      <c r="D853" s="13">
        <v>72</v>
      </c>
      <c r="E853" s="13">
        <v>16</v>
      </c>
      <c r="F853" s="13">
        <v>0</v>
      </c>
      <c r="G853" s="13">
        <v>0</v>
      </c>
      <c r="H853" s="13">
        <v>0</v>
      </c>
      <c r="I853" s="13">
        <v>0</v>
      </c>
      <c r="J853" s="13">
        <v>8</v>
      </c>
      <c r="K853" s="13">
        <v>0</v>
      </c>
      <c r="L853" s="45">
        <v>0</v>
      </c>
      <c r="M853" s="34"/>
      <c r="N853" s="13">
        <v>72</v>
      </c>
      <c r="O853" s="13">
        <v>16</v>
      </c>
      <c r="P853" s="13">
        <v>0</v>
      </c>
      <c r="Q853" s="13">
        <v>0</v>
      </c>
      <c r="R853" s="34"/>
      <c r="S853" s="13">
        <f t="shared" ref="S853:S855" si="1475">SUM(D853:G853)</f>
        <v>88</v>
      </c>
      <c r="T853" s="13">
        <f t="shared" ref="T853" si="1476">SUM(N853:Q853)</f>
        <v>88</v>
      </c>
      <c r="U853" s="13">
        <f>SUM(H853:K853)</f>
        <v>8</v>
      </c>
      <c r="V853" s="34"/>
      <c r="W853" s="45">
        <v>31.5</v>
      </c>
      <c r="X853" s="10">
        <f t="shared" ref="X853:X854" si="1477">(W853*1*D853)+(W853*1.5*E853)+(W853*2*F853)+(W853*1*G853)</f>
        <v>3024</v>
      </c>
      <c r="Y853" s="10">
        <f t="shared" ref="Y853:Y862" si="1478">(W853*0*H853)+(W853*1*I853)</f>
        <v>0</v>
      </c>
      <c r="Z853" s="10">
        <f t="shared" ref="Z853:Z855" si="1479">(W853*1*J853)+L853</f>
        <v>252</v>
      </c>
      <c r="AA853" s="14">
        <f t="shared" ref="AA853:AA862" si="1480">(W853*1*K853)</f>
        <v>0</v>
      </c>
      <c r="AB853" s="14">
        <f t="shared" ref="AB853:AB855" si="1481">(W853*1*N853)+(W853*1.5*O853)+(W853*2*P853)+(W853*1*Q853)</f>
        <v>3024</v>
      </c>
      <c r="AC853" s="63">
        <f t="shared" si="1474"/>
        <v>0</v>
      </c>
      <c r="AD853" s="209"/>
      <c r="AE853" s="63">
        <f t="shared" si="1463"/>
        <v>-252</v>
      </c>
      <c r="AF853" s="209"/>
      <c r="AG853" s="8"/>
    </row>
    <row r="854" spans="1:33" x14ac:dyDescent="0.45">
      <c r="A854" s="22">
        <f t="shared" ref="A854:A862" si="1482">A853</f>
        <v>45032</v>
      </c>
      <c r="B854" s="15" t="s">
        <v>5</v>
      </c>
      <c r="C854" s="48">
        <f>120*W854</f>
        <v>3654</v>
      </c>
      <c r="D854" s="13">
        <v>72</v>
      </c>
      <c r="E854" s="13">
        <v>6</v>
      </c>
      <c r="F854" s="13">
        <v>0</v>
      </c>
      <c r="G854" s="13">
        <v>10</v>
      </c>
      <c r="H854" s="13">
        <v>0</v>
      </c>
      <c r="I854" s="13">
        <v>0</v>
      </c>
      <c r="J854" s="13">
        <v>8</v>
      </c>
      <c r="K854" s="13">
        <v>0</v>
      </c>
      <c r="L854" s="45">
        <v>0</v>
      </c>
      <c r="M854" s="34"/>
      <c r="N854" s="13">
        <v>72</v>
      </c>
      <c r="O854" s="13">
        <v>6.5</v>
      </c>
      <c r="P854" s="13">
        <v>0</v>
      </c>
      <c r="Q854" s="13">
        <v>10</v>
      </c>
      <c r="R854" s="34"/>
      <c r="S854" s="13">
        <f t="shared" si="1475"/>
        <v>88</v>
      </c>
      <c r="T854" s="13">
        <f>SUM(N854:Q854)</f>
        <v>88.5</v>
      </c>
      <c r="U854" s="13">
        <f t="shared" ref="U854:U855" si="1483">SUM(H854:K854)</f>
        <v>8</v>
      </c>
      <c r="V854" s="34"/>
      <c r="W854" s="45">
        <v>30.45</v>
      </c>
      <c r="X854" s="10">
        <f t="shared" si="1477"/>
        <v>2770.95</v>
      </c>
      <c r="Y854" s="10">
        <f t="shared" si="1478"/>
        <v>0</v>
      </c>
      <c r="Z854" s="10">
        <f t="shared" si="1479"/>
        <v>243.6</v>
      </c>
      <c r="AA854" s="14">
        <f t="shared" si="1480"/>
        <v>0</v>
      </c>
      <c r="AB854" s="14">
        <f t="shared" si="1481"/>
        <v>2793.7874999999999</v>
      </c>
      <c r="AC854" s="63">
        <f t="shared" si="1474"/>
        <v>0</v>
      </c>
      <c r="AD854" s="209"/>
      <c r="AE854" s="63">
        <f t="shared" si="1463"/>
        <v>-220.76249999999982</v>
      </c>
      <c r="AF854" s="209"/>
      <c r="AG854" s="8"/>
    </row>
    <row r="855" spans="1:33" x14ac:dyDescent="0.45">
      <c r="A855" s="22">
        <f t="shared" si="1482"/>
        <v>45032</v>
      </c>
      <c r="B855" s="15" t="s">
        <v>6</v>
      </c>
      <c r="C855" s="48">
        <f>120*W855</f>
        <v>3780</v>
      </c>
      <c r="D855" s="13">
        <v>71.5</v>
      </c>
      <c r="E855" s="13">
        <v>20.25</v>
      </c>
      <c r="F855" s="13">
        <v>5</v>
      </c>
      <c r="G855" s="13">
        <v>0</v>
      </c>
      <c r="H855" s="13">
        <v>0</v>
      </c>
      <c r="I855" s="13">
        <v>0</v>
      </c>
      <c r="J855" s="13">
        <v>8</v>
      </c>
      <c r="K855" s="13">
        <v>0</v>
      </c>
      <c r="L855" s="45">
        <v>0</v>
      </c>
      <c r="M855" s="34"/>
      <c r="N855" s="13">
        <v>71.5</v>
      </c>
      <c r="O855" s="13">
        <v>20.25</v>
      </c>
      <c r="P855" s="13">
        <v>5</v>
      </c>
      <c r="Q855" s="13">
        <v>0</v>
      </c>
      <c r="R855" s="34"/>
      <c r="S855" s="13">
        <f t="shared" si="1475"/>
        <v>96.75</v>
      </c>
      <c r="T855" s="13">
        <f t="shared" ref="T855" si="1484">SUM(N855:Q855)</f>
        <v>96.75</v>
      </c>
      <c r="U855" s="13">
        <f t="shared" si="1483"/>
        <v>8</v>
      </c>
      <c r="V855" s="34"/>
      <c r="W855" s="45">
        <v>31.5</v>
      </c>
      <c r="X855" s="45">
        <f>(W855*1*D855)+(W855*1.5*E855)+(W855*2*F855)+(W855*1*G855)</f>
        <v>3524.0625</v>
      </c>
      <c r="Y855" s="45">
        <f t="shared" si="1478"/>
        <v>0</v>
      </c>
      <c r="Z855" s="45">
        <f t="shared" si="1479"/>
        <v>252</v>
      </c>
      <c r="AA855" s="79">
        <f t="shared" si="1480"/>
        <v>0</v>
      </c>
      <c r="AB855" s="79">
        <f t="shared" si="1481"/>
        <v>3524.0625</v>
      </c>
      <c r="AC855" s="80">
        <f t="shared" si="1474"/>
        <v>0</v>
      </c>
      <c r="AD855" s="209"/>
      <c r="AE855" s="80">
        <f t="shared" si="1463"/>
        <v>-252</v>
      </c>
      <c r="AF855" s="209"/>
      <c r="AG855" s="8"/>
    </row>
    <row r="856" spans="1:33" x14ac:dyDescent="0.45">
      <c r="A856" s="22">
        <f t="shared" si="1482"/>
        <v>45032</v>
      </c>
      <c r="B856" s="50" t="s">
        <v>31</v>
      </c>
      <c r="C856" s="48">
        <f>120*W856</f>
        <v>3780</v>
      </c>
      <c r="D856" s="51">
        <v>72</v>
      </c>
      <c r="E856" s="51">
        <v>8</v>
      </c>
      <c r="F856" s="51">
        <v>0</v>
      </c>
      <c r="G856" s="51">
        <v>12</v>
      </c>
      <c r="H856" s="51">
        <v>0</v>
      </c>
      <c r="I856" s="51">
        <v>0</v>
      </c>
      <c r="J856" s="51">
        <v>8</v>
      </c>
      <c r="K856" s="51">
        <v>0</v>
      </c>
      <c r="L856" s="52">
        <v>0</v>
      </c>
      <c r="M856" s="34"/>
      <c r="N856" s="13">
        <v>72</v>
      </c>
      <c r="O856" s="13">
        <v>8</v>
      </c>
      <c r="P856" s="13">
        <v>0</v>
      </c>
      <c r="Q856" s="13">
        <v>12</v>
      </c>
      <c r="R856" s="34"/>
      <c r="S856" s="51">
        <f t="shared" ref="S856" si="1485">SUM(D856:G856)</f>
        <v>92</v>
      </c>
      <c r="T856" s="51">
        <f>SUM(N856:Q856)</f>
        <v>92</v>
      </c>
      <c r="U856" s="51">
        <f t="shared" ref="U856" si="1486">SUM(H856:K856)</f>
        <v>8</v>
      </c>
      <c r="V856" s="34"/>
      <c r="W856" s="52">
        <v>31.5</v>
      </c>
      <c r="X856" s="53">
        <f>(W856*1*D856)+(W856*1.5*E856)+(W856*2*F856)+(W856*1*G856)</f>
        <v>3024</v>
      </c>
      <c r="Y856" s="53">
        <f t="shared" si="1478"/>
        <v>0</v>
      </c>
      <c r="Z856" s="53">
        <f>(W856*1*J856)+L856</f>
        <v>252</v>
      </c>
      <c r="AA856" s="54">
        <f t="shared" si="1480"/>
        <v>0</v>
      </c>
      <c r="AB856" s="54">
        <f>(W856*1*N856)+(W856*1.5*O856)+(W856*2*P856)+(W856*1*Q856)</f>
        <v>3024</v>
      </c>
      <c r="AC856" s="64">
        <f t="shared" si="1474"/>
        <v>0</v>
      </c>
      <c r="AD856" s="209"/>
      <c r="AE856" s="64">
        <f t="shared" ref="AE856:AE866" si="1487">AB856-(X856+Z856)</f>
        <v>-252</v>
      </c>
      <c r="AF856" s="209"/>
      <c r="AG856" s="8"/>
    </row>
    <row r="857" spans="1:33" x14ac:dyDescent="0.45">
      <c r="A857" s="22">
        <f t="shared" si="1482"/>
        <v>45032</v>
      </c>
      <c r="B857" s="50" t="s">
        <v>64</v>
      </c>
      <c r="C857" s="48">
        <f t="shared" ref="C857:C862" si="1488">80*W857</f>
        <v>1672</v>
      </c>
      <c r="D857" s="51">
        <v>72</v>
      </c>
      <c r="E857" s="51">
        <v>19</v>
      </c>
      <c r="F857" s="51">
        <v>0</v>
      </c>
      <c r="G857" s="51">
        <v>0</v>
      </c>
      <c r="H857" s="51">
        <v>0</v>
      </c>
      <c r="I857" s="51">
        <v>0</v>
      </c>
      <c r="J857" s="51">
        <v>8</v>
      </c>
      <c r="K857" s="51">
        <v>0</v>
      </c>
      <c r="L857" s="52">
        <v>0</v>
      </c>
      <c r="M857" s="34"/>
      <c r="N857" s="51">
        <v>72</v>
      </c>
      <c r="O857" s="51">
        <v>19</v>
      </c>
      <c r="P857" s="51">
        <v>0</v>
      </c>
      <c r="Q857" s="51">
        <v>0</v>
      </c>
      <c r="R857" s="34"/>
      <c r="S857" s="51">
        <f t="shared" ref="S857:S859" si="1489">SUM(D857:G857)</f>
        <v>91</v>
      </c>
      <c r="T857" s="51">
        <f>SUM(N857:Q857)</f>
        <v>91</v>
      </c>
      <c r="U857" s="51">
        <f t="shared" ref="U857:U859" si="1490">SUM(H857:K857)</f>
        <v>8</v>
      </c>
      <c r="V857" s="34"/>
      <c r="W857" s="52">
        <v>20.9</v>
      </c>
      <c r="X857" s="53">
        <f t="shared" ref="X857:X862" si="1491">(W857*1*D857)+(W857*1.5*E857)+(W857*2*F857)+(W857*1*G857)</f>
        <v>2100.4499999999998</v>
      </c>
      <c r="Y857" s="53">
        <f t="shared" si="1478"/>
        <v>0</v>
      </c>
      <c r="Z857" s="53">
        <f t="shared" ref="Z857:Z862" si="1492">(W857*1*J857)+L857</f>
        <v>167.2</v>
      </c>
      <c r="AA857" s="54">
        <f t="shared" si="1480"/>
        <v>0</v>
      </c>
      <c r="AB857" s="54">
        <f t="shared" ref="AB857:AB862" si="1493">(W857*1*N857)+(W857*1.5*O857)+(W857*2*P857)+(W857*1*Q857)</f>
        <v>2100.4499999999998</v>
      </c>
      <c r="AC857" s="64">
        <f t="shared" si="1474"/>
        <v>0</v>
      </c>
      <c r="AD857" s="209"/>
      <c r="AE857" s="64">
        <f t="shared" si="1487"/>
        <v>-167.19999999999982</v>
      </c>
      <c r="AF857" s="209"/>
      <c r="AG857" s="8"/>
    </row>
    <row r="858" spans="1:33" x14ac:dyDescent="0.45">
      <c r="A858" s="22">
        <f t="shared" si="1482"/>
        <v>45032</v>
      </c>
      <c r="B858" s="50" t="s">
        <v>53</v>
      </c>
      <c r="C858" s="48">
        <f t="shared" si="1488"/>
        <v>2024</v>
      </c>
      <c r="D858" s="51">
        <v>72</v>
      </c>
      <c r="E858" s="51">
        <v>7.75</v>
      </c>
      <c r="F858" s="51">
        <v>0</v>
      </c>
      <c r="G858" s="51">
        <v>0</v>
      </c>
      <c r="H858" s="51">
        <v>0</v>
      </c>
      <c r="I858" s="51">
        <v>0</v>
      </c>
      <c r="J858" s="51">
        <v>8</v>
      </c>
      <c r="K858" s="51">
        <v>0</v>
      </c>
      <c r="L858" s="52">
        <v>0</v>
      </c>
      <c r="M858" s="34"/>
      <c r="N858" s="13">
        <v>72</v>
      </c>
      <c r="O858" s="13">
        <v>8</v>
      </c>
      <c r="P858" s="13">
        <v>0</v>
      </c>
      <c r="Q858" s="13">
        <v>0</v>
      </c>
      <c r="R858" s="34"/>
      <c r="S858" s="51">
        <f t="shared" si="1489"/>
        <v>79.75</v>
      </c>
      <c r="T858" s="51">
        <f>SUM(N858:Q858)</f>
        <v>80</v>
      </c>
      <c r="U858" s="51">
        <f t="shared" si="1490"/>
        <v>8</v>
      </c>
      <c r="V858" s="34"/>
      <c r="W858" s="52">
        <v>25.3</v>
      </c>
      <c r="X858" s="53">
        <f t="shared" si="1491"/>
        <v>2115.7125000000001</v>
      </c>
      <c r="Y858" s="53">
        <f t="shared" si="1478"/>
        <v>0</v>
      </c>
      <c r="Z858" s="53">
        <f t="shared" si="1492"/>
        <v>202.4</v>
      </c>
      <c r="AA858" s="54">
        <f t="shared" si="1480"/>
        <v>0</v>
      </c>
      <c r="AB858" s="54">
        <f t="shared" si="1493"/>
        <v>2125.2000000000003</v>
      </c>
      <c r="AC858" s="64">
        <f t="shared" si="1474"/>
        <v>0</v>
      </c>
      <c r="AD858" s="209"/>
      <c r="AE858" s="64">
        <f t="shared" si="1487"/>
        <v>-192.91249999999991</v>
      </c>
      <c r="AF858" s="209"/>
      <c r="AG858" s="8"/>
    </row>
    <row r="859" spans="1:33" x14ac:dyDescent="0.45">
      <c r="A859" s="22">
        <f t="shared" si="1482"/>
        <v>45032</v>
      </c>
      <c r="B859" s="50" t="s">
        <v>54</v>
      </c>
      <c r="C859" s="48">
        <f t="shared" si="1488"/>
        <v>2024</v>
      </c>
      <c r="D859" s="51">
        <v>72</v>
      </c>
      <c r="E859" s="51">
        <v>13</v>
      </c>
      <c r="F859" s="51">
        <v>0</v>
      </c>
      <c r="G859" s="51">
        <v>0</v>
      </c>
      <c r="H859" s="51">
        <v>0</v>
      </c>
      <c r="I859" s="51">
        <v>0</v>
      </c>
      <c r="J859" s="51">
        <v>8</v>
      </c>
      <c r="K859" s="51">
        <v>0</v>
      </c>
      <c r="L859" s="52">
        <v>0</v>
      </c>
      <c r="M859" s="34"/>
      <c r="N859" s="51">
        <v>72</v>
      </c>
      <c r="O859" s="51">
        <v>13</v>
      </c>
      <c r="P859" s="51">
        <v>0</v>
      </c>
      <c r="Q859" s="51">
        <v>0</v>
      </c>
      <c r="R859" s="34"/>
      <c r="S859" s="51">
        <f t="shared" si="1489"/>
        <v>85</v>
      </c>
      <c r="T859" s="51">
        <f t="shared" ref="T859" si="1494">SUM(N859:Q859)</f>
        <v>85</v>
      </c>
      <c r="U859" s="51">
        <f t="shared" si="1490"/>
        <v>8</v>
      </c>
      <c r="V859" s="34"/>
      <c r="W859" s="52">
        <v>25.3</v>
      </c>
      <c r="X859" s="53">
        <f t="shared" si="1491"/>
        <v>2314.9500000000003</v>
      </c>
      <c r="Y859" s="53">
        <f t="shared" si="1478"/>
        <v>0</v>
      </c>
      <c r="Z859" s="53">
        <f t="shared" si="1492"/>
        <v>202.4</v>
      </c>
      <c r="AA859" s="54">
        <f t="shared" si="1480"/>
        <v>0</v>
      </c>
      <c r="AB859" s="54">
        <f t="shared" si="1493"/>
        <v>2314.9500000000003</v>
      </c>
      <c r="AC859" s="64">
        <f>0-Y859-AA859</f>
        <v>0</v>
      </c>
      <c r="AD859" s="209"/>
      <c r="AE859" s="64">
        <f t="shared" si="1487"/>
        <v>-202.40000000000009</v>
      </c>
      <c r="AF859" s="209"/>
      <c r="AG859" s="8"/>
    </row>
    <row r="860" spans="1:33" x14ac:dyDescent="0.45">
      <c r="A860" s="22">
        <f t="shared" si="1482"/>
        <v>45032</v>
      </c>
      <c r="B860" s="50" t="s">
        <v>65</v>
      </c>
      <c r="C860" s="48">
        <f t="shared" si="1488"/>
        <v>1512</v>
      </c>
      <c r="D860" s="51">
        <v>0</v>
      </c>
      <c r="E860" s="51">
        <v>0</v>
      </c>
      <c r="F860" s="51">
        <v>0</v>
      </c>
      <c r="G860" s="51">
        <v>0</v>
      </c>
      <c r="H860" s="51">
        <v>0</v>
      </c>
      <c r="I860" s="51">
        <v>0</v>
      </c>
      <c r="J860" s="51">
        <v>8</v>
      </c>
      <c r="K860" s="51">
        <v>71</v>
      </c>
      <c r="L860" s="52">
        <v>0</v>
      </c>
      <c r="M860" s="34"/>
      <c r="N860" s="51">
        <v>0</v>
      </c>
      <c r="O860" s="51">
        <v>0</v>
      </c>
      <c r="P860" s="51">
        <v>0</v>
      </c>
      <c r="Q860" s="51">
        <v>0</v>
      </c>
      <c r="R860" s="34"/>
      <c r="S860" s="51">
        <f t="shared" ref="S860:S862" si="1495">SUM(D860:G860)</f>
        <v>0</v>
      </c>
      <c r="T860" s="51">
        <f t="shared" ref="T860:T862" si="1496">SUM(N860:Q860)</f>
        <v>0</v>
      </c>
      <c r="U860" s="51">
        <f t="shared" ref="U860:U862" si="1497">SUM(H860:K860)</f>
        <v>79</v>
      </c>
      <c r="V860" s="34"/>
      <c r="W860" s="52">
        <v>18.899999999999999</v>
      </c>
      <c r="X860" s="53">
        <f t="shared" si="1491"/>
        <v>0</v>
      </c>
      <c r="Y860" s="53">
        <f t="shared" si="1478"/>
        <v>0</v>
      </c>
      <c r="Z860" s="53">
        <f t="shared" si="1492"/>
        <v>151.19999999999999</v>
      </c>
      <c r="AA860" s="54">
        <f t="shared" si="1480"/>
        <v>1341.8999999999999</v>
      </c>
      <c r="AB860" s="54">
        <f t="shared" si="1493"/>
        <v>0</v>
      </c>
      <c r="AC860" s="64">
        <f>0-Y860-AA860</f>
        <v>-1341.8999999999999</v>
      </c>
      <c r="AD860" s="209"/>
      <c r="AE860" s="64">
        <f t="shared" si="1487"/>
        <v>-151.19999999999999</v>
      </c>
      <c r="AF860" s="209"/>
      <c r="AG860" s="8"/>
    </row>
    <row r="861" spans="1:33" x14ac:dyDescent="0.45">
      <c r="A861" s="22">
        <f t="shared" si="1482"/>
        <v>45032</v>
      </c>
      <c r="B861" s="50" t="s">
        <v>66</v>
      </c>
      <c r="C861" s="48">
        <f t="shared" si="1488"/>
        <v>1512</v>
      </c>
      <c r="D861" s="51">
        <v>0</v>
      </c>
      <c r="E861" s="51">
        <v>0</v>
      </c>
      <c r="F861" s="51">
        <v>0</v>
      </c>
      <c r="G861" s="51">
        <v>0</v>
      </c>
      <c r="H861" s="51">
        <v>0</v>
      </c>
      <c r="I861" s="51">
        <v>0</v>
      </c>
      <c r="J861" s="51">
        <v>8</v>
      </c>
      <c r="K861" s="51">
        <v>72</v>
      </c>
      <c r="L861" s="52">
        <v>0</v>
      </c>
      <c r="M861" s="34"/>
      <c r="N861" s="51">
        <v>0</v>
      </c>
      <c r="O861" s="51">
        <v>0</v>
      </c>
      <c r="P861" s="51">
        <v>0</v>
      </c>
      <c r="Q861" s="51">
        <v>0</v>
      </c>
      <c r="R861" s="34"/>
      <c r="S861" s="51">
        <f t="shared" si="1495"/>
        <v>0</v>
      </c>
      <c r="T861" s="51">
        <f t="shared" si="1496"/>
        <v>0</v>
      </c>
      <c r="U861" s="51">
        <f t="shared" si="1497"/>
        <v>80</v>
      </c>
      <c r="V861" s="34"/>
      <c r="W861" s="52">
        <v>18.899999999999999</v>
      </c>
      <c r="X861" s="53">
        <f t="shared" si="1491"/>
        <v>0</v>
      </c>
      <c r="Y861" s="53">
        <f t="shared" si="1478"/>
        <v>0</v>
      </c>
      <c r="Z861" s="53">
        <f t="shared" si="1492"/>
        <v>151.19999999999999</v>
      </c>
      <c r="AA861" s="54">
        <f t="shared" si="1480"/>
        <v>1360.8</v>
      </c>
      <c r="AB861" s="54">
        <f t="shared" si="1493"/>
        <v>0</v>
      </c>
      <c r="AC861" s="64">
        <f>0-Y861-AA861</f>
        <v>-1360.8</v>
      </c>
      <c r="AD861" s="209"/>
      <c r="AE861" s="64">
        <f t="shared" si="1487"/>
        <v>-151.19999999999999</v>
      </c>
      <c r="AF861" s="209"/>
      <c r="AG861" s="8"/>
    </row>
    <row r="862" spans="1:33" ht="14.65" thickBot="1" x14ac:dyDescent="0.5">
      <c r="A862" s="23">
        <f t="shared" si="1482"/>
        <v>45032</v>
      </c>
      <c r="B862" s="24" t="s">
        <v>62</v>
      </c>
      <c r="C862" s="49">
        <f t="shared" si="1488"/>
        <v>2000</v>
      </c>
      <c r="D862" s="25">
        <v>72</v>
      </c>
      <c r="E862" s="25">
        <v>28</v>
      </c>
      <c r="F862" s="25">
        <v>12</v>
      </c>
      <c r="G862" s="25">
        <v>14</v>
      </c>
      <c r="H862" s="25">
        <v>0</v>
      </c>
      <c r="I862" s="25">
        <v>0</v>
      </c>
      <c r="J862" s="25">
        <v>0</v>
      </c>
      <c r="K862" s="25">
        <v>8</v>
      </c>
      <c r="L862" s="46">
        <v>0</v>
      </c>
      <c r="M862" s="35"/>
      <c r="N862" s="25">
        <v>72</v>
      </c>
      <c r="O862" s="25">
        <v>27</v>
      </c>
      <c r="P862" s="25">
        <v>12</v>
      </c>
      <c r="Q862" s="25">
        <v>15</v>
      </c>
      <c r="R862" s="35"/>
      <c r="S862" s="25">
        <f t="shared" si="1495"/>
        <v>126</v>
      </c>
      <c r="T862" s="25">
        <f t="shared" si="1496"/>
        <v>126</v>
      </c>
      <c r="U862" s="25">
        <f t="shared" si="1497"/>
        <v>8</v>
      </c>
      <c r="V862" s="35"/>
      <c r="W862" s="46">
        <v>25</v>
      </c>
      <c r="X862" s="26">
        <f t="shared" si="1491"/>
        <v>3800</v>
      </c>
      <c r="Y862" s="26">
        <f t="shared" si="1478"/>
        <v>0</v>
      </c>
      <c r="Z862" s="26">
        <f t="shared" si="1492"/>
        <v>0</v>
      </c>
      <c r="AA862" s="27">
        <f t="shared" si="1480"/>
        <v>200</v>
      </c>
      <c r="AB862" s="27">
        <f t="shared" si="1493"/>
        <v>3787.5</v>
      </c>
      <c r="AC862" s="65">
        <f t="shared" ref="AC862:AC869" si="1498">0-Y862-AA862</f>
        <v>-200</v>
      </c>
      <c r="AD862" s="210"/>
      <c r="AE862" s="65">
        <f t="shared" si="1487"/>
        <v>-12.5</v>
      </c>
      <c r="AF862" s="210"/>
      <c r="AG862" s="8"/>
    </row>
    <row r="863" spans="1:33" x14ac:dyDescent="0.45">
      <c r="A863" s="16">
        <f>A862+14</f>
        <v>45046</v>
      </c>
      <c r="B863" s="17" t="s">
        <v>30</v>
      </c>
      <c r="C863" s="47">
        <f>120*W863</f>
        <v>4098</v>
      </c>
      <c r="D863" s="18">
        <v>65.5</v>
      </c>
      <c r="E863" s="18">
        <v>3</v>
      </c>
      <c r="F863" s="18">
        <v>0</v>
      </c>
      <c r="G863" s="18">
        <v>0</v>
      </c>
      <c r="H863" s="18">
        <v>0</v>
      </c>
      <c r="I863" s="18">
        <v>14.5</v>
      </c>
      <c r="J863" s="18">
        <v>0</v>
      </c>
      <c r="K863" s="18">
        <v>0</v>
      </c>
      <c r="L863" s="44">
        <v>0</v>
      </c>
      <c r="M863" s="33"/>
      <c r="N863" s="18">
        <v>65.5</v>
      </c>
      <c r="O863" s="18">
        <v>3</v>
      </c>
      <c r="P863" s="18">
        <v>0</v>
      </c>
      <c r="Q863" s="18">
        <v>0</v>
      </c>
      <c r="R863" s="33"/>
      <c r="S863" s="18">
        <f>SUM(D863:G863)</f>
        <v>68.5</v>
      </c>
      <c r="T863" s="18">
        <f>SUM(N863:Q863)</f>
        <v>68.5</v>
      </c>
      <c r="U863" s="18">
        <f>SUM(H863:K863)</f>
        <v>14.5</v>
      </c>
      <c r="V863" s="33"/>
      <c r="W863" s="44">
        <v>34.15</v>
      </c>
      <c r="X863" s="19">
        <f>(W863*1*D863)+(W863*1.5*E863)+(W863*2*F863)+(W863*1*G863)</f>
        <v>2390.5</v>
      </c>
      <c r="Y863" s="19">
        <f>(W863*0*H863)+(W863*1*I863)</f>
        <v>495.17499999999995</v>
      </c>
      <c r="Z863" s="19">
        <f>(W863*1*J863)+L863</f>
        <v>0</v>
      </c>
      <c r="AA863" s="20">
        <f>(W863*1*K863)</f>
        <v>0</v>
      </c>
      <c r="AB863" s="20">
        <f>(W863*1*N863)+(W863*1.5*O863)+(W863*2*P863)+(W863*1*Q863)</f>
        <v>2390.5</v>
      </c>
      <c r="AC863" s="66">
        <f t="shared" si="1498"/>
        <v>-495.17499999999995</v>
      </c>
      <c r="AD863" s="208"/>
      <c r="AE863" s="66">
        <f t="shared" si="1487"/>
        <v>0</v>
      </c>
      <c r="AF863" s="208">
        <f>SUM(AE863:AE873)</f>
        <v>15.75</v>
      </c>
      <c r="AG863" s="8"/>
    </row>
    <row r="864" spans="1:33" x14ac:dyDescent="0.45">
      <c r="A864" s="22">
        <f>A863</f>
        <v>45046</v>
      </c>
      <c r="B864" s="15" t="s">
        <v>4</v>
      </c>
      <c r="C864" s="48">
        <f>80*W864</f>
        <v>2520</v>
      </c>
      <c r="D864" s="13">
        <v>80</v>
      </c>
      <c r="E864" s="13">
        <v>38.5</v>
      </c>
      <c r="F864" s="13">
        <v>11</v>
      </c>
      <c r="G864" s="13">
        <v>2</v>
      </c>
      <c r="H864" s="13">
        <v>0</v>
      </c>
      <c r="I864" s="13">
        <v>0</v>
      </c>
      <c r="J864" s="13">
        <v>0</v>
      </c>
      <c r="K864" s="13">
        <v>0</v>
      </c>
      <c r="L864" s="45">
        <v>0</v>
      </c>
      <c r="M864" s="34"/>
      <c r="N864" s="13">
        <v>80</v>
      </c>
      <c r="O864" s="13">
        <v>37.5</v>
      </c>
      <c r="P864" s="13">
        <v>12</v>
      </c>
      <c r="Q864" s="13">
        <v>2</v>
      </c>
      <c r="R864" s="34"/>
      <c r="S864" s="13">
        <f t="shared" ref="S864:S866" si="1499">SUM(D864:G864)</f>
        <v>131.5</v>
      </c>
      <c r="T864" s="13">
        <f t="shared" ref="T864" si="1500">SUM(N864:Q864)</f>
        <v>131.5</v>
      </c>
      <c r="U864" s="13">
        <f>SUM(H864:K864)</f>
        <v>0</v>
      </c>
      <c r="V864" s="34"/>
      <c r="W864" s="45">
        <v>31.5</v>
      </c>
      <c r="X864" s="10">
        <f t="shared" ref="X864:X865" si="1501">(W864*1*D864)+(W864*1.5*E864)+(W864*2*F864)+(W864*1*G864)</f>
        <v>5095.125</v>
      </c>
      <c r="Y864" s="10">
        <f t="shared" ref="Y864:Y873" si="1502">(W864*0*H864)+(W864*1*I864)</f>
        <v>0</v>
      </c>
      <c r="Z864" s="10">
        <f t="shared" ref="Z864:Z866" si="1503">(W864*1*J864)+L864</f>
        <v>0</v>
      </c>
      <c r="AA864" s="14">
        <f t="shared" ref="AA864:AA873" si="1504">(W864*1*K864)</f>
        <v>0</v>
      </c>
      <c r="AB864" s="14">
        <f t="shared" ref="AB864:AB866" si="1505">(W864*1*N864)+(W864*1.5*O864)+(W864*2*P864)+(W864*1*Q864)</f>
        <v>5110.875</v>
      </c>
      <c r="AC864" s="63">
        <f t="shared" si="1498"/>
        <v>0</v>
      </c>
      <c r="AD864" s="209"/>
      <c r="AE864" s="63">
        <f t="shared" si="1487"/>
        <v>15.75</v>
      </c>
      <c r="AF864" s="209"/>
      <c r="AG864" s="8"/>
    </row>
    <row r="865" spans="1:33" x14ac:dyDescent="0.45">
      <c r="A865" s="22">
        <f t="shared" ref="A865:A873" si="1506">A864</f>
        <v>45046</v>
      </c>
      <c r="B865" s="15" t="s">
        <v>5</v>
      </c>
      <c r="C865" s="48">
        <f>120*W865</f>
        <v>3654</v>
      </c>
      <c r="D865" s="13">
        <v>80</v>
      </c>
      <c r="E865" s="13">
        <v>17.25</v>
      </c>
      <c r="F865" s="13">
        <v>0</v>
      </c>
      <c r="G865" s="13">
        <v>0</v>
      </c>
      <c r="H865" s="13">
        <v>0</v>
      </c>
      <c r="I865" s="13">
        <v>0</v>
      </c>
      <c r="J865" s="13">
        <v>0</v>
      </c>
      <c r="K865" s="13">
        <v>0</v>
      </c>
      <c r="L865" s="45">
        <v>0</v>
      </c>
      <c r="M865" s="34"/>
      <c r="N865" s="13">
        <v>80</v>
      </c>
      <c r="O865" s="13">
        <v>17.25</v>
      </c>
      <c r="P865" s="13">
        <v>0</v>
      </c>
      <c r="Q865" s="13">
        <v>0</v>
      </c>
      <c r="R865" s="34"/>
      <c r="S865" s="13">
        <f t="shared" si="1499"/>
        <v>97.25</v>
      </c>
      <c r="T865" s="13">
        <f>SUM(N865:Q865)</f>
        <v>97.25</v>
      </c>
      <c r="U865" s="13">
        <f t="shared" ref="U865:U866" si="1507">SUM(H865:K865)</f>
        <v>0</v>
      </c>
      <c r="V865" s="34"/>
      <c r="W865" s="45">
        <v>30.45</v>
      </c>
      <c r="X865" s="10">
        <f t="shared" si="1501"/>
        <v>3223.8937500000002</v>
      </c>
      <c r="Y865" s="10">
        <f t="shared" si="1502"/>
        <v>0</v>
      </c>
      <c r="Z865" s="10">
        <f t="shared" si="1503"/>
        <v>0</v>
      </c>
      <c r="AA865" s="14">
        <f t="shared" si="1504"/>
        <v>0</v>
      </c>
      <c r="AB865" s="14">
        <f t="shared" si="1505"/>
        <v>3223.8937500000002</v>
      </c>
      <c r="AC865" s="63">
        <f t="shared" si="1498"/>
        <v>0</v>
      </c>
      <c r="AD865" s="209"/>
      <c r="AE865" s="63">
        <f t="shared" si="1487"/>
        <v>0</v>
      </c>
      <c r="AF865" s="209"/>
      <c r="AG865" s="8"/>
    </row>
    <row r="866" spans="1:33" x14ac:dyDescent="0.45">
      <c r="A866" s="22">
        <f t="shared" si="1506"/>
        <v>45046</v>
      </c>
      <c r="B866" s="15" t="s">
        <v>6</v>
      </c>
      <c r="C866" s="48">
        <f>120*W866</f>
        <v>3780</v>
      </c>
      <c r="D866" s="13">
        <v>80</v>
      </c>
      <c r="E866" s="13">
        <v>11.5</v>
      </c>
      <c r="F866" s="13">
        <v>0</v>
      </c>
      <c r="G866" s="13">
        <v>0</v>
      </c>
      <c r="H866" s="13">
        <v>0</v>
      </c>
      <c r="I866" s="13">
        <v>0</v>
      </c>
      <c r="J866" s="13">
        <v>0</v>
      </c>
      <c r="K866" s="13">
        <v>0</v>
      </c>
      <c r="L866" s="45">
        <v>0</v>
      </c>
      <c r="M866" s="34"/>
      <c r="N866" s="13">
        <v>80</v>
      </c>
      <c r="O866" s="13">
        <v>11.5</v>
      </c>
      <c r="P866" s="13">
        <v>0</v>
      </c>
      <c r="Q866" s="13">
        <v>0</v>
      </c>
      <c r="R866" s="34"/>
      <c r="S866" s="13">
        <f t="shared" si="1499"/>
        <v>91.5</v>
      </c>
      <c r="T866" s="13">
        <f t="shared" ref="T866" si="1508">SUM(N866:Q866)</f>
        <v>91.5</v>
      </c>
      <c r="U866" s="13">
        <f t="shared" si="1507"/>
        <v>0</v>
      </c>
      <c r="V866" s="34"/>
      <c r="W866" s="45">
        <v>31.5</v>
      </c>
      <c r="X866" s="45">
        <f>(W866*1*D866)+(W866*1.5*E866)+(W866*2*F866)+(W866*1*G866)</f>
        <v>3063.375</v>
      </c>
      <c r="Y866" s="45">
        <f t="shared" si="1502"/>
        <v>0</v>
      </c>
      <c r="Z866" s="45">
        <f t="shared" si="1503"/>
        <v>0</v>
      </c>
      <c r="AA866" s="79">
        <f t="shared" si="1504"/>
        <v>0</v>
      </c>
      <c r="AB866" s="79">
        <f t="shared" si="1505"/>
        <v>3063.375</v>
      </c>
      <c r="AC866" s="80">
        <f t="shared" si="1498"/>
        <v>0</v>
      </c>
      <c r="AD866" s="209"/>
      <c r="AE866" s="80">
        <f t="shared" si="1487"/>
        <v>0</v>
      </c>
      <c r="AF866" s="209"/>
      <c r="AG866" s="8"/>
    </row>
    <row r="867" spans="1:33" x14ac:dyDescent="0.45">
      <c r="A867" s="22">
        <f t="shared" si="1506"/>
        <v>45046</v>
      </c>
      <c r="B867" s="50" t="s">
        <v>31</v>
      </c>
      <c r="C867" s="48">
        <f>120*W867</f>
        <v>3780</v>
      </c>
      <c r="D867" s="51">
        <v>80</v>
      </c>
      <c r="E867" s="51">
        <v>26.25</v>
      </c>
      <c r="F867" s="51">
        <v>18</v>
      </c>
      <c r="G867" s="51">
        <v>12</v>
      </c>
      <c r="H867" s="51">
        <v>0</v>
      </c>
      <c r="I867" s="51">
        <v>0</v>
      </c>
      <c r="J867" s="51">
        <v>0</v>
      </c>
      <c r="K867" s="51">
        <v>0</v>
      </c>
      <c r="L867" s="52">
        <v>0</v>
      </c>
      <c r="M867" s="34"/>
      <c r="N867" s="13">
        <v>80</v>
      </c>
      <c r="O867" s="13">
        <v>26.25</v>
      </c>
      <c r="P867" s="13">
        <v>18</v>
      </c>
      <c r="Q867" s="13">
        <v>12</v>
      </c>
      <c r="R867" s="34"/>
      <c r="S867" s="51">
        <f t="shared" ref="S867" si="1509">SUM(D867:G867)</f>
        <v>136.25</v>
      </c>
      <c r="T867" s="51">
        <f>SUM(N867:Q867)</f>
        <v>136.25</v>
      </c>
      <c r="U867" s="51">
        <f t="shared" ref="U867" si="1510">SUM(H867:K867)</f>
        <v>0</v>
      </c>
      <c r="V867" s="34"/>
      <c r="W867" s="52">
        <v>31.5</v>
      </c>
      <c r="X867" s="53">
        <f>(W867*1*D867)+(W867*1.5*E867)+(W867*2*F867)+(W867*1*G867)</f>
        <v>5272.3125</v>
      </c>
      <c r="Y867" s="53">
        <f t="shared" si="1502"/>
        <v>0</v>
      </c>
      <c r="Z867" s="53">
        <f>(W867*1*J867)+L867</f>
        <v>0</v>
      </c>
      <c r="AA867" s="54">
        <f t="shared" si="1504"/>
        <v>0</v>
      </c>
      <c r="AB867" s="54">
        <f>(W867*1*N867)+(W867*1.5*O867)+(W867*2*P867)+(W867*1*Q867)</f>
        <v>5272.3125</v>
      </c>
      <c r="AC867" s="64">
        <f t="shared" si="1498"/>
        <v>0</v>
      </c>
      <c r="AD867" s="209"/>
      <c r="AE867" s="64">
        <f t="shared" ref="AE867:AE877" si="1511">AB867-(X867+Z867)</f>
        <v>0</v>
      </c>
      <c r="AF867" s="209"/>
      <c r="AG867" s="8"/>
    </row>
    <row r="868" spans="1:33" x14ac:dyDescent="0.45">
      <c r="A868" s="22">
        <f t="shared" si="1506"/>
        <v>45046</v>
      </c>
      <c r="B868" s="50" t="s">
        <v>64</v>
      </c>
      <c r="C868" s="48">
        <f t="shared" ref="C868:C873" si="1512">80*W868</f>
        <v>1672</v>
      </c>
      <c r="D868" s="51">
        <v>80</v>
      </c>
      <c r="E868" s="51">
        <v>27.25</v>
      </c>
      <c r="F868" s="51">
        <v>0</v>
      </c>
      <c r="G868" s="51">
        <v>2</v>
      </c>
      <c r="H868" s="51">
        <v>0</v>
      </c>
      <c r="I868" s="51">
        <v>0</v>
      </c>
      <c r="J868" s="51">
        <v>0</v>
      </c>
      <c r="K868" s="51">
        <v>0</v>
      </c>
      <c r="L868" s="52">
        <v>0</v>
      </c>
      <c r="M868" s="34"/>
      <c r="N868" s="51">
        <v>80</v>
      </c>
      <c r="O868" s="51">
        <v>27.25</v>
      </c>
      <c r="P868" s="51">
        <v>0</v>
      </c>
      <c r="Q868" s="51">
        <v>2</v>
      </c>
      <c r="R868" s="34"/>
      <c r="S868" s="51">
        <f t="shared" ref="S868:S870" si="1513">SUM(D868:G868)</f>
        <v>109.25</v>
      </c>
      <c r="T868" s="51">
        <f>SUM(N868:Q868)</f>
        <v>109.25</v>
      </c>
      <c r="U868" s="51">
        <f t="shared" ref="U868:U870" si="1514">SUM(H868:K868)</f>
        <v>0</v>
      </c>
      <c r="V868" s="34"/>
      <c r="W868" s="52">
        <v>20.9</v>
      </c>
      <c r="X868" s="53">
        <f t="shared" ref="X868:X873" si="1515">(W868*1*D868)+(W868*1.5*E868)+(W868*2*F868)+(W868*1*G868)</f>
        <v>2568.0875000000001</v>
      </c>
      <c r="Y868" s="53">
        <f t="shared" si="1502"/>
        <v>0</v>
      </c>
      <c r="Z868" s="53">
        <f t="shared" ref="Z868:Z873" si="1516">(W868*1*J868)+L868</f>
        <v>0</v>
      </c>
      <c r="AA868" s="54">
        <f t="shared" si="1504"/>
        <v>0</v>
      </c>
      <c r="AB868" s="54">
        <f t="shared" ref="AB868:AB873" si="1517">(W868*1*N868)+(W868*1.5*O868)+(W868*2*P868)+(W868*1*Q868)</f>
        <v>2568.0875000000001</v>
      </c>
      <c r="AC868" s="64">
        <f t="shared" si="1498"/>
        <v>0</v>
      </c>
      <c r="AD868" s="209"/>
      <c r="AE868" s="64">
        <f t="shared" si="1511"/>
        <v>0</v>
      </c>
      <c r="AF868" s="209"/>
      <c r="AG868" s="8"/>
    </row>
    <row r="869" spans="1:33" x14ac:dyDescent="0.45">
      <c r="A869" s="22">
        <f t="shared" si="1506"/>
        <v>45046</v>
      </c>
      <c r="B869" s="50" t="s">
        <v>53</v>
      </c>
      <c r="C869" s="48">
        <f t="shared" si="1512"/>
        <v>2024</v>
      </c>
      <c r="D869" s="51">
        <v>80</v>
      </c>
      <c r="E869" s="51">
        <v>24</v>
      </c>
      <c r="F869" s="51">
        <v>8.25</v>
      </c>
      <c r="G869" s="51">
        <v>4</v>
      </c>
      <c r="H869" s="51">
        <v>0</v>
      </c>
      <c r="I869" s="51">
        <v>0</v>
      </c>
      <c r="J869" s="51">
        <v>0</v>
      </c>
      <c r="K869" s="51">
        <v>0</v>
      </c>
      <c r="L869" s="52">
        <v>0</v>
      </c>
      <c r="M869" s="34"/>
      <c r="N869" s="13">
        <v>80</v>
      </c>
      <c r="O869" s="13">
        <v>24</v>
      </c>
      <c r="P869" s="13">
        <v>8.25</v>
      </c>
      <c r="Q869" s="13">
        <v>4</v>
      </c>
      <c r="R869" s="34"/>
      <c r="S869" s="51">
        <f t="shared" si="1513"/>
        <v>116.25</v>
      </c>
      <c r="T869" s="51">
        <f>SUM(N869:Q869)</f>
        <v>116.25</v>
      </c>
      <c r="U869" s="51">
        <f t="shared" si="1514"/>
        <v>0</v>
      </c>
      <c r="V869" s="34"/>
      <c r="W869" s="52">
        <v>25.3</v>
      </c>
      <c r="X869" s="53">
        <f t="shared" si="1515"/>
        <v>3453.45</v>
      </c>
      <c r="Y869" s="53">
        <f t="shared" si="1502"/>
        <v>0</v>
      </c>
      <c r="Z869" s="53">
        <f t="shared" si="1516"/>
        <v>0</v>
      </c>
      <c r="AA869" s="54">
        <f t="shared" si="1504"/>
        <v>0</v>
      </c>
      <c r="AB869" s="54">
        <f t="shared" si="1517"/>
        <v>3453.45</v>
      </c>
      <c r="AC869" s="64">
        <f t="shared" si="1498"/>
        <v>0</v>
      </c>
      <c r="AD869" s="209"/>
      <c r="AE869" s="64">
        <f t="shared" si="1511"/>
        <v>0</v>
      </c>
      <c r="AF869" s="209"/>
      <c r="AG869" s="8"/>
    </row>
    <row r="870" spans="1:33" x14ac:dyDescent="0.45">
      <c r="A870" s="22">
        <f t="shared" si="1506"/>
        <v>45046</v>
      </c>
      <c r="B870" s="50" t="s">
        <v>54</v>
      </c>
      <c r="C870" s="48">
        <f t="shared" si="1512"/>
        <v>2024</v>
      </c>
      <c r="D870" s="51">
        <v>75.5</v>
      </c>
      <c r="E870" s="51">
        <v>17</v>
      </c>
      <c r="F870" s="51">
        <v>12</v>
      </c>
      <c r="G870" s="51">
        <v>1</v>
      </c>
      <c r="H870" s="51">
        <v>0</v>
      </c>
      <c r="I870" s="51">
        <v>20</v>
      </c>
      <c r="J870" s="51">
        <v>0</v>
      </c>
      <c r="K870" s="51">
        <v>0</v>
      </c>
      <c r="L870" s="52">
        <v>0</v>
      </c>
      <c r="M870" s="34"/>
      <c r="N870" s="51">
        <v>75.5</v>
      </c>
      <c r="O870" s="51">
        <v>17</v>
      </c>
      <c r="P870" s="51">
        <v>12</v>
      </c>
      <c r="Q870" s="51">
        <v>1</v>
      </c>
      <c r="R870" s="34"/>
      <c r="S870" s="51">
        <f t="shared" si="1513"/>
        <v>105.5</v>
      </c>
      <c r="T870" s="51">
        <f t="shared" ref="T870" si="1518">SUM(N870:Q870)</f>
        <v>105.5</v>
      </c>
      <c r="U870" s="51">
        <f t="shared" si="1514"/>
        <v>20</v>
      </c>
      <c r="V870" s="34"/>
      <c r="W870" s="52">
        <v>25.3</v>
      </c>
      <c r="X870" s="53">
        <f t="shared" si="1515"/>
        <v>3187.8</v>
      </c>
      <c r="Y870" s="53">
        <f t="shared" si="1502"/>
        <v>506</v>
      </c>
      <c r="Z870" s="53">
        <f t="shared" si="1516"/>
        <v>0</v>
      </c>
      <c r="AA870" s="54">
        <f t="shared" si="1504"/>
        <v>0</v>
      </c>
      <c r="AB870" s="54">
        <f t="shared" si="1517"/>
        <v>3187.8</v>
      </c>
      <c r="AC870" s="64">
        <f>0-Y870-AA870</f>
        <v>-506</v>
      </c>
      <c r="AD870" s="209"/>
      <c r="AE870" s="64">
        <f t="shared" si="1511"/>
        <v>0</v>
      </c>
      <c r="AF870" s="209"/>
      <c r="AG870" s="8"/>
    </row>
    <row r="871" spans="1:33" x14ac:dyDescent="0.45">
      <c r="A871" s="22">
        <f t="shared" si="1506"/>
        <v>45046</v>
      </c>
      <c r="B871" s="50" t="s">
        <v>65</v>
      </c>
      <c r="C871" s="48">
        <f t="shared" si="1512"/>
        <v>1512</v>
      </c>
      <c r="D871" s="51">
        <v>0</v>
      </c>
      <c r="E871" s="51">
        <v>0</v>
      </c>
      <c r="F871" s="51">
        <v>0</v>
      </c>
      <c r="G871" s="51">
        <v>0</v>
      </c>
      <c r="H871" s="51">
        <v>0</v>
      </c>
      <c r="I871" s="51">
        <v>0</v>
      </c>
      <c r="J871" s="51">
        <v>0</v>
      </c>
      <c r="K871" s="51">
        <v>80</v>
      </c>
      <c r="L871" s="52">
        <v>0</v>
      </c>
      <c r="M871" s="34"/>
      <c r="N871" s="51">
        <v>0</v>
      </c>
      <c r="O871" s="51">
        <v>0</v>
      </c>
      <c r="P871" s="51">
        <v>0</v>
      </c>
      <c r="Q871" s="51">
        <v>0</v>
      </c>
      <c r="R871" s="34"/>
      <c r="S871" s="51">
        <f t="shared" ref="S871:S873" si="1519">SUM(D871:G871)</f>
        <v>0</v>
      </c>
      <c r="T871" s="51">
        <f t="shared" ref="T871:T873" si="1520">SUM(N871:Q871)</f>
        <v>0</v>
      </c>
      <c r="U871" s="51">
        <f t="shared" ref="U871:U873" si="1521">SUM(H871:K871)</f>
        <v>80</v>
      </c>
      <c r="V871" s="34"/>
      <c r="W871" s="52">
        <v>18.899999999999999</v>
      </c>
      <c r="X871" s="53">
        <f t="shared" si="1515"/>
        <v>0</v>
      </c>
      <c r="Y871" s="53">
        <f t="shared" si="1502"/>
        <v>0</v>
      </c>
      <c r="Z871" s="53">
        <f t="shared" si="1516"/>
        <v>0</v>
      </c>
      <c r="AA871" s="54">
        <f t="shared" si="1504"/>
        <v>1512</v>
      </c>
      <c r="AB871" s="54">
        <f t="shared" si="1517"/>
        <v>0</v>
      </c>
      <c r="AC871" s="64">
        <f>0-Y871-AA871</f>
        <v>-1512</v>
      </c>
      <c r="AD871" s="209"/>
      <c r="AE871" s="64">
        <f t="shared" si="1511"/>
        <v>0</v>
      </c>
      <c r="AF871" s="209"/>
      <c r="AG871" s="8"/>
    </row>
    <row r="872" spans="1:33" x14ac:dyDescent="0.45">
      <c r="A872" s="22">
        <f t="shared" si="1506"/>
        <v>45046</v>
      </c>
      <c r="B872" s="50" t="s">
        <v>66</v>
      </c>
      <c r="C872" s="48">
        <f t="shared" si="1512"/>
        <v>1512</v>
      </c>
      <c r="D872" s="51">
        <v>0</v>
      </c>
      <c r="E872" s="51">
        <v>0</v>
      </c>
      <c r="F872" s="51">
        <v>0</v>
      </c>
      <c r="G872" s="51">
        <v>0</v>
      </c>
      <c r="H872" s="51">
        <v>0</v>
      </c>
      <c r="I872" s="51">
        <v>0</v>
      </c>
      <c r="J872" s="51">
        <v>0</v>
      </c>
      <c r="K872" s="51">
        <v>80</v>
      </c>
      <c r="L872" s="52">
        <v>0</v>
      </c>
      <c r="M872" s="34"/>
      <c r="N872" s="51">
        <v>0</v>
      </c>
      <c r="O872" s="51">
        <v>0</v>
      </c>
      <c r="P872" s="51">
        <v>0</v>
      </c>
      <c r="Q872" s="51">
        <v>0</v>
      </c>
      <c r="R872" s="34"/>
      <c r="S872" s="51">
        <f t="shared" si="1519"/>
        <v>0</v>
      </c>
      <c r="T872" s="51">
        <f t="shared" si="1520"/>
        <v>0</v>
      </c>
      <c r="U872" s="51">
        <f t="shared" si="1521"/>
        <v>80</v>
      </c>
      <c r="V872" s="34"/>
      <c r="W872" s="52">
        <v>18.899999999999999</v>
      </c>
      <c r="X872" s="53">
        <f t="shared" si="1515"/>
        <v>0</v>
      </c>
      <c r="Y872" s="53">
        <f t="shared" si="1502"/>
        <v>0</v>
      </c>
      <c r="Z872" s="53">
        <f t="shared" si="1516"/>
        <v>0</v>
      </c>
      <c r="AA872" s="54">
        <f t="shared" si="1504"/>
        <v>1512</v>
      </c>
      <c r="AB872" s="54">
        <f t="shared" si="1517"/>
        <v>0</v>
      </c>
      <c r="AC872" s="64">
        <f>0-Y872-AA872</f>
        <v>-1512</v>
      </c>
      <c r="AD872" s="209"/>
      <c r="AE872" s="64">
        <f t="shared" si="1511"/>
        <v>0</v>
      </c>
      <c r="AF872" s="209"/>
      <c r="AG872" s="8"/>
    </row>
    <row r="873" spans="1:33" ht="14.65" thickBot="1" x14ac:dyDescent="0.5">
      <c r="A873" s="23">
        <f t="shared" si="1506"/>
        <v>45046</v>
      </c>
      <c r="B873" s="24" t="s">
        <v>62</v>
      </c>
      <c r="C873" s="49">
        <f t="shared" si="1512"/>
        <v>2000</v>
      </c>
      <c r="D873" s="25">
        <v>80</v>
      </c>
      <c r="E873" s="25">
        <v>45</v>
      </c>
      <c r="F873" s="25">
        <v>12</v>
      </c>
      <c r="G873" s="25">
        <v>4</v>
      </c>
      <c r="H873" s="25">
        <v>0</v>
      </c>
      <c r="I873" s="25">
        <v>0</v>
      </c>
      <c r="J873" s="25">
        <v>0</v>
      </c>
      <c r="K873" s="25">
        <v>0</v>
      </c>
      <c r="L873" s="46">
        <v>0</v>
      </c>
      <c r="M873" s="35"/>
      <c r="N873" s="25">
        <v>80</v>
      </c>
      <c r="O873" s="25">
        <v>45</v>
      </c>
      <c r="P873" s="25">
        <v>12</v>
      </c>
      <c r="Q873" s="25">
        <v>4</v>
      </c>
      <c r="R873" s="35"/>
      <c r="S873" s="25">
        <f t="shared" si="1519"/>
        <v>141</v>
      </c>
      <c r="T873" s="25">
        <f t="shared" si="1520"/>
        <v>141</v>
      </c>
      <c r="U873" s="25">
        <f t="shared" si="1521"/>
        <v>0</v>
      </c>
      <c r="V873" s="35"/>
      <c r="W873" s="46">
        <v>25</v>
      </c>
      <c r="X873" s="26">
        <f t="shared" si="1515"/>
        <v>4387.5</v>
      </c>
      <c r="Y873" s="26">
        <f t="shared" si="1502"/>
        <v>0</v>
      </c>
      <c r="Z873" s="26">
        <f t="shared" si="1516"/>
        <v>0</v>
      </c>
      <c r="AA873" s="27">
        <f t="shared" si="1504"/>
        <v>0</v>
      </c>
      <c r="AB873" s="27">
        <f t="shared" si="1517"/>
        <v>4387.5</v>
      </c>
      <c r="AC873" s="65">
        <f t="shared" ref="AC873:AC880" si="1522">0-Y873-AA873</f>
        <v>0</v>
      </c>
      <c r="AD873" s="210"/>
      <c r="AE873" s="65">
        <f t="shared" si="1511"/>
        <v>0</v>
      </c>
      <c r="AF873" s="210"/>
      <c r="AG873" s="8"/>
    </row>
    <row r="874" spans="1:33" x14ac:dyDescent="0.45">
      <c r="A874" s="16">
        <f>A873+14</f>
        <v>45060</v>
      </c>
      <c r="B874" s="17" t="s">
        <v>30</v>
      </c>
      <c r="C874" s="47">
        <f>120*W874</f>
        <v>4098</v>
      </c>
      <c r="D874" s="18">
        <v>80</v>
      </c>
      <c r="E874" s="18">
        <v>0</v>
      </c>
      <c r="F874" s="18">
        <v>0</v>
      </c>
      <c r="G874" s="18">
        <v>8</v>
      </c>
      <c r="H874" s="18">
        <v>0</v>
      </c>
      <c r="I874" s="18">
        <v>0</v>
      </c>
      <c r="J874" s="18">
        <v>0</v>
      </c>
      <c r="K874" s="18">
        <v>0</v>
      </c>
      <c r="L874" s="44">
        <v>1000</v>
      </c>
      <c r="M874" s="33"/>
      <c r="N874" s="18">
        <v>80</v>
      </c>
      <c r="O874" s="18">
        <v>0</v>
      </c>
      <c r="P874" s="18">
        <v>0</v>
      </c>
      <c r="Q874" s="18">
        <v>8</v>
      </c>
      <c r="R874" s="33"/>
      <c r="S874" s="18">
        <f>SUM(D874:G874)</f>
        <v>88</v>
      </c>
      <c r="T874" s="18">
        <f>SUM(N874:Q874)</f>
        <v>88</v>
      </c>
      <c r="U874" s="18">
        <f>SUM(H874:K874)</f>
        <v>0</v>
      </c>
      <c r="V874" s="33"/>
      <c r="W874" s="44">
        <v>34.15</v>
      </c>
      <c r="X874" s="19">
        <f>(W874*1*D874)+(W874*1.5*E874)+(W874*2*F874)+(W874*1*G874)</f>
        <v>3005.2</v>
      </c>
      <c r="Y874" s="19">
        <f>(W874*0*H874)+(W874*1*I874)</f>
        <v>0</v>
      </c>
      <c r="Z874" s="19">
        <f>(W874*1*J874)+L874</f>
        <v>1000</v>
      </c>
      <c r="AA874" s="20">
        <f>(W874*1*K874)</f>
        <v>0</v>
      </c>
      <c r="AB874" s="20">
        <f>(W874*1*N874)+(W874*1.5*O874)+(W874*2*P874)+(W874*1*Q874)</f>
        <v>3005.2</v>
      </c>
      <c r="AC874" s="66">
        <f t="shared" si="1522"/>
        <v>0</v>
      </c>
      <c r="AD874" s="208"/>
      <c r="AE874" s="66">
        <f t="shared" si="1511"/>
        <v>-1000</v>
      </c>
      <c r="AF874" s="208">
        <f>SUM(AE874:AE884)</f>
        <v>-976.50625000000036</v>
      </c>
      <c r="AG874" s="8"/>
    </row>
    <row r="875" spans="1:33" x14ac:dyDescent="0.45">
      <c r="A875" s="22">
        <f>A874</f>
        <v>45060</v>
      </c>
      <c r="B875" s="15" t="s">
        <v>4</v>
      </c>
      <c r="C875" s="48">
        <f>80*W875</f>
        <v>2520</v>
      </c>
      <c r="D875" s="13">
        <v>80</v>
      </c>
      <c r="E875" s="13">
        <v>23.75</v>
      </c>
      <c r="F875" s="13">
        <v>0</v>
      </c>
      <c r="G875" s="13">
        <v>0</v>
      </c>
      <c r="H875" s="13">
        <v>0</v>
      </c>
      <c r="I875" s="13">
        <v>0</v>
      </c>
      <c r="J875" s="13">
        <v>0</v>
      </c>
      <c r="K875" s="13">
        <v>0</v>
      </c>
      <c r="L875" s="45">
        <v>0</v>
      </c>
      <c r="M875" s="34"/>
      <c r="N875" s="13">
        <v>80</v>
      </c>
      <c r="O875" s="13">
        <v>23.5</v>
      </c>
      <c r="P875" s="13">
        <v>0.25</v>
      </c>
      <c r="Q875" s="13">
        <v>0</v>
      </c>
      <c r="R875" s="34"/>
      <c r="S875" s="13">
        <f t="shared" ref="S875:S877" si="1523">SUM(D875:G875)</f>
        <v>103.75</v>
      </c>
      <c r="T875" s="13">
        <f t="shared" ref="T875" si="1524">SUM(N875:Q875)</f>
        <v>103.75</v>
      </c>
      <c r="U875" s="13">
        <f>SUM(H875:K875)</f>
        <v>0</v>
      </c>
      <c r="V875" s="34"/>
      <c r="W875" s="45">
        <v>31.5</v>
      </c>
      <c r="X875" s="10">
        <f t="shared" ref="X875:X876" si="1525">(W875*1*D875)+(W875*1.5*E875)+(W875*2*F875)+(W875*1*G875)</f>
        <v>3642.1875</v>
      </c>
      <c r="Y875" s="10">
        <f t="shared" ref="Y875:Y884" si="1526">(W875*0*H875)+(W875*1*I875)</f>
        <v>0</v>
      </c>
      <c r="Z875" s="10">
        <f t="shared" ref="Z875:Z877" si="1527">(W875*1*J875)+L875</f>
        <v>0</v>
      </c>
      <c r="AA875" s="14">
        <f t="shared" ref="AA875:AA884" si="1528">(W875*1*K875)</f>
        <v>0</v>
      </c>
      <c r="AB875" s="14">
        <f t="shared" ref="AB875:AB877" si="1529">(W875*1*N875)+(W875*1.5*O875)+(W875*2*P875)+(W875*1*Q875)</f>
        <v>3646.125</v>
      </c>
      <c r="AC875" s="63">
        <f t="shared" si="1522"/>
        <v>0</v>
      </c>
      <c r="AD875" s="209"/>
      <c r="AE875" s="63">
        <f t="shared" si="1511"/>
        <v>3.9375</v>
      </c>
      <c r="AF875" s="209"/>
      <c r="AG875" s="8"/>
    </row>
    <row r="876" spans="1:33" x14ac:dyDescent="0.45">
      <c r="A876" s="22">
        <f t="shared" ref="A876:A884" si="1530">A875</f>
        <v>45060</v>
      </c>
      <c r="B876" s="15" t="s">
        <v>5</v>
      </c>
      <c r="C876" s="48">
        <f>120*W876</f>
        <v>3654</v>
      </c>
      <c r="D876" s="13">
        <v>80</v>
      </c>
      <c r="E876" s="13">
        <v>11.75</v>
      </c>
      <c r="F876" s="13">
        <v>0</v>
      </c>
      <c r="G876" s="13">
        <v>0</v>
      </c>
      <c r="H876" s="13">
        <v>0</v>
      </c>
      <c r="I876" s="13">
        <v>8</v>
      </c>
      <c r="J876" s="13">
        <v>0</v>
      </c>
      <c r="K876" s="13">
        <v>0</v>
      </c>
      <c r="L876" s="45">
        <v>0</v>
      </c>
      <c r="M876" s="34"/>
      <c r="N876" s="13">
        <v>80</v>
      </c>
      <c r="O876" s="13">
        <v>11.5</v>
      </c>
      <c r="P876" s="13">
        <v>0.25</v>
      </c>
      <c r="Q876" s="13">
        <v>0</v>
      </c>
      <c r="R876" s="34"/>
      <c r="S876" s="13">
        <f t="shared" si="1523"/>
        <v>91.75</v>
      </c>
      <c r="T876" s="13">
        <f>SUM(N876:Q876)</f>
        <v>91.75</v>
      </c>
      <c r="U876" s="13">
        <f t="shared" ref="U876:U877" si="1531">SUM(H876:K876)</f>
        <v>8</v>
      </c>
      <c r="V876" s="34"/>
      <c r="W876" s="45">
        <v>30.45</v>
      </c>
      <c r="X876" s="10">
        <f t="shared" si="1525"/>
        <v>2972.6812500000001</v>
      </c>
      <c r="Y876" s="10">
        <f t="shared" si="1526"/>
        <v>243.6</v>
      </c>
      <c r="Z876" s="10">
        <f t="shared" si="1527"/>
        <v>0</v>
      </c>
      <c r="AA876" s="14">
        <f t="shared" si="1528"/>
        <v>0</v>
      </c>
      <c r="AB876" s="14">
        <f t="shared" si="1529"/>
        <v>2976.4874999999997</v>
      </c>
      <c r="AC876" s="63">
        <f t="shared" si="1522"/>
        <v>-243.6</v>
      </c>
      <c r="AD876" s="209"/>
      <c r="AE876" s="63">
        <f t="shared" si="1511"/>
        <v>3.8062499999996362</v>
      </c>
      <c r="AF876" s="209"/>
      <c r="AG876" s="8"/>
    </row>
    <row r="877" spans="1:33" x14ac:dyDescent="0.45">
      <c r="A877" s="22">
        <f t="shared" si="1530"/>
        <v>45060</v>
      </c>
      <c r="B877" s="15" t="s">
        <v>6</v>
      </c>
      <c r="C877" s="48">
        <f>120*W877</f>
        <v>3780</v>
      </c>
      <c r="D877" s="13">
        <v>80</v>
      </c>
      <c r="E877" s="13">
        <v>26.5</v>
      </c>
      <c r="F877" s="13">
        <v>11</v>
      </c>
      <c r="G877" s="13">
        <v>8</v>
      </c>
      <c r="H877" s="13">
        <v>0</v>
      </c>
      <c r="I877" s="13">
        <v>0</v>
      </c>
      <c r="J877" s="13">
        <v>0</v>
      </c>
      <c r="K877" s="13">
        <v>0</v>
      </c>
      <c r="L877" s="45">
        <v>0</v>
      </c>
      <c r="M877" s="34"/>
      <c r="N877" s="13">
        <v>80</v>
      </c>
      <c r="O877" s="13">
        <v>25.5</v>
      </c>
      <c r="P877" s="13">
        <v>12</v>
      </c>
      <c r="Q877" s="13">
        <v>8</v>
      </c>
      <c r="R877" s="34"/>
      <c r="S877" s="13">
        <f t="shared" si="1523"/>
        <v>125.5</v>
      </c>
      <c r="T877" s="13">
        <f t="shared" ref="T877" si="1532">SUM(N877:Q877)</f>
        <v>125.5</v>
      </c>
      <c r="U877" s="13">
        <f t="shared" si="1531"/>
        <v>0</v>
      </c>
      <c r="V877" s="34"/>
      <c r="W877" s="45">
        <v>31.5</v>
      </c>
      <c r="X877" s="45">
        <f>(W877*1*D877)+(W877*1.5*E877)+(W877*2*F877)+(W877*1*G877)</f>
        <v>4717.125</v>
      </c>
      <c r="Y877" s="45">
        <f t="shared" si="1526"/>
        <v>0</v>
      </c>
      <c r="Z877" s="45">
        <f t="shared" si="1527"/>
        <v>0</v>
      </c>
      <c r="AA877" s="79">
        <f t="shared" si="1528"/>
        <v>0</v>
      </c>
      <c r="AB877" s="79">
        <f t="shared" si="1529"/>
        <v>4732.875</v>
      </c>
      <c r="AC877" s="80">
        <f t="shared" si="1522"/>
        <v>0</v>
      </c>
      <c r="AD877" s="209"/>
      <c r="AE877" s="80">
        <f t="shared" si="1511"/>
        <v>15.75</v>
      </c>
      <c r="AF877" s="209"/>
      <c r="AG877" s="8"/>
    </row>
    <row r="878" spans="1:33" x14ac:dyDescent="0.45">
      <c r="A878" s="22">
        <f t="shared" si="1530"/>
        <v>45060</v>
      </c>
      <c r="B878" s="50" t="s">
        <v>31</v>
      </c>
      <c r="C878" s="48">
        <f>120*W878</f>
        <v>3780</v>
      </c>
      <c r="D878" s="51">
        <v>76</v>
      </c>
      <c r="E878" s="51">
        <v>1</v>
      </c>
      <c r="F878" s="51">
        <v>0</v>
      </c>
      <c r="G878" s="51">
        <v>4</v>
      </c>
      <c r="H878" s="51">
        <v>0</v>
      </c>
      <c r="I878" s="51">
        <v>0</v>
      </c>
      <c r="J878" s="51">
        <v>0</v>
      </c>
      <c r="K878" s="51">
        <v>0</v>
      </c>
      <c r="L878" s="52">
        <v>0</v>
      </c>
      <c r="M878" s="34"/>
      <c r="N878" s="13">
        <v>76</v>
      </c>
      <c r="O878" s="13">
        <v>1</v>
      </c>
      <c r="P878" s="13">
        <v>0</v>
      </c>
      <c r="Q878" s="13">
        <v>4</v>
      </c>
      <c r="R878" s="34"/>
      <c r="S878" s="51">
        <f t="shared" ref="S878" si="1533">SUM(D878:G878)</f>
        <v>81</v>
      </c>
      <c r="T878" s="51">
        <f>SUM(N878:Q878)</f>
        <v>81</v>
      </c>
      <c r="U878" s="51">
        <f t="shared" ref="U878" si="1534">SUM(H878:K878)</f>
        <v>0</v>
      </c>
      <c r="V878" s="34"/>
      <c r="W878" s="52">
        <v>31.5</v>
      </c>
      <c r="X878" s="53">
        <f>(W878*1*D878)+(W878*1.5*E878)+(W878*2*F878)+(W878*1*G878)</f>
        <v>2567.25</v>
      </c>
      <c r="Y878" s="53">
        <f t="shared" si="1526"/>
        <v>0</v>
      </c>
      <c r="Z878" s="53">
        <f>(W878*1*J878)+L878</f>
        <v>0</v>
      </c>
      <c r="AA878" s="54">
        <f t="shared" si="1528"/>
        <v>0</v>
      </c>
      <c r="AB878" s="54">
        <f>(W878*1*N878)+(W878*1.5*O878)+(W878*2*P878)+(W878*1*Q878)</f>
        <v>2567.25</v>
      </c>
      <c r="AC878" s="64">
        <f t="shared" si="1522"/>
        <v>0</v>
      </c>
      <c r="AD878" s="209"/>
      <c r="AE878" s="64">
        <f t="shared" ref="AE878:AE888" si="1535">AB878-(X878+Z878)</f>
        <v>0</v>
      </c>
      <c r="AF878" s="209"/>
      <c r="AG878" s="8"/>
    </row>
    <row r="879" spans="1:33" x14ac:dyDescent="0.45">
      <c r="A879" s="22">
        <f t="shared" si="1530"/>
        <v>45060</v>
      </c>
      <c r="B879" s="50" t="s">
        <v>64</v>
      </c>
      <c r="C879" s="48">
        <f t="shared" ref="C879:C884" si="1536">80*W879</f>
        <v>1672</v>
      </c>
      <c r="D879" s="51">
        <v>80</v>
      </c>
      <c r="E879" s="51">
        <v>11.25</v>
      </c>
      <c r="F879" s="51">
        <v>0</v>
      </c>
      <c r="G879" s="51">
        <v>0</v>
      </c>
      <c r="H879" s="51">
        <v>0</v>
      </c>
      <c r="I879" s="51">
        <v>0</v>
      </c>
      <c r="J879" s="51">
        <v>0</v>
      </c>
      <c r="K879" s="51">
        <v>0</v>
      </c>
      <c r="L879" s="52">
        <v>0</v>
      </c>
      <c r="M879" s="34"/>
      <c r="N879" s="51">
        <v>80</v>
      </c>
      <c r="O879" s="51">
        <v>11.25</v>
      </c>
      <c r="P879" s="51">
        <v>0</v>
      </c>
      <c r="Q879" s="51">
        <v>0</v>
      </c>
      <c r="R879" s="34"/>
      <c r="S879" s="51">
        <f t="shared" ref="S879:S881" si="1537">SUM(D879:G879)</f>
        <v>91.25</v>
      </c>
      <c r="T879" s="51">
        <f>SUM(N879:Q879)</f>
        <v>91.25</v>
      </c>
      <c r="U879" s="51">
        <f t="shared" ref="U879:U881" si="1538">SUM(H879:K879)</f>
        <v>0</v>
      </c>
      <c r="V879" s="34"/>
      <c r="W879" s="52">
        <v>20.9</v>
      </c>
      <c r="X879" s="53">
        <f t="shared" ref="X879:X884" si="1539">(W879*1*D879)+(W879*1.5*E879)+(W879*2*F879)+(W879*1*G879)</f>
        <v>2024.6875</v>
      </c>
      <c r="Y879" s="53">
        <f t="shared" si="1526"/>
        <v>0</v>
      </c>
      <c r="Z879" s="53">
        <f t="shared" ref="Z879:Z884" si="1540">(W879*1*J879)+L879</f>
        <v>0</v>
      </c>
      <c r="AA879" s="54">
        <f t="shared" si="1528"/>
        <v>0</v>
      </c>
      <c r="AB879" s="54">
        <f t="shared" ref="AB879:AB884" si="1541">(W879*1*N879)+(W879*1.5*O879)+(W879*2*P879)+(W879*1*Q879)</f>
        <v>2024.6875</v>
      </c>
      <c r="AC879" s="64">
        <f t="shared" si="1522"/>
        <v>0</v>
      </c>
      <c r="AD879" s="209"/>
      <c r="AE879" s="64">
        <f t="shared" si="1535"/>
        <v>0</v>
      </c>
      <c r="AF879" s="209"/>
      <c r="AG879" s="8"/>
    </row>
    <row r="880" spans="1:33" x14ac:dyDescent="0.45">
      <c r="A880" s="22">
        <f t="shared" si="1530"/>
        <v>45060</v>
      </c>
      <c r="B880" s="50" t="s">
        <v>53</v>
      </c>
      <c r="C880" s="48">
        <f t="shared" si="1536"/>
        <v>2024</v>
      </c>
      <c r="D880" s="51">
        <v>69.5</v>
      </c>
      <c r="E880" s="51">
        <v>0</v>
      </c>
      <c r="F880" s="51">
        <v>0</v>
      </c>
      <c r="G880" s="51">
        <v>4</v>
      </c>
      <c r="H880" s="51">
        <v>0</v>
      </c>
      <c r="I880" s="51">
        <v>0</v>
      </c>
      <c r="J880" s="51">
        <v>0</v>
      </c>
      <c r="K880" s="51">
        <v>0</v>
      </c>
      <c r="L880" s="52">
        <v>0</v>
      </c>
      <c r="M880" s="34"/>
      <c r="N880" s="13">
        <v>69.5</v>
      </c>
      <c r="O880" s="13">
        <v>0</v>
      </c>
      <c r="P880" s="13">
        <v>0</v>
      </c>
      <c r="Q880" s="13">
        <v>4</v>
      </c>
      <c r="R880" s="34"/>
      <c r="S880" s="51">
        <f t="shared" si="1537"/>
        <v>73.5</v>
      </c>
      <c r="T880" s="51">
        <f>SUM(N880:Q880)</f>
        <v>73.5</v>
      </c>
      <c r="U880" s="51">
        <f t="shared" si="1538"/>
        <v>0</v>
      </c>
      <c r="V880" s="34"/>
      <c r="W880" s="52">
        <v>25.3</v>
      </c>
      <c r="X880" s="53">
        <f t="shared" si="1539"/>
        <v>1859.5500000000002</v>
      </c>
      <c r="Y880" s="53">
        <f t="shared" si="1526"/>
        <v>0</v>
      </c>
      <c r="Z880" s="53">
        <f t="shared" si="1540"/>
        <v>0</v>
      </c>
      <c r="AA880" s="54">
        <f t="shared" si="1528"/>
        <v>0</v>
      </c>
      <c r="AB880" s="54">
        <f t="shared" si="1541"/>
        <v>1859.5500000000002</v>
      </c>
      <c r="AC880" s="64">
        <f t="shared" si="1522"/>
        <v>0</v>
      </c>
      <c r="AD880" s="209"/>
      <c r="AE880" s="64">
        <f t="shared" si="1535"/>
        <v>0</v>
      </c>
      <c r="AF880" s="209"/>
      <c r="AG880" s="8"/>
    </row>
    <row r="881" spans="1:33" x14ac:dyDescent="0.45">
      <c r="A881" s="22">
        <f t="shared" si="1530"/>
        <v>45060</v>
      </c>
      <c r="B881" s="50" t="s">
        <v>54</v>
      </c>
      <c r="C881" s="48">
        <f t="shared" si="1536"/>
        <v>2024</v>
      </c>
      <c r="D881" s="51">
        <v>80</v>
      </c>
      <c r="E881" s="51">
        <v>25</v>
      </c>
      <c r="F881" s="51">
        <v>0</v>
      </c>
      <c r="G881" s="51">
        <v>21</v>
      </c>
      <c r="H881" s="51">
        <v>0</v>
      </c>
      <c r="I881" s="51">
        <v>0</v>
      </c>
      <c r="J881" s="51">
        <v>0</v>
      </c>
      <c r="K881" s="51">
        <v>0</v>
      </c>
      <c r="L881" s="52">
        <v>0</v>
      </c>
      <c r="M881" s="34"/>
      <c r="N881" s="51">
        <v>80</v>
      </c>
      <c r="O881" s="51">
        <v>25</v>
      </c>
      <c r="P881" s="51">
        <v>0</v>
      </c>
      <c r="Q881" s="51">
        <v>21</v>
      </c>
      <c r="R881" s="34"/>
      <c r="S881" s="51">
        <f t="shared" si="1537"/>
        <v>126</v>
      </c>
      <c r="T881" s="51">
        <f t="shared" ref="T881" si="1542">SUM(N881:Q881)</f>
        <v>126</v>
      </c>
      <c r="U881" s="51">
        <f t="shared" si="1538"/>
        <v>0</v>
      </c>
      <c r="V881" s="34"/>
      <c r="W881" s="52">
        <v>25.3</v>
      </c>
      <c r="X881" s="53">
        <f t="shared" si="1539"/>
        <v>3504.05</v>
      </c>
      <c r="Y881" s="53">
        <f t="shared" si="1526"/>
        <v>0</v>
      </c>
      <c r="Z881" s="53">
        <f t="shared" si="1540"/>
        <v>0</v>
      </c>
      <c r="AA881" s="54">
        <f t="shared" si="1528"/>
        <v>0</v>
      </c>
      <c r="AB881" s="54">
        <f t="shared" si="1541"/>
        <v>3504.05</v>
      </c>
      <c r="AC881" s="64">
        <f>0-Y881-AA881</f>
        <v>0</v>
      </c>
      <c r="AD881" s="209"/>
      <c r="AE881" s="64">
        <f t="shared" si="1535"/>
        <v>0</v>
      </c>
      <c r="AF881" s="209"/>
      <c r="AG881" s="8"/>
    </row>
    <row r="882" spans="1:33" x14ac:dyDescent="0.45">
      <c r="A882" s="22">
        <f t="shared" si="1530"/>
        <v>45060</v>
      </c>
      <c r="B882" s="50" t="s">
        <v>65</v>
      </c>
      <c r="C882" s="48">
        <f t="shared" si="1536"/>
        <v>1672</v>
      </c>
      <c r="D882" s="51">
        <v>0</v>
      </c>
      <c r="E882" s="51">
        <v>0</v>
      </c>
      <c r="F882" s="51">
        <v>0</v>
      </c>
      <c r="G882" s="51">
        <v>0</v>
      </c>
      <c r="H882" s="51">
        <v>0</v>
      </c>
      <c r="I882" s="51">
        <v>0</v>
      </c>
      <c r="J882" s="51">
        <v>0</v>
      </c>
      <c r="K882" s="51">
        <v>80</v>
      </c>
      <c r="L882" s="52">
        <v>0</v>
      </c>
      <c r="M882" s="34"/>
      <c r="N882" s="51">
        <v>0</v>
      </c>
      <c r="O882" s="51">
        <v>0</v>
      </c>
      <c r="P882" s="51">
        <v>0</v>
      </c>
      <c r="Q882" s="51">
        <v>0</v>
      </c>
      <c r="R882" s="34"/>
      <c r="S882" s="51">
        <f t="shared" ref="S882:S884" si="1543">SUM(D882:G882)</f>
        <v>0</v>
      </c>
      <c r="T882" s="51">
        <f t="shared" ref="T882:T884" si="1544">SUM(N882:Q882)</f>
        <v>0</v>
      </c>
      <c r="U882" s="51">
        <f t="shared" ref="U882:U884" si="1545">SUM(H882:K882)</f>
        <v>80</v>
      </c>
      <c r="V882" s="34"/>
      <c r="W882" s="52">
        <v>20.9</v>
      </c>
      <c r="X882" s="53">
        <f t="shared" si="1539"/>
        <v>0</v>
      </c>
      <c r="Y882" s="53">
        <f t="shared" si="1526"/>
        <v>0</v>
      </c>
      <c r="Z882" s="53">
        <f t="shared" si="1540"/>
        <v>0</v>
      </c>
      <c r="AA882" s="54">
        <f t="shared" si="1528"/>
        <v>1672</v>
      </c>
      <c r="AB882" s="54">
        <f t="shared" si="1541"/>
        <v>0</v>
      </c>
      <c r="AC882" s="64">
        <f>0-Y882-AA882</f>
        <v>-1672</v>
      </c>
      <c r="AD882" s="209"/>
      <c r="AE882" s="64">
        <f t="shared" si="1535"/>
        <v>0</v>
      </c>
      <c r="AF882" s="209"/>
      <c r="AG882" s="8"/>
    </row>
    <row r="883" spans="1:33" x14ac:dyDescent="0.45">
      <c r="A883" s="22">
        <f t="shared" si="1530"/>
        <v>45060</v>
      </c>
      <c r="B883" s="50" t="s">
        <v>66</v>
      </c>
      <c r="C883" s="48">
        <f t="shared" si="1536"/>
        <v>1672</v>
      </c>
      <c r="D883" s="51">
        <v>0</v>
      </c>
      <c r="E883" s="51">
        <v>0</v>
      </c>
      <c r="F883" s="51">
        <v>0</v>
      </c>
      <c r="G883" s="51">
        <v>0</v>
      </c>
      <c r="H883" s="51">
        <v>0</v>
      </c>
      <c r="I883" s="51">
        <v>0</v>
      </c>
      <c r="J883" s="51">
        <v>0</v>
      </c>
      <c r="K883" s="51">
        <v>80</v>
      </c>
      <c r="L883" s="52">
        <v>0</v>
      </c>
      <c r="M883" s="34"/>
      <c r="N883" s="51">
        <v>0</v>
      </c>
      <c r="O883" s="51">
        <v>0</v>
      </c>
      <c r="P883" s="51">
        <v>0</v>
      </c>
      <c r="Q883" s="51">
        <v>0</v>
      </c>
      <c r="R883" s="34"/>
      <c r="S883" s="51">
        <f t="shared" si="1543"/>
        <v>0</v>
      </c>
      <c r="T883" s="51">
        <f t="shared" si="1544"/>
        <v>0</v>
      </c>
      <c r="U883" s="51">
        <f t="shared" si="1545"/>
        <v>80</v>
      </c>
      <c r="V883" s="34"/>
      <c r="W883" s="52">
        <v>20.9</v>
      </c>
      <c r="X883" s="53">
        <f t="shared" si="1539"/>
        <v>0</v>
      </c>
      <c r="Y883" s="53">
        <f t="shared" si="1526"/>
        <v>0</v>
      </c>
      <c r="Z883" s="53">
        <f t="shared" si="1540"/>
        <v>0</v>
      </c>
      <c r="AA883" s="54">
        <f t="shared" si="1528"/>
        <v>1672</v>
      </c>
      <c r="AB883" s="54">
        <f t="shared" si="1541"/>
        <v>0</v>
      </c>
      <c r="AC883" s="64">
        <f>0-Y883-AA883</f>
        <v>-1672</v>
      </c>
      <c r="AD883" s="209"/>
      <c r="AE883" s="64">
        <f t="shared" si="1535"/>
        <v>0</v>
      </c>
      <c r="AF883" s="209"/>
      <c r="AG883" s="8"/>
    </row>
    <row r="884" spans="1:33" ht="14.65" thickBot="1" x14ac:dyDescent="0.5">
      <c r="A884" s="23">
        <f t="shared" si="1530"/>
        <v>45060</v>
      </c>
      <c r="B884" s="24" t="s">
        <v>62</v>
      </c>
      <c r="C884" s="49">
        <f t="shared" si="1536"/>
        <v>2000</v>
      </c>
      <c r="D884" s="25">
        <v>80</v>
      </c>
      <c r="E884" s="25">
        <v>23</v>
      </c>
      <c r="F884" s="25">
        <v>0</v>
      </c>
      <c r="G884" s="25">
        <v>21</v>
      </c>
      <c r="H884" s="25">
        <v>0</v>
      </c>
      <c r="I884" s="25">
        <v>0</v>
      </c>
      <c r="J884" s="25">
        <v>0</v>
      </c>
      <c r="K884" s="25">
        <v>0</v>
      </c>
      <c r="L884" s="46">
        <v>0</v>
      </c>
      <c r="M884" s="35"/>
      <c r="N884" s="25">
        <v>80</v>
      </c>
      <c r="O884" s="25">
        <v>23</v>
      </c>
      <c r="P884" s="25">
        <v>0</v>
      </c>
      <c r="Q884" s="25">
        <v>21</v>
      </c>
      <c r="R884" s="35"/>
      <c r="S884" s="25">
        <f t="shared" si="1543"/>
        <v>124</v>
      </c>
      <c r="T884" s="25">
        <f t="shared" si="1544"/>
        <v>124</v>
      </c>
      <c r="U884" s="25">
        <f t="shared" si="1545"/>
        <v>0</v>
      </c>
      <c r="V884" s="35"/>
      <c r="W884" s="46">
        <v>25</v>
      </c>
      <c r="X884" s="26">
        <f t="shared" si="1539"/>
        <v>3387.5</v>
      </c>
      <c r="Y884" s="26">
        <f t="shared" si="1526"/>
        <v>0</v>
      </c>
      <c r="Z884" s="26">
        <f t="shared" si="1540"/>
        <v>0</v>
      </c>
      <c r="AA884" s="27">
        <f t="shared" si="1528"/>
        <v>0</v>
      </c>
      <c r="AB884" s="27">
        <f t="shared" si="1541"/>
        <v>3387.5</v>
      </c>
      <c r="AC884" s="65">
        <f t="shared" ref="AC884:AC891" si="1546">0-Y884-AA884</f>
        <v>0</v>
      </c>
      <c r="AD884" s="210"/>
      <c r="AE884" s="65">
        <f t="shared" si="1535"/>
        <v>0</v>
      </c>
      <c r="AF884" s="210"/>
      <c r="AG884" s="8"/>
    </row>
    <row r="885" spans="1:33" x14ac:dyDescent="0.45">
      <c r="A885" s="16">
        <f>A884+14</f>
        <v>45074</v>
      </c>
      <c r="B885" s="17" t="s">
        <v>30</v>
      </c>
      <c r="C885" s="47">
        <f>120*W885</f>
        <v>4098</v>
      </c>
      <c r="D885" s="18">
        <v>64</v>
      </c>
      <c r="E885" s="18">
        <v>5</v>
      </c>
      <c r="F885" s="18">
        <v>0</v>
      </c>
      <c r="G885" s="18">
        <v>0</v>
      </c>
      <c r="H885" s="18">
        <v>0</v>
      </c>
      <c r="I885" s="18">
        <v>8</v>
      </c>
      <c r="J885" s="18">
        <v>8</v>
      </c>
      <c r="K885" s="18">
        <v>0</v>
      </c>
      <c r="L885" s="44">
        <v>0</v>
      </c>
      <c r="M885" s="33"/>
      <c r="N885" s="18">
        <v>64</v>
      </c>
      <c r="O885" s="18">
        <v>5</v>
      </c>
      <c r="P885" s="18">
        <v>0</v>
      </c>
      <c r="Q885" s="18">
        <v>0</v>
      </c>
      <c r="R885" s="33"/>
      <c r="S885" s="18">
        <f>SUM(D885:G885)</f>
        <v>69</v>
      </c>
      <c r="T885" s="18">
        <f>SUM(N885:Q885)</f>
        <v>69</v>
      </c>
      <c r="U885" s="18">
        <f>SUM(H885:K885)</f>
        <v>16</v>
      </c>
      <c r="V885" s="33"/>
      <c r="W885" s="44">
        <v>34.15</v>
      </c>
      <c r="X885" s="19">
        <f>(W885*1*D885)+(W885*1.5*E885)+(W885*2*F885)+(W885*1*G885)</f>
        <v>2441.7249999999999</v>
      </c>
      <c r="Y885" s="19">
        <f>(W885*0*H885)+(W885*1*I885)</f>
        <v>273.2</v>
      </c>
      <c r="Z885" s="19">
        <f>(W885*1*J885)+L885</f>
        <v>273.2</v>
      </c>
      <c r="AA885" s="20">
        <f>(W885*1*K885)</f>
        <v>0</v>
      </c>
      <c r="AB885" s="20">
        <f>(W885*1*N885)+(W885*1.5*O885)+(W885*2*P885)+(W885*1*Q885)</f>
        <v>2441.7249999999999</v>
      </c>
      <c r="AC885" s="66">
        <f t="shared" si="1546"/>
        <v>-273.2</v>
      </c>
      <c r="AD885" s="208"/>
      <c r="AE885" s="66">
        <f t="shared" si="1535"/>
        <v>-273.19999999999982</v>
      </c>
      <c r="AF885" s="208">
        <f>SUM(AE885:AE895)</f>
        <v>-2034.7874999999992</v>
      </c>
      <c r="AG885" s="8"/>
    </row>
    <row r="886" spans="1:33" x14ac:dyDescent="0.45">
      <c r="A886" s="22">
        <f>A885</f>
        <v>45074</v>
      </c>
      <c r="B886" s="15" t="s">
        <v>4</v>
      </c>
      <c r="C886" s="48">
        <f>80*W886</f>
        <v>2520</v>
      </c>
      <c r="D886" s="13">
        <v>72</v>
      </c>
      <c r="E886" s="13">
        <v>11.75</v>
      </c>
      <c r="F886" s="13">
        <v>0</v>
      </c>
      <c r="G886" s="13">
        <v>0</v>
      </c>
      <c r="H886" s="13">
        <v>0</v>
      </c>
      <c r="I886" s="13">
        <v>0</v>
      </c>
      <c r="J886" s="13">
        <v>8</v>
      </c>
      <c r="K886" s="13">
        <v>0</v>
      </c>
      <c r="L886" s="45">
        <v>0</v>
      </c>
      <c r="M886" s="34"/>
      <c r="N886" s="13">
        <v>72</v>
      </c>
      <c r="O886" s="13">
        <v>11.75</v>
      </c>
      <c r="P886" s="13">
        <v>0</v>
      </c>
      <c r="Q886" s="13">
        <v>0</v>
      </c>
      <c r="R886" s="34"/>
      <c r="S886" s="13">
        <f t="shared" ref="S886:S888" si="1547">SUM(D886:G886)</f>
        <v>83.75</v>
      </c>
      <c r="T886" s="13">
        <f t="shared" ref="T886" si="1548">SUM(N886:Q886)</f>
        <v>83.75</v>
      </c>
      <c r="U886" s="13">
        <f>SUM(H886:K886)</f>
        <v>8</v>
      </c>
      <c r="V886" s="34"/>
      <c r="W886" s="45">
        <v>31.5</v>
      </c>
      <c r="X886" s="10">
        <f t="shared" ref="X886:X887" si="1549">(W886*1*D886)+(W886*1.5*E886)+(W886*2*F886)+(W886*1*G886)</f>
        <v>2823.1875</v>
      </c>
      <c r="Y886" s="10">
        <f t="shared" ref="Y886:Y895" si="1550">(W886*0*H886)+(W886*1*I886)</f>
        <v>0</v>
      </c>
      <c r="Z886" s="10">
        <f t="shared" ref="Z886:Z888" si="1551">(W886*1*J886)+L886</f>
        <v>252</v>
      </c>
      <c r="AA886" s="14">
        <f t="shared" ref="AA886:AA895" si="1552">(W886*1*K886)</f>
        <v>0</v>
      </c>
      <c r="AB886" s="14">
        <f t="shared" ref="AB886:AB888" si="1553">(W886*1*N886)+(W886*1.5*O886)+(W886*2*P886)+(W886*1*Q886)</f>
        <v>2823.1875</v>
      </c>
      <c r="AC886" s="63">
        <f t="shared" si="1546"/>
        <v>0</v>
      </c>
      <c r="AD886" s="209"/>
      <c r="AE886" s="63">
        <f t="shared" si="1535"/>
        <v>-252</v>
      </c>
      <c r="AF886" s="209"/>
      <c r="AG886" s="8"/>
    </row>
    <row r="887" spans="1:33" x14ac:dyDescent="0.45">
      <c r="A887" s="22">
        <f t="shared" ref="A887:A895" si="1554">A886</f>
        <v>45074</v>
      </c>
      <c r="B887" s="15" t="s">
        <v>5</v>
      </c>
      <c r="C887" s="48">
        <f>120*W887</f>
        <v>3654</v>
      </c>
      <c r="D887" s="13">
        <v>59.25</v>
      </c>
      <c r="E887" s="13">
        <v>0</v>
      </c>
      <c r="F887" s="13">
        <v>0</v>
      </c>
      <c r="G887" s="13">
        <v>0</v>
      </c>
      <c r="H887" s="13">
        <v>0</v>
      </c>
      <c r="I887" s="13">
        <v>16</v>
      </c>
      <c r="J887" s="13">
        <v>8</v>
      </c>
      <c r="K887" s="13">
        <v>0</v>
      </c>
      <c r="L887" s="45">
        <v>0</v>
      </c>
      <c r="M887" s="34"/>
      <c r="N887" s="13">
        <v>54.75</v>
      </c>
      <c r="O887" s="13">
        <v>4.5</v>
      </c>
      <c r="P887" s="13">
        <v>0</v>
      </c>
      <c r="Q887" s="13">
        <v>0</v>
      </c>
      <c r="R887" s="34"/>
      <c r="S887" s="13">
        <f t="shared" si="1547"/>
        <v>59.25</v>
      </c>
      <c r="T887" s="13">
        <f>SUM(N887:Q887)</f>
        <v>59.25</v>
      </c>
      <c r="U887" s="13">
        <f t="shared" ref="U887:U888" si="1555">SUM(H887:K887)</f>
        <v>24</v>
      </c>
      <c r="V887" s="34"/>
      <c r="W887" s="45">
        <v>30.45</v>
      </c>
      <c r="X887" s="10">
        <f t="shared" si="1549"/>
        <v>1804.1624999999999</v>
      </c>
      <c r="Y887" s="10">
        <f t="shared" si="1550"/>
        <v>487.2</v>
      </c>
      <c r="Z887" s="10">
        <f t="shared" si="1551"/>
        <v>243.6</v>
      </c>
      <c r="AA887" s="14">
        <f t="shared" si="1552"/>
        <v>0</v>
      </c>
      <c r="AB887" s="14">
        <f t="shared" si="1553"/>
        <v>1872.675</v>
      </c>
      <c r="AC887" s="63">
        <f t="shared" si="1546"/>
        <v>-487.2</v>
      </c>
      <c r="AD887" s="209"/>
      <c r="AE887" s="63">
        <f t="shared" si="1535"/>
        <v>-175.08749999999986</v>
      </c>
      <c r="AF887" s="209"/>
      <c r="AG887" s="8"/>
    </row>
    <row r="888" spans="1:33" x14ac:dyDescent="0.45">
      <c r="A888" s="22">
        <f t="shared" si="1554"/>
        <v>45074</v>
      </c>
      <c r="B888" s="15" t="s">
        <v>6</v>
      </c>
      <c r="C888" s="48">
        <f>120*W888</f>
        <v>3780</v>
      </c>
      <c r="D888" s="13">
        <v>72</v>
      </c>
      <c r="E888" s="13">
        <v>35.5</v>
      </c>
      <c r="F888" s="13">
        <v>12</v>
      </c>
      <c r="G888" s="13">
        <v>9</v>
      </c>
      <c r="H888" s="13">
        <v>0</v>
      </c>
      <c r="I888" s="13">
        <v>0</v>
      </c>
      <c r="J888" s="13">
        <v>8</v>
      </c>
      <c r="K888" s="13">
        <v>0</v>
      </c>
      <c r="L888" s="45">
        <v>0</v>
      </c>
      <c r="M888" s="34"/>
      <c r="N888" s="13">
        <v>72</v>
      </c>
      <c r="O888" s="13">
        <v>35.5</v>
      </c>
      <c r="P888" s="13">
        <v>12</v>
      </c>
      <c r="Q888" s="13">
        <v>9</v>
      </c>
      <c r="R888" s="34"/>
      <c r="S888" s="13">
        <f t="shared" si="1547"/>
        <v>128.5</v>
      </c>
      <c r="T888" s="13">
        <f t="shared" ref="T888" si="1556">SUM(N888:Q888)</f>
        <v>128.5</v>
      </c>
      <c r="U888" s="13">
        <f t="shared" si="1555"/>
        <v>8</v>
      </c>
      <c r="V888" s="34"/>
      <c r="W888" s="45">
        <v>31.5</v>
      </c>
      <c r="X888" s="45">
        <f>(W888*1*D888)+(W888*1.5*E888)+(W888*2*F888)+(W888*1*G888)</f>
        <v>4984.875</v>
      </c>
      <c r="Y888" s="45">
        <f t="shared" si="1550"/>
        <v>0</v>
      </c>
      <c r="Z888" s="45">
        <f t="shared" si="1551"/>
        <v>252</v>
      </c>
      <c r="AA888" s="79">
        <f t="shared" si="1552"/>
        <v>0</v>
      </c>
      <c r="AB888" s="79">
        <f t="shared" si="1553"/>
        <v>4984.875</v>
      </c>
      <c r="AC888" s="80">
        <f t="shared" si="1546"/>
        <v>0</v>
      </c>
      <c r="AD888" s="209"/>
      <c r="AE888" s="80">
        <f t="shared" si="1535"/>
        <v>-252</v>
      </c>
      <c r="AF888" s="209"/>
      <c r="AG888" s="8"/>
    </row>
    <row r="889" spans="1:33" x14ac:dyDescent="0.45">
      <c r="A889" s="22">
        <f t="shared" si="1554"/>
        <v>45074</v>
      </c>
      <c r="B889" s="50" t="s">
        <v>31</v>
      </c>
      <c r="C889" s="48">
        <f>120*W889</f>
        <v>3780</v>
      </c>
      <c r="D889" s="51">
        <v>72</v>
      </c>
      <c r="E889" s="51">
        <v>29.5</v>
      </c>
      <c r="F889" s="51">
        <v>12</v>
      </c>
      <c r="G889" s="51">
        <v>9</v>
      </c>
      <c r="H889" s="51">
        <v>0</v>
      </c>
      <c r="I889" s="51">
        <v>0</v>
      </c>
      <c r="J889" s="51">
        <v>8</v>
      </c>
      <c r="K889" s="51">
        <v>0</v>
      </c>
      <c r="L889" s="52">
        <v>0</v>
      </c>
      <c r="M889" s="34"/>
      <c r="N889" s="13">
        <v>72</v>
      </c>
      <c r="O889" s="13">
        <v>29.5</v>
      </c>
      <c r="P889" s="13">
        <v>12</v>
      </c>
      <c r="Q889" s="13">
        <v>9</v>
      </c>
      <c r="R889" s="34"/>
      <c r="S889" s="51">
        <f t="shared" ref="S889" si="1557">SUM(D889:G889)</f>
        <v>122.5</v>
      </c>
      <c r="T889" s="51">
        <f>SUM(N889:Q889)</f>
        <v>122.5</v>
      </c>
      <c r="U889" s="51">
        <f t="shared" ref="U889" si="1558">SUM(H889:K889)</f>
        <v>8</v>
      </c>
      <c r="V889" s="34"/>
      <c r="W889" s="52">
        <v>31.5</v>
      </c>
      <c r="X889" s="53">
        <f>(W889*1*D889)+(W889*1.5*E889)+(W889*2*F889)+(W889*1*G889)</f>
        <v>4701.375</v>
      </c>
      <c r="Y889" s="53">
        <f t="shared" si="1550"/>
        <v>0</v>
      </c>
      <c r="Z889" s="53">
        <f>(W889*1*J889)+L889</f>
        <v>252</v>
      </c>
      <c r="AA889" s="54">
        <f t="shared" si="1552"/>
        <v>0</v>
      </c>
      <c r="AB889" s="54">
        <f>(W889*1*N889)+(W889*1.5*O889)+(W889*2*P889)+(W889*1*Q889)</f>
        <v>4701.375</v>
      </c>
      <c r="AC889" s="64">
        <f t="shared" si="1546"/>
        <v>0</v>
      </c>
      <c r="AD889" s="209"/>
      <c r="AE889" s="64">
        <f t="shared" ref="AE889:AE899" si="1559">AB889-(X889+Z889)</f>
        <v>-252</v>
      </c>
      <c r="AF889" s="209"/>
      <c r="AG889" s="8"/>
    </row>
    <row r="890" spans="1:33" x14ac:dyDescent="0.45">
      <c r="A890" s="22">
        <f t="shared" si="1554"/>
        <v>45074</v>
      </c>
      <c r="B890" s="50" t="s">
        <v>64</v>
      </c>
      <c r="C890" s="48">
        <f t="shared" ref="C890:C895" si="1560">80*W890</f>
        <v>1672</v>
      </c>
      <c r="D890" s="51">
        <v>72</v>
      </c>
      <c r="E890" s="51">
        <v>13.5</v>
      </c>
      <c r="F890" s="51">
        <v>0</v>
      </c>
      <c r="G890" s="51">
        <v>12</v>
      </c>
      <c r="H890" s="51">
        <v>0</v>
      </c>
      <c r="I890" s="51">
        <v>0</v>
      </c>
      <c r="J890" s="51">
        <v>8</v>
      </c>
      <c r="K890" s="51">
        <v>0</v>
      </c>
      <c r="L890" s="52">
        <v>0</v>
      </c>
      <c r="M890" s="34"/>
      <c r="N890" s="51">
        <v>72</v>
      </c>
      <c r="O890" s="51">
        <v>13.5</v>
      </c>
      <c r="P890" s="51">
        <v>0</v>
      </c>
      <c r="Q890" s="51">
        <v>12</v>
      </c>
      <c r="R890" s="34"/>
      <c r="S890" s="51">
        <f t="shared" ref="S890:S892" si="1561">SUM(D890:G890)</f>
        <v>97.5</v>
      </c>
      <c r="T890" s="51">
        <f>SUM(N890:Q890)</f>
        <v>97.5</v>
      </c>
      <c r="U890" s="51">
        <f t="shared" ref="U890:U892" si="1562">SUM(H890:K890)</f>
        <v>8</v>
      </c>
      <c r="V890" s="34"/>
      <c r="W890" s="52">
        <v>20.9</v>
      </c>
      <c r="X890" s="53">
        <f t="shared" ref="X890:X895" si="1563">(W890*1*D890)+(W890*1.5*E890)+(W890*2*F890)+(W890*1*G890)</f>
        <v>2178.8249999999998</v>
      </c>
      <c r="Y890" s="53">
        <f t="shared" si="1550"/>
        <v>0</v>
      </c>
      <c r="Z890" s="53">
        <f t="shared" ref="Z890:Z895" si="1564">(W890*1*J890)+L890</f>
        <v>167.2</v>
      </c>
      <c r="AA890" s="54">
        <f t="shared" si="1552"/>
        <v>0</v>
      </c>
      <c r="AB890" s="54">
        <f t="shared" ref="AB890:AB895" si="1565">(W890*1*N890)+(W890*1.5*O890)+(W890*2*P890)+(W890*1*Q890)</f>
        <v>2178.8249999999998</v>
      </c>
      <c r="AC890" s="64">
        <f t="shared" si="1546"/>
        <v>0</v>
      </c>
      <c r="AD890" s="209"/>
      <c r="AE890" s="64">
        <f t="shared" si="1559"/>
        <v>-167.19999999999982</v>
      </c>
      <c r="AF890" s="209"/>
      <c r="AG890" s="8"/>
    </row>
    <row r="891" spans="1:33" x14ac:dyDescent="0.45">
      <c r="A891" s="22">
        <f t="shared" si="1554"/>
        <v>45074</v>
      </c>
      <c r="B891" s="50" t="s">
        <v>53</v>
      </c>
      <c r="C891" s="48">
        <f t="shared" si="1560"/>
        <v>2024</v>
      </c>
      <c r="D891" s="51">
        <v>72</v>
      </c>
      <c r="E891" s="51">
        <v>16.5</v>
      </c>
      <c r="F891" s="51">
        <v>0</v>
      </c>
      <c r="G891" s="51">
        <v>12</v>
      </c>
      <c r="H891" s="51">
        <v>0</v>
      </c>
      <c r="I891" s="51">
        <v>0</v>
      </c>
      <c r="J891" s="51">
        <v>8</v>
      </c>
      <c r="K891" s="51">
        <v>0</v>
      </c>
      <c r="L891" s="52">
        <v>0</v>
      </c>
      <c r="M891" s="34"/>
      <c r="N891" s="13">
        <v>72</v>
      </c>
      <c r="O891" s="13">
        <v>22.5</v>
      </c>
      <c r="P891" s="13">
        <v>0</v>
      </c>
      <c r="Q891" s="13">
        <v>6</v>
      </c>
      <c r="R891" s="34"/>
      <c r="S891" s="51">
        <f t="shared" si="1561"/>
        <v>100.5</v>
      </c>
      <c r="T891" s="51">
        <f>SUM(N891:Q891)</f>
        <v>100.5</v>
      </c>
      <c r="U891" s="51">
        <f t="shared" si="1562"/>
        <v>8</v>
      </c>
      <c r="V891" s="34"/>
      <c r="W891" s="52">
        <v>25.3</v>
      </c>
      <c r="X891" s="53">
        <f t="shared" si="1563"/>
        <v>2751.375</v>
      </c>
      <c r="Y891" s="53">
        <f t="shared" si="1550"/>
        <v>0</v>
      </c>
      <c r="Z891" s="53">
        <f t="shared" si="1564"/>
        <v>202.4</v>
      </c>
      <c r="AA891" s="54">
        <f t="shared" si="1552"/>
        <v>0</v>
      </c>
      <c r="AB891" s="54">
        <f t="shared" si="1565"/>
        <v>2827.2750000000005</v>
      </c>
      <c r="AC891" s="64">
        <f t="shared" si="1546"/>
        <v>0</v>
      </c>
      <c r="AD891" s="209"/>
      <c r="AE891" s="64">
        <f t="shared" si="1559"/>
        <v>-126.49999999999955</v>
      </c>
      <c r="AF891" s="209"/>
      <c r="AG891" s="8"/>
    </row>
    <row r="892" spans="1:33" x14ac:dyDescent="0.45">
      <c r="A892" s="22">
        <f t="shared" si="1554"/>
        <v>45074</v>
      </c>
      <c r="B892" s="50" t="s">
        <v>54</v>
      </c>
      <c r="C892" s="48">
        <f t="shared" si="1560"/>
        <v>2024</v>
      </c>
      <c r="D892" s="51">
        <v>72</v>
      </c>
      <c r="E892" s="51">
        <v>10.25</v>
      </c>
      <c r="F892" s="51">
        <v>0</v>
      </c>
      <c r="G892" s="51">
        <v>18</v>
      </c>
      <c r="H892" s="51">
        <v>0</v>
      </c>
      <c r="I892" s="51">
        <v>0</v>
      </c>
      <c r="J892" s="51">
        <v>8</v>
      </c>
      <c r="K892" s="51">
        <v>0</v>
      </c>
      <c r="L892" s="52">
        <v>0</v>
      </c>
      <c r="M892" s="34"/>
      <c r="N892" s="51">
        <v>72</v>
      </c>
      <c r="O892" s="51">
        <v>10.25</v>
      </c>
      <c r="P892" s="51">
        <v>0</v>
      </c>
      <c r="Q892" s="51">
        <v>18</v>
      </c>
      <c r="R892" s="34"/>
      <c r="S892" s="51">
        <f t="shared" si="1561"/>
        <v>100.25</v>
      </c>
      <c r="T892" s="51">
        <f t="shared" ref="T892" si="1566">SUM(N892:Q892)</f>
        <v>100.25</v>
      </c>
      <c r="U892" s="51">
        <f t="shared" si="1562"/>
        <v>8</v>
      </c>
      <c r="V892" s="34"/>
      <c r="W892" s="52">
        <v>25.3</v>
      </c>
      <c r="X892" s="53">
        <f t="shared" si="1563"/>
        <v>2665.9875000000002</v>
      </c>
      <c r="Y892" s="53">
        <f t="shared" si="1550"/>
        <v>0</v>
      </c>
      <c r="Z892" s="53">
        <f t="shared" si="1564"/>
        <v>202.4</v>
      </c>
      <c r="AA892" s="54">
        <f t="shared" si="1552"/>
        <v>0</v>
      </c>
      <c r="AB892" s="54">
        <f t="shared" si="1565"/>
        <v>2665.9875000000002</v>
      </c>
      <c r="AC892" s="64">
        <f>0-Y892-AA892</f>
        <v>0</v>
      </c>
      <c r="AD892" s="209"/>
      <c r="AE892" s="64">
        <f t="shared" si="1559"/>
        <v>-202.40000000000009</v>
      </c>
      <c r="AF892" s="209"/>
      <c r="AG892" s="8"/>
    </row>
    <row r="893" spans="1:33" x14ac:dyDescent="0.45">
      <c r="A893" s="22">
        <f t="shared" si="1554"/>
        <v>45074</v>
      </c>
      <c r="B893" s="50" t="s">
        <v>65</v>
      </c>
      <c r="C893" s="48">
        <f t="shared" si="1560"/>
        <v>1672</v>
      </c>
      <c r="D893" s="51">
        <v>0</v>
      </c>
      <c r="E893" s="51">
        <v>0</v>
      </c>
      <c r="F893" s="51">
        <v>0</v>
      </c>
      <c r="G893" s="51">
        <v>0</v>
      </c>
      <c r="H893" s="51">
        <v>0</v>
      </c>
      <c r="I893" s="51">
        <v>0</v>
      </c>
      <c r="J893" s="51">
        <v>8</v>
      </c>
      <c r="K893" s="51">
        <v>72</v>
      </c>
      <c r="L893" s="52">
        <v>0</v>
      </c>
      <c r="M893" s="34"/>
      <c r="N893" s="51">
        <v>0</v>
      </c>
      <c r="O893" s="51">
        <v>0</v>
      </c>
      <c r="P893" s="51">
        <v>0</v>
      </c>
      <c r="Q893" s="51">
        <v>0</v>
      </c>
      <c r="R893" s="34"/>
      <c r="S893" s="51">
        <f t="shared" ref="S893:S895" si="1567">SUM(D893:G893)</f>
        <v>0</v>
      </c>
      <c r="T893" s="51">
        <f t="shared" ref="T893:T895" si="1568">SUM(N893:Q893)</f>
        <v>0</v>
      </c>
      <c r="U893" s="51">
        <f t="shared" ref="U893:U895" si="1569">SUM(H893:K893)</f>
        <v>80</v>
      </c>
      <c r="V893" s="34"/>
      <c r="W893" s="52">
        <v>20.9</v>
      </c>
      <c r="X893" s="53">
        <f t="shared" si="1563"/>
        <v>0</v>
      </c>
      <c r="Y893" s="53">
        <f t="shared" si="1550"/>
        <v>0</v>
      </c>
      <c r="Z893" s="53">
        <f t="shared" si="1564"/>
        <v>167.2</v>
      </c>
      <c r="AA893" s="54">
        <f t="shared" si="1552"/>
        <v>1504.8</v>
      </c>
      <c r="AB893" s="54">
        <f t="shared" si="1565"/>
        <v>0</v>
      </c>
      <c r="AC893" s="64">
        <f>0-Y893-AA893</f>
        <v>-1504.8</v>
      </c>
      <c r="AD893" s="209"/>
      <c r="AE893" s="64">
        <f t="shared" si="1559"/>
        <v>-167.2</v>
      </c>
      <c r="AF893" s="209"/>
      <c r="AG893" s="8"/>
    </row>
    <row r="894" spans="1:33" x14ac:dyDescent="0.45">
      <c r="A894" s="22">
        <f t="shared" si="1554"/>
        <v>45074</v>
      </c>
      <c r="B894" s="50" t="s">
        <v>66</v>
      </c>
      <c r="C894" s="48">
        <f t="shared" si="1560"/>
        <v>1672</v>
      </c>
      <c r="D894" s="51">
        <v>0</v>
      </c>
      <c r="E894" s="51">
        <v>0</v>
      </c>
      <c r="F894" s="51">
        <v>0</v>
      </c>
      <c r="G894" s="51">
        <v>0</v>
      </c>
      <c r="H894" s="51">
        <v>0</v>
      </c>
      <c r="I894" s="51">
        <v>0</v>
      </c>
      <c r="J894" s="51">
        <v>8</v>
      </c>
      <c r="K894" s="51">
        <v>72</v>
      </c>
      <c r="L894" s="52">
        <v>0</v>
      </c>
      <c r="M894" s="34"/>
      <c r="N894" s="51">
        <v>0</v>
      </c>
      <c r="O894" s="51">
        <v>0</v>
      </c>
      <c r="P894" s="51">
        <v>0</v>
      </c>
      <c r="Q894" s="51">
        <v>0</v>
      </c>
      <c r="R894" s="34"/>
      <c r="S894" s="51">
        <f t="shared" si="1567"/>
        <v>0</v>
      </c>
      <c r="T894" s="51">
        <f t="shared" si="1568"/>
        <v>0</v>
      </c>
      <c r="U894" s="51">
        <f t="shared" si="1569"/>
        <v>80</v>
      </c>
      <c r="V894" s="34"/>
      <c r="W894" s="52">
        <v>20.9</v>
      </c>
      <c r="X894" s="53">
        <f t="shared" si="1563"/>
        <v>0</v>
      </c>
      <c r="Y894" s="53">
        <f t="shared" si="1550"/>
        <v>0</v>
      </c>
      <c r="Z894" s="53">
        <f t="shared" si="1564"/>
        <v>167.2</v>
      </c>
      <c r="AA894" s="54">
        <f t="shared" si="1552"/>
        <v>1504.8</v>
      </c>
      <c r="AB894" s="54">
        <f t="shared" si="1565"/>
        <v>0</v>
      </c>
      <c r="AC894" s="64">
        <f>0-Y894-AA894</f>
        <v>-1504.8</v>
      </c>
      <c r="AD894" s="209"/>
      <c r="AE894" s="64">
        <f t="shared" si="1559"/>
        <v>-167.2</v>
      </c>
      <c r="AF894" s="209"/>
      <c r="AG894" s="8"/>
    </row>
    <row r="895" spans="1:33" ht="14.65" thickBot="1" x14ac:dyDescent="0.5">
      <c r="A895" s="23">
        <f t="shared" si="1554"/>
        <v>45074</v>
      </c>
      <c r="B895" s="24" t="s">
        <v>62</v>
      </c>
      <c r="C895" s="49">
        <f t="shared" si="1560"/>
        <v>2000</v>
      </c>
      <c r="D895" s="25">
        <v>0</v>
      </c>
      <c r="E895" s="25">
        <v>0</v>
      </c>
      <c r="F895" s="25">
        <v>0</v>
      </c>
      <c r="G895" s="25">
        <v>0</v>
      </c>
      <c r="H895" s="25">
        <v>0</v>
      </c>
      <c r="I895" s="25">
        <v>0</v>
      </c>
      <c r="J895" s="25">
        <v>0</v>
      </c>
      <c r="K895" s="25">
        <v>0</v>
      </c>
      <c r="L895" s="46">
        <v>0</v>
      </c>
      <c r="M895" s="35"/>
      <c r="N895" s="25">
        <v>0</v>
      </c>
      <c r="O895" s="25">
        <v>0</v>
      </c>
      <c r="P895" s="25">
        <v>0</v>
      </c>
      <c r="Q895" s="25">
        <v>0</v>
      </c>
      <c r="R895" s="35"/>
      <c r="S895" s="25">
        <f t="shared" si="1567"/>
        <v>0</v>
      </c>
      <c r="T895" s="25">
        <f t="shared" si="1568"/>
        <v>0</v>
      </c>
      <c r="U895" s="25">
        <f t="shared" si="1569"/>
        <v>0</v>
      </c>
      <c r="V895" s="35"/>
      <c r="W895" s="46">
        <v>25</v>
      </c>
      <c r="X895" s="26">
        <f t="shared" si="1563"/>
        <v>0</v>
      </c>
      <c r="Y895" s="26">
        <f t="shared" si="1550"/>
        <v>0</v>
      </c>
      <c r="Z895" s="26">
        <f t="shared" si="1564"/>
        <v>0</v>
      </c>
      <c r="AA895" s="27">
        <f t="shared" si="1552"/>
        <v>0</v>
      </c>
      <c r="AB895" s="27">
        <f t="shared" si="1565"/>
        <v>0</v>
      </c>
      <c r="AC895" s="65">
        <f t="shared" ref="AC895:AC902" si="1570">0-Y895-AA895</f>
        <v>0</v>
      </c>
      <c r="AD895" s="210"/>
      <c r="AE895" s="65">
        <f t="shared" si="1559"/>
        <v>0</v>
      </c>
      <c r="AF895" s="210"/>
      <c r="AG895" s="8"/>
    </row>
    <row r="896" spans="1:33" x14ac:dyDescent="0.45">
      <c r="A896" s="16">
        <f>A895+14</f>
        <v>45088</v>
      </c>
      <c r="B896" s="17" t="s">
        <v>30</v>
      </c>
      <c r="C896" s="47">
        <f>120*W896</f>
        <v>4098</v>
      </c>
      <c r="D896" s="18">
        <v>80</v>
      </c>
      <c r="E896" s="18">
        <v>1</v>
      </c>
      <c r="F896" s="18">
        <v>0</v>
      </c>
      <c r="G896" s="18">
        <v>0</v>
      </c>
      <c r="H896" s="18">
        <v>0</v>
      </c>
      <c r="I896" s="18">
        <v>0</v>
      </c>
      <c r="J896" s="18">
        <v>0</v>
      </c>
      <c r="K896" s="18">
        <v>0</v>
      </c>
      <c r="L896" s="44">
        <v>0</v>
      </c>
      <c r="M896" s="33"/>
      <c r="N896" s="18">
        <v>80</v>
      </c>
      <c r="O896" s="18">
        <v>1</v>
      </c>
      <c r="P896" s="18">
        <v>0</v>
      </c>
      <c r="Q896" s="18">
        <v>0</v>
      </c>
      <c r="R896" s="33"/>
      <c r="S896" s="18">
        <f>SUM(D896:G896)</f>
        <v>81</v>
      </c>
      <c r="T896" s="18">
        <f>SUM(N896:Q896)</f>
        <v>81</v>
      </c>
      <c r="U896" s="18">
        <f>SUM(H896:K896)</f>
        <v>0</v>
      </c>
      <c r="V896" s="33"/>
      <c r="W896" s="44">
        <v>34.15</v>
      </c>
      <c r="X896" s="19">
        <f>(W896*1*D896)+(W896*1.5*E896)+(W896*2*F896)+(W896*1*G896)</f>
        <v>2783.2249999999999</v>
      </c>
      <c r="Y896" s="19">
        <f>(W896*0*H896)+(W896*1*I896)</f>
        <v>0</v>
      </c>
      <c r="Z896" s="19">
        <f>(W896*1*J896)+L896</f>
        <v>0</v>
      </c>
      <c r="AA896" s="20">
        <f>(W896*1*K896)</f>
        <v>0</v>
      </c>
      <c r="AB896" s="20">
        <f>(W896*1*N896)+(W896*1.5*O896)+(W896*2*P896)+(W896*1*Q896)</f>
        <v>2783.2249999999999</v>
      </c>
      <c r="AC896" s="66">
        <f t="shared" si="1570"/>
        <v>0</v>
      </c>
      <c r="AD896" s="208"/>
      <c r="AE896" s="66">
        <f t="shared" si="1559"/>
        <v>0</v>
      </c>
      <c r="AF896" s="208">
        <f>SUM(AE896:AE906)</f>
        <v>7.6124999999997272</v>
      </c>
      <c r="AG896" s="8"/>
    </row>
    <row r="897" spans="1:33" x14ac:dyDescent="0.45">
      <c r="A897" s="22">
        <f>A896</f>
        <v>45088</v>
      </c>
      <c r="B897" s="15" t="s">
        <v>4</v>
      </c>
      <c r="C897" s="48">
        <f>80*W897</f>
        <v>2520</v>
      </c>
      <c r="D897" s="13">
        <v>80</v>
      </c>
      <c r="E897" s="13">
        <v>27.25</v>
      </c>
      <c r="F897" s="13">
        <v>0</v>
      </c>
      <c r="G897" s="13">
        <v>3</v>
      </c>
      <c r="H897" s="13">
        <v>0</v>
      </c>
      <c r="I897" s="13">
        <v>0</v>
      </c>
      <c r="J897" s="13">
        <v>0</v>
      </c>
      <c r="K897" s="13">
        <v>0</v>
      </c>
      <c r="L897" s="45">
        <v>0</v>
      </c>
      <c r="M897" s="34"/>
      <c r="N897" s="13">
        <v>80</v>
      </c>
      <c r="O897" s="13">
        <v>27.25</v>
      </c>
      <c r="P897" s="13">
        <v>0</v>
      </c>
      <c r="Q897" s="13">
        <v>3</v>
      </c>
      <c r="R897" s="34"/>
      <c r="S897" s="13">
        <f t="shared" ref="S897:S899" si="1571">SUM(D897:G897)</f>
        <v>110.25</v>
      </c>
      <c r="T897" s="13">
        <f t="shared" ref="T897" si="1572">SUM(N897:Q897)</f>
        <v>110.25</v>
      </c>
      <c r="U897" s="13">
        <f>SUM(H897:K897)</f>
        <v>0</v>
      </c>
      <c r="V897" s="34"/>
      <c r="W897" s="45">
        <v>31.5</v>
      </c>
      <c r="X897" s="10">
        <f t="shared" ref="X897:X898" si="1573">(W897*1*D897)+(W897*1.5*E897)+(W897*2*F897)+(W897*1*G897)</f>
        <v>3902.0625</v>
      </c>
      <c r="Y897" s="10">
        <f t="shared" ref="Y897:Y906" si="1574">(W897*0*H897)+(W897*1*I897)</f>
        <v>0</v>
      </c>
      <c r="Z897" s="10">
        <f t="shared" ref="Z897:Z899" si="1575">(W897*1*J897)+L897</f>
        <v>0</v>
      </c>
      <c r="AA897" s="14">
        <f t="shared" ref="AA897:AA906" si="1576">(W897*1*K897)</f>
        <v>0</v>
      </c>
      <c r="AB897" s="14">
        <f t="shared" ref="AB897:AB899" si="1577">(W897*1*N897)+(W897*1.5*O897)+(W897*2*P897)+(W897*1*Q897)</f>
        <v>3902.0625</v>
      </c>
      <c r="AC897" s="63">
        <f t="shared" si="1570"/>
        <v>0</v>
      </c>
      <c r="AD897" s="209"/>
      <c r="AE897" s="63">
        <f t="shared" si="1559"/>
        <v>0</v>
      </c>
      <c r="AF897" s="209"/>
      <c r="AG897" s="8"/>
    </row>
    <row r="898" spans="1:33" x14ac:dyDescent="0.45">
      <c r="A898" s="22">
        <f t="shared" ref="A898:A906" si="1578">A897</f>
        <v>45088</v>
      </c>
      <c r="B898" s="15" t="s">
        <v>5</v>
      </c>
      <c r="C898" s="48">
        <f>120*W898</f>
        <v>3654</v>
      </c>
      <c r="D898" s="13">
        <v>80</v>
      </c>
      <c r="E898" s="13">
        <v>16.25</v>
      </c>
      <c r="F898" s="13">
        <v>0</v>
      </c>
      <c r="G898" s="13">
        <v>0</v>
      </c>
      <c r="H898" s="13">
        <v>0</v>
      </c>
      <c r="I898" s="13">
        <v>0</v>
      </c>
      <c r="J898" s="13">
        <v>0</v>
      </c>
      <c r="K898" s="13">
        <v>0</v>
      </c>
      <c r="L898" s="45">
        <v>0</v>
      </c>
      <c r="M898" s="34"/>
      <c r="N898" s="13">
        <v>80</v>
      </c>
      <c r="O898" s="13">
        <v>15.75</v>
      </c>
      <c r="P898" s="13">
        <v>0.5</v>
      </c>
      <c r="Q898" s="13">
        <v>0</v>
      </c>
      <c r="R898" s="34"/>
      <c r="S898" s="13">
        <f t="shared" si="1571"/>
        <v>96.25</v>
      </c>
      <c r="T898" s="13">
        <f>SUM(N898:Q898)</f>
        <v>96.25</v>
      </c>
      <c r="U898" s="13">
        <f t="shared" ref="U898:U899" si="1579">SUM(H898:K898)</f>
        <v>0</v>
      </c>
      <c r="V898" s="34"/>
      <c r="W898" s="45">
        <v>30.45</v>
      </c>
      <c r="X898" s="10">
        <f t="shared" si="1573"/>
        <v>3178.21875</v>
      </c>
      <c r="Y898" s="10">
        <f t="shared" si="1574"/>
        <v>0</v>
      </c>
      <c r="Z898" s="10">
        <f t="shared" si="1575"/>
        <v>0</v>
      </c>
      <c r="AA898" s="14">
        <f t="shared" si="1576"/>
        <v>0</v>
      </c>
      <c r="AB898" s="14">
        <f t="shared" si="1577"/>
        <v>3185.8312499999997</v>
      </c>
      <c r="AC898" s="63">
        <f t="shared" si="1570"/>
        <v>0</v>
      </c>
      <c r="AD898" s="209"/>
      <c r="AE898" s="63">
        <f t="shared" si="1559"/>
        <v>7.6124999999997272</v>
      </c>
      <c r="AF898" s="209"/>
      <c r="AG898" s="8"/>
    </row>
    <row r="899" spans="1:33" x14ac:dyDescent="0.45">
      <c r="A899" s="22">
        <f t="shared" si="1578"/>
        <v>45088</v>
      </c>
      <c r="B899" s="15" t="s">
        <v>6</v>
      </c>
      <c r="C899" s="48">
        <f>120*W899</f>
        <v>3780</v>
      </c>
      <c r="D899" s="13">
        <v>40</v>
      </c>
      <c r="E899" s="13">
        <v>13</v>
      </c>
      <c r="F899" s="13">
        <v>0</v>
      </c>
      <c r="G899" s="13">
        <v>3</v>
      </c>
      <c r="H899" s="13">
        <v>0</v>
      </c>
      <c r="I899" s="13">
        <v>0</v>
      </c>
      <c r="J899" s="13">
        <v>0</v>
      </c>
      <c r="K899" s="13">
        <v>0</v>
      </c>
      <c r="L899" s="45">
        <v>0</v>
      </c>
      <c r="M899" s="34"/>
      <c r="N899" s="13">
        <v>40</v>
      </c>
      <c r="O899" s="13">
        <v>13</v>
      </c>
      <c r="P899" s="13">
        <v>0</v>
      </c>
      <c r="Q899" s="13">
        <v>3</v>
      </c>
      <c r="R899" s="34"/>
      <c r="S899" s="13">
        <f t="shared" si="1571"/>
        <v>56</v>
      </c>
      <c r="T899" s="13">
        <f t="shared" ref="T899" si="1580">SUM(N899:Q899)</f>
        <v>56</v>
      </c>
      <c r="U899" s="13">
        <f t="shared" si="1579"/>
        <v>0</v>
      </c>
      <c r="V899" s="34"/>
      <c r="W899" s="45">
        <v>31.5</v>
      </c>
      <c r="X899" s="45">
        <f>(W899*1*D899)+(W899*1.5*E899)+(W899*2*F899)+(W899*1*G899)</f>
        <v>1968.75</v>
      </c>
      <c r="Y899" s="45">
        <f t="shared" si="1574"/>
        <v>0</v>
      </c>
      <c r="Z899" s="45">
        <f t="shared" si="1575"/>
        <v>0</v>
      </c>
      <c r="AA899" s="79">
        <f t="shared" si="1576"/>
        <v>0</v>
      </c>
      <c r="AB899" s="79">
        <f t="shared" si="1577"/>
        <v>1968.75</v>
      </c>
      <c r="AC899" s="80">
        <f t="shared" si="1570"/>
        <v>0</v>
      </c>
      <c r="AD899" s="209"/>
      <c r="AE899" s="80">
        <f t="shared" si="1559"/>
        <v>0</v>
      </c>
      <c r="AF899" s="209"/>
      <c r="AG899" s="8"/>
    </row>
    <row r="900" spans="1:33" x14ac:dyDescent="0.45">
      <c r="A900" s="22">
        <f t="shared" si="1578"/>
        <v>45088</v>
      </c>
      <c r="B900" s="50" t="s">
        <v>31</v>
      </c>
      <c r="C900" s="48">
        <f>120*W900</f>
        <v>3780</v>
      </c>
      <c r="D900" s="51">
        <v>80</v>
      </c>
      <c r="E900" s="51">
        <v>25</v>
      </c>
      <c r="F900" s="51">
        <v>0</v>
      </c>
      <c r="G900" s="51">
        <v>11</v>
      </c>
      <c r="H900" s="51">
        <v>0</v>
      </c>
      <c r="I900" s="51">
        <v>0</v>
      </c>
      <c r="J900" s="51">
        <v>0</v>
      </c>
      <c r="K900" s="51">
        <v>0</v>
      </c>
      <c r="L900" s="52">
        <v>0</v>
      </c>
      <c r="M900" s="34"/>
      <c r="N900" s="13">
        <v>80</v>
      </c>
      <c r="O900" s="13">
        <v>25</v>
      </c>
      <c r="P900" s="13">
        <v>0</v>
      </c>
      <c r="Q900" s="13">
        <v>11</v>
      </c>
      <c r="R900" s="34"/>
      <c r="S900" s="51">
        <f t="shared" ref="S900" si="1581">SUM(D900:G900)</f>
        <v>116</v>
      </c>
      <c r="T900" s="51">
        <f>SUM(N900:Q900)</f>
        <v>116</v>
      </c>
      <c r="U900" s="51">
        <f t="shared" ref="U900" si="1582">SUM(H900:K900)</f>
        <v>0</v>
      </c>
      <c r="V900" s="34"/>
      <c r="W900" s="52">
        <v>31.5</v>
      </c>
      <c r="X900" s="53">
        <f>(W900*1*D900)+(W900*1.5*E900)+(W900*2*F900)+(W900*1*G900)</f>
        <v>4047.75</v>
      </c>
      <c r="Y900" s="53">
        <f t="shared" si="1574"/>
        <v>0</v>
      </c>
      <c r="Z900" s="53">
        <f>(W900*1*J900)+L900</f>
        <v>0</v>
      </c>
      <c r="AA900" s="54">
        <f t="shared" si="1576"/>
        <v>0</v>
      </c>
      <c r="AB900" s="54">
        <f>(W900*1*N900)+(W900*1.5*O900)+(W900*2*P900)+(W900*1*Q900)</f>
        <v>4047.75</v>
      </c>
      <c r="AC900" s="64">
        <f t="shared" si="1570"/>
        <v>0</v>
      </c>
      <c r="AD900" s="209"/>
      <c r="AE900" s="64">
        <f t="shared" ref="AE900:AE910" si="1583">AB900-(X900+Z900)</f>
        <v>0</v>
      </c>
      <c r="AF900" s="209"/>
      <c r="AG900" s="8"/>
    </row>
    <row r="901" spans="1:33" x14ac:dyDescent="0.45">
      <c r="A901" s="22">
        <f t="shared" si="1578"/>
        <v>45088</v>
      </c>
      <c r="B901" s="50" t="s">
        <v>64</v>
      </c>
      <c r="C901" s="48">
        <f t="shared" ref="C901:C906" si="1584">80*W901</f>
        <v>1672</v>
      </c>
      <c r="D901" s="51">
        <v>80</v>
      </c>
      <c r="E901" s="51">
        <v>8.5</v>
      </c>
      <c r="F901" s="51">
        <v>0</v>
      </c>
      <c r="G901" s="51">
        <v>12</v>
      </c>
      <c r="H901" s="51">
        <v>0</v>
      </c>
      <c r="I901" s="51">
        <v>0</v>
      </c>
      <c r="J901" s="51">
        <v>0</v>
      </c>
      <c r="K901" s="51">
        <v>0</v>
      </c>
      <c r="L901" s="52">
        <v>0</v>
      </c>
      <c r="M901" s="34"/>
      <c r="N901" s="51">
        <v>80</v>
      </c>
      <c r="O901" s="51">
        <v>8.5</v>
      </c>
      <c r="P901" s="51">
        <v>0</v>
      </c>
      <c r="Q901" s="51">
        <v>12</v>
      </c>
      <c r="R901" s="34"/>
      <c r="S901" s="51">
        <f t="shared" ref="S901:S903" si="1585">SUM(D901:G901)</f>
        <v>100.5</v>
      </c>
      <c r="T901" s="51">
        <f>SUM(N901:Q901)</f>
        <v>100.5</v>
      </c>
      <c r="U901" s="51">
        <f t="shared" ref="U901:U903" si="1586">SUM(H901:K901)</f>
        <v>0</v>
      </c>
      <c r="V901" s="34"/>
      <c r="W901" s="52">
        <v>20.9</v>
      </c>
      <c r="X901" s="53">
        <f t="shared" ref="X901:X906" si="1587">(W901*1*D901)+(W901*1.5*E901)+(W901*2*F901)+(W901*1*G901)</f>
        <v>2189.2750000000001</v>
      </c>
      <c r="Y901" s="53">
        <f t="shared" si="1574"/>
        <v>0</v>
      </c>
      <c r="Z901" s="53">
        <f t="shared" ref="Z901:Z906" si="1588">(W901*1*J901)+L901</f>
        <v>0</v>
      </c>
      <c r="AA901" s="54">
        <f t="shared" si="1576"/>
        <v>0</v>
      </c>
      <c r="AB901" s="54">
        <f t="shared" ref="AB901:AB906" si="1589">(W901*1*N901)+(W901*1.5*O901)+(W901*2*P901)+(W901*1*Q901)</f>
        <v>2189.2750000000001</v>
      </c>
      <c r="AC901" s="64">
        <f t="shared" si="1570"/>
        <v>0</v>
      </c>
      <c r="AD901" s="209"/>
      <c r="AE901" s="64">
        <f t="shared" si="1583"/>
        <v>0</v>
      </c>
      <c r="AF901" s="209"/>
      <c r="AG901" s="8"/>
    </row>
    <row r="902" spans="1:33" x14ac:dyDescent="0.45">
      <c r="A902" s="22">
        <f t="shared" si="1578"/>
        <v>45088</v>
      </c>
      <c r="B902" s="50" t="s">
        <v>53</v>
      </c>
      <c r="C902" s="48">
        <f t="shared" si="1584"/>
        <v>2024</v>
      </c>
      <c r="D902" s="51">
        <v>0</v>
      </c>
      <c r="E902" s="51">
        <v>0</v>
      </c>
      <c r="F902" s="51">
        <v>0</v>
      </c>
      <c r="G902" s="51">
        <v>0</v>
      </c>
      <c r="H902" s="51">
        <v>0</v>
      </c>
      <c r="I902" s="51">
        <v>0</v>
      </c>
      <c r="J902" s="51">
        <v>0</v>
      </c>
      <c r="K902" s="51">
        <v>0</v>
      </c>
      <c r="L902" s="52">
        <v>0</v>
      </c>
      <c r="M902" s="34"/>
      <c r="N902" s="13">
        <v>0</v>
      </c>
      <c r="O902" s="13">
        <v>0</v>
      </c>
      <c r="P902" s="13">
        <v>0</v>
      </c>
      <c r="Q902" s="13">
        <v>0</v>
      </c>
      <c r="R902" s="34"/>
      <c r="S902" s="51">
        <f t="shared" si="1585"/>
        <v>0</v>
      </c>
      <c r="T902" s="51">
        <f>SUM(N902:Q902)</f>
        <v>0</v>
      </c>
      <c r="U902" s="51">
        <f t="shared" si="1586"/>
        <v>0</v>
      </c>
      <c r="V902" s="34"/>
      <c r="W902" s="52">
        <v>25.3</v>
      </c>
      <c r="X902" s="53">
        <f t="shared" si="1587"/>
        <v>0</v>
      </c>
      <c r="Y902" s="53">
        <f t="shared" si="1574"/>
        <v>0</v>
      </c>
      <c r="Z902" s="53">
        <f t="shared" si="1588"/>
        <v>0</v>
      </c>
      <c r="AA902" s="54">
        <f t="shared" si="1576"/>
        <v>0</v>
      </c>
      <c r="AB902" s="54">
        <f t="shared" si="1589"/>
        <v>0</v>
      </c>
      <c r="AC902" s="64">
        <f t="shared" si="1570"/>
        <v>0</v>
      </c>
      <c r="AD902" s="209"/>
      <c r="AE902" s="64">
        <f t="shared" si="1583"/>
        <v>0</v>
      </c>
      <c r="AF902" s="209"/>
      <c r="AG902" s="8"/>
    </row>
    <row r="903" spans="1:33" x14ac:dyDescent="0.45">
      <c r="A903" s="22">
        <f t="shared" si="1578"/>
        <v>45088</v>
      </c>
      <c r="B903" s="50" t="s">
        <v>54</v>
      </c>
      <c r="C903" s="48">
        <f t="shared" si="1584"/>
        <v>2024</v>
      </c>
      <c r="D903" s="51">
        <v>80</v>
      </c>
      <c r="E903" s="51">
        <v>11</v>
      </c>
      <c r="F903" s="51">
        <v>0</v>
      </c>
      <c r="G903" s="51">
        <v>20</v>
      </c>
      <c r="H903" s="51">
        <v>0</v>
      </c>
      <c r="I903" s="51">
        <v>0</v>
      </c>
      <c r="J903" s="51">
        <v>0</v>
      </c>
      <c r="K903" s="51">
        <v>0</v>
      </c>
      <c r="L903" s="52">
        <v>0</v>
      </c>
      <c r="M903" s="34"/>
      <c r="N903" s="51">
        <v>80</v>
      </c>
      <c r="O903" s="51">
        <v>11</v>
      </c>
      <c r="P903" s="51">
        <v>0</v>
      </c>
      <c r="Q903" s="51">
        <v>20</v>
      </c>
      <c r="R903" s="34"/>
      <c r="S903" s="51">
        <f t="shared" si="1585"/>
        <v>111</v>
      </c>
      <c r="T903" s="51">
        <f t="shared" ref="T903" si="1590">SUM(N903:Q903)</f>
        <v>111</v>
      </c>
      <c r="U903" s="51">
        <f t="shared" si="1586"/>
        <v>0</v>
      </c>
      <c r="V903" s="34"/>
      <c r="W903" s="52">
        <v>25.3</v>
      </c>
      <c r="X903" s="53">
        <f t="shared" si="1587"/>
        <v>2947.45</v>
      </c>
      <c r="Y903" s="53">
        <f t="shared" si="1574"/>
        <v>0</v>
      </c>
      <c r="Z903" s="53">
        <f t="shared" si="1588"/>
        <v>0</v>
      </c>
      <c r="AA903" s="54">
        <f t="shared" si="1576"/>
        <v>0</v>
      </c>
      <c r="AB903" s="54">
        <f t="shared" si="1589"/>
        <v>2947.45</v>
      </c>
      <c r="AC903" s="64">
        <f>0-Y903-AA903</f>
        <v>0</v>
      </c>
      <c r="AD903" s="209"/>
      <c r="AE903" s="64">
        <f t="shared" si="1583"/>
        <v>0</v>
      </c>
      <c r="AF903" s="209"/>
      <c r="AG903" s="8"/>
    </row>
    <row r="904" spans="1:33" x14ac:dyDescent="0.45">
      <c r="A904" s="22">
        <f t="shared" si="1578"/>
        <v>45088</v>
      </c>
      <c r="B904" s="50" t="s">
        <v>65</v>
      </c>
      <c r="C904" s="48">
        <f t="shared" si="1584"/>
        <v>1672</v>
      </c>
      <c r="D904" s="51">
        <v>36.75</v>
      </c>
      <c r="E904" s="51">
        <v>0</v>
      </c>
      <c r="F904" s="51">
        <v>0</v>
      </c>
      <c r="G904" s="51">
        <v>0</v>
      </c>
      <c r="H904" s="51">
        <v>0</v>
      </c>
      <c r="I904" s="51">
        <v>0</v>
      </c>
      <c r="J904" s="51">
        <v>0</v>
      </c>
      <c r="K904" s="51">
        <v>40</v>
      </c>
      <c r="L904" s="52">
        <v>0</v>
      </c>
      <c r="M904" s="34"/>
      <c r="N904" s="51">
        <v>36.75</v>
      </c>
      <c r="O904" s="51">
        <v>0</v>
      </c>
      <c r="P904" s="51">
        <v>0</v>
      </c>
      <c r="Q904" s="51">
        <v>0</v>
      </c>
      <c r="R904" s="34"/>
      <c r="S904" s="51">
        <f t="shared" ref="S904:S906" si="1591">SUM(D904:G904)</f>
        <v>36.75</v>
      </c>
      <c r="T904" s="51">
        <f t="shared" ref="T904:T906" si="1592">SUM(N904:Q904)</f>
        <v>36.75</v>
      </c>
      <c r="U904" s="51">
        <f t="shared" ref="U904:U906" si="1593">SUM(H904:K904)</f>
        <v>40</v>
      </c>
      <c r="V904" s="34"/>
      <c r="W904" s="52">
        <v>20.9</v>
      </c>
      <c r="X904" s="53">
        <f t="shared" si="1587"/>
        <v>768.07499999999993</v>
      </c>
      <c r="Y904" s="53">
        <f t="shared" si="1574"/>
        <v>0</v>
      </c>
      <c r="Z904" s="53">
        <f t="shared" si="1588"/>
        <v>0</v>
      </c>
      <c r="AA904" s="54">
        <f t="shared" si="1576"/>
        <v>836</v>
      </c>
      <c r="AB904" s="54">
        <f t="shared" si="1589"/>
        <v>768.07499999999993</v>
      </c>
      <c r="AC904" s="64">
        <f>0-Y904-AA904</f>
        <v>-836</v>
      </c>
      <c r="AD904" s="209"/>
      <c r="AE904" s="64">
        <f t="shared" si="1583"/>
        <v>0</v>
      </c>
      <c r="AF904" s="209"/>
      <c r="AG904" s="8"/>
    </row>
    <row r="905" spans="1:33" x14ac:dyDescent="0.45">
      <c r="A905" s="22">
        <f t="shared" si="1578"/>
        <v>45088</v>
      </c>
      <c r="B905" s="50" t="s">
        <v>66</v>
      </c>
      <c r="C905" s="48">
        <f t="shared" si="1584"/>
        <v>1672</v>
      </c>
      <c r="D905" s="51">
        <v>40</v>
      </c>
      <c r="E905" s="51">
        <v>4.5</v>
      </c>
      <c r="F905" s="51">
        <v>0</v>
      </c>
      <c r="G905" s="51">
        <v>0</v>
      </c>
      <c r="H905" s="51">
        <v>0</v>
      </c>
      <c r="I905" s="51">
        <v>0</v>
      </c>
      <c r="J905" s="51">
        <v>0</v>
      </c>
      <c r="K905" s="51">
        <v>36</v>
      </c>
      <c r="L905" s="52">
        <v>0</v>
      </c>
      <c r="M905" s="34"/>
      <c r="N905" s="51">
        <v>40</v>
      </c>
      <c r="O905" s="51">
        <v>4.5</v>
      </c>
      <c r="P905" s="51">
        <v>0</v>
      </c>
      <c r="Q905" s="51">
        <v>0</v>
      </c>
      <c r="R905" s="34"/>
      <c r="S905" s="51">
        <f t="shared" si="1591"/>
        <v>44.5</v>
      </c>
      <c r="T905" s="51">
        <f t="shared" si="1592"/>
        <v>44.5</v>
      </c>
      <c r="U905" s="51">
        <f t="shared" si="1593"/>
        <v>36</v>
      </c>
      <c r="V905" s="34"/>
      <c r="W905" s="52">
        <v>20.9</v>
      </c>
      <c r="X905" s="53">
        <f t="shared" si="1587"/>
        <v>977.07500000000005</v>
      </c>
      <c r="Y905" s="53">
        <f t="shared" si="1574"/>
        <v>0</v>
      </c>
      <c r="Z905" s="53">
        <f t="shared" si="1588"/>
        <v>0</v>
      </c>
      <c r="AA905" s="54">
        <f t="shared" si="1576"/>
        <v>752.4</v>
      </c>
      <c r="AB905" s="54">
        <f t="shared" si="1589"/>
        <v>977.07500000000005</v>
      </c>
      <c r="AC905" s="64">
        <f>0-Y905-AA905</f>
        <v>-752.4</v>
      </c>
      <c r="AD905" s="209"/>
      <c r="AE905" s="64">
        <f t="shared" si="1583"/>
        <v>0</v>
      </c>
      <c r="AF905" s="209"/>
      <c r="AG905" s="8"/>
    </row>
    <row r="906" spans="1:33" ht="14.65" thickBot="1" x14ac:dyDescent="0.5">
      <c r="A906" s="23">
        <f t="shared" si="1578"/>
        <v>45088</v>
      </c>
      <c r="B906" s="24" t="s">
        <v>62</v>
      </c>
      <c r="C906" s="49">
        <f t="shared" si="1584"/>
        <v>2000</v>
      </c>
      <c r="D906" s="25">
        <v>0</v>
      </c>
      <c r="E906" s="25">
        <v>0</v>
      </c>
      <c r="F906" s="25">
        <v>0</v>
      </c>
      <c r="G906" s="25">
        <v>0</v>
      </c>
      <c r="H906" s="25">
        <v>0</v>
      </c>
      <c r="I906" s="25">
        <v>0</v>
      </c>
      <c r="J906" s="25">
        <v>0</v>
      </c>
      <c r="K906" s="25">
        <v>0</v>
      </c>
      <c r="L906" s="46">
        <v>0</v>
      </c>
      <c r="M906" s="35"/>
      <c r="N906" s="25">
        <v>0</v>
      </c>
      <c r="O906" s="25">
        <v>0</v>
      </c>
      <c r="P906" s="25">
        <v>0</v>
      </c>
      <c r="Q906" s="25">
        <v>0</v>
      </c>
      <c r="R906" s="35"/>
      <c r="S906" s="25">
        <f t="shared" si="1591"/>
        <v>0</v>
      </c>
      <c r="T906" s="25">
        <f t="shared" si="1592"/>
        <v>0</v>
      </c>
      <c r="U906" s="25">
        <f t="shared" si="1593"/>
        <v>0</v>
      </c>
      <c r="V906" s="35"/>
      <c r="W906" s="46">
        <v>25</v>
      </c>
      <c r="X906" s="26">
        <f t="shared" si="1587"/>
        <v>0</v>
      </c>
      <c r="Y906" s="26">
        <f t="shared" si="1574"/>
        <v>0</v>
      </c>
      <c r="Z906" s="26">
        <f t="shared" si="1588"/>
        <v>0</v>
      </c>
      <c r="AA906" s="27">
        <f t="shared" si="1576"/>
        <v>0</v>
      </c>
      <c r="AB906" s="27">
        <f t="shared" si="1589"/>
        <v>0</v>
      </c>
      <c r="AC906" s="65">
        <f t="shared" ref="AC906:AC913" si="1594">0-Y906-AA906</f>
        <v>0</v>
      </c>
      <c r="AD906" s="210"/>
      <c r="AE906" s="65">
        <f t="shared" si="1583"/>
        <v>0</v>
      </c>
      <c r="AF906" s="210"/>
      <c r="AG906" s="8"/>
    </row>
    <row r="907" spans="1:33" x14ac:dyDescent="0.45">
      <c r="A907" s="16">
        <f>A906+14</f>
        <v>45102</v>
      </c>
      <c r="B907" s="17" t="s">
        <v>30</v>
      </c>
      <c r="C907" s="47">
        <f>120*W907</f>
        <v>4098</v>
      </c>
      <c r="D907" s="18">
        <v>80</v>
      </c>
      <c r="E907" s="18">
        <v>11.25</v>
      </c>
      <c r="F907" s="18">
        <v>0</v>
      </c>
      <c r="G907" s="18">
        <v>0</v>
      </c>
      <c r="H907" s="18">
        <v>0</v>
      </c>
      <c r="I907" s="18">
        <v>0</v>
      </c>
      <c r="J907" s="18">
        <v>0</v>
      </c>
      <c r="K907" s="18">
        <v>0</v>
      </c>
      <c r="L907" s="44">
        <v>0</v>
      </c>
      <c r="M907" s="33"/>
      <c r="N907" s="18">
        <v>80</v>
      </c>
      <c r="O907" s="18">
        <v>11.25</v>
      </c>
      <c r="P907" s="18">
        <v>0</v>
      </c>
      <c r="Q907" s="18">
        <v>0</v>
      </c>
      <c r="R907" s="33"/>
      <c r="S907" s="18">
        <f>SUM(D907:G907)</f>
        <v>91.25</v>
      </c>
      <c r="T907" s="18">
        <f>SUM(N907:Q907)</f>
        <v>91.25</v>
      </c>
      <c r="U907" s="18">
        <f>SUM(H907:K907)</f>
        <v>0</v>
      </c>
      <c r="V907" s="33"/>
      <c r="W907" s="44">
        <v>34.15</v>
      </c>
      <c r="X907" s="19">
        <f>(W907*1*D907)+(W907*1.5*E907)+(W907*2*F907)+(W907*1*G907)</f>
        <v>3308.28125</v>
      </c>
      <c r="Y907" s="19">
        <f>(W907*0*H907)+(W907*1*I907)</f>
        <v>0</v>
      </c>
      <c r="Z907" s="19">
        <f>(W907*1*J907)+L907</f>
        <v>0</v>
      </c>
      <c r="AA907" s="20">
        <f>(W907*1*K907)</f>
        <v>0</v>
      </c>
      <c r="AB907" s="20">
        <f>(W907*1*N907)+(W907*1.5*O907)+(W907*2*P907)+(W907*1*Q907)</f>
        <v>3308.28125</v>
      </c>
      <c r="AC907" s="66">
        <f t="shared" si="1594"/>
        <v>0</v>
      </c>
      <c r="AD907" s="208"/>
      <c r="AE907" s="66">
        <f t="shared" si="1583"/>
        <v>0</v>
      </c>
      <c r="AF907" s="208">
        <f>SUM(AE907:AE917)</f>
        <v>0</v>
      </c>
      <c r="AG907" s="8"/>
    </row>
    <row r="908" spans="1:33" x14ac:dyDescent="0.45">
      <c r="A908" s="22">
        <f>A907</f>
        <v>45102</v>
      </c>
      <c r="B908" s="15" t="s">
        <v>4</v>
      </c>
      <c r="C908" s="48">
        <f>80*W908</f>
        <v>2520</v>
      </c>
      <c r="D908" s="13">
        <v>80</v>
      </c>
      <c r="E908" s="13">
        <v>6.75</v>
      </c>
      <c r="F908" s="13">
        <v>0</v>
      </c>
      <c r="G908" s="13">
        <v>0</v>
      </c>
      <c r="H908" s="13">
        <v>0</v>
      </c>
      <c r="I908" s="13">
        <v>0</v>
      </c>
      <c r="J908" s="13">
        <v>0</v>
      </c>
      <c r="K908" s="13">
        <v>0</v>
      </c>
      <c r="L908" s="45">
        <v>0</v>
      </c>
      <c r="M908" s="34"/>
      <c r="N908" s="13">
        <v>80</v>
      </c>
      <c r="O908" s="13">
        <v>6.75</v>
      </c>
      <c r="P908" s="13">
        <v>0</v>
      </c>
      <c r="Q908" s="13">
        <v>0</v>
      </c>
      <c r="R908" s="34"/>
      <c r="S908" s="13">
        <f t="shared" ref="S908:S910" si="1595">SUM(D908:G908)</f>
        <v>86.75</v>
      </c>
      <c r="T908" s="13">
        <f t="shared" ref="T908" si="1596">SUM(N908:Q908)</f>
        <v>86.75</v>
      </c>
      <c r="U908" s="13">
        <f>SUM(H908:K908)</f>
        <v>0</v>
      </c>
      <c r="V908" s="34"/>
      <c r="W908" s="45">
        <v>31.5</v>
      </c>
      <c r="X908" s="10">
        <f t="shared" ref="X908:X909" si="1597">(W908*1*D908)+(W908*1.5*E908)+(W908*2*F908)+(W908*1*G908)</f>
        <v>2838.9375</v>
      </c>
      <c r="Y908" s="10">
        <f t="shared" ref="Y908:Y917" si="1598">(W908*0*H908)+(W908*1*I908)</f>
        <v>0</v>
      </c>
      <c r="Z908" s="10">
        <f t="shared" ref="Z908:Z910" si="1599">(W908*1*J908)+L908</f>
        <v>0</v>
      </c>
      <c r="AA908" s="14">
        <f t="shared" ref="AA908:AA917" si="1600">(W908*1*K908)</f>
        <v>0</v>
      </c>
      <c r="AB908" s="14">
        <f t="shared" ref="AB908:AB910" si="1601">(W908*1*N908)+(W908*1.5*O908)+(W908*2*P908)+(W908*1*Q908)</f>
        <v>2838.9375</v>
      </c>
      <c r="AC908" s="63">
        <f t="shared" si="1594"/>
        <v>0</v>
      </c>
      <c r="AD908" s="209"/>
      <c r="AE908" s="63">
        <f t="shared" si="1583"/>
        <v>0</v>
      </c>
      <c r="AF908" s="209"/>
      <c r="AG908" s="8"/>
    </row>
    <row r="909" spans="1:33" x14ac:dyDescent="0.45">
      <c r="A909" s="22">
        <f t="shared" ref="A909:A917" si="1602">A908</f>
        <v>45102</v>
      </c>
      <c r="B909" s="15" t="s">
        <v>5</v>
      </c>
      <c r="C909" s="48">
        <f>120*W909</f>
        <v>3654</v>
      </c>
      <c r="D909" s="13">
        <v>80</v>
      </c>
      <c r="E909" s="13">
        <v>27</v>
      </c>
      <c r="F909" s="13">
        <v>12</v>
      </c>
      <c r="G909" s="13">
        <v>17</v>
      </c>
      <c r="H909" s="13">
        <v>0</v>
      </c>
      <c r="I909" s="13">
        <v>0</v>
      </c>
      <c r="J909" s="13">
        <v>0</v>
      </c>
      <c r="K909" s="13">
        <v>0</v>
      </c>
      <c r="L909" s="45">
        <v>0</v>
      </c>
      <c r="M909" s="34"/>
      <c r="N909" s="13">
        <v>80</v>
      </c>
      <c r="O909" s="13">
        <v>27</v>
      </c>
      <c r="P909" s="13">
        <v>12</v>
      </c>
      <c r="Q909" s="13">
        <v>17</v>
      </c>
      <c r="R909" s="34"/>
      <c r="S909" s="13">
        <f t="shared" si="1595"/>
        <v>136</v>
      </c>
      <c r="T909" s="13">
        <f>SUM(N909:Q909)</f>
        <v>136</v>
      </c>
      <c r="U909" s="13">
        <f t="shared" ref="U909:U910" si="1603">SUM(H909:K909)</f>
        <v>0</v>
      </c>
      <c r="V909" s="34"/>
      <c r="W909" s="45">
        <v>30.45</v>
      </c>
      <c r="X909" s="10">
        <f t="shared" si="1597"/>
        <v>4917.6749999999993</v>
      </c>
      <c r="Y909" s="10">
        <f t="shared" si="1598"/>
        <v>0</v>
      </c>
      <c r="Z909" s="10">
        <f t="shared" si="1599"/>
        <v>0</v>
      </c>
      <c r="AA909" s="14">
        <f t="shared" si="1600"/>
        <v>0</v>
      </c>
      <c r="AB909" s="14">
        <f t="shared" si="1601"/>
        <v>4917.6749999999993</v>
      </c>
      <c r="AC909" s="63">
        <f t="shared" si="1594"/>
        <v>0</v>
      </c>
      <c r="AD909" s="209"/>
      <c r="AE909" s="63">
        <f t="shared" si="1583"/>
        <v>0</v>
      </c>
      <c r="AF909" s="209"/>
      <c r="AG909" s="8"/>
    </row>
    <row r="910" spans="1:33" x14ac:dyDescent="0.45">
      <c r="A910" s="22">
        <f t="shared" si="1602"/>
        <v>45102</v>
      </c>
      <c r="B910" s="15" t="s">
        <v>6</v>
      </c>
      <c r="C910" s="48">
        <f>120*W910</f>
        <v>3780</v>
      </c>
      <c r="D910" s="13">
        <v>80</v>
      </c>
      <c r="E910" s="13">
        <v>39.5</v>
      </c>
      <c r="F910" s="13">
        <v>12</v>
      </c>
      <c r="G910" s="13">
        <v>10</v>
      </c>
      <c r="H910" s="13">
        <v>0</v>
      </c>
      <c r="I910" s="13">
        <v>0</v>
      </c>
      <c r="J910" s="13">
        <v>0</v>
      </c>
      <c r="K910" s="13">
        <v>0</v>
      </c>
      <c r="L910" s="45">
        <v>0</v>
      </c>
      <c r="M910" s="34"/>
      <c r="N910" s="13">
        <v>80</v>
      </c>
      <c r="O910" s="13">
        <v>39.5</v>
      </c>
      <c r="P910" s="13">
        <v>12</v>
      </c>
      <c r="Q910" s="13">
        <v>10</v>
      </c>
      <c r="R910" s="34"/>
      <c r="S910" s="13">
        <f t="shared" si="1595"/>
        <v>141.5</v>
      </c>
      <c r="T910" s="13">
        <f t="shared" ref="T910" si="1604">SUM(N910:Q910)</f>
        <v>141.5</v>
      </c>
      <c r="U910" s="13">
        <f t="shared" si="1603"/>
        <v>0</v>
      </c>
      <c r="V910" s="34"/>
      <c r="W910" s="45">
        <v>31.5</v>
      </c>
      <c r="X910" s="45">
        <f>(W910*1*D910)+(W910*1.5*E910)+(W910*2*F910)+(W910*1*G910)</f>
        <v>5457.375</v>
      </c>
      <c r="Y910" s="45">
        <f t="shared" si="1598"/>
        <v>0</v>
      </c>
      <c r="Z910" s="45">
        <f t="shared" si="1599"/>
        <v>0</v>
      </c>
      <c r="AA910" s="79">
        <f t="shared" si="1600"/>
        <v>0</v>
      </c>
      <c r="AB910" s="79">
        <f t="shared" si="1601"/>
        <v>5457.375</v>
      </c>
      <c r="AC910" s="80">
        <f t="shared" si="1594"/>
        <v>0</v>
      </c>
      <c r="AD910" s="209"/>
      <c r="AE910" s="80">
        <f t="shared" si="1583"/>
        <v>0</v>
      </c>
      <c r="AF910" s="209"/>
      <c r="AG910" s="8"/>
    </row>
    <row r="911" spans="1:33" x14ac:dyDescent="0.45">
      <c r="A911" s="22">
        <f t="shared" si="1602"/>
        <v>45102</v>
      </c>
      <c r="B911" s="50" t="s">
        <v>31</v>
      </c>
      <c r="C911" s="48">
        <f>120*W911</f>
        <v>3780</v>
      </c>
      <c r="D911" s="51">
        <v>80</v>
      </c>
      <c r="E911" s="51">
        <v>21</v>
      </c>
      <c r="F911" s="51">
        <v>0</v>
      </c>
      <c r="G911" s="51">
        <v>12</v>
      </c>
      <c r="H911" s="51">
        <v>0</v>
      </c>
      <c r="I911" s="51">
        <v>0</v>
      </c>
      <c r="J911" s="51">
        <v>0</v>
      </c>
      <c r="K911" s="51">
        <v>0</v>
      </c>
      <c r="L911" s="52">
        <v>0</v>
      </c>
      <c r="M911" s="34"/>
      <c r="N911" s="13">
        <v>80</v>
      </c>
      <c r="O911" s="13">
        <v>21</v>
      </c>
      <c r="P911" s="13">
        <v>0</v>
      </c>
      <c r="Q911" s="13">
        <v>12</v>
      </c>
      <c r="R911" s="34"/>
      <c r="S911" s="51">
        <f t="shared" ref="S911" si="1605">SUM(D911:G911)</f>
        <v>113</v>
      </c>
      <c r="T911" s="51">
        <f>SUM(N911:Q911)</f>
        <v>113</v>
      </c>
      <c r="U911" s="51">
        <f t="shared" ref="U911" si="1606">SUM(H911:K911)</f>
        <v>0</v>
      </c>
      <c r="V911" s="34"/>
      <c r="W911" s="52">
        <v>31.5</v>
      </c>
      <c r="X911" s="53">
        <f>(W911*1*D911)+(W911*1.5*E911)+(W911*2*F911)+(W911*1*G911)</f>
        <v>3890.25</v>
      </c>
      <c r="Y911" s="53">
        <f t="shared" si="1598"/>
        <v>0</v>
      </c>
      <c r="Z911" s="53">
        <f>(W911*1*J911)+L911</f>
        <v>0</v>
      </c>
      <c r="AA911" s="54">
        <f t="shared" si="1600"/>
        <v>0</v>
      </c>
      <c r="AB911" s="54">
        <f>(W911*1*N911)+(W911*1.5*O911)+(W911*2*P911)+(W911*1*Q911)</f>
        <v>3890.25</v>
      </c>
      <c r="AC911" s="64">
        <f t="shared" si="1594"/>
        <v>0</v>
      </c>
      <c r="AD911" s="209"/>
      <c r="AE911" s="64">
        <f t="shared" ref="AE911:AE921" si="1607">AB911-(X911+Z911)</f>
        <v>0</v>
      </c>
      <c r="AF911" s="209"/>
      <c r="AG911" s="8"/>
    </row>
    <row r="912" spans="1:33" x14ac:dyDescent="0.45">
      <c r="A912" s="22">
        <f t="shared" si="1602"/>
        <v>45102</v>
      </c>
      <c r="B912" s="50" t="s">
        <v>64</v>
      </c>
      <c r="C912" s="48">
        <f t="shared" ref="C912:C917" si="1608">80*W912</f>
        <v>1672</v>
      </c>
      <c r="D912" s="51">
        <v>80</v>
      </c>
      <c r="E912" s="51">
        <v>19</v>
      </c>
      <c r="F912" s="51">
        <v>0</v>
      </c>
      <c r="G912" s="51">
        <v>0</v>
      </c>
      <c r="H912" s="51">
        <v>0</v>
      </c>
      <c r="I912" s="51">
        <v>0</v>
      </c>
      <c r="J912" s="51">
        <v>0</v>
      </c>
      <c r="K912" s="51">
        <v>3</v>
      </c>
      <c r="L912" s="52">
        <v>0</v>
      </c>
      <c r="M912" s="34"/>
      <c r="N912" s="51">
        <v>80</v>
      </c>
      <c r="O912" s="51">
        <v>19</v>
      </c>
      <c r="P912" s="51">
        <v>0</v>
      </c>
      <c r="Q912" s="51">
        <v>0</v>
      </c>
      <c r="R912" s="34"/>
      <c r="S912" s="51">
        <f t="shared" ref="S912:S914" si="1609">SUM(D912:G912)</f>
        <v>99</v>
      </c>
      <c r="T912" s="51">
        <f>SUM(N912:Q912)</f>
        <v>99</v>
      </c>
      <c r="U912" s="51">
        <f t="shared" ref="U912:U914" si="1610">SUM(H912:K912)</f>
        <v>3</v>
      </c>
      <c r="V912" s="34"/>
      <c r="W912" s="52">
        <v>20.9</v>
      </c>
      <c r="X912" s="53">
        <f t="shared" ref="X912:X917" si="1611">(W912*1*D912)+(W912*1.5*E912)+(W912*2*F912)+(W912*1*G912)</f>
        <v>2267.65</v>
      </c>
      <c r="Y912" s="53">
        <f t="shared" si="1598"/>
        <v>0</v>
      </c>
      <c r="Z912" s="53">
        <f t="shared" ref="Z912:Z917" si="1612">(W912*1*J912)+L912</f>
        <v>0</v>
      </c>
      <c r="AA912" s="54">
        <f t="shared" si="1600"/>
        <v>62.699999999999996</v>
      </c>
      <c r="AB912" s="54">
        <f t="shared" ref="AB912:AB917" si="1613">(W912*1*N912)+(W912*1.5*O912)+(W912*2*P912)+(W912*1*Q912)</f>
        <v>2267.65</v>
      </c>
      <c r="AC912" s="64">
        <f t="shared" si="1594"/>
        <v>-62.699999999999996</v>
      </c>
      <c r="AD912" s="209"/>
      <c r="AE912" s="64">
        <f t="shared" si="1607"/>
        <v>0</v>
      </c>
      <c r="AF912" s="209"/>
      <c r="AG912" s="8"/>
    </row>
    <row r="913" spans="1:33" x14ac:dyDescent="0.45">
      <c r="A913" s="22">
        <f t="shared" si="1602"/>
        <v>45102</v>
      </c>
      <c r="B913" s="50" t="s">
        <v>53</v>
      </c>
      <c r="C913" s="48">
        <f t="shared" si="1608"/>
        <v>2024</v>
      </c>
      <c r="D913" s="51">
        <v>0</v>
      </c>
      <c r="E913" s="51">
        <v>0</v>
      </c>
      <c r="F913" s="51">
        <v>0</v>
      </c>
      <c r="G913" s="51">
        <v>0</v>
      </c>
      <c r="H913" s="51">
        <v>0</v>
      </c>
      <c r="I913" s="51">
        <v>0</v>
      </c>
      <c r="J913" s="51">
        <v>0</v>
      </c>
      <c r="K913" s="51">
        <v>0</v>
      </c>
      <c r="L913" s="52">
        <v>0</v>
      </c>
      <c r="M913" s="34"/>
      <c r="N913" s="13">
        <v>0</v>
      </c>
      <c r="O913" s="13">
        <v>0</v>
      </c>
      <c r="P913" s="13">
        <v>0</v>
      </c>
      <c r="Q913" s="13">
        <v>0</v>
      </c>
      <c r="R913" s="34"/>
      <c r="S913" s="51">
        <f t="shared" si="1609"/>
        <v>0</v>
      </c>
      <c r="T913" s="51">
        <f>SUM(N913:Q913)</f>
        <v>0</v>
      </c>
      <c r="U913" s="51">
        <f t="shared" si="1610"/>
        <v>0</v>
      </c>
      <c r="V913" s="34"/>
      <c r="W913" s="52">
        <v>25.3</v>
      </c>
      <c r="X913" s="53">
        <f t="shared" si="1611"/>
        <v>0</v>
      </c>
      <c r="Y913" s="53">
        <f t="shared" si="1598"/>
        <v>0</v>
      </c>
      <c r="Z913" s="53">
        <f t="shared" si="1612"/>
        <v>0</v>
      </c>
      <c r="AA913" s="54">
        <f t="shared" si="1600"/>
        <v>0</v>
      </c>
      <c r="AB913" s="54">
        <f t="shared" si="1613"/>
        <v>0</v>
      </c>
      <c r="AC913" s="64">
        <f t="shared" si="1594"/>
        <v>0</v>
      </c>
      <c r="AD913" s="209"/>
      <c r="AE913" s="64">
        <f t="shared" si="1607"/>
        <v>0</v>
      </c>
      <c r="AF913" s="209"/>
      <c r="AG913" s="8"/>
    </row>
    <row r="914" spans="1:33" x14ac:dyDescent="0.45">
      <c r="A914" s="22">
        <f t="shared" si="1602"/>
        <v>45102</v>
      </c>
      <c r="B914" s="50" t="s">
        <v>54</v>
      </c>
      <c r="C914" s="48">
        <f t="shared" si="1608"/>
        <v>2024</v>
      </c>
      <c r="D914" s="51">
        <v>80</v>
      </c>
      <c r="E914" s="51">
        <v>4.5</v>
      </c>
      <c r="F914" s="51">
        <v>0</v>
      </c>
      <c r="G914" s="51">
        <v>12</v>
      </c>
      <c r="H914" s="51">
        <v>0</v>
      </c>
      <c r="I914" s="51">
        <v>0</v>
      </c>
      <c r="J914" s="51">
        <v>0</v>
      </c>
      <c r="K914" s="51">
        <v>0</v>
      </c>
      <c r="L914" s="52">
        <v>0</v>
      </c>
      <c r="M914" s="34"/>
      <c r="N914" s="13">
        <v>80</v>
      </c>
      <c r="O914" s="13">
        <v>4.5</v>
      </c>
      <c r="P914" s="13">
        <v>0</v>
      </c>
      <c r="Q914" s="13">
        <v>12</v>
      </c>
      <c r="R914" s="34"/>
      <c r="S914" s="51">
        <f t="shared" si="1609"/>
        <v>96.5</v>
      </c>
      <c r="T914" s="51">
        <f t="shared" ref="T914" si="1614">SUM(N914:Q914)</f>
        <v>96.5</v>
      </c>
      <c r="U914" s="51">
        <f t="shared" si="1610"/>
        <v>0</v>
      </c>
      <c r="V914" s="34"/>
      <c r="W914" s="52">
        <v>25.3</v>
      </c>
      <c r="X914" s="53">
        <f t="shared" si="1611"/>
        <v>2498.375</v>
      </c>
      <c r="Y914" s="53">
        <f t="shared" si="1598"/>
        <v>0</v>
      </c>
      <c r="Z914" s="53">
        <f t="shared" si="1612"/>
        <v>0</v>
      </c>
      <c r="AA914" s="54">
        <f t="shared" si="1600"/>
        <v>0</v>
      </c>
      <c r="AB914" s="54">
        <f t="shared" si="1613"/>
        <v>2498.375</v>
      </c>
      <c r="AC914" s="64">
        <f>0-Y914-AA914</f>
        <v>0</v>
      </c>
      <c r="AD914" s="209"/>
      <c r="AE914" s="64">
        <f t="shared" si="1607"/>
        <v>0</v>
      </c>
      <c r="AF914" s="209"/>
      <c r="AG914" s="8"/>
    </row>
    <row r="915" spans="1:33" x14ac:dyDescent="0.45">
      <c r="A915" s="22">
        <f t="shared" si="1602"/>
        <v>45102</v>
      </c>
      <c r="B915" s="50" t="s">
        <v>65</v>
      </c>
      <c r="C915" s="48">
        <f t="shared" si="1608"/>
        <v>1672</v>
      </c>
      <c r="D915" s="51">
        <v>80</v>
      </c>
      <c r="E915" s="51">
        <v>18.25</v>
      </c>
      <c r="F915" s="51">
        <v>0</v>
      </c>
      <c r="G915" s="51">
        <v>0</v>
      </c>
      <c r="H915" s="51">
        <v>0</v>
      </c>
      <c r="I915" s="51">
        <v>0</v>
      </c>
      <c r="J915" s="51">
        <v>0</v>
      </c>
      <c r="K915" s="51">
        <v>0</v>
      </c>
      <c r="L915" s="52">
        <v>0</v>
      </c>
      <c r="M915" s="34"/>
      <c r="N915" s="51">
        <v>80</v>
      </c>
      <c r="O915" s="51">
        <v>18.25</v>
      </c>
      <c r="P915" s="51">
        <v>0</v>
      </c>
      <c r="Q915" s="51">
        <v>0</v>
      </c>
      <c r="R915" s="34"/>
      <c r="S915" s="51">
        <f t="shared" ref="S915:S917" si="1615">SUM(D915:G915)</f>
        <v>98.25</v>
      </c>
      <c r="T915" s="51">
        <f t="shared" ref="T915:T917" si="1616">SUM(N915:Q915)</f>
        <v>98.25</v>
      </c>
      <c r="U915" s="51">
        <f t="shared" ref="U915:U917" si="1617">SUM(H915:K915)</f>
        <v>0</v>
      </c>
      <c r="V915" s="34"/>
      <c r="W915" s="52">
        <v>20.9</v>
      </c>
      <c r="X915" s="53">
        <f t="shared" si="1611"/>
        <v>2244.1374999999998</v>
      </c>
      <c r="Y915" s="53">
        <f t="shared" si="1598"/>
        <v>0</v>
      </c>
      <c r="Z915" s="53">
        <f t="shared" si="1612"/>
        <v>0</v>
      </c>
      <c r="AA915" s="54">
        <f t="shared" si="1600"/>
        <v>0</v>
      </c>
      <c r="AB915" s="54">
        <f t="shared" si="1613"/>
        <v>2244.1374999999998</v>
      </c>
      <c r="AC915" s="64">
        <f>0-Y915-AA915</f>
        <v>0</v>
      </c>
      <c r="AD915" s="209"/>
      <c r="AE915" s="64">
        <f t="shared" si="1607"/>
        <v>0</v>
      </c>
      <c r="AF915" s="209"/>
      <c r="AG915" s="8"/>
    </row>
    <row r="916" spans="1:33" x14ac:dyDescent="0.45">
      <c r="A916" s="22">
        <f t="shared" si="1602"/>
        <v>45102</v>
      </c>
      <c r="B916" s="50" t="s">
        <v>66</v>
      </c>
      <c r="C916" s="48">
        <f t="shared" si="1608"/>
        <v>1672</v>
      </c>
      <c r="D916" s="51">
        <v>80</v>
      </c>
      <c r="E916" s="51">
        <v>16.25</v>
      </c>
      <c r="F916" s="51">
        <v>0</v>
      </c>
      <c r="G916" s="51">
        <v>0</v>
      </c>
      <c r="H916" s="51">
        <v>0</v>
      </c>
      <c r="I916" s="51">
        <v>0</v>
      </c>
      <c r="J916" s="51">
        <v>0</v>
      </c>
      <c r="K916" s="51">
        <v>0</v>
      </c>
      <c r="L916" s="52">
        <v>0</v>
      </c>
      <c r="M916" s="34"/>
      <c r="N916" s="51">
        <v>80</v>
      </c>
      <c r="O916" s="51">
        <v>16.25</v>
      </c>
      <c r="P916" s="51">
        <v>0</v>
      </c>
      <c r="Q916" s="51">
        <v>0</v>
      </c>
      <c r="R916" s="34"/>
      <c r="S916" s="51">
        <f t="shared" si="1615"/>
        <v>96.25</v>
      </c>
      <c r="T916" s="51">
        <f t="shared" si="1616"/>
        <v>96.25</v>
      </c>
      <c r="U916" s="51">
        <f t="shared" si="1617"/>
        <v>0</v>
      </c>
      <c r="V916" s="34"/>
      <c r="W916" s="52">
        <v>20.9</v>
      </c>
      <c r="X916" s="53">
        <f t="shared" si="1611"/>
        <v>2181.4375</v>
      </c>
      <c r="Y916" s="53">
        <f t="shared" si="1598"/>
        <v>0</v>
      </c>
      <c r="Z916" s="53">
        <f t="shared" si="1612"/>
        <v>0</v>
      </c>
      <c r="AA916" s="54">
        <f t="shared" si="1600"/>
        <v>0</v>
      </c>
      <c r="AB916" s="54">
        <f t="shared" si="1613"/>
        <v>2181.4375</v>
      </c>
      <c r="AC916" s="64">
        <f>0-Y916-AA916</f>
        <v>0</v>
      </c>
      <c r="AD916" s="209"/>
      <c r="AE916" s="64">
        <f t="shared" si="1607"/>
        <v>0</v>
      </c>
      <c r="AF916" s="209"/>
      <c r="AG916" s="8"/>
    </row>
    <row r="917" spans="1:33" ht="14.65" thickBot="1" x14ac:dyDescent="0.5">
      <c r="A917" s="23">
        <f t="shared" si="1602"/>
        <v>45102</v>
      </c>
      <c r="B917" s="24" t="s">
        <v>62</v>
      </c>
      <c r="C917" s="49">
        <f t="shared" si="1608"/>
        <v>2000</v>
      </c>
      <c r="D917" s="25">
        <v>0</v>
      </c>
      <c r="E917" s="25">
        <v>0</v>
      </c>
      <c r="F917" s="25">
        <v>0</v>
      </c>
      <c r="G917" s="25">
        <v>0</v>
      </c>
      <c r="H917" s="25">
        <v>0</v>
      </c>
      <c r="I917" s="25">
        <v>0</v>
      </c>
      <c r="J917" s="25">
        <v>0</v>
      </c>
      <c r="K917" s="25">
        <v>0</v>
      </c>
      <c r="L917" s="46">
        <v>0</v>
      </c>
      <c r="M917" s="35"/>
      <c r="N917" s="25">
        <v>0</v>
      </c>
      <c r="O917" s="25">
        <v>0</v>
      </c>
      <c r="P917" s="25">
        <v>0</v>
      </c>
      <c r="Q917" s="25">
        <v>0</v>
      </c>
      <c r="R917" s="35"/>
      <c r="S917" s="25">
        <f t="shared" si="1615"/>
        <v>0</v>
      </c>
      <c r="T917" s="25">
        <f t="shared" si="1616"/>
        <v>0</v>
      </c>
      <c r="U917" s="25">
        <f t="shared" si="1617"/>
        <v>0</v>
      </c>
      <c r="V917" s="35"/>
      <c r="W917" s="46">
        <v>25</v>
      </c>
      <c r="X917" s="26">
        <f t="shared" si="1611"/>
        <v>0</v>
      </c>
      <c r="Y917" s="26">
        <f t="shared" si="1598"/>
        <v>0</v>
      </c>
      <c r="Z917" s="26">
        <f t="shared" si="1612"/>
        <v>0</v>
      </c>
      <c r="AA917" s="27">
        <f t="shared" si="1600"/>
        <v>0</v>
      </c>
      <c r="AB917" s="27">
        <f t="shared" si="1613"/>
        <v>0</v>
      </c>
      <c r="AC917" s="65">
        <f t="shared" ref="AC917:AC924" si="1618">0-Y917-AA917</f>
        <v>0</v>
      </c>
      <c r="AD917" s="210"/>
      <c r="AE917" s="65">
        <f t="shared" si="1607"/>
        <v>0</v>
      </c>
      <c r="AF917" s="210"/>
      <c r="AG917" s="8"/>
    </row>
    <row r="918" spans="1:33" x14ac:dyDescent="0.45">
      <c r="A918" s="16">
        <f>A917+14</f>
        <v>45116</v>
      </c>
      <c r="B918" s="17" t="s">
        <v>30</v>
      </c>
      <c r="C918" s="47">
        <f>120*W918</f>
        <v>4098</v>
      </c>
      <c r="D918" s="18">
        <v>72</v>
      </c>
      <c r="E918" s="18">
        <v>11.5</v>
      </c>
      <c r="F918" s="18">
        <v>0</v>
      </c>
      <c r="G918" s="18">
        <v>0</v>
      </c>
      <c r="H918" s="18">
        <v>0</v>
      </c>
      <c r="I918" s="18">
        <v>0</v>
      </c>
      <c r="J918" s="18">
        <v>8</v>
      </c>
      <c r="K918" s="18">
        <v>0</v>
      </c>
      <c r="L918" s="44">
        <v>0</v>
      </c>
      <c r="M918" s="33"/>
      <c r="N918" s="18">
        <v>72</v>
      </c>
      <c r="O918" s="18">
        <v>11.5</v>
      </c>
      <c r="P918" s="18">
        <v>0</v>
      </c>
      <c r="Q918" s="18">
        <v>0</v>
      </c>
      <c r="R918" s="33"/>
      <c r="S918" s="18">
        <f>SUM(D918:G918)</f>
        <v>83.5</v>
      </c>
      <c r="T918" s="18">
        <f>SUM(N918:Q918)</f>
        <v>83.5</v>
      </c>
      <c r="U918" s="18">
        <f>SUM(H918:K918)</f>
        <v>8</v>
      </c>
      <c r="V918" s="33"/>
      <c r="W918" s="44">
        <v>34.15</v>
      </c>
      <c r="X918" s="19">
        <f>(W918*1*D918)+(W918*1.5*E918)+(W918*2*F918)+(W918*1*G918)</f>
        <v>3047.8874999999998</v>
      </c>
      <c r="Y918" s="19">
        <f>(W918*0*H918)+(W918*1*I918)</f>
        <v>0</v>
      </c>
      <c r="Z918" s="19">
        <f>(W918*1*J918)+L918</f>
        <v>273.2</v>
      </c>
      <c r="AA918" s="20">
        <f>(W918*1*K918)</f>
        <v>0</v>
      </c>
      <c r="AB918" s="20">
        <f>(W918*1*N918)+(W918*1.5*O918)+(W918*2*P918)+(W918*1*Q918)</f>
        <v>3047.8874999999998</v>
      </c>
      <c r="AC918" s="66">
        <f t="shared" si="1618"/>
        <v>0</v>
      </c>
      <c r="AD918" s="208"/>
      <c r="AE918" s="66">
        <f t="shared" si="1607"/>
        <v>-273.19999999999982</v>
      </c>
      <c r="AF918" s="208">
        <f>SUM(AE918:AE928)</f>
        <v>-1482.9375000000002</v>
      </c>
      <c r="AG918" s="8"/>
    </row>
    <row r="919" spans="1:33" x14ac:dyDescent="0.45">
      <c r="A919" s="22">
        <f>A918</f>
        <v>45116</v>
      </c>
      <c r="B919" s="15" t="s">
        <v>4</v>
      </c>
      <c r="C919" s="48">
        <f>80*W919</f>
        <v>2520</v>
      </c>
      <c r="D919" s="13">
        <v>69.75</v>
      </c>
      <c r="E919" s="13">
        <v>7</v>
      </c>
      <c r="F919" s="13">
        <v>0</v>
      </c>
      <c r="G919" s="13">
        <v>0</v>
      </c>
      <c r="H919" s="13">
        <v>0</v>
      </c>
      <c r="I919" s="13">
        <v>16</v>
      </c>
      <c r="J919" s="13">
        <v>8</v>
      </c>
      <c r="K919" s="13">
        <v>0</v>
      </c>
      <c r="L919" s="45">
        <v>0</v>
      </c>
      <c r="M919" s="34"/>
      <c r="N919" s="13">
        <v>69.75</v>
      </c>
      <c r="O919" s="13">
        <v>7</v>
      </c>
      <c r="P919" s="13">
        <v>0</v>
      </c>
      <c r="Q919" s="13">
        <v>0</v>
      </c>
      <c r="R919" s="34"/>
      <c r="S919" s="13">
        <f t="shared" ref="S919:S921" si="1619">SUM(D919:G919)</f>
        <v>76.75</v>
      </c>
      <c r="T919" s="13">
        <f t="shared" ref="T919" si="1620">SUM(N919:Q919)</f>
        <v>76.75</v>
      </c>
      <c r="U919" s="13">
        <f>SUM(H919:K919)</f>
        <v>24</v>
      </c>
      <c r="V919" s="34"/>
      <c r="W919" s="45">
        <v>31.5</v>
      </c>
      <c r="X919" s="10">
        <f t="shared" ref="X919:X920" si="1621">(W919*1*D919)+(W919*1.5*E919)+(W919*2*F919)+(W919*1*G919)</f>
        <v>2527.875</v>
      </c>
      <c r="Y919" s="10">
        <f t="shared" ref="Y919:Y928" si="1622">(W919*0*H919)+(W919*1*I919)</f>
        <v>504</v>
      </c>
      <c r="Z919" s="10">
        <f t="shared" ref="Z919:Z921" si="1623">(W919*1*J919)+L919</f>
        <v>252</v>
      </c>
      <c r="AA919" s="14">
        <f t="shared" ref="AA919:AA928" si="1624">(W919*1*K919)</f>
        <v>0</v>
      </c>
      <c r="AB919" s="14">
        <f t="shared" ref="AB919:AB921" si="1625">(W919*1*N919)+(W919*1.5*O919)+(W919*2*P919)+(W919*1*Q919)</f>
        <v>2527.875</v>
      </c>
      <c r="AC919" s="63">
        <f t="shared" si="1618"/>
        <v>-504</v>
      </c>
      <c r="AD919" s="209"/>
      <c r="AE919" s="63">
        <f t="shared" si="1607"/>
        <v>-252</v>
      </c>
      <c r="AF919" s="209"/>
      <c r="AG919" s="8"/>
    </row>
    <row r="920" spans="1:33" x14ac:dyDescent="0.45">
      <c r="A920" s="22">
        <f t="shared" ref="A920:A928" si="1626">A919</f>
        <v>45116</v>
      </c>
      <c r="B920" s="15" t="s">
        <v>5</v>
      </c>
      <c r="C920" s="48">
        <f>120*W920</f>
        <v>3654</v>
      </c>
      <c r="D920" s="13">
        <v>72</v>
      </c>
      <c r="E920" s="13">
        <v>46.5</v>
      </c>
      <c r="F920" s="13">
        <v>24</v>
      </c>
      <c r="G920" s="13">
        <v>0</v>
      </c>
      <c r="H920" s="13">
        <v>0</v>
      </c>
      <c r="I920" s="13">
        <v>8</v>
      </c>
      <c r="J920" s="13">
        <v>8</v>
      </c>
      <c r="K920" s="13">
        <v>0</v>
      </c>
      <c r="L920" s="45">
        <v>0</v>
      </c>
      <c r="M920" s="34"/>
      <c r="N920" s="13">
        <v>72</v>
      </c>
      <c r="O920" s="13">
        <v>34.5</v>
      </c>
      <c r="P920" s="13">
        <v>36</v>
      </c>
      <c r="Q920" s="13">
        <v>0</v>
      </c>
      <c r="R920" s="34"/>
      <c r="S920" s="13">
        <f t="shared" si="1619"/>
        <v>142.5</v>
      </c>
      <c r="T920" s="13">
        <f>SUM(N920:Q920)</f>
        <v>142.5</v>
      </c>
      <c r="U920" s="13">
        <f t="shared" ref="U920:U921" si="1627">SUM(H920:K920)</f>
        <v>16</v>
      </c>
      <c r="V920" s="34"/>
      <c r="W920" s="45">
        <v>30.45</v>
      </c>
      <c r="X920" s="10">
        <f t="shared" si="1621"/>
        <v>5777.8875000000007</v>
      </c>
      <c r="Y920" s="10">
        <f t="shared" si="1622"/>
        <v>243.6</v>
      </c>
      <c r="Z920" s="10">
        <f t="shared" si="1623"/>
        <v>243.6</v>
      </c>
      <c r="AA920" s="14">
        <f t="shared" si="1624"/>
        <v>0</v>
      </c>
      <c r="AB920" s="14">
        <f t="shared" si="1625"/>
        <v>5960.5874999999996</v>
      </c>
      <c r="AC920" s="63">
        <f t="shared" si="1618"/>
        <v>-243.6</v>
      </c>
      <c r="AD920" s="209"/>
      <c r="AE920" s="63">
        <f t="shared" si="1607"/>
        <v>-60.900000000001455</v>
      </c>
      <c r="AF920" s="209"/>
      <c r="AG920" s="8"/>
    </row>
    <row r="921" spans="1:33" x14ac:dyDescent="0.45">
      <c r="A921" s="22">
        <f t="shared" si="1626"/>
        <v>45116</v>
      </c>
      <c r="B921" s="15" t="s">
        <v>6</v>
      </c>
      <c r="C921" s="48">
        <f>120*W921</f>
        <v>3780</v>
      </c>
      <c r="D921" s="13">
        <v>71.5</v>
      </c>
      <c r="E921" s="13">
        <v>24.75</v>
      </c>
      <c r="F921" s="13">
        <v>11</v>
      </c>
      <c r="G921" s="13">
        <v>4.5</v>
      </c>
      <c r="H921" s="13">
        <v>0</v>
      </c>
      <c r="I921" s="13">
        <v>0</v>
      </c>
      <c r="J921" s="13">
        <v>8</v>
      </c>
      <c r="K921" s="13">
        <v>0</v>
      </c>
      <c r="L921" s="45">
        <v>0</v>
      </c>
      <c r="M921" s="34"/>
      <c r="N921" s="13">
        <v>71.5</v>
      </c>
      <c r="O921" s="13">
        <v>24.75</v>
      </c>
      <c r="P921" s="13">
        <v>11</v>
      </c>
      <c r="Q921" s="13">
        <v>4.5</v>
      </c>
      <c r="R921" s="34"/>
      <c r="S921" s="13">
        <f t="shared" si="1619"/>
        <v>111.75</v>
      </c>
      <c r="T921" s="13">
        <f t="shared" ref="T921" si="1628">SUM(N921:Q921)</f>
        <v>111.75</v>
      </c>
      <c r="U921" s="13">
        <f t="shared" si="1627"/>
        <v>8</v>
      </c>
      <c r="V921" s="34"/>
      <c r="W921" s="45">
        <v>31.5</v>
      </c>
      <c r="X921" s="45">
        <f>(W921*1*D921)+(W921*1.5*E921)+(W921*2*F921)+(W921*1*G921)</f>
        <v>4256.4375</v>
      </c>
      <c r="Y921" s="45">
        <f t="shared" si="1622"/>
        <v>0</v>
      </c>
      <c r="Z921" s="45">
        <f t="shared" si="1623"/>
        <v>252</v>
      </c>
      <c r="AA921" s="79">
        <f t="shared" si="1624"/>
        <v>0</v>
      </c>
      <c r="AB921" s="79">
        <f t="shared" si="1625"/>
        <v>4256.4375</v>
      </c>
      <c r="AC921" s="80">
        <f t="shared" si="1618"/>
        <v>0</v>
      </c>
      <c r="AD921" s="209"/>
      <c r="AE921" s="80">
        <f t="shared" si="1607"/>
        <v>-252</v>
      </c>
      <c r="AF921" s="209"/>
      <c r="AG921" s="8"/>
    </row>
    <row r="922" spans="1:33" x14ac:dyDescent="0.45">
      <c r="A922" s="22">
        <f t="shared" si="1626"/>
        <v>45116</v>
      </c>
      <c r="B922" s="50" t="s">
        <v>31</v>
      </c>
      <c r="C922" s="48">
        <f>120*W922</f>
        <v>3780</v>
      </c>
      <c r="D922" s="51">
        <v>31.5</v>
      </c>
      <c r="E922" s="51">
        <v>0</v>
      </c>
      <c r="F922" s="51">
        <v>0</v>
      </c>
      <c r="G922" s="51">
        <v>6</v>
      </c>
      <c r="H922" s="51">
        <v>0</v>
      </c>
      <c r="I922" s="51">
        <v>40</v>
      </c>
      <c r="J922" s="51">
        <v>8</v>
      </c>
      <c r="K922" s="51">
        <v>0</v>
      </c>
      <c r="L922" s="52">
        <v>0</v>
      </c>
      <c r="M922" s="34"/>
      <c r="N922" s="13">
        <v>31.5</v>
      </c>
      <c r="O922" s="13">
        <v>0</v>
      </c>
      <c r="P922" s="13">
        <v>0</v>
      </c>
      <c r="Q922" s="13">
        <v>6</v>
      </c>
      <c r="R922" s="34"/>
      <c r="S922" s="51">
        <f t="shared" ref="S922" si="1629">SUM(D922:G922)</f>
        <v>37.5</v>
      </c>
      <c r="T922" s="51">
        <f>SUM(N922:Q922)</f>
        <v>37.5</v>
      </c>
      <c r="U922" s="51">
        <f t="shared" ref="U922" si="1630">SUM(H922:K922)</f>
        <v>48</v>
      </c>
      <c r="V922" s="34"/>
      <c r="W922" s="52">
        <v>31.5</v>
      </c>
      <c r="X922" s="53">
        <f>(W922*1*D922)+(W922*1.5*E922)+(W922*2*F922)+(W922*1*G922)</f>
        <v>1181.25</v>
      </c>
      <c r="Y922" s="53">
        <f t="shared" si="1622"/>
        <v>1260</v>
      </c>
      <c r="Z922" s="53">
        <f>(W922*1*J922)+L922</f>
        <v>252</v>
      </c>
      <c r="AA922" s="54">
        <f t="shared" si="1624"/>
        <v>0</v>
      </c>
      <c r="AB922" s="54">
        <f>(W922*1*N922)+(W922*1.5*O922)+(W922*2*P922)+(W922*1*Q922)</f>
        <v>1181.25</v>
      </c>
      <c r="AC922" s="64">
        <f t="shared" si="1618"/>
        <v>-1260</v>
      </c>
      <c r="AD922" s="209"/>
      <c r="AE922" s="64">
        <f t="shared" ref="AE922:AE932" si="1631">AB922-(X922+Z922)</f>
        <v>-252</v>
      </c>
      <c r="AF922" s="209"/>
      <c r="AG922" s="8"/>
    </row>
    <row r="923" spans="1:33" x14ac:dyDescent="0.45">
      <c r="A923" s="22">
        <f t="shared" si="1626"/>
        <v>45116</v>
      </c>
      <c r="B923" s="50" t="s">
        <v>64</v>
      </c>
      <c r="C923" s="48">
        <f t="shared" ref="C923:C928" si="1632">80*W923</f>
        <v>1672</v>
      </c>
      <c r="D923" s="51">
        <v>72</v>
      </c>
      <c r="E923" s="51">
        <v>48</v>
      </c>
      <c r="F923" s="51">
        <v>11</v>
      </c>
      <c r="G923" s="51">
        <v>10</v>
      </c>
      <c r="H923" s="51">
        <v>0</v>
      </c>
      <c r="I923" s="51">
        <v>0</v>
      </c>
      <c r="J923" s="51">
        <v>8</v>
      </c>
      <c r="K923" s="51">
        <v>0</v>
      </c>
      <c r="L923" s="52">
        <v>0</v>
      </c>
      <c r="M923" s="34"/>
      <c r="N923" s="51">
        <v>72</v>
      </c>
      <c r="O923" s="51">
        <v>42.75</v>
      </c>
      <c r="P923" s="51">
        <v>21.25</v>
      </c>
      <c r="Q923" s="51">
        <v>5</v>
      </c>
      <c r="R923" s="34"/>
      <c r="S923" s="51">
        <f t="shared" ref="S923:S925" si="1633">SUM(D923:G923)</f>
        <v>141</v>
      </c>
      <c r="T923" s="51">
        <f>SUM(N923:Q923)</f>
        <v>141</v>
      </c>
      <c r="U923" s="51">
        <f t="shared" ref="U923:U925" si="1634">SUM(H923:K923)</f>
        <v>8</v>
      </c>
      <c r="V923" s="34"/>
      <c r="W923" s="52">
        <v>20.9</v>
      </c>
      <c r="X923" s="53">
        <f t="shared" ref="X923:X928" si="1635">(W923*1*D923)+(W923*1.5*E923)+(W923*2*F923)+(W923*1*G923)</f>
        <v>3678.3999999999996</v>
      </c>
      <c r="Y923" s="53">
        <f t="shared" si="1622"/>
        <v>0</v>
      </c>
      <c r="Z923" s="53">
        <f t="shared" ref="Z923:Z928" si="1636">(W923*1*J923)+L923</f>
        <v>167.2</v>
      </c>
      <c r="AA923" s="54">
        <f t="shared" si="1624"/>
        <v>0</v>
      </c>
      <c r="AB923" s="54">
        <f t="shared" ref="AB923:AB928" si="1637">(W923*1*N923)+(W923*1.5*O923)+(W923*2*P923)+(W923*1*Q923)</f>
        <v>3837.7624999999998</v>
      </c>
      <c r="AC923" s="64">
        <f t="shared" si="1618"/>
        <v>0</v>
      </c>
      <c r="AD923" s="209"/>
      <c r="AE923" s="64">
        <f t="shared" si="1631"/>
        <v>-7.8374999999996362</v>
      </c>
      <c r="AF923" s="209"/>
      <c r="AG923" s="8"/>
    </row>
    <row r="924" spans="1:33" x14ac:dyDescent="0.45">
      <c r="A924" s="22">
        <f t="shared" si="1626"/>
        <v>45116</v>
      </c>
      <c r="B924" s="50" t="s">
        <v>53</v>
      </c>
      <c r="C924" s="48">
        <f t="shared" si="1632"/>
        <v>2024</v>
      </c>
      <c r="D924" s="51">
        <v>0</v>
      </c>
      <c r="E924" s="51">
        <v>0</v>
      </c>
      <c r="F924" s="51">
        <v>0</v>
      </c>
      <c r="G924" s="51">
        <v>0</v>
      </c>
      <c r="H924" s="51">
        <v>0</v>
      </c>
      <c r="I924" s="51">
        <v>0</v>
      </c>
      <c r="J924" s="51">
        <v>0</v>
      </c>
      <c r="K924" s="51">
        <v>0</v>
      </c>
      <c r="L924" s="52">
        <v>0</v>
      </c>
      <c r="M924" s="34"/>
      <c r="N924" s="13">
        <v>0</v>
      </c>
      <c r="O924" s="13">
        <v>0</v>
      </c>
      <c r="P924" s="13">
        <v>0</v>
      </c>
      <c r="Q924" s="13">
        <v>0</v>
      </c>
      <c r="R924" s="34"/>
      <c r="S924" s="51">
        <f t="shared" si="1633"/>
        <v>0</v>
      </c>
      <c r="T924" s="51">
        <f>SUM(N924:Q924)</f>
        <v>0</v>
      </c>
      <c r="U924" s="51">
        <f t="shared" si="1634"/>
        <v>0</v>
      </c>
      <c r="V924" s="34"/>
      <c r="W924" s="52">
        <v>25.3</v>
      </c>
      <c r="X924" s="53">
        <f t="shared" si="1635"/>
        <v>0</v>
      </c>
      <c r="Y924" s="53">
        <f t="shared" si="1622"/>
        <v>0</v>
      </c>
      <c r="Z924" s="53">
        <f t="shared" si="1636"/>
        <v>0</v>
      </c>
      <c r="AA924" s="54">
        <f t="shared" si="1624"/>
        <v>0</v>
      </c>
      <c r="AB924" s="54">
        <f t="shared" si="1637"/>
        <v>0</v>
      </c>
      <c r="AC924" s="64">
        <f t="shared" si="1618"/>
        <v>0</v>
      </c>
      <c r="AD924" s="209"/>
      <c r="AE924" s="64">
        <f t="shared" si="1631"/>
        <v>0</v>
      </c>
      <c r="AF924" s="209"/>
      <c r="AG924" s="8"/>
    </row>
    <row r="925" spans="1:33" x14ac:dyDescent="0.45">
      <c r="A925" s="22">
        <f t="shared" si="1626"/>
        <v>45116</v>
      </c>
      <c r="B925" s="50" t="s">
        <v>54</v>
      </c>
      <c r="C925" s="48">
        <f t="shared" si="1632"/>
        <v>2024</v>
      </c>
      <c r="D925" s="51">
        <v>72</v>
      </c>
      <c r="E925" s="51">
        <v>47.5</v>
      </c>
      <c r="F925" s="51">
        <v>12</v>
      </c>
      <c r="G925" s="51">
        <v>9</v>
      </c>
      <c r="H925" s="51">
        <v>0</v>
      </c>
      <c r="I925" s="51">
        <v>0</v>
      </c>
      <c r="J925" s="51">
        <v>8</v>
      </c>
      <c r="K925" s="51">
        <v>0</v>
      </c>
      <c r="L925" s="52">
        <v>0</v>
      </c>
      <c r="M925" s="34"/>
      <c r="N925" s="13">
        <v>72</v>
      </c>
      <c r="O925" s="13">
        <v>35.5</v>
      </c>
      <c r="P925" s="13">
        <v>24</v>
      </c>
      <c r="Q925" s="13">
        <v>9</v>
      </c>
      <c r="R925" s="34"/>
      <c r="S925" s="51">
        <f t="shared" si="1633"/>
        <v>140.5</v>
      </c>
      <c r="T925" s="51">
        <f t="shared" ref="T925" si="1638">SUM(N925:Q925)</f>
        <v>140.5</v>
      </c>
      <c r="U925" s="51">
        <f t="shared" si="1634"/>
        <v>8</v>
      </c>
      <c r="V925" s="34"/>
      <c r="W925" s="52">
        <v>25.3</v>
      </c>
      <c r="X925" s="53">
        <f t="shared" si="1635"/>
        <v>4459.125</v>
      </c>
      <c r="Y925" s="53">
        <f t="shared" si="1622"/>
        <v>0</v>
      </c>
      <c r="Z925" s="53">
        <f t="shared" si="1636"/>
        <v>202.4</v>
      </c>
      <c r="AA925" s="54">
        <f t="shared" si="1624"/>
        <v>0</v>
      </c>
      <c r="AB925" s="54">
        <f t="shared" si="1637"/>
        <v>4610.9250000000002</v>
      </c>
      <c r="AC925" s="64">
        <f>0-Y925-AA925</f>
        <v>0</v>
      </c>
      <c r="AD925" s="209"/>
      <c r="AE925" s="64">
        <f t="shared" si="1631"/>
        <v>-50.599999999999454</v>
      </c>
      <c r="AF925" s="209"/>
      <c r="AG925" s="8"/>
    </row>
    <row r="926" spans="1:33" x14ac:dyDescent="0.45">
      <c r="A926" s="22">
        <f t="shared" si="1626"/>
        <v>45116</v>
      </c>
      <c r="B926" s="50" t="s">
        <v>65</v>
      </c>
      <c r="C926" s="48">
        <f t="shared" si="1632"/>
        <v>1672</v>
      </c>
      <c r="D926" s="51">
        <v>72</v>
      </c>
      <c r="E926" s="51">
        <v>13</v>
      </c>
      <c r="F926" s="51">
        <v>0</v>
      </c>
      <c r="G926" s="51">
        <v>0</v>
      </c>
      <c r="H926" s="51">
        <v>0</v>
      </c>
      <c r="I926" s="51">
        <v>0</v>
      </c>
      <c r="J926" s="51">
        <v>8</v>
      </c>
      <c r="K926" s="51">
        <v>0</v>
      </c>
      <c r="L926" s="52">
        <v>0</v>
      </c>
      <c r="M926" s="34"/>
      <c r="N926" s="51">
        <v>72</v>
      </c>
      <c r="O926" s="51">
        <v>13</v>
      </c>
      <c r="P926" s="51">
        <v>0</v>
      </c>
      <c r="Q926" s="51">
        <v>0</v>
      </c>
      <c r="R926" s="34"/>
      <c r="S926" s="51">
        <f t="shared" ref="S926:S928" si="1639">SUM(D926:G926)</f>
        <v>85</v>
      </c>
      <c r="T926" s="51">
        <f t="shared" ref="T926:T928" si="1640">SUM(N926:Q926)</f>
        <v>85</v>
      </c>
      <c r="U926" s="51">
        <f t="shared" ref="U926:U928" si="1641">SUM(H926:K926)</f>
        <v>8</v>
      </c>
      <c r="V926" s="34"/>
      <c r="W926" s="52">
        <v>20.9</v>
      </c>
      <c r="X926" s="53">
        <f t="shared" si="1635"/>
        <v>1912.35</v>
      </c>
      <c r="Y926" s="53">
        <f t="shared" si="1622"/>
        <v>0</v>
      </c>
      <c r="Z926" s="53">
        <f t="shared" si="1636"/>
        <v>167.2</v>
      </c>
      <c r="AA926" s="54">
        <f t="shared" si="1624"/>
        <v>0</v>
      </c>
      <c r="AB926" s="54">
        <f t="shared" si="1637"/>
        <v>1912.35</v>
      </c>
      <c r="AC926" s="64">
        <f>0-Y926-AA926</f>
        <v>0</v>
      </c>
      <c r="AD926" s="209"/>
      <c r="AE926" s="64">
        <f t="shared" si="1631"/>
        <v>-167.19999999999982</v>
      </c>
      <c r="AF926" s="209"/>
      <c r="AG926" s="8"/>
    </row>
    <row r="927" spans="1:33" x14ac:dyDescent="0.45">
      <c r="A927" s="22">
        <f t="shared" si="1626"/>
        <v>45116</v>
      </c>
      <c r="B927" s="50" t="s">
        <v>66</v>
      </c>
      <c r="C927" s="48">
        <f t="shared" si="1632"/>
        <v>1672</v>
      </c>
      <c r="D927" s="51">
        <v>68.25</v>
      </c>
      <c r="E927" s="51">
        <v>7.75</v>
      </c>
      <c r="F927" s="51">
        <v>0</v>
      </c>
      <c r="G927" s="51">
        <v>0</v>
      </c>
      <c r="H927" s="51">
        <v>0</v>
      </c>
      <c r="I927" s="51">
        <v>0</v>
      </c>
      <c r="J927" s="51">
        <v>8</v>
      </c>
      <c r="K927" s="51">
        <v>0</v>
      </c>
      <c r="L927" s="52">
        <v>0</v>
      </c>
      <c r="M927" s="34"/>
      <c r="N927" s="51">
        <v>68.25</v>
      </c>
      <c r="O927" s="51">
        <v>7.75</v>
      </c>
      <c r="P927" s="51">
        <v>0</v>
      </c>
      <c r="Q927" s="51">
        <v>0</v>
      </c>
      <c r="R927" s="34"/>
      <c r="S927" s="51">
        <f t="shared" si="1639"/>
        <v>76</v>
      </c>
      <c r="T927" s="51">
        <f t="shared" si="1640"/>
        <v>76</v>
      </c>
      <c r="U927" s="51">
        <f t="shared" si="1641"/>
        <v>8</v>
      </c>
      <c r="V927" s="34"/>
      <c r="W927" s="52">
        <v>20.9</v>
      </c>
      <c r="X927" s="53">
        <f t="shared" si="1635"/>
        <v>1669.3874999999998</v>
      </c>
      <c r="Y927" s="53">
        <f t="shared" si="1622"/>
        <v>0</v>
      </c>
      <c r="Z927" s="53">
        <f t="shared" si="1636"/>
        <v>167.2</v>
      </c>
      <c r="AA927" s="54">
        <f t="shared" si="1624"/>
        <v>0</v>
      </c>
      <c r="AB927" s="54">
        <f t="shared" si="1637"/>
        <v>1669.3874999999998</v>
      </c>
      <c r="AC927" s="64">
        <f>0-Y927-AA927</f>
        <v>0</v>
      </c>
      <c r="AD927" s="209"/>
      <c r="AE927" s="64">
        <f t="shared" si="1631"/>
        <v>-167.20000000000005</v>
      </c>
      <c r="AF927" s="209"/>
      <c r="AG927" s="8"/>
    </row>
    <row r="928" spans="1:33" ht="14.65" thickBot="1" x14ac:dyDescent="0.5">
      <c r="A928" s="23">
        <f t="shared" si="1626"/>
        <v>45116</v>
      </c>
      <c r="B928" s="24" t="s">
        <v>62</v>
      </c>
      <c r="C928" s="49">
        <f t="shared" si="1632"/>
        <v>2000</v>
      </c>
      <c r="D928" s="25">
        <v>0</v>
      </c>
      <c r="E928" s="25">
        <v>0</v>
      </c>
      <c r="F928" s="25">
        <v>0</v>
      </c>
      <c r="G928" s="25">
        <v>0</v>
      </c>
      <c r="H928" s="25">
        <v>0</v>
      </c>
      <c r="I928" s="25">
        <v>0</v>
      </c>
      <c r="J928" s="25">
        <v>0</v>
      </c>
      <c r="K928" s="25">
        <v>0</v>
      </c>
      <c r="L928" s="46">
        <v>0</v>
      </c>
      <c r="M928" s="35"/>
      <c r="N928" s="25">
        <v>0</v>
      </c>
      <c r="O928" s="25">
        <v>0</v>
      </c>
      <c r="P928" s="25">
        <v>0</v>
      </c>
      <c r="Q928" s="25">
        <v>0</v>
      </c>
      <c r="R928" s="35"/>
      <c r="S928" s="25">
        <f t="shared" si="1639"/>
        <v>0</v>
      </c>
      <c r="T928" s="25">
        <f t="shared" si="1640"/>
        <v>0</v>
      </c>
      <c r="U928" s="25">
        <f t="shared" si="1641"/>
        <v>0</v>
      </c>
      <c r="V928" s="35"/>
      <c r="W928" s="46">
        <v>25</v>
      </c>
      <c r="X928" s="26">
        <f t="shared" si="1635"/>
        <v>0</v>
      </c>
      <c r="Y928" s="26">
        <f t="shared" si="1622"/>
        <v>0</v>
      </c>
      <c r="Z928" s="26">
        <f t="shared" si="1636"/>
        <v>0</v>
      </c>
      <c r="AA928" s="27">
        <f t="shared" si="1624"/>
        <v>0</v>
      </c>
      <c r="AB928" s="27">
        <f t="shared" si="1637"/>
        <v>0</v>
      </c>
      <c r="AC928" s="65">
        <f t="shared" ref="AC928:AC934" si="1642">0-Y928-AA928</f>
        <v>0</v>
      </c>
      <c r="AD928" s="210"/>
      <c r="AE928" s="65">
        <f t="shared" si="1631"/>
        <v>0</v>
      </c>
      <c r="AF928" s="210"/>
      <c r="AG928" s="8"/>
    </row>
    <row r="929" spans="1:33" x14ac:dyDescent="0.45">
      <c r="A929" s="16">
        <f>A928+14</f>
        <v>45130</v>
      </c>
      <c r="B929" s="17" t="s">
        <v>30</v>
      </c>
      <c r="C929" s="47">
        <f>120*W929</f>
        <v>4098</v>
      </c>
      <c r="D929" s="18">
        <v>80</v>
      </c>
      <c r="E929" s="18">
        <v>5</v>
      </c>
      <c r="F929" s="18">
        <v>0</v>
      </c>
      <c r="G929" s="18">
        <v>0</v>
      </c>
      <c r="H929" s="18">
        <v>0</v>
      </c>
      <c r="I929" s="18">
        <v>0</v>
      </c>
      <c r="J929" s="18">
        <v>0</v>
      </c>
      <c r="K929" s="18">
        <v>0</v>
      </c>
      <c r="L929" s="44">
        <v>0</v>
      </c>
      <c r="M929" s="33"/>
      <c r="N929" s="18">
        <v>80</v>
      </c>
      <c r="O929" s="18">
        <v>5</v>
      </c>
      <c r="P929" s="18">
        <v>0</v>
      </c>
      <c r="Q929" s="18">
        <v>0</v>
      </c>
      <c r="R929" s="33"/>
      <c r="S929" s="18">
        <f>SUM(D929:G929)</f>
        <v>85</v>
      </c>
      <c r="T929" s="18">
        <f>SUM(N929:Q929)</f>
        <v>85</v>
      </c>
      <c r="U929" s="18">
        <f>SUM(H929:K929)</f>
        <v>0</v>
      </c>
      <c r="V929" s="33"/>
      <c r="W929" s="44">
        <v>34.15</v>
      </c>
      <c r="X929" s="19">
        <f>(W929*1*D929)+(W929*1.5*E929)+(W929*2*F929)+(W929*1*G929)</f>
        <v>2988.125</v>
      </c>
      <c r="Y929" s="19">
        <f>(W929*0*H929)+(W929*1*I929)</f>
        <v>0</v>
      </c>
      <c r="Z929" s="19">
        <f>(W929*1*J929)+L929</f>
        <v>0</v>
      </c>
      <c r="AA929" s="20">
        <f>(W929*1*K929)</f>
        <v>0</v>
      </c>
      <c r="AB929" s="20">
        <f>(W929*1*N929)+(W929*1.5*O929)+(W929*2*P929)+(W929*1*Q929)</f>
        <v>2988.125</v>
      </c>
      <c r="AC929" s="66">
        <f t="shared" si="1642"/>
        <v>0</v>
      </c>
      <c r="AD929" s="208"/>
      <c r="AE929" s="66">
        <f t="shared" si="1631"/>
        <v>0</v>
      </c>
      <c r="AF929" s="208">
        <f>SUM(AE929:AE937)</f>
        <v>0</v>
      </c>
      <c r="AG929" s="8"/>
    </row>
    <row r="930" spans="1:33" x14ac:dyDescent="0.45">
      <c r="A930" s="22">
        <f>A929</f>
        <v>45130</v>
      </c>
      <c r="B930" s="15" t="s">
        <v>4</v>
      </c>
      <c r="C930" s="48">
        <f>80*W930</f>
        <v>2520</v>
      </c>
      <c r="D930" s="13">
        <v>80</v>
      </c>
      <c r="E930" s="13">
        <v>33.75</v>
      </c>
      <c r="F930" s="13">
        <v>5</v>
      </c>
      <c r="G930" s="13">
        <v>0</v>
      </c>
      <c r="H930" s="13">
        <v>0</v>
      </c>
      <c r="I930" s="13">
        <v>0</v>
      </c>
      <c r="J930" s="13">
        <v>0</v>
      </c>
      <c r="K930" s="13">
        <v>0</v>
      </c>
      <c r="L930" s="45">
        <v>0</v>
      </c>
      <c r="M930" s="34"/>
      <c r="N930" s="13">
        <v>80</v>
      </c>
      <c r="O930" s="13">
        <v>33.75</v>
      </c>
      <c r="P930" s="13">
        <v>5</v>
      </c>
      <c r="Q930" s="13">
        <v>0</v>
      </c>
      <c r="R930" s="34"/>
      <c r="S930" s="13">
        <f t="shared" ref="S930:S932" si="1643">SUM(D930:G930)</f>
        <v>118.75</v>
      </c>
      <c r="T930" s="13">
        <f t="shared" ref="T930" si="1644">SUM(N930:Q930)</f>
        <v>118.75</v>
      </c>
      <c r="U930" s="13">
        <f>SUM(H930:K930)</f>
        <v>0</v>
      </c>
      <c r="V930" s="34"/>
      <c r="W930" s="45">
        <v>31.5</v>
      </c>
      <c r="X930" s="10">
        <f t="shared" ref="X930:X931" si="1645">(W930*1*D930)+(W930*1.5*E930)+(W930*2*F930)+(W930*1*G930)</f>
        <v>4429.6875</v>
      </c>
      <c r="Y930" s="10">
        <f t="shared" ref="Y930:Y937" si="1646">(W930*0*H930)+(W930*1*I930)</f>
        <v>0</v>
      </c>
      <c r="Z930" s="10">
        <f t="shared" ref="Z930:Z932" si="1647">(W930*1*J930)+L930</f>
        <v>0</v>
      </c>
      <c r="AA930" s="14">
        <f t="shared" ref="AA930:AA937" si="1648">(W930*1*K930)</f>
        <v>0</v>
      </c>
      <c r="AB930" s="14">
        <f t="shared" ref="AB930:AB932" si="1649">(W930*1*N930)+(W930*1.5*O930)+(W930*2*P930)+(W930*1*Q930)</f>
        <v>4429.6875</v>
      </c>
      <c r="AC930" s="63">
        <f t="shared" si="1642"/>
        <v>0</v>
      </c>
      <c r="AD930" s="209"/>
      <c r="AE930" s="63">
        <f t="shared" si="1631"/>
        <v>0</v>
      </c>
      <c r="AF930" s="209"/>
      <c r="AG930" s="8"/>
    </row>
    <row r="931" spans="1:33" x14ac:dyDescent="0.45">
      <c r="A931" s="22">
        <f t="shared" ref="A931:A937" si="1650">A930</f>
        <v>45130</v>
      </c>
      <c r="B931" s="15" t="s">
        <v>5</v>
      </c>
      <c r="C931" s="48">
        <f>120*W931</f>
        <v>3654</v>
      </c>
      <c r="D931" s="13">
        <v>80</v>
      </c>
      <c r="E931" s="13">
        <v>24.5</v>
      </c>
      <c r="F931" s="13">
        <v>0</v>
      </c>
      <c r="G931" s="13">
        <v>0</v>
      </c>
      <c r="H931" s="13">
        <v>0</v>
      </c>
      <c r="I931" s="13">
        <v>0</v>
      </c>
      <c r="J931" s="13">
        <v>0</v>
      </c>
      <c r="K931" s="13">
        <v>0</v>
      </c>
      <c r="L931" s="45">
        <v>0</v>
      </c>
      <c r="M931" s="34"/>
      <c r="N931" s="13">
        <v>80</v>
      </c>
      <c r="O931" s="13">
        <v>24.5</v>
      </c>
      <c r="P931" s="13">
        <v>0</v>
      </c>
      <c r="Q931" s="13">
        <v>0</v>
      </c>
      <c r="R931" s="34"/>
      <c r="S931" s="13">
        <f t="shared" si="1643"/>
        <v>104.5</v>
      </c>
      <c r="T931" s="13">
        <f>SUM(N931:Q931)</f>
        <v>104.5</v>
      </c>
      <c r="U931" s="13">
        <f t="shared" ref="U931:U932" si="1651">SUM(H931:K931)</f>
        <v>0</v>
      </c>
      <c r="V931" s="34"/>
      <c r="W931" s="45">
        <v>30.45</v>
      </c>
      <c r="X931" s="10">
        <f t="shared" si="1645"/>
        <v>3555.0374999999999</v>
      </c>
      <c r="Y931" s="10">
        <f t="shared" si="1646"/>
        <v>0</v>
      </c>
      <c r="Z931" s="10">
        <f t="shared" si="1647"/>
        <v>0</v>
      </c>
      <c r="AA931" s="14">
        <f t="shared" si="1648"/>
        <v>0</v>
      </c>
      <c r="AB931" s="14">
        <f t="shared" si="1649"/>
        <v>3555.0374999999999</v>
      </c>
      <c r="AC931" s="63">
        <f t="shared" si="1642"/>
        <v>0</v>
      </c>
      <c r="AD931" s="209"/>
      <c r="AE931" s="63">
        <f t="shared" si="1631"/>
        <v>0</v>
      </c>
      <c r="AF931" s="209"/>
      <c r="AG931" s="8"/>
    </row>
    <row r="932" spans="1:33" x14ac:dyDescent="0.45">
      <c r="A932" s="22">
        <f t="shared" si="1650"/>
        <v>45130</v>
      </c>
      <c r="B932" s="15" t="s">
        <v>6</v>
      </c>
      <c r="C932" s="48">
        <f>120*W932</f>
        <v>3780</v>
      </c>
      <c r="D932" s="13">
        <v>80</v>
      </c>
      <c r="E932" s="13">
        <v>20.25</v>
      </c>
      <c r="F932" s="13">
        <v>0</v>
      </c>
      <c r="G932" s="13">
        <v>6</v>
      </c>
      <c r="H932" s="13">
        <v>0</v>
      </c>
      <c r="I932" s="13">
        <v>0</v>
      </c>
      <c r="J932" s="13">
        <v>0</v>
      </c>
      <c r="K932" s="13">
        <v>0</v>
      </c>
      <c r="L932" s="45">
        <v>0</v>
      </c>
      <c r="M932" s="34"/>
      <c r="N932" s="13">
        <v>80</v>
      </c>
      <c r="O932" s="13">
        <v>20.25</v>
      </c>
      <c r="P932" s="13">
        <v>0</v>
      </c>
      <c r="Q932" s="13">
        <v>6</v>
      </c>
      <c r="R932" s="34"/>
      <c r="S932" s="13">
        <f t="shared" si="1643"/>
        <v>106.25</v>
      </c>
      <c r="T932" s="13">
        <f t="shared" ref="T932" si="1652">SUM(N932:Q932)</f>
        <v>106.25</v>
      </c>
      <c r="U932" s="13">
        <f t="shared" si="1651"/>
        <v>0</v>
      </c>
      <c r="V932" s="34"/>
      <c r="W932" s="45">
        <v>31.5</v>
      </c>
      <c r="X932" s="45">
        <f>(W932*1*D932)+(W932*1.5*E932)+(W932*2*F932)+(W932*1*G932)</f>
        <v>3665.8125</v>
      </c>
      <c r="Y932" s="45">
        <f t="shared" si="1646"/>
        <v>0</v>
      </c>
      <c r="Z932" s="45">
        <f t="shared" si="1647"/>
        <v>0</v>
      </c>
      <c r="AA932" s="79">
        <f t="shared" si="1648"/>
        <v>0</v>
      </c>
      <c r="AB932" s="79">
        <f t="shared" si="1649"/>
        <v>3665.8125</v>
      </c>
      <c r="AC932" s="80">
        <f t="shared" si="1642"/>
        <v>0</v>
      </c>
      <c r="AD932" s="209"/>
      <c r="AE932" s="80">
        <f t="shared" si="1631"/>
        <v>0</v>
      </c>
      <c r="AF932" s="209"/>
      <c r="AG932" s="8"/>
    </row>
    <row r="933" spans="1:33" x14ac:dyDescent="0.45">
      <c r="A933" s="22">
        <f t="shared" si="1650"/>
        <v>45130</v>
      </c>
      <c r="B933" s="50" t="s">
        <v>31</v>
      </c>
      <c r="C933" s="48">
        <f>120*W933</f>
        <v>3780</v>
      </c>
      <c r="D933" s="51">
        <v>80</v>
      </c>
      <c r="E933" s="51">
        <v>13.75</v>
      </c>
      <c r="F933" s="51">
        <v>0</v>
      </c>
      <c r="G933" s="51">
        <v>10</v>
      </c>
      <c r="H933" s="51">
        <v>0</v>
      </c>
      <c r="I933" s="51">
        <v>5.25</v>
      </c>
      <c r="J933" s="51">
        <v>0</v>
      </c>
      <c r="K933" s="51">
        <v>0</v>
      </c>
      <c r="L933" s="52">
        <v>0</v>
      </c>
      <c r="M933" s="34"/>
      <c r="N933" s="13">
        <v>80</v>
      </c>
      <c r="O933" s="13">
        <v>13.75</v>
      </c>
      <c r="P933" s="13">
        <v>0</v>
      </c>
      <c r="Q933" s="13">
        <v>10</v>
      </c>
      <c r="R933" s="34"/>
      <c r="S933" s="51">
        <f t="shared" ref="S933" si="1653">SUM(D933:G933)</f>
        <v>103.75</v>
      </c>
      <c r="T933" s="51">
        <f>SUM(N933:Q933)</f>
        <v>103.75</v>
      </c>
      <c r="U933" s="51">
        <f t="shared" ref="U933" si="1654">SUM(H933:K933)</f>
        <v>5.25</v>
      </c>
      <c r="V933" s="34"/>
      <c r="W933" s="52">
        <v>31.5</v>
      </c>
      <c r="X933" s="53">
        <f>(W933*1*D933)+(W933*1.5*E933)+(W933*2*F933)+(W933*1*G933)</f>
        <v>3484.6875</v>
      </c>
      <c r="Y933" s="53">
        <f t="shared" si="1646"/>
        <v>165.375</v>
      </c>
      <c r="Z933" s="53">
        <f>(W933*1*J933)+L933</f>
        <v>0</v>
      </c>
      <c r="AA933" s="54">
        <f t="shared" si="1648"/>
        <v>0</v>
      </c>
      <c r="AB933" s="54">
        <f>(W933*1*N933)+(W933*1.5*O933)+(W933*2*P933)+(W933*1*Q933)</f>
        <v>3484.6875</v>
      </c>
      <c r="AC933" s="64">
        <f t="shared" si="1642"/>
        <v>-165.375</v>
      </c>
      <c r="AD933" s="209"/>
      <c r="AE933" s="64">
        <f t="shared" ref="AE933:AE941" si="1655">AB933-(X933+Z933)</f>
        <v>0</v>
      </c>
      <c r="AF933" s="209"/>
      <c r="AG933" s="8"/>
    </row>
    <row r="934" spans="1:33" x14ac:dyDescent="0.45">
      <c r="A934" s="22">
        <f t="shared" si="1650"/>
        <v>45130</v>
      </c>
      <c r="B934" s="50" t="s">
        <v>64</v>
      </c>
      <c r="C934" s="48">
        <f t="shared" ref="C934:C937" si="1656">80*W934</f>
        <v>1672</v>
      </c>
      <c r="D934" s="51">
        <v>80</v>
      </c>
      <c r="E934" s="51">
        <v>5</v>
      </c>
      <c r="F934" s="51">
        <v>0</v>
      </c>
      <c r="G934" s="51">
        <v>6</v>
      </c>
      <c r="H934" s="51">
        <v>0</v>
      </c>
      <c r="I934" s="51">
        <v>0</v>
      </c>
      <c r="J934" s="51">
        <v>0</v>
      </c>
      <c r="K934" s="51">
        <v>0</v>
      </c>
      <c r="L934" s="52">
        <v>0</v>
      </c>
      <c r="M934" s="34"/>
      <c r="N934" s="51">
        <v>80</v>
      </c>
      <c r="O934" s="51">
        <v>5</v>
      </c>
      <c r="P934" s="51">
        <v>0</v>
      </c>
      <c r="Q934" s="51">
        <v>6</v>
      </c>
      <c r="R934" s="34"/>
      <c r="S934" s="51">
        <f t="shared" ref="S934:S935" si="1657">SUM(D934:G934)</f>
        <v>91</v>
      </c>
      <c r="T934" s="51">
        <f>SUM(N934:Q934)</f>
        <v>91</v>
      </c>
      <c r="U934" s="51">
        <f t="shared" ref="U934:U935" si="1658">SUM(H934:K934)</f>
        <v>0</v>
      </c>
      <c r="V934" s="34"/>
      <c r="W934" s="52">
        <v>20.9</v>
      </c>
      <c r="X934" s="53">
        <f t="shared" ref="X934:X937" si="1659">(W934*1*D934)+(W934*1.5*E934)+(W934*2*F934)+(W934*1*G934)</f>
        <v>1954.15</v>
      </c>
      <c r="Y934" s="53">
        <f t="shared" si="1646"/>
        <v>0</v>
      </c>
      <c r="Z934" s="53">
        <f t="shared" ref="Z934:Z937" si="1660">(W934*1*J934)+L934</f>
        <v>0</v>
      </c>
      <c r="AA934" s="54">
        <f t="shared" si="1648"/>
        <v>0</v>
      </c>
      <c r="AB934" s="54">
        <f t="shared" ref="AB934:AB937" si="1661">(W934*1*N934)+(W934*1.5*O934)+(W934*2*P934)+(W934*1*Q934)</f>
        <v>1954.15</v>
      </c>
      <c r="AC934" s="64">
        <f t="shared" si="1642"/>
        <v>0</v>
      </c>
      <c r="AD934" s="209"/>
      <c r="AE934" s="64">
        <f t="shared" si="1655"/>
        <v>0</v>
      </c>
      <c r="AF934" s="209"/>
      <c r="AG934" s="8"/>
    </row>
    <row r="935" spans="1:33" x14ac:dyDescent="0.45">
      <c r="A935" s="22">
        <f t="shared" si="1650"/>
        <v>45130</v>
      </c>
      <c r="B935" s="50" t="s">
        <v>54</v>
      </c>
      <c r="C935" s="48">
        <f t="shared" si="1656"/>
        <v>2024</v>
      </c>
      <c r="D935" s="51">
        <v>80</v>
      </c>
      <c r="E935" s="51">
        <v>2.75</v>
      </c>
      <c r="F935" s="51">
        <v>0</v>
      </c>
      <c r="G935" s="51">
        <v>0</v>
      </c>
      <c r="H935" s="51">
        <v>0</v>
      </c>
      <c r="I935" s="51">
        <v>0</v>
      </c>
      <c r="J935" s="51">
        <v>0</v>
      </c>
      <c r="K935" s="51">
        <v>0</v>
      </c>
      <c r="L935" s="52">
        <v>0</v>
      </c>
      <c r="M935" s="34"/>
      <c r="N935" s="13">
        <v>80</v>
      </c>
      <c r="O935" s="13">
        <v>2.75</v>
      </c>
      <c r="P935" s="13">
        <v>0</v>
      </c>
      <c r="Q935" s="13">
        <v>0</v>
      </c>
      <c r="R935" s="34"/>
      <c r="S935" s="51">
        <f t="shared" si="1657"/>
        <v>82.75</v>
      </c>
      <c r="T935" s="51">
        <f t="shared" ref="T935" si="1662">SUM(N935:Q935)</f>
        <v>82.75</v>
      </c>
      <c r="U935" s="51">
        <f t="shared" si="1658"/>
        <v>0</v>
      </c>
      <c r="V935" s="34"/>
      <c r="W935" s="52">
        <v>25.3</v>
      </c>
      <c r="X935" s="53">
        <f t="shared" si="1659"/>
        <v>2128.3625000000002</v>
      </c>
      <c r="Y935" s="53">
        <f t="shared" si="1646"/>
        <v>0</v>
      </c>
      <c r="Z935" s="53">
        <f t="shared" si="1660"/>
        <v>0</v>
      </c>
      <c r="AA935" s="54">
        <f t="shared" si="1648"/>
        <v>0</v>
      </c>
      <c r="AB935" s="54">
        <f t="shared" si="1661"/>
        <v>2128.3625000000002</v>
      </c>
      <c r="AC935" s="64">
        <f>0-Y935-AA935</f>
        <v>0</v>
      </c>
      <c r="AD935" s="209"/>
      <c r="AE935" s="64">
        <f t="shared" si="1655"/>
        <v>0</v>
      </c>
      <c r="AF935" s="209"/>
      <c r="AG935" s="8"/>
    </row>
    <row r="936" spans="1:33" x14ac:dyDescent="0.45">
      <c r="A936" s="22">
        <f t="shared" si="1650"/>
        <v>45130</v>
      </c>
      <c r="B936" s="50" t="s">
        <v>65</v>
      </c>
      <c r="C936" s="48">
        <f t="shared" si="1656"/>
        <v>1672</v>
      </c>
      <c r="D936" s="51">
        <v>80</v>
      </c>
      <c r="E936" s="51">
        <v>17.5</v>
      </c>
      <c r="F936" s="51">
        <v>0</v>
      </c>
      <c r="G936" s="51">
        <v>0</v>
      </c>
      <c r="H936" s="51">
        <v>0</v>
      </c>
      <c r="I936" s="51">
        <v>0</v>
      </c>
      <c r="J936" s="51">
        <v>0</v>
      </c>
      <c r="K936" s="51">
        <v>0</v>
      </c>
      <c r="L936" s="52">
        <v>0</v>
      </c>
      <c r="M936" s="34"/>
      <c r="N936" s="51">
        <v>80</v>
      </c>
      <c r="O936" s="51">
        <v>17.5</v>
      </c>
      <c r="P936" s="51">
        <v>0</v>
      </c>
      <c r="Q936" s="51">
        <v>0</v>
      </c>
      <c r="R936" s="34"/>
      <c r="S936" s="51">
        <f t="shared" ref="S936:S937" si="1663">SUM(D936:G936)</f>
        <v>97.5</v>
      </c>
      <c r="T936" s="51">
        <f t="shared" ref="T936:T937" si="1664">SUM(N936:Q936)</f>
        <v>97.5</v>
      </c>
      <c r="U936" s="51">
        <f t="shared" ref="U936:U937" si="1665">SUM(H936:K936)</f>
        <v>0</v>
      </c>
      <c r="V936" s="34"/>
      <c r="W936" s="52">
        <v>20.9</v>
      </c>
      <c r="X936" s="53">
        <f t="shared" si="1659"/>
        <v>2220.625</v>
      </c>
      <c r="Y936" s="53">
        <f t="shared" si="1646"/>
        <v>0</v>
      </c>
      <c r="Z936" s="53">
        <f t="shared" si="1660"/>
        <v>0</v>
      </c>
      <c r="AA936" s="54">
        <f t="shared" si="1648"/>
        <v>0</v>
      </c>
      <c r="AB936" s="54">
        <f t="shared" si="1661"/>
        <v>2220.625</v>
      </c>
      <c r="AC936" s="64">
        <f>0-Y936-AA936</f>
        <v>0</v>
      </c>
      <c r="AD936" s="209"/>
      <c r="AE936" s="64">
        <f t="shared" si="1655"/>
        <v>0</v>
      </c>
      <c r="AF936" s="209"/>
      <c r="AG936" s="8"/>
    </row>
    <row r="937" spans="1:33" ht="14.65" thickBot="1" x14ac:dyDescent="0.5">
      <c r="A937" s="23">
        <f t="shared" si="1650"/>
        <v>45130</v>
      </c>
      <c r="B937" s="24" t="s">
        <v>66</v>
      </c>
      <c r="C937" s="49">
        <f t="shared" si="1656"/>
        <v>1672</v>
      </c>
      <c r="D937" s="25">
        <v>80</v>
      </c>
      <c r="E937" s="25">
        <v>16</v>
      </c>
      <c r="F937" s="25">
        <v>0</v>
      </c>
      <c r="G937" s="25">
        <v>0</v>
      </c>
      <c r="H937" s="25">
        <v>0</v>
      </c>
      <c r="I937" s="25">
        <v>0</v>
      </c>
      <c r="J937" s="25">
        <v>0</v>
      </c>
      <c r="K937" s="25">
        <v>0</v>
      </c>
      <c r="L937" s="46">
        <v>0</v>
      </c>
      <c r="M937" s="35"/>
      <c r="N937" s="25">
        <v>80</v>
      </c>
      <c r="O937" s="25">
        <v>16</v>
      </c>
      <c r="P937" s="25">
        <v>0</v>
      </c>
      <c r="Q937" s="25">
        <v>0</v>
      </c>
      <c r="R937" s="35"/>
      <c r="S937" s="25">
        <f t="shared" si="1663"/>
        <v>96</v>
      </c>
      <c r="T937" s="25">
        <f t="shared" si="1664"/>
        <v>96</v>
      </c>
      <c r="U937" s="25">
        <f t="shared" si="1665"/>
        <v>0</v>
      </c>
      <c r="V937" s="35"/>
      <c r="W937" s="46">
        <v>20.9</v>
      </c>
      <c r="X937" s="26">
        <f t="shared" si="1659"/>
        <v>2173.6</v>
      </c>
      <c r="Y937" s="26">
        <f t="shared" si="1646"/>
        <v>0</v>
      </c>
      <c r="Z937" s="26">
        <f t="shared" si="1660"/>
        <v>0</v>
      </c>
      <c r="AA937" s="27">
        <f t="shared" si="1648"/>
        <v>0</v>
      </c>
      <c r="AB937" s="27">
        <f t="shared" si="1661"/>
        <v>2173.6</v>
      </c>
      <c r="AC937" s="65">
        <f>0-Y937-AA937</f>
        <v>0</v>
      </c>
      <c r="AD937" s="210"/>
      <c r="AE937" s="65">
        <f t="shared" si="1655"/>
        <v>0</v>
      </c>
      <c r="AF937" s="210"/>
      <c r="AG937" s="8"/>
    </row>
    <row r="938" spans="1:33" x14ac:dyDescent="0.45">
      <c r="A938" s="16">
        <f>A937+14</f>
        <v>45144</v>
      </c>
      <c r="B938" s="17" t="s">
        <v>30</v>
      </c>
      <c r="C938" s="47">
        <f>120*W938</f>
        <v>4098</v>
      </c>
      <c r="D938" s="18">
        <v>80</v>
      </c>
      <c r="E938" s="18">
        <v>10.5</v>
      </c>
      <c r="F938" s="18">
        <v>0</v>
      </c>
      <c r="G938" s="18">
        <v>8</v>
      </c>
      <c r="H938" s="18">
        <v>0</v>
      </c>
      <c r="I938" s="18">
        <v>0</v>
      </c>
      <c r="J938" s="18">
        <v>0</v>
      </c>
      <c r="K938" s="18">
        <v>0</v>
      </c>
      <c r="L938" s="44">
        <v>0</v>
      </c>
      <c r="M938" s="33"/>
      <c r="N938" s="18">
        <v>80</v>
      </c>
      <c r="O938" s="18">
        <v>10.5</v>
      </c>
      <c r="P938" s="18">
        <v>0</v>
      </c>
      <c r="Q938" s="18">
        <v>8</v>
      </c>
      <c r="R938" s="33"/>
      <c r="S938" s="18">
        <f>SUM(D938:G938)</f>
        <v>98.5</v>
      </c>
      <c r="T938" s="18">
        <f>SUM(N938:Q938)</f>
        <v>98.5</v>
      </c>
      <c r="U938" s="18">
        <f>SUM(H938:K938)</f>
        <v>0</v>
      </c>
      <c r="V938" s="33"/>
      <c r="W938" s="44">
        <v>34.15</v>
      </c>
      <c r="X938" s="19">
        <f>(W938*1*D938)+(W938*1.5*E938)+(W938*2*F938)+(W938*1*G938)</f>
        <v>3543.0625</v>
      </c>
      <c r="Y938" s="19">
        <f>(W938*0*H938)+(W938*1*I938)</f>
        <v>0</v>
      </c>
      <c r="Z938" s="19">
        <f>(W938*1*J938)+L938</f>
        <v>0</v>
      </c>
      <c r="AA938" s="20">
        <f>(W938*1*K938)</f>
        <v>0</v>
      </c>
      <c r="AB938" s="20">
        <f>(W938*1*N938)+(W938*1.5*O938)+(W938*2*P938)+(W938*1*Q938)</f>
        <v>3543.0625</v>
      </c>
      <c r="AC938" s="66">
        <f t="shared" ref="AC938:AC943" si="1666">0-Y938-AA938</f>
        <v>0</v>
      </c>
      <c r="AD938" s="208"/>
      <c r="AE938" s="66">
        <f t="shared" si="1655"/>
        <v>0</v>
      </c>
      <c r="AF938" s="208">
        <f>SUM(AE938:AE946)</f>
        <v>152.84999999999991</v>
      </c>
      <c r="AG938" s="8"/>
    </row>
    <row r="939" spans="1:33" x14ac:dyDescent="0.45">
      <c r="A939" s="22">
        <f>A938</f>
        <v>45144</v>
      </c>
      <c r="B939" s="15" t="s">
        <v>4</v>
      </c>
      <c r="C939" s="48">
        <f>80*W939</f>
        <v>2520</v>
      </c>
      <c r="D939" s="13">
        <v>80</v>
      </c>
      <c r="E939" s="13">
        <v>22</v>
      </c>
      <c r="F939" s="13">
        <v>0</v>
      </c>
      <c r="G939" s="13">
        <v>0</v>
      </c>
      <c r="H939" s="13">
        <v>0</v>
      </c>
      <c r="I939" s="13">
        <v>0</v>
      </c>
      <c r="J939" s="13">
        <v>0</v>
      </c>
      <c r="K939" s="13">
        <v>0</v>
      </c>
      <c r="L939" s="45">
        <v>0</v>
      </c>
      <c r="M939" s="34"/>
      <c r="N939" s="13">
        <v>80</v>
      </c>
      <c r="O939" s="13">
        <v>22.25</v>
      </c>
      <c r="P939" s="13">
        <v>0</v>
      </c>
      <c r="Q939" s="13">
        <v>0</v>
      </c>
      <c r="R939" s="34"/>
      <c r="S939" s="13">
        <f t="shared" ref="S939:S941" si="1667">SUM(D939:G939)</f>
        <v>102</v>
      </c>
      <c r="T939" s="13">
        <f t="shared" ref="T939" si="1668">SUM(N939:Q939)</f>
        <v>102.25</v>
      </c>
      <c r="U939" s="13">
        <f>SUM(H939:K939)</f>
        <v>0</v>
      </c>
      <c r="V939" s="34"/>
      <c r="W939" s="45">
        <v>31.5</v>
      </c>
      <c r="X939" s="10">
        <f t="shared" ref="X939:X940" si="1669">(W939*1*D939)+(W939*1.5*E939)+(W939*2*F939)+(W939*1*G939)</f>
        <v>3559.5</v>
      </c>
      <c r="Y939" s="10">
        <f t="shared" ref="Y939:Y946" si="1670">(W939*0*H939)+(W939*1*I939)</f>
        <v>0</v>
      </c>
      <c r="Z939" s="10">
        <f t="shared" ref="Z939:Z941" si="1671">(W939*1*J939)+L939</f>
        <v>0</v>
      </c>
      <c r="AA939" s="14">
        <f t="shared" ref="AA939:AA946" si="1672">(W939*1*K939)</f>
        <v>0</v>
      </c>
      <c r="AB939" s="14">
        <f t="shared" ref="AB939:AB941" si="1673">(W939*1*N939)+(W939*1.5*O939)+(W939*2*P939)+(W939*1*Q939)</f>
        <v>3571.3125</v>
      </c>
      <c r="AC939" s="63">
        <f t="shared" si="1666"/>
        <v>0</v>
      </c>
      <c r="AD939" s="209"/>
      <c r="AE939" s="63">
        <f t="shared" si="1655"/>
        <v>11.8125</v>
      </c>
      <c r="AF939" s="209"/>
      <c r="AG939" s="8"/>
    </row>
    <row r="940" spans="1:33" x14ac:dyDescent="0.45">
      <c r="A940" s="22">
        <f t="shared" ref="A940:A946" si="1674">A939</f>
        <v>45144</v>
      </c>
      <c r="B940" s="15" t="s">
        <v>5</v>
      </c>
      <c r="C940" s="48">
        <f>120*W940</f>
        <v>3654</v>
      </c>
      <c r="D940" s="13">
        <v>40</v>
      </c>
      <c r="E940" s="13">
        <v>6.5</v>
      </c>
      <c r="F940" s="13">
        <v>0</v>
      </c>
      <c r="G940" s="13">
        <v>0</v>
      </c>
      <c r="H940" s="13">
        <v>0</v>
      </c>
      <c r="I940" s="13">
        <v>40</v>
      </c>
      <c r="J940" s="13">
        <v>0</v>
      </c>
      <c r="K940" s="13">
        <v>0</v>
      </c>
      <c r="L940" s="45">
        <v>0</v>
      </c>
      <c r="M940" s="34"/>
      <c r="N940" s="13">
        <v>40</v>
      </c>
      <c r="O940" s="13">
        <v>6.5</v>
      </c>
      <c r="P940" s="13">
        <v>0</v>
      </c>
      <c r="Q940" s="13">
        <v>0</v>
      </c>
      <c r="R940" s="34"/>
      <c r="S940" s="13">
        <f t="shared" si="1667"/>
        <v>46.5</v>
      </c>
      <c r="T940" s="13">
        <f>SUM(N940:Q940)</f>
        <v>46.5</v>
      </c>
      <c r="U940" s="13">
        <f t="shared" ref="U940:U941" si="1675">SUM(H940:K940)</f>
        <v>40</v>
      </c>
      <c r="V940" s="34"/>
      <c r="W940" s="45">
        <v>30.45</v>
      </c>
      <c r="X940" s="10">
        <f t="shared" si="1669"/>
        <v>1514.8875</v>
      </c>
      <c r="Y940" s="10">
        <f t="shared" si="1670"/>
        <v>1218</v>
      </c>
      <c r="Z940" s="10">
        <f t="shared" si="1671"/>
        <v>0</v>
      </c>
      <c r="AA940" s="14">
        <f t="shared" si="1672"/>
        <v>0</v>
      </c>
      <c r="AB940" s="14">
        <f t="shared" si="1673"/>
        <v>1514.8875</v>
      </c>
      <c r="AC940" s="63">
        <f t="shared" si="1666"/>
        <v>-1218</v>
      </c>
      <c r="AD940" s="209"/>
      <c r="AE940" s="63">
        <f t="shared" si="1655"/>
        <v>0</v>
      </c>
      <c r="AF940" s="209"/>
      <c r="AG940" s="8"/>
    </row>
    <row r="941" spans="1:33" x14ac:dyDescent="0.45">
      <c r="A941" s="22">
        <f t="shared" si="1674"/>
        <v>45144</v>
      </c>
      <c r="B941" s="15" t="s">
        <v>6</v>
      </c>
      <c r="C941" s="48">
        <f>120*W941</f>
        <v>3780</v>
      </c>
      <c r="D941" s="13">
        <v>80</v>
      </c>
      <c r="E941" s="13">
        <v>45</v>
      </c>
      <c r="F941" s="13">
        <v>12</v>
      </c>
      <c r="G941" s="13">
        <v>8</v>
      </c>
      <c r="H941" s="13">
        <v>0</v>
      </c>
      <c r="I941" s="13">
        <v>0</v>
      </c>
      <c r="J941" s="13">
        <v>0</v>
      </c>
      <c r="K941" s="13">
        <v>0</v>
      </c>
      <c r="L941" s="45">
        <v>0</v>
      </c>
      <c r="M941" s="34"/>
      <c r="N941" s="13">
        <v>80</v>
      </c>
      <c r="O941" s="13">
        <v>44</v>
      </c>
      <c r="P941" s="13">
        <v>13</v>
      </c>
      <c r="Q941" s="13">
        <v>8</v>
      </c>
      <c r="R941" s="34"/>
      <c r="S941" s="13">
        <f t="shared" si="1667"/>
        <v>145</v>
      </c>
      <c r="T941" s="13">
        <f t="shared" ref="T941" si="1676">SUM(N941:Q941)</f>
        <v>145</v>
      </c>
      <c r="U941" s="13">
        <f t="shared" si="1675"/>
        <v>0</v>
      </c>
      <c r="V941" s="34"/>
      <c r="W941" s="45">
        <v>31.5</v>
      </c>
      <c r="X941" s="45">
        <f>(W941*1*D941)+(W941*1.5*E941)+(W941*2*F941)+(W941*1*G941)</f>
        <v>5654.25</v>
      </c>
      <c r="Y941" s="45">
        <f t="shared" si="1670"/>
        <v>0</v>
      </c>
      <c r="Z941" s="45">
        <f t="shared" si="1671"/>
        <v>0</v>
      </c>
      <c r="AA941" s="79">
        <f t="shared" si="1672"/>
        <v>0</v>
      </c>
      <c r="AB941" s="79">
        <f t="shared" si="1673"/>
        <v>5670</v>
      </c>
      <c r="AC941" s="80">
        <f t="shared" si="1666"/>
        <v>0</v>
      </c>
      <c r="AD941" s="209"/>
      <c r="AE941" s="80">
        <f t="shared" si="1655"/>
        <v>15.75</v>
      </c>
      <c r="AF941" s="209"/>
      <c r="AG941" s="8"/>
    </row>
    <row r="942" spans="1:33" x14ac:dyDescent="0.45">
      <c r="A942" s="22">
        <f t="shared" si="1674"/>
        <v>45144</v>
      </c>
      <c r="B942" s="50" t="s">
        <v>31</v>
      </c>
      <c r="C942" s="48">
        <f>120*W942</f>
        <v>3780</v>
      </c>
      <c r="D942" s="51">
        <v>80</v>
      </c>
      <c r="E942" s="51">
        <v>22.75</v>
      </c>
      <c r="F942" s="51">
        <v>0</v>
      </c>
      <c r="G942" s="51">
        <v>11</v>
      </c>
      <c r="H942" s="51">
        <v>0</v>
      </c>
      <c r="I942" s="51">
        <v>0</v>
      </c>
      <c r="J942" s="51">
        <v>0</v>
      </c>
      <c r="K942" s="51">
        <v>0</v>
      </c>
      <c r="L942" s="52">
        <v>0</v>
      </c>
      <c r="M942" s="34"/>
      <c r="N942" s="13">
        <v>80</v>
      </c>
      <c r="O942" s="13">
        <v>24.5</v>
      </c>
      <c r="P942" s="13">
        <v>0</v>
      </c>
      <c r="Q942" s="13">
        <v>11.75</v>
      </c>
      <c r="R942" s="34"/>
      <c r="S942" s="51">
        <f t="shared" ref="S942" si="1677">SUM(D942:G942)</f>
        <v>113.75</v>
      </c>
      <c r="T942" s="51">
        <f>SUM(N942:Q942)</f>
        <v>116.25</v>
      </c>
      <c r="U942" s="51">
        <f t="shared" ref="U942" si="1678">SUM(H942:K942)</f>
        <v>0</v>
      </c>
      <c r="V942" s="34"/>
      <c r="W942" s="52">
        <v>31.5</v>
      </c>
      <c r="X942" s="53">
        <f>(W942*1*D942)+(W942*1.5*E942)+(W942*2*F942)+(W942*1*G942)</f>
        <v>3941.4375</v>
      </c>
      <c r="Y942" s="53">
        <f t="shared" si="1670"/>
        <v>0</v>
      </c>
      <c r="Z942" s="53">
        <f>(W942*1*J942)+L942</f>
        <v>0</v>
      </c>
      <c r="AA942" s="54">
        <f t="shared" si="1672"/>
        <v>0</v>
      </c>
      <c r="AB942" s="54">
        <f>(W942*1*N942)+(W942*1.5*O942)+(W942*2*P942)+(W942*1*Q942)</f>
        <v>4047.75</v>
      </c>
      <c r="AC942" s="64">
        <f t="shared" si="1666"/>
        <v>0</v>
      </c>
      <c r="AD942" s="209"/>
      <c r="AE942" s="64">
        <f t="shared" ref="AE942:AE950" si="1679">AB942-(X942+Z942)</f>
        <v>106.3125</v>
      </c>
      <c r="AF942" s="209"/>
      <c r="AG942" s="8"/>
    </row>
    <row r="943" spans="1:33" x14ac:dyDescent="0.45">
      <c r="A943" s="22">
        <f t="shared" si="1674"/>
        <v>45144</v>
      </c>
      <c r="B943" s="50" t="s">
        <v>64</v>
      </c>
      <c r="C943" s="48">
        <f t="shared" ref="C943:C946" si="1680">80*W943</f>
        <v>1672</v>
      </c>
      <c r="D943" s="51">
        <v>80</v>
      </c>
      <c r="E943" s="51">
        <v>26</v>
      </c>
      <c r="F943" s="51">
        <v>12</v>
      </c>
      <c r="G943" s="51">
        <v>6</v>
      </c>
      <c r="H943" s="51">
        <v>0</v>
      </c>
      <c r="I943" s="51">
        <v>0</v>
      </c>
      <c r="J943" s="51">
        <v>0</v>
      </c>
      <c r="K943" s="51">
        <v>0</v>
      </c>
      <c r="L943" s="52">
        <v>0</v>
      </c>
      <c r="M943" s="34"/>
      <c r="N943" s="51">
        <v>80</v>
      </c>
      <c r="O943" s="51">
        <v>26</v>
      </c>
      <c r="P943" s="51">
        <v>12</v>
      </c>
      <c r="Q943" s="51">
        <v>6</v>
      </c>
      <c r="R943" s="34"/>
      <c r="S943" s="51">
        <f t="shared" ref="S943:S944" si="1681">SUM(D943:G943)</f>
        <v>124</v>
      </c>
      <c r="T943" s="51">
        <f>SUM(N943:Q943)</f>
        <v>124</v>
      </c>
      <c r="U943" s="51">
        <f t="shared" ref="U943:U944" si="1682">SUM(H943:K943)</f>
        <v>0</v>
      </c>
      <c r="V943" s="34"/>
      <c r="W943" s="52">
        <v>20.9</v>
      </c>
      <c r="X943" s="53">
        <f t="shared" ref="X943:X946" si="1683">(W943*1*D943)+(W943*1.5*E943)+(W943*2*F943)+(W943*1*G943)</f>
        <v>3114.1</v>
      </c>
      <c r="Y943" s="53">
        <f t="shared" si="1670"/>
        <v>0</v>
      </c>
      <c r="Z943" s="53">
        <f t="shared" ref="Z943:Z946" si="1684">(W943*1*J943)+L943</f>
        <v>0</v>
      </c>
      <c r="AA943" s="54">
        <f t="shared" si="1672"/>
        <v>0</v>
      </c>
      <c r="AB943" s="54">
        <f t="shared" ref="AB943:AB946" si="1685">(W943*1*N943)+(W943*1.5*O943)+(W943*2*P943)+(W943*1*Q943)</f>
        <v>3114.1</v>
      </c>
      <c r="AC943" s="64">
        <f t="shared" si="1666"/>
        <v>0</v>
      </c>
      <c r="AD943" s="209"/>
      <c r="AE943" s="64">
        <f t="shared" si="1679"/>
        <v>0</v>
      </c>
      <c r="AF943" s="209"/>
      <c r="AG943" s="8"/>
    </row>
    <row r="944" spans="1:33" x14ac:dyDescent="0.45">
      <c r="A944" s="22">
        <f t="shared" si="1674"/>
        <v>45144</v>
      </c>
      <c r="B944" s="50" t="s">
        <v>54</v>
      </c>
      <c r="C944" s="48">
        <f t="shared" si="1680"/>
        <v>2024</v>
      </c>
      <c r="D944" s="51">
        <v>40</v>
      </c>
      <c r="E944" s="51">
        <v>10</v>
      </c>
      <c r="F944" s="51">
        <v>0</v>
      </c>
      <c r="G944" s="51">
        <v>0</v>
      </c>
      <c r="H944" s="51">
        <v>0</v>
      </c>
      <c r="I944" s="51">
        <v>40</v>
      </c>
      <c r="J944" s="51">
        <v>0</v>
      </c>
      <c r="K944" s="51">
        <v>0</v>
      </c>
      <c r="L944" s="52">
        <v>0</v>
      </c>
      <c r="M944" s="34"/>
      <c r="N944" s="13">
        <v>40</v>
      </c>
      <c r="O944" s="13">
        <v>10.5</v>
      </c>
      <c r="P944" s="13">
        <v>0</v>
      </c>
      <c r="Q944" s="13">
        <v>0</v>
      </c>
      <c r="R944" s="34"/>
      <c r="S944" s="51">
        <f t="shared" si="1681"/>
        <v>50</v>
      </c>
      <c r="T944" s="51">
        <f t="shared" ref="T944" si="1686">SUM(N944:Q944)</f>
        <v>50.5</v>
      </c>
      <c r="U944" s="51">
        <f t="shared" si="1682"/>
        <v>40</v>
      </c>
      <c r="V944" s="34"/>
      <c r="W944" s="52">
        <v>25.3</v>
      </c>
      <c r="X944" s="53">
        <f t="shared" si="1683"/>
        <v>1391.5</v>
      </c>
      <c r="Y944" s="53">
        <f t="shared" si="1670"/>
        <v>1012</v>
      </c>
      <c r="Z944" s="53">
        <f t="shared" si="1684"/>
        <v>0</v>
      </c>
      <c r="AA944" s="54">
        <f t="shared" si="1672"/>
        <v>0</v>
      </c>
      <c r="AB944" s="54">
        <f t="shared" si="1685"/>
        <v>1410.4749999999999</v>
      </c>
      <c r="AC944" s="64">
        <f>0-Y944-AA944</f>
        <v>-1012</v>
      </c>
      <c r="AD944" s="209"/>
      <c r="AE944" s="64">
        <f t="shared" si="1679"/>
        <v>18.974999999999909</v>
      </c>
      <c r="AF944" s="209"/>
      <c r="AG944" s="8"/>
    </row>
    <row r="945" spans="1:33" x14ac:dyDescent="0.45">
      <c r="A945" s="22">
        <f t="shared" si="1674"/>
        <v>45144</v>
      </c>
      <c r="B945" s="50" t="s">
        <v>65</v>
      </c>
      <c r="C945" s="48">
        <f t="shared" si="1680"/>
        <v>1672</v>
      </c>
      <c r="D945" s="51">
        <v>80</v>
      </c>
      <c r="E945" s="51">
        <v>11</v>
      </c>
      <c r="F945" s="51">
        <v>0</v>
      </c>
      <c r="G945" s="51">
        <v>0</v>
      </c>
      <c r="H945" s="51">
        <v>0</v>
      </c>
      <c r="I945" s="51">
        <v>0</v>
      </c>
      <c r="J945" s="51">
        <v>0</v>
      </c>
      <c r="K945" s="51">
        <v>0</v>
      </c>
      <c r="L945" s="52">
        <v>0</v>
      </c>
      <c r="M945" s="34"/>
      <c r="N945" s="51">
        <v>80</v>
      </c>
      <c r="O945" s="51">
        <v>11</v>
      </c>
      <c r="P945" s="51">
        <v>0</v>
      </c>
      <c r="Q945" s="51">
        <v>0</v>
      </c>
      <c r="R945" s="34"/>
      <c r="S945" s="51">
        <f t="shared" ref="S945:S946" si="1687">SUM(D945:G945)</f>
        <v>91</v>
      </c>
      <c r="T945" s="51">
        <f t="shared" ref="T945:T946" si="1688">SUM(N945:Q945)</f>
        <v>91</v>
      </c>
      <c r="U945" s="51">
        <f t="shared" ref="U945:U946" si="1689">SUM(H945:K945)</f>
        <v>0</v>
      </c>
      <c r="V945" s="34"/>
      <c r="W945" s="52">
        <v>20.9</v>
      </c>
      <c r="X945" s="53">
        <f t="shared" si="1683"/>
        <v>2016.85</v>
      </c>
      <c r="Y945" s="53">
        <f t="shared" si="1670"/>
        <v>0</v>
      </c>
      <c r="Z945" s="53">
        <f t="shared" si="1684"/>
        <v>0</v>
      </c>
      <c r="AA945" s="54">
        <f t="shared" si="1672"/>
        <v>0</v>
      </c>
      <c r="AB945" s="54">
        <f t="shared" si="1685"/>
        <v>2016.85</v>
      </c>
      <c r="AC945" s="64">
        <f>0-Y945-AA945</f>
        <v>0</v>
      </c>
      <c r="AD945" s="209"/>
      <c r="AE945" s="64">
        <f t="shared" si="1679"/>
        <v>0</v>
      </c>
      <c r="AF945" s="209"/>
      <c r="AG945" s="8"/>
    </row>
    <row r="946" spans="1:33" ht="14.65" thickBot="1" x14ac:dyDescent="0.5">
      <c r="A946" s="23">
        <f t="shared" si="1674"/>
        <v>45144</v>
      </c>
      <c r="B946" s="24" t="s">
        <v>66</v>
      </c>
      <c r="C946" s="49">
        <f t="shared" si="1680"/>
        <v>1672</v>
      </c>
      <c r="D946" s="25">
        <v>75.75</v>
      </c>
      <c r="E946" s="25">
        <v>6.75</v>
      </c>
      <c r="F946" s="25">
        <v>0</v>
      </c>
      <c r="G946" s="25">
        <v>0</v>
      </c>
      <c r="H946" s="25">
        <v>0</v>
      </c>
      <c r="I946" s="25">
        <v>8</v>
      </c>
      <c r="J946" s="25">
        <v>0</v>
      </c>
      <c r="K946" s="25">
        <v>0</v>
      </c>
      <c r="L946" s="46">
        <v>0</v>
      </c>
      <c r="M946" s="35"/>
      <c r="N946" s="25">
        <v>75.75</v>
      </c>
      <c r="O946" s="25">
        <v>6.75</v>
      </c>
      <c r="P946" s="25">
        <v>0</v>
      </c>
      <c r="Q946" s="25">
        <v>0</v>
      </c>
      <c r="R946" s="35"/>
      <c r="S946" s="25">
        <f t="shared" si="1687"/>
        <v>82.5</v>
      </c>
      <c r="T946" s="25">
        <f t="shared" si="1688"/>
        <v>82.5</v>
      </c>
      <c r="U946" s="25">
        <f t="shared" si="1689"/>
        <v>8</v>
      </c>
      <c r="V946" s="35"/>
      <c r="W946" s="46">
        <v>20.9</v>
      </c>
      <c r="X946" s="26">
        <f t="shared" si="1683"/>
        <v>1794.7874999999999</v>
      </c>
      <c r="Y946" s="26">
        <f t="shared" si="1670"/>
        <v>167.2</v>
      </c>
      <c r="Z946" s="26">
        <f t="shared" si="1684"/>
        <v>0</v>
      </c>
      <c r="AA946" s="27">
        <f t="shared" si="1672"/>
        <v>0</v>
      </c>
      <c r="AB946" s="27">
        <f t="shared" si="1685"/>
        <v>1794.7874999999999</v>
      </c>
      <c r="AC946" s="65">
        <f>0-Y946-AA946</f>
        <v>-167.2</v>
      </c>
      <c r="AD946" s="210"/>
      <c r="AE946" s="65">
        <f t="shared" si="1679"/>
        <v>0</v>
      </c>
      <c r="AF946" s="210"/>
      <c r="AG946" s="8"/>
    </row>
    <row r="947" spans="1:33" x14ac:dyDescent="0.45">
      <c r="A947" s="16">
        <f>A946+14</f>
        <v>45158</v>
      </c>
      <c r="B947" s="17" t="s">
        <v>30</v>
      </c>
      <c r="C947" s="47">
        <f>120*W947</f>
        <v>4098</v>
      </c>
      <c r="D947" s="18">
        <v>72</v>
      </c>
      <c r="E947" s="18">
        <v>3</v>
      </c>
      <c r="F947" s="18">
        <v>0</v>
      </c>
      <c r="G947" s="18">
        <v>0</v>
      </c>
      <c r="H947" s="18">
        <v>0</v>
      </c>
      <c r="I947" s="18">
        <v>8</v>
      </c>
      <c r="J947" s="18">
        <v>0</v>
      </c>
      <c r="K947" s="18">
        <v>0</v>
      </c>
      <c r="L947" s="44">
        <v>0</v>
      </c>
      <c r="M947" s="33"/>
      <c r="N947" s="18">
        <v>72</v>
      </c>
      <c r="O947" s="18">
        <v>3</v>
      </c>
      <c r="P947" s="18">
        <v>0</v>
      </c>
      <c r="Q947" s="18">
        <v>0</v>
      </c>
      <c r="R947" s="33"/>
      <c r="S947" s="18">
        <f>SUM(D947:G947)</f>
        <v>75</v>
      </c>
      <c r="T947" s="18">
        <f>SUM(N947:Q947)</f>
        <v>75</v>
      </c>
      <c r="U947" s="18">
        <f>SUM(H947:K947)</f>
        <v>8</v>
      </c>
      <c r="V947" s="33"/>
      <c r="W947" s="44">
        <v>34.15</v>
      </c>
      <c r="X947" s="19">
        <f>(W947*1*D947)+(W947*1.5*E947)+(W947*2*F947)+(W947*1*G947)</f>
        <v>2612.4749999999999</v>
      </c>
      <c r="Y947" s="19">
        <f>(W947*0*H947)+(W947*1*I947)</f>
        <v>273.2</v>
      </c>
      <c r="Z947" s="19">
        <f>(W947*1*J947)+L947</f>
        <v>0</v>
      </c>
      <c r="AA947" s="20">
        <f>(W947*1*K947)</f>
        <v>0</v>
      </c>
      <c r="AB947" s="20">
        <f>(W947*1*N947)+(W947*1.5*O947)+(W947*2*P947)+(W947*1*Q947)</f>
        <v>2612.4749999999999</v>
      </c>
      <c r="AC947" s="66">
        <f t="shared" ref="AC947:AC952" si="1690">0-Y947-AA947</f>
        <v>-273.2</v>
      </c>
      <c r="AD947" s="208"/>
      <c r="AE947" s="66">
        <f t="shared" si="1679"/>
        <v>0</v>
      </c>
      <c r="AF947" s="208">
        <f>SUM(AE947:AE955)</f>
        <v>-116.24999999999955</v>
      </c>
      <c r="AG947" s="8"/>
    </row>
    <row r="948" spans="1:33" x14ac:dyDescent="0.45">
      <c r="A948" s="22">
        <f>A947</f>
        <v>45158</v>
      </c>
      <c r="B948" s="15" t="s">
        <v>4</v>
      </c>
      <c r="C948" s="48">
        <f>80*W948</f>
        <v>2520</v>
      </c>
      <c r="D948" s="13">
        <v>80</v>
      </c>
      <c r="E948" s="13">
        <v>15.5</v>
      </c>
      <c r="F948" s="13">
        <v>0</v>
      </c>
      <c r="G948" s="13">
        <v>0</v>
      </c>
      <c r="H948" s="13">
        <v>0</v>
      </c>
      <c r="I948" s="13">
        <v>0</v>
      </c>
      <c r="J948" s="13">
        <v>0</v>
      </c>
      <c r="K948" s="13">
        <v>0</v>
      </c>
      <c r="L948" s="45">
        <v>0</v>
      </c>
      <c r="M948" s="34"/>
      <c r="N948" s="13">
        <v>72</v>
      </c>
      <c r="O948" s="13">
        <v>9</v>
      </c>
      <c r="P948" s="13">
        <v>0</v>
      </c>
      <c r="Q948" s="13">
        <v>0</v>
      </c>
      <c r="R948" s="34"/>
      <c r="S948" s="13">
        <f t="shared" ref="S948:S950" si="1691">SUM(D948:G948)</f>
        <v>95.5</v>
      </c>
      <c r="T948" s="13">
        <f t="shared" ref="T948" si="1692">SUM(N948:Q948)</f>
        <v>81</v>
      </c>
      <c r="U948" s="13">
        <f>SUM(H948:K948)</f>
        <v>0</v>
      </c>
      <c r="V948" s="34"/>
      <c r="W948" s="45">
        <v>31.5</v>
      </c>
      <c r="X948" s="10">
        <f t="shared" ref="X948:X949" si="1693">(W948*1*D948)+(W948*1.5*E948)+(W948*2*F948)+(W948*1*G948)</f>
        <v>3252.375</v>
      </c>
      <c r="Y948" s="10">
        <f t="shared" ref="Y948:Y955" si="1694">(W948*0*H948)+(W948*1*I948)</f>
        <v>0</v>
      </c>
      <c r="Z948" s="10">
        <f t="shared" ref="Z948:Z950" si="1695">(W948*1*J948)+L948</f>
        <v>0</v>
      </c>
      <c r="AA948" s="14">
        <f t="shared" ref="AA948:AA955" si="1696">(W948*1*K948)</f>
        <v>0</v>
      </c>
      <c r="AB948" s="14">
        <f t="shared" ref="AB948:AB950" si="1697">(W948*1*N948)+(W948*1.5*O948)+(W948*2*P948)+(W948*1*Q948)</f>
        <v>2693.25</v>
      </c>
      <c r="AC948" s="63">
        <f t="shared" si="1690"/>
        <v>0</v>
      </c>
      <c r="AD948" s="209"/>
      <c r="AE948" s="63">
        <f t="shared" si="1679"/>
        <v>-559.125</v>
      </c>
      <c r="AF948" s="209"/>
      <c r="AG948" s="8"/>
    </row>
    <row r="949" spans="1:33" x14ac:dyDescent="0.45">
      <c r="A949" s="22">
        <f t="shared" ref="A949:A955" si="1698">A948</f>
        <v>45158</v>
      </c>
      <c r="B949" s="15" t="s">
        <v>5</v>
      </c>
      <c r="C949" s="48">
        <f>120*W949</f>
        <v>3654</v>
      </c>
      <c r="D949" s="13">
        <v>68.25</v>
      </c>
      <c r="E949" s="13">
        <v>12</v>
      </c>
      <c r="F949" s="13">
        <v>12</v>
      </c>
      <c r="G949" s="13">
        <v>16</v>
      </c>
      <c r="H949" s="13">
        <v>0</v>
      </c>
      <c r="I949" s="13">
        <v>16</v>
      </c>
      <c r="J949" s="13">
        <v>0</v>
      </c>
      <c r="K949" s="13">
        <v>0</v>
      </c>
      <c r="L949" s="45">
        <v>0</v>
      </c>
      <c r="M949" s="34"/>
      <c r="N949" s="13">
        <v>60.25</v>
      </c>
      <c r="O949" s="13">
        <v>20</v>
      </c>
      <c r="P949" s="13">
        <v>12</v>
      </c>
      <c r="Q949" s="13">
        <v>15.5</v>
      </c>
      <c r="R949" s="34"/>
      <c r="S949" s="13">
        <f t="shared" si="1691"/>
        <v>108.25</v>
      </c>
      <c r="T949" s="13">
        <f>SUM(N949:Q949)</f>
        <v>107.75</v>
      </c>
      <c r="U949" s="13">
        <f t="shared" ref="U949:U950" si="1699">SUM(H949:K949)</f>
        <v>16</v>
      </c>
      <c r="V949" s="34"/>
      <c r="W949" s="45">
        <v>30.45</v>
      </c>
      <c r="X949" s="10">
        <f t="shared" si="1693"/>
        <v>3844.3125</v>
      </c>
      <c r="Y949" s="10">
        <f t="shared" si="1694"/>
        <v>487.2</v>
      </c>
      <c r="Z949" s="10">
        <f t="shared" si="1695"/>
        <v>0</v>
      </c>
      <c r="AA949" s="14">
        <f t="shared" si="1696"/>
        <v>0</v>
      </c>
      <c r="AB949" s="14">
        <f t="shared" si="1697"/>
        <v>3950.8875000000003</v>
      </c>
      <c r="AC949" s="63">
        <f t="shared" si="1690"/>
        <v>-487.2</v>
      </c>
      <c r="AD949" s="209"/>
      <c r="AE949" s="63">
        <f t="shared" si="1679"/>
        <v>106.57500000000027</v>
      </c>
      <c r="AF949" s="209"/>
      <c r="AG949" s="8"/>
    </row>
    <row r="950" spans="1:33" x14ac:dyDescent="0.45">
      <c r="A950" s="22">
        <f t="shared" si="1698"/>
        <v>45158</v>
      </c>
      <c r="B950" s="15" t="s">
        <v>6</v>
      </c>
      <c r="C950" s="48">
        <f>120*W950</f>
        <v>3780</v>
      </c>
      <c r="D950" s="13">
        <v>80</v>
      </c>
      <c r="E950" s="13">
        <v>7</v>
      </c>
      <c r="F950" s="13">
        <v>0</v>
      </c>
      <c r="G950" s="13">
        <v>6.5</v>
      </c>
      <c r="H950" s="13">
        <v>0</v>
      </c>
      <c r="I950" s="13">
        <v>0</v>
      </c>
      <c r="J950" s="13">
        <v>0</v>
      </c>
      <c r="K950" s="13">
        <v>0</v>
      </c>
      <c r="L950" s="45">
        <v>0</v>
      </c>
      <c r="M950" s="34"/>
      <c r="N950" s="13">
        <v>72</v>
      </c>
      <c r="O950" s="13">
        <v>14</v>
      </c>
      <c r="P950" s="13">
        <v>0.5</v>
      </c>
      <c r="Q950" s="13">
        <v>6.5</v>
      </c>
      <c r="R950" s="34"/>
      <c r="S950" s="13">
        <f t="shared" si="1691"/>
        <v>93.5</v>
      </c>
      <c r="T950" s="13">
        <f t="shared" ref="T950" si="1700">SUM(N950:Q950)</f>
        <v>93</v>
      </c>
      <c r="U950" s="13">
        <f t="shared" si="1699"/>
        <v>0</v>
      </c>
      <c r="V950" s="34"/>
      <c r="W950" s="45">
        <v>31.5</v>
      </c>
      <c r="X950" s="45">
        <f>(W950*1*D950)+(W950*1.5*E950)+(W950*2*F950)+(W950*1*G950)</f>
        <v>3055.5</v>
      </c>
      <c r="Y950" s="45">
        <f t="shared" si="1694"/>
        <v>0</v>
      </c>
      <c r="Z950" s="45">
        <f t="shared" si="1695"/>
        <v>0</v>
      </c>
      <c r="AA950" s="79">
        <f t="shared" si="1696"/>
        <v>0</v>
      </c>
      <c r="AB950" s="79">
        <f t="shared" si="1697"/>
        <v>3165.75</v>
      </c>
      <c r="AC950" s="80">
        <f t="shared" si="1690"/>
        <v>0</v>
      </c>
      <c r="AD950" s="209"/>
      <c r="AE950" s="80">
        <f t="shared" si="1679"/>
        <v>110.25</v>
      </c>
      <c r="AF950" s="209"/>
      <c r="AG950" s="8"/>
    </row>
    <row r="951" spans="1:33" x14ac:dyDescent="0.45">
      <c r="A951" s="22">
        <f t="shared" si="1698"/>
        <v>45158</v>
      </c>
      <c r="B951" s="50" t="s">
        <v>31</v>
      </c>
      <c r="C951" s="48">
        <f>120*W951</f>
        <v>3780</v>
      </c>
      <c r="D951" s="51">
        <v>40</v>
      </c>
      <c r="E951" s="51">
        <v>3</v>
      </c>
      <c r="F951" s="51">
        <v>0</v>
      </c>
      <c r="G951" s="51">
        <v>0</v>
      </c>
      <c r="H951" s="51">
        <v>0</v>
      </c>
      <c r="I951" s="51">
        <v>60</v>
      </c>
      <c r="J951" s="51">
        <v>0</v>
      </c>
      <c r="K951" s="51">
        <v>0</v>
      </c>
      <c r="L951" s="52">
        <v>0</v>
      </c>
      <c r="M951" s="34"/>
      <c r="N951" s="13">
        <v>40</v>
      </c>
      <c r="O951" s="13">
        <v>3</v>
      </c>
      <c r="P951" s="13">
        <v>0</v>
      </c>
      <c r="Q951" s="13">
        <v>0</v>
      </c>
      <c r="R951" s="34"/>
      <c r="S951" s="51">
        <f t="shared" ref="S951" si="1701">SUM(D951:G951)</f>
        <v>43</v>
      </c>
      <c r="T951" s="51">
        <f>SUM(N951:Q951)</f>
        <v>43</v>
      </c>
      <c r="U951" s="51">
        <f t="shared" ref="U951" si="1702">SUM(H951:K951)</f>
        <v>60</v>
      </c>
      <c r="V951" s="34"/>
      <c r="W951" s="52">
        <v>31.5</v>
      </c>
      <c r="X951" s="53">
        <f>(W951*1*D951)+(W951*1.5*E951)+(W951*2*F951)+(W951*1*G951)</f>
        <v>1401.75</v>
      </c>
      <c r="Y951" s="53">
        <f t="shared" si="1694"/>
        <v>1890</v>
      </c>
      <c r="Z951" s="53">
        <f>(W951*1*J951)+L951</f>
        <v>0</v>
      </c>
      <c r="AA951" s="54">
        <f t="shared" si="1696"/>
        <v>0</v>
      </c>
      <c r="AB951" s="54">
        <f>(W951*1*N951)+(W951*1.5*O951)+(W951*2*P951)+(W951*1*Q951)</f>
        <v>1401.75</v>
      </c>
      <c r="AC951" s="64">
        <f t="shared" si="1690"/>
        <v>-1890</v>
      </c>
      <c r="AD951" s="209"/>
      <c r="AE951" s="64">
        <f t="shared" ref="AE951:AE959" si="1703">AB951-(X951+Z951)</f>
        <v>0</v>
      </c>
      <c r="AF951" s="209"/>
      <c r="AG951" s="8"/>
    </row>
    <row r="952" spans="1:33" x14ac:dyDescent="0.45">
      <c r="A952" s="22">
        <f t="shared" si="1698"/>
        <v>45158</v>
      </c>
      <c r="B952" s="50" t="s">
        <v>64</v>
      </c>
      <c r="C952" s="48">
        <f t="shared" ref="C952:C955" si="1704">80*W952</f>
        <v>1672</v>
      </c>
      <c r="D952" s="51">
        <v>71</v>
      </c>
      <c r="E952" s="51">
        <v>-2.5</v>
      </c>
      <c r="F952" s="51">
        <v>0</v>
      </c>
      <c r="G952" s="51">
        <v>6</v>
      </c>
      <c r="H952" s="51">
        <v>0</v>
      </c>
      <c r="I952" s="51">
        <v>8</v>
      </c>
      <c r="J952" s="51">
        <v>0</v>
      </c>
      <c r="K952" s="51">
        <v>0</v>
      </c>
      <c r="L952" s="52">
        <v>0</v>
      </c>
      <c r="M952" s="34"/>
      <c r="N952" s="51">
        <v>72</v>
      </c>
      <c r="O952" s="51">
        <v>1</v>
      </c>
      <c r="P952" s="51">
        <v>0</v>
      </c>
      <c r="Q952" s="51">
        <v>4</v>
      </c>
      <c r="R952" s="34"/>
      <c r="S952" s="51">
        <f t="shared" ref="S952:S953" si="1705">SUM(D952:G952)</f>
        <v>74.5</v>
      </c>
      <c r="T952" s="51">
        <f>SUM(N952:Q952)</f>
        <v>77</v>
      </c>
      <c r="U952" s="51">
        <f t="shared" ref="U952:U953" si="1706">SUM(H952:K952)</f>
        <v>8</v>
      </c>
      <c r="V952" s="34"/>
      <c r="W952" s="52">
        <v>20.9</v>
      </c>
      <c r="X952" s="53">
        <f t="shared" ref="X952:X955" si="1707">(W952*1*D952)+(W952*1.5*E952)+(W952*2*F952)+(W952*1*G952)</f>
        <v>1530.925</v>
      </c>
      <c r="Y952" s="53">
        <f t="shared" si="1694"/>
        <v>167.2</v>
      </c>
      <c r="Z952" s="53">
        <f t="shared" ref="Z952:Z955" si="1708">(W952*1*J952)+L952</f>
        <v>0</v>
      </c>
      <c r="AA952" s="54">
        <f t="shared" si="1696"/>
        <v>0</v>
      </c>
      <c r="AB952" s="54">
        <f t="shared" ref="AB952:AB955" si="1709">(W952*1*N952)+(W952*1.5*O952)+(W952*2*P952)+(W952*1*Q952)</f>
        <v>1619.7499999999998</v>
      </c>
      <c r="AC952" s="64">
        <f t="shared" si="1690"/>
        <v>-167.2</v>
      </c>
      <c r="AD952" s="209"/>
      <c r="AE952" s="64">
        <f t="shared" si="1703"/>
        <v>88.824999999999818</v>
      </c>
      <c r="AF952" s="209"/>
      <c r="AG952" s="8"/>
    </row>
    <row r="953" spans="1:33" x14ac:dyDescent="0.45">
      <c r="A953" s="22">
        <f t="shared" si="1698"/>
        <v>45158</v>
      </c>
      <c r="B953" s="50" t="s">
        <v>54</v>
      </c>
      <c r="C953" s="48">
        <f t="shared" si="1704"/>
        <v>2024</v>
      </c>
      <c r="D953" s="51">
        <v>79.75</v>
      </c>
      <c r="E953" s="51">
        <v>11</v>
      </c>
      <c r="F953" s="51">
        <v>0</v>
      </c>
      <c r="G953" s="51">
        <v>4</v>
      </c>
      <c r="H953" s="51">
        <v>0</v>
      </c>
      <c r="I953" s="51">
        <v>8</v>
      </c>
      <c r="J953" s="51">
        <v>0</v>
      </c>
      <c r="K953" s="51">
        <v>0</v>
      </c>
      <c r="L953" s="52">
        <v>0</v>
      </c>
      <c r="M953" s="34"/>
      <c r="N953" s="13">
        <v>72</v>
      </c>
      <c r="O953" s="13">
        <v>18.75</v>
      </c>
      <c r="P953" s="13">
        <v>0</v>
      </c>
      <c r="Q953" s="13">
        <v>4</v>
      </c>
      <c r="R953" s="34"/>
      <c r="S953" s="51">
        <f t="shared" si="1705"/>
        <v>94.75</v>
      </c>
      <c r="T953" s="51">
        <f t="shared" ref="T953" si="1710">SUM(N953:Q953)</f>
        <v>94.75</v>
      </c>
      <c r="U953" s="51">
        <f t="shared" si="1706"/>
        <v>8</v>
      </c>
      <c r="V953" s="34"/>
      <c r="W953" s="52">
        <v>25.3</v>
      </c>
      <c r="X953" s="53">
        <f t="shared" si="1707"/>
        <v>2536.3249999999998</v>
      </c>
      <c r="Y953" s="53">
        <f t="shared" si="1694"/>
        <v>202.4</v>
      </c>
      <c r="Z953" s="53">
        <f t="shared" si="1708"/>
        <v>0</v>
      </c>
      <c r="AA953" s="54">
        <f t="shared" si="1696"/>
        <v>0</v>
      </c>
      <c r="AB953" s="54">
        <f t="shared" si="1709"/>
        <v>2634.3625000000002</v>
      </c>
      <c r="AC953" s="64">
        <f>0-Y953-AA953</f>
        <v>-202.4</v>
      </c>
      <c r="AD953" s="209"/>
      <c r="AE953" s="64">
        <f t="shared" si="1703"/>
        <v>98.037500000000364</v>
      </c>
      <c r="AF953" s="209"/>
      <c r="AG953" s="8"/>
    </row>
    <row r="954" spans="1:33" x14ac:dyDescent="0.45">
      <c r="A954" s="22">
        <f t="shared" si="1698"/>
        <v>45158</v>
      </c>
      <c r="B954" s="50" t="s">
        <v>65</v>
      </c>
      <c r="C954" s="48">
        <f t="shared" si="1704"/>
        <v>1672</v>
      </c>
      <c r="D954" s="51">
        <v>75.75</v>
      </c>
      <c r="E954" s="51">
        <v>4.5</v>
      </c>
      <c r="F954" s="51">
        <v>0</v>
      </c>
      <c r="G954" s="51">
        <v>0</v>
      </c>
      <c r="H954" s="51">
        <v>0</v>
      </c>
      <c r="I954" s="51">
        <v>8</v>
      </c>
      <c r="J954" s="51">
        <v>0</v>
      </c>
      <c r="K954" s="51">
        <v>0</v>
      </c>
      <c r="L954" s="52">
        <v>0</v>
      </c>
      <c r="M954" s="34"/>
      <c r="N954" s="51">
        <v>72</v>
      </c>
      <c r="O954" s="51">
        <v>8.25</v>
      </c>
      <c r="P954" s="51">
        <v>0</v>
      </c>
      <c r="Q954" s="51">
        <v>0</v>
      </c>
      <c r="R954" s="34"/>
      <c r="S954" s="51">
        <f t="shared" ref="S954:S955" si="1711">SUM(D954:G954)</f>
        <v>80.25</v>
      </c>
      <c r="T954" s="51">
        <f t="shared" ref="T954:T955" si="1712">SUM(N954:Q954)</f>
        <v>80.25</v>
      </c>
      <c r="U954" s="51">
        <f t="shared" ref="U954:U955" si="1713">SUM(H954:K954)</f>
        <v>8</v>
      </c>
      <c r="V954" s="34"/>
      <c r="W954" s="52">
        <v>20.9</v>
      </c>
      <c r="X954" s="53">
        <f t="shared" si="1707"/>
        <v>1724.25</v>
      </c>
      <c r="Y954" s="53">
        <f t="shared" si="1694"/>
        <v>167.2</v>
      </c>
      <c r="Z954" s="53">
        <f t="shared" si="1708"/>
        <v>0</v>
      </c>
      <c r="AA954" s="54">
        <f t="shared" si="1696"/>
        <v>0</v>
      </c>
      <c r="AB954" s="54">
        <f t="shared" si="1709"/>
        <v>1763.4375</v>
      </c>
      <c r="AC954" s="64">
        <f>0-Y954-AA954</f>
        <v>-167.2</v>
      </c>
      <c r="AD954" s="209"/>
      <c r="AE954" s="64">
        <f t="shared" si="1703"/>
        <v>39.1875</v>
      </c>
      <c r="AF954" s="209"/>
      <c r="AG954" s="8"/>
    </row>
    <row r="955" spans="1:33" ht="14.65" thickBot="1" x14ac:dyDescent="0.5">
      <c r="A955" s="23">
        <f t="shared" si="1698"/>
        <v>45158</v>
      </c>
      <c r="B955" s="24" t="s">
        <v>66</v>
      </c>
      <c r="C955" s="49">
        <f t="shared" si="1704"/>
        <v>1672</v>
      </c>
      <c r="D955" s="25">
        <v>67.75</v>
      </c>
      <c r="E955" s="25">
        <v>5.25</v>
      </c>
      <c r="F955" s="25">
        <v>0</v>
      </c>
      <c r="G955" s="25">
        <v>0</v>
      </c>
      <c r="H955" s="25">
        <v>0</v>
      </c>
      <c r="I955" s="25">
        <v>8</v>
      </c>
      <c r="J955" s="25">
        <v>0</v>
      </c>
      <c r="K955" s="25">
        <v>0</v>
      </c>
      <c r="L955" s="46">
        <v>0</v>
      </c>
      <c r="M955" s="35"/>
      <c r="N955" s="25">
        <v>67.75</v>
      </c>
      <c r="O955" s="25">
        <v>5.25</v>
      </c>
      <c r="P955" s="25">
        <v>0</v>
      </c>
      <c r="Q955" s="25">
        <v>0</v>
      </c>
      <c r="R955" s="35"/>
      <c r="S955" s="25">
        <f t="shared" si="1711"/>
        <v>73</v>
      </c>
      <c r="T955" s="25">
        <f t="shared" si="1712"/>
        <v>73</v>
      </c>
      <c r="U955" s="25">
        <f t="shared" si="1713"/>
        <v>8</v>
      </c>
      <c r="V955" s="35"/>
      <c r="W955" s="46">
        <v>20.9</v>
      </c>
      <c r="X955" s="26">
        <f t="shared" si="1707"/>
        <v>1580.5625</v>
      </c>
      <c r="Y955" s="26">
        <f t="shared" si="1694"/>
        <v>167.2</v>
      </c>
      <c r="Z955" s="26">
        <f t="shared" si="1708"/>
        <v>0</v>
      </c>
      <c r="AA955" s="27">
        <f t="shared" si="1696"/>
        <v>0</v>
      </c>
      <c r="AB955" s="27">
        <f t="shared" si="1709"/>
        <v>1580.5625</v>
      </c>
      <c r="AC955" s="65">
        <f>0-Y955-AA955</f>
        <v>-167.2</v>
      </c>
      <c r="AD955" s="210"/>
      <c r="AE955" s="65">
        <f t="shared" si="1703"/>
        <v>0</v>
      </c>
      <c r="AF955" s="210"/>
      <c r="AG955" s="8"/>
    </row>
    <row r="956" spans="1:33" x14ac:dyDescent="0.45">
      <c r="A956" s="16">
        <f>A955+14</f>
        <v>45172</v>
      </c>
      <c r="B956" s="17" t="s">
        <v>30</v>
      </c>
      <c r="C956" s="47">
        <f>120*W956</f>
        <v>4098</v>
      </c>
      <c r="D956" s="18">
        <v>0</v>
      </c>
      <c r="E956" s="18">
        <v>0</v>
      </c>
      <c r="F956" s="18">
        <v>0</v>
      </c>
      <c r="G956" s="18">
        <v>0</v>
      </c>
      <c r="H956" s="18">
        <v>0</v>
      </c>
      <c r="I956" s="18">
        <v>80</v>
      </c>
      <c r="J956" s="18">
        <v>0</v>
      </c>
      <c r="K956" s="18">
        <v>0</v>
      </c>
      <c r="L956" s="44">
        <v>0</v>
      </c>
      <c r="M956" s="33"/>
      <c r="N956" s="18">
        <v>0</v>
      </c>
      <c r="O956" s="18">
        <v>0</v>
      </c>
      <c r="P956" s="18">
        <v>0</v>
      </c>
      <c r="Q956" s="18">
        <v>0</v>
      </c>
      <c r="R956" s="33"/>
      <c r="S956" s="18">
        <f>SUM(D956:G956)</f>
        <v>0</v>
      </c>
      <c r="T956" s="18">
        <f>SUM(N956:Q956)</f>
        <v>0</v>
      </c>
      <c r="U956" s="18">
        <f>SUM(H956:K956)</f>
        <v>80</v>
      </c>
      <c r="V956" s="33"/>
      <c r="W956" s="44">
        <v>34.15</v>
      </c>
      <c r="X956" s="19">
        <f>(W956*1*D956)+(W956*1.5*E956)+(W956*2*F956)+(W956*1*G956)</f>
        <v>0</v>
      </c>
      <c r="Y956" s="19">
        <f>(W956*0*H956)+(W956*1*I956)</f>
        <v>2732</v>
      </c>
      <c r="Z956" s="19">
        <f>(W956*1*J956)+L956</f>
        <v>0</v>
      </c>
      <c r="AA956" s="20">
        <f>(W956*1*K956)</f>
        <v>0</v>
      </c>
      <c r="AB956" s="20">
        <f>(W956*1*N956)+(W956*1.5*O956)+(W956*2*P956)+(W956*1*Q956)</f>
        <v>0</v>
      </c>
      <c r="AC956" s="66">
        <f t="shared" ref="AC956:AC961" si="1714">0-Y956-AA956</f>
        <v>-2732</v>
      </c>
      <c r="AD956" s="208"/>
      <c r="AE956" s="66">
        <f t="shared" si="1703"/>
        <v>0</v>
      </c>
      <c r="AF956" s="208">
        <f>SUM(AE956:AE964)</f>
        <v>-556.54999999999927</v>
      </c>
      <c r="AG956" s="8"/>
    </row>
    <row r="957" spans="1:33" x14ac:dyDescent="0.45">
      <c r="A957" s="22">
        <f>A956</f>
        <v>45172</v>
      </c>
      <c r="B957" s="15" t="s">
        <v>4</v>
      </c>
      <c r="C957" s="48">
        <f>80*W957</f>
        <v>2520</v>
      </c>
      <c r="D957" s="13">
        <v>80</v>
      </c>
      <c r="E957" s="13">
        <v>34.25</v>
      </c>
      <c r="F957" s="13">
        <v>12</v>
      </c>
      <c r="G957" s="13">
        <v>19.5</v>
      </c>
      <c r="H957" s="13">
        <v>0</v>
      </c>
      <c r="I957" s="13">
        <v>0</v>
      </c>
      <c r="J957" s="13">
        <v>0</v>
      </c>
      <c r="K957" s="13">
        <v>0</v>
      </c>
      <c r="L957" s="45">
        <v>0</v>
      </c>
      <c r="M957" s="34"/>
      <c r="N957" s="13">
        <v>80</v>
      </c>
      <c r="O957" s="13">
        <v>22.25</v>
      </c>
      <c r="P957" s="13">
        <v>12</v>
      </c>
      <c r="Q957" s="13">
        <v>19.5</v>
      </c>
      <c r="R957" s="34"/>
      <c r="S957" s="13">
        <f t="shared" ref="S957:S959" si="1715">SUM(D957:G957)</f>
        <v>145.75</v>
      </c>
      <c r="T957" s="13">
        <f t="shared" ref="T957" si="1716">SUM(N957:Q957)</f>
        <v>133.75</v>
      </c>
      <c r="U957" s="13">
        <f>SUM(H957:K957)</f>
        <v>0</v>
      </c>
      <c r="V957" s="34"/>
      <c r="W957" s="45">
        <v>31.5</v>
      </c>
      <c r="X957" s="10">
        <f t="shared" ref="X957:X958" si="1717">(W957*1*D957)+(W957*1.5*E957)+(W957*2*F957)+(W957*1*G957)</f>
        <v>5508.5625</v>
      </c>
      <c r="Y957" s="10">
        <f t="shared" ref="Y957:Y964" si="1718">(W957*0*H957)+(W957*1*I957)</f>
        <v>0</v>
      </c>
      <c r="Z957" s="10">
        <f t="shared" ref="Z957:Z959" si="1719">(W957*1*J957)+L957</f>
        <v>0</v>
      </c>
      <c r="AA957" s="14">
        <f t="shared" ref="AA957:AA964" si="1720">(W957*1*K957)</f>
        <v>0</v>
      </c>
      <c r="AB957" s="14">
        <f t="shared" ref="AB957:AB959" si="1721">(W957*1*N957)+(W957*1.5*O957)+(W957*2*P957)+(W957*1*Q957)</f>
        <v>4941.5625</v>
      </c>
      <c r="AC957" s="63">
        <f t="shared" si="1714"/>
        <v>0</v>
      </c>
      <c r="AD957" s="209"/>
      <c r="AE957" s="63">
        <f t="shared" si="1703"/>
        <v>-567</v>
      </c>
      <c r="AF957" s="209"/>
      <c r="AG957" s="8"/>
    </row>
    <row r="958" spans="1:33" x14ac:dyDescent="0.45">
      <c r="A958" s="22">
        <f t="shared" ref="A958:A964" si="1722">A957</f>
        <v>45172</v>
      </c>
      <c r="B958" s="15" t="s">
        <v>5</v>
      </c>
      <c r="C958" s="48">
        <f>120*W958</f>
        <v>3654</v>
      </c>
      <c r="D958" s="13">
        <v>80</v>
      </c>
      <c r="E958" s="13">
        <v>10.5</v>
      </c>
      <c r="F958" s="13">
        <v>12</v>
      </c>
      <c r="G958" s="13">
        <v>0</v>
      </c>
      <c r="H958" s="13">
        <v>0</v>
      </c>
      <c r="I958" s="13">
        <v>0</v>
      </c>
      <c r="J958" s="13">
        <v>0</v>
      </c>
      <c r="K958" s="13">
        <v>0</v>
      </c>
      <c r="L958" s="45">
        <v>0</v>
      </c>
      <c r="M958" s="34"/>
      <c r="N958" s="13">
        <v>80</v>
      </c>
      <c r="O958" s="13">
        <v>10.5</v>
      </c>
      <c r="P958" s="13">
        <v>12</v>
      </c>
      <c r="Q958" s="13">
        <v>0</v>
      </c>
      <c r="R958" s="34"/>
      <c r="S958" s="13">
        <f t="shared" si="1715"/>
        <v>102.5</v>
      </c>
      <c r="T958" s="13">
        <f>SUM(N958:Q958)</f>
        <v>102.5</v>
      </c>
      <c r="U958" s="13">
        <f t="shared" ref="U958:U959" si="1723">SUM(H958:K958)</f>
        <v>0</v>
      </c>
      <c r="V958" s="34"/>
      <c r="W958" s="45">
        <v>30.45</v>
      </c>
      <c r="X958" s="10">
        <f t="shared" si="1717"/>
        <v>3646.3874999999998</v>
      </c>
      <c r="Y958" s="10">
        <f t="shared" si="1718"/>
        <v>0</v>
      </c>
      <c r="Z958" s="10">
        <f t="shared" si="1719"/>
        <v>0</v>
      </c>
      <c r="AA958" s="14">
        <f t="shared" si="1720"/>
        <v>0</v>
      </c>
      <c r="AB958" s="14">
        <f t="shared" si="1721"/>
        <v>3646.3874999999998</v>
      </c>
      <c r="AC958" s="63">
        <f t="shared" si="1714"/>
        <v>0</v>
      </c>
      <c r="AD958" s="209"/>
      <c r="AE958" s="63">
        <f t="shared" si="1703"/>
        <v>0</v>
      </c>
      <c r="AF958" s="209"/>
      <c r="AG958" s="8"/>
    </row>
    <row r="959" spans="1:33" x14ac:dyDescent="0.45">
      <c r="A959" s="22">
        <f t="shared" si="1722"/>
        <v>45172</v>
      </c>
      <c r="B959" s="15" t="s">
        <v>6</v>
      </c>
      <c r="C959" s="48">
        <f>120*W959</f>
        <v>3780</v>
      </c>
      <c r="D959" s="13">
        <v>80</v>
      </c>
      <c r="E959" s="13">
        <v>8.5</v>
      </c>
      <c r="F959" s="13">
        <v>0</v>
      </c>
      <c r="G959" s="13">
        <v>0</v>
      </c>
      <c r="H959" s="13">
        <v>0</v>
      </c>
      <c r="I959" s="13">
        <v>0</v>
      </c>
      <c r="J959" s="13">
        <v>0</v>
      </c>
      <c r="K959" s="13">
        <v>0</v>
      </c>
      <c r="L959" s="45">
        <v>0</v>
      </c>
      <c r="M959" s="34"/>
      <c r="N959" s="13">
        <v>80</v>
      </c>
      <c r="O959" s="13">
        <v>8.5</v>
      </c>
      <c r="P959" s="13">
        <v>0</v>
      </c>
      <c r="Q959" s="13">
        <v>0</v>
      </c>
      <c r="R959" s="34"/>
      <c r="S959" s="13">
        <f t="shared" si="1715"/>
        <v>88.5</v>
      </c>
      <c r="T959" s="13">
        <f t="shared" ref="T959" si="1724">SUM(N959:Q959)</f>
        <v>88.5</v>
      </c>
      <c r="U959" s="13">
        <f t="shared" si="1723"/>
        <v>0</v>
      </c>
      <c r="V959" s="34"/>
      <c r="W959" s="45">
        <v>31.5</v>
      </c>
      <c r="X959" s="45">
        <f>(W959*1*D959)+(W959*1.5*E959)+(W959*2*F959)+(W959*1*G959)</f>
        <v>2921.625</v>
      </c>
      <c r="Y959" s="45">
        <f t="shared" si="1718"/>
        <v>0</v>
      </c>
      <c r="Z959" s="45">
        <f t="shared" si="1719"/>
        <v>0</v>
      </c>
      <c r="AA959" s="79">
        <f t="shared" si="1720"/>
        <v>0</v>
      </c>
      <c r="AB959" s="79">
        <f t="shared" si="1721"/>
        <v>2921.625</v>
      </c>
      <c r="AC959" s="80">
        <f t="shared" si="1714"/>
        <v>0</v>
      </c>
      <c r="AD959" s="209"/>
      <c r="AE959" s="80">
        <f t="shared" si="1703"/>
        <v>0</v>
      </c>
      <c r="AF959" s="209"/>
      <c r="AG959" s="8"/>
    </row>
    <row r="960" spans="1:33" x14ac:dyDescent="0.45">
      <c r="A960" s="22">
        <f t="shared" si="1722"/>
        <v>45172</v>
      </c>
      <c r="B960" s="50" t="s">
        <v>31</v>
      </c>
      <c r="C960" s="48">
        <f>120*W960</f>
        <v>3780</v>
      </c>
      <c r="D960" s="51">
        <v>80</v>
      </c>
      <c r="E960" s="51">
        <v>11</v>
      </c>
      <c r="F960" s="51">
        <v>12</v>
      </c>
      <c r="G960" s="51">
        <v>0</v>
      </c>
      <c r="H960" s="51">
        <v>0</v>
      </c>
      <c r="I960" s="51">
        <v>0</v>
      </c>
      <c r="J960" s="51">
        <v>0</v>
      </c>
      <c r="K960" s="51">
        <v>0</v>
      </c>
      <c r="L960" s="52">
        <v>0</v>
      </c>
      <c r="M960" s="34"/>
      <c r="N960" s="13">
        <v>80</v>
      </c>
      <c r="O960" s="13">
        <v>11</v>
      </c>
      <c r="P960" s="13">
        <v>12</v>
      </c>
      <c r="Q960" s="13">
        <v>0</v>
      </c>
      <c r="R960" s="34"/>
      <c r="S960" s="51">
        <f t="shared" ref="S960" si="1725">SUM(D960:G960)</f>
        <v>103</v>
      </c>
      <c r="T960" s="51">
        <f>SUM(N960:Q960)</f>
        <v>103</v>
      </c>
      <c r="U960" s="51">
        <f t="shared" ref="U960" si="1726">SUM(H960:K960)</f>
        <v>0</v>
      </c>
      <c r="V960" s="34"/>
      <c r="W960" s="52">
        <v>31.5</v>
      </c>
      <c r="X960" s="53">
        <f>(W960*1*D960)+(W960*1.5*E960)+(W960*2*F960)+(W960*1*G960)</f>
        <v>3795.75</v>
      </c>
      <c r="Y960" s="53">
        <f t="shared" si="1718"/>
        <v>0</v>
      </c>
      <c r="Z960" s="53">
        <f>(W960*1*J960)+L960</f>
        <v>0</v>
      </c>
      <c r="AA960" s="54">
        <f t="shared" si="1720"/>
        <v>0</v>
      </c>
      <c r="AB960" s="54">
        <f>(W960*1*N960)+(W960*1.5*O960)+(W960*2*P960)+(W960*1*Q960)</f>
        <v>3795.75</v>
      </c>
      <c r="AC960" s="64">
        <f t="shared" si="1714"/>
        <v>0</v>
      </c>
      <c r="AD960" s="209"/>
      <c r="AE960" s="64">
        <f t="shared" ref="AE960:AE968" si="1727">AB960-(X960+Z960)</f>
        <v>0</v>
      </c>
      <c r="AF960" s="209"/>
      <c r="AG960" s="8"/>
    </row>
    <row r="961" spans="1:33" x14ac:dyDescent="0.45">
      <c r="A961" s="22">
        <f t="shared" si="1722"/>
        <v>45172</v>
      </c>
      <c r="B961" s="50" t="s">
        <v>64</v>
      </c>
      <c r="C961" s="48">
        <f t="shared" ref="C961:C964" si="1728">80*W961</f>
        <v>1672</v>
      </c>
      <c r="D961" s="51">
        <v>80</v>
      </c>
      <c r="E961" s="51">
        <v>14</v>
      </c>
      <c r="F961" s="51">
        <v>0</v>
      </c>
      <c r="G961" s="51">
        <v>14.5</v>
      </c>
      <c r="H961" s="51">
        <v>0</v>
      </c>
      <c r="I961" s="51">
        <v>0</v>
      </c>
      <c r="J961" s="51">
        <v>0</v>
      </c>
      <c r="K961" s="51">
        <v>0</v>
      </c>
      <c r="L961" s="52">
        <v>0</v>
      </c>
      <c r="M961" s="34"/>
      <c r="N961" s="51">
        <v>80</v>
      </c>
      <c r="O961" s="51">
        <v>13</v>
      </c>
      <c r="P961" s="51">
        <v>1</v>
      </c>
      <c r="Q961" s="51">
        <v>14.5</v>
      </c>
      <c r="R961" s="34"/>
      <c r="S961" s="51">
        <f t="shared" ref="S961:S962" si="1729">SUM(D961:G961)</f>
        <v>108.5</v>
      </c>
      <c r="T961" s="51">
        <f>SUM(N961:Q961)</f>
        <v>108.5</v>
      </c>
      <c r="U961" s="51">
        <f t="shared" ref="U961:U962" si="1730">SUM(H961:K961)</f>
        <v>0</v>
      </c>
      <c r="V961" s="34"/>
      <c r="W961" s="52">
        <v>20.9</v>
      </c>
      <c r="X961" s="53">
        <f t="shared" ref="X961:X964" si="1731">(W961*1*D961)+(W961*1.5*E961)+(W961*2*F961)+(W961*1*G961)</f>
        <v>2413.9499999999998</v>
      </c>
      <c r="Y961" s="53">
        <f t="shared" si="1718"/>
        <v>0</v>
      </c>
      <c r="Z961" s="53">
        <f t="shared" ref="Z961:Z964" si="1732">(W961*1*J961)+L961</f>
        <v>0</v>
      </c>
      <c r="AA961" s="54">
        <f t="shared" si="1720"/>
        <v>0</v>
      </c>
      <c r="AB961" s="54">
        <f t="shared" ref="AB961:AB964" si="1733">(W961*1*N961)+(W961*1.5*O961)+(W961*2*P961)+(W961*1*Q961)</f>
        <v>2424.4000000000005</v>
      </c>
      <c r="AC961" s="64">
        <f t="shared" si="1714"/>
        <v>0</v>
      </c>
      <c r="AD961" s="209"/>
      <c r="AE961" s="64">
        <f t="shared" si="1727"/>
        <v>10.450000000000728</v>
      </c>
      <c r="AF961" s="209"/>
      <c r="AG961" s="8"/>
    </row>
    <row r="962" spans="1:33" x14ac:dyDescent="0.45">
      <c r="A962" s="22">
        <f t="shared" si="1722"/>
        <v>45172</v>
      </c>
      <c r="B962" s="50" t="s">
        <v>54</v>
      </c>
      <c r="C962" s="48">
        <f t="shared" si="1728"/>
        <v>2024</v>
      </c>
      <c r="D962" s="51">
        <v>80</v>
      </c>
      <c r="E962" s="51">
        <v>13.5</v>
      </c>
      <c r="F962" s="51">
        <v>0</v>
      </c>
      <c r="G962" s="51">
        <v>0</v>
      </c>
      <c r="H962" s="51">
        <v>0</v>
      </c>
      <c r="I962" s="51">
        <v>0</v>
      </c>
      <c r="J962" s="51">
        <v>0</v>
      </c>
      <c r="K962" s="51">
        <v>0</v>
      </c>
      <c r="L962" s="52">
        <v>0</v>
      </c>
      <c r="M962" s="34"/>
      <c r="N962" s="13">
        <v>80</v>
      </c>
      <c r="O962" s="13">
        <v>13.5</v>
      </c>
      <c r="P962" s="13">
        <v>0</v>
      </c>
      <c r="Q962" s="13">
        <v>0</v>
      </c>
      <c r="R962" s="34"/>
      <c r="S962" s="51">
        <f t="shared" si="1729"/>
        <v>93.5</v>
      </c>
      <c r="T962" s="51">
        <f t="shared" ref="T962" si="1734">SUM(N962:Q962)</f>
        <v>93.5</v>
      </c>
      <c r="U962" s="51">
        <f t="shared" si="1730"/>
        <v>0</v>
      </c>
      <c r="V962" s="34"/>
      <c r="W962" s="52">
        <v>25.3</v>
      </c>
      <c r="X962" s="53">
        <f t="shared" si="1731"/>
        <v>2536.3249999999998</v>
      </c>
      <c r="Y962" s="53">
        <f t="shared" si="1718"/>
        <v>0</v>
      </c>
      <c r="Z962" s="53">
        <f t="shared" si="1732"/>
        <v>0</v>
      </c>
      <c r="AA962" s="54">
        <f t="shared" si="1720"/>
        <v>0</v>
      </c>
      <c r="AB962" s="54">
        <f t="shared" si="1733"/>
        <v>2536.3249999999998</v>
      </c>
      <c r="AC962" s="64">
        <f>0-Y962-AA962</f>
        <v>0</v>
      </c>
      <c r="AD962" s="209"/>
      <c r="AE962" s="64">
        <f t="shared" si="1727"/>
        <v>0</v>
      </c>
      <c r="AF962" s="209"/>
      <c r="AG962" s="8"/>
    </row>
    <row r="963" spans="1:33" x14ac:dyDescent="0.45">
      <c r="A963" s="22">
        <f t="shared" si="1722"/>
        <v>45172</v>
      </c>
      <c r="B963" s="50" t="s">
        <v>65</v>
      </c>
      <c r="C963" s="48">
        <f t="shared" si="1728"/>
        <v>1672</v>
      </c>
      <c r="D963" s="51">
        <v>80</v>
      </c>
      <c r="E963" s="51">
        <v>14</v>
      </c>
      <c r="F963" s="51">
        <v>0</v>
      </c>
      <c r="G963" s="51">
        <v>0</v>
      </c>
      <c r="H963" s="51">
        <v>0</v>
      </c>
      <c r="I963" s="51">
        <v>0</v>
      </c>
      <c r="J963" s="51">
        <v>0</v>
      </c>
      <c r="K963" s="51">
        <v>0</v>
      </c>
      <c r="L963" s="52">
        <v>0</v>
      </c>
      <c r="M963" s="34"/>
      <c r="N963" s="51">
        <v>80</v>
      </c>
      <c r="O963" s="51">
        <v>14</v>
      </c>
      <c r="P963" s="51">
        <v>0</v>
      </c>
      <c r="Q963" s="51">
        <v>0</v>
      </c>
      <c r="R963" s="34"/>
      <c r="S963" s="51">
        <f t="shared" ref="S963:S964" si="1735">SUM(D963:G963)</f>
        <v>94</v>
      </c>
      <c r="T963" s="51">
        <f t="shared" ref="T963:T964" si="1736">SUM(N963:Q963)</f>
        <v>94</v>
      </c>
      <c r="U963" s="51">
        <f t="shared" ref="U963:U964" si="1737">SUM(H963:K963)</f>
        <v>0</v>
      </c>
      <c r="V963" s="34"/>
      <c r="W963" s="52">
        <v>20.9</v>
      </c>
      <c r="X963" s="53">
        <f t="shared" si="1731"/>
        <v>2110.9</v>
      </c>
      <c r="Y963" s="53">
        <f t="shared" si="1718"/>
        <v>0</v>
      </c>
      <c r="Z963" s="53">
        <f t="shared" si="1732"/>
        <v>0</v>
      </c>
      <c r="AA963" s="54">
        <f t="shared" si="1720"/>
        <v>0</v>
      </c>
      <c r="AB963" s="54">
        <f t="shared" si="1733"/>
        <v>2110.9</v>
      </c>
      <c r="AC963" s="64">
        <f>0-Y963-AA963</f>
        <v>0</v>
      </c>
      <c r="AD963" s="209"/>
      <c r="AE963" s="64">
        <f t="shared" si="1727"/>
        <v>0</v>
      </c>
      <c r="AF963" s="209"/>
      <c r="AG963" s="8"/>
    </row>
    <row r="964" spans="1:33" ht="14.65" thickBot="1" x14ac:dyDescent="0.5">
      <c r="A964" s="23">
        <f t="shared" si="1722"/>
        <v>45172</v>
      </c>
      <c r="B964" s="24" t="s">
        <v>66</v>
      </c>
      <c r="C964" s="49">
        <f t="shared" si="1728"/>
        <v>1672</v>
      </c>
      <c r="D964" s="25">
        <v>80</v>
      </c>
      <c r="E964" s="25">
        <v>11</v>
      </c>
      <c r="F964" s="25">
        <v>0</v>
      </c>
      <c r="G964" s="25">
        <v>0</v>
      </c>
      <c r="H964" s="25">
        <v>0</v>
      </c>
      <c r="I964" s="25">
        <v>0</v>
      </c>
      <c r="J964" s="25">
        <v>0</v>
      </c>
      <c r="K964" s="25">
        <v>0</v>
      </c>
      <c r="L964" s="46">
        <v>0</v>
      </c>
      <c r="M964" s="35"/>
      <c r="N964" s="25">
        <v>80</v>
      </c>
      <c r="O964" s="25">
        <v>11</v>
      </c>
      <c r="P964" s="25">
        <v>0</v>
      </c>
      <c r="Q964" s="25">
        <v>0</v>
      </c>
      <c r="R964" s="35"/>
      <c r="S964" s="25">
        <f t="shared" si="1735"/>
        <v>91</v>
      </c>
      <c r="T964" s="25">
        <f t="shared" si="1736"/>
        <v>91</v>
      </c>
      <c r="U964" s="25">
        <f t="shared" si="1737"/>
        <v>0</v>
      </c>
      <c r="V964" s="35"/>
      <c r="W964" s="46">
        <v>20.9</v>
      </c>
      <c r="X964" s="26">
        <f t="shared" si="1731"/>
        <v>2016.85</v>
      </c>
      <c r="Y964" s="26">
        <f t="shared" si="1718"/>
        <v>0</v>
      </c>
      <c r="Z964" s="26">
        <f t="shared" si="1732"/>
        <v>0</v>
      </c>
      <c r="AA964" s="27">
        <f t="shared" si="1720"/>
        <v>0</v>
      </c>
      <c r="AB964" s="27">
        <f t="shared" si="1733"/>
        <v>2016.85</v>
      </c>
      <c r="AC964" s="65">
        <f>0-Y964-AA964</f>
        <v>0</v>
      </c>
      <c r="AD964" s="210"/>
      <c r="AE964" s="65">
        <f t="shared" si="1727"/>
        <v>0</v>
      </c>
      <c r="AF964" s="210"/>
      <c r="AG964" s="8"/>
    </row>
    <row r="965" spans="1:33" x14ac:dyDescent="0.45">
      <c r="A965" s="16">
        <f>A964+14</f>
        <v>45186</v>
      </c>
      <c r="B965" s="17" t="s">
        <v>30</v>
      </c>
      <c r="C965" s="47">
        <f>120*W965</f>
        <v>4098</v>
      </c>
      <c r="D965" s="18">
        <v>72</v>
      </c>
      <c r="E965" s="18">
        <v>34.5</v>
      </c>
      <c r="F965" s="18">
        <v>11.5</v>
      </c>
      <c r="G965" s="18">
        <v>0</v>
      </c>
      <c r="H965" s="18">
        <v>0</v>
      </c>
      <c r="I965" s="18">
        <v>0</v>
      </c>
      <c r="J965" s="18">
        <v>8</v>
      </c>
      <c r="K965" s="18">
        <v>0</v>
      </c>
      <c r="L965" s="44">
        <v>0</v>
      </c>
      <c r="M965" s="33"/>
      <c r="N965" s="18">
        <v>72</v>
      </c>
      <c r="O965" s="18">
        <v>34.5</v>
      </c>
      <c r="P965" s="18">
        <v>11.5</v>
      </c>
      <c r="Q965" s="18">
        <v>0</v>
      </c>
      <c r="R965" s="33"/>
      <c r="S965" s="18">
        <f>SUM(D965:G965)</f>
        <v>118</v>
      </c>
      <c r="T965" s="18">
        <f>SUM(N965:Q965)</f>
        <v>118</v>
      </c>
      <c r="U965" s="18">
        <f>SUM(H965:K965)</f>
        <v>8</v>
      </c>
      <c r="V965" s="33"/>
      <c r="W965" s="44">
        <v>34.15</v>
      </c>
      <c r="X965" s="19">
        <f>(W965*1*D965)+(W965*1.5*E965)+(W965*2*F965)+(W965*1*G965)</f>
        <v>5011.5124999999998</v>
      </c>
      <c r="Y965" s="19">
        <f>(W965*0*H965)+(W965*1*I965)</f>
        <v>0</v>
      </c>
      <c r="Z965" s="19">
        <f>(W965*1*J965)+L965</f>
        <v>273.2</v>
      </c>
      <c r="AA965" s="20">
        <f>(W965*1*K965)</f>
        <v>0</v>
      </c>
      <c r="AB965" s="20">
        <f>(W965*1*N965)+(W965*1.5*O965)+(W965*2*P965)+(W965*1*Q965)</f>
        <v>5011.5124999999998</v>
      </c>
      <c r="AC965" s="66">
        <f t="shared" ref="AC965:AC970" si="1738">0-Y965-AA965</f>
        <v>0</v>
      </c>
      <c r="AD965" s="208"/>
      <c r="AE965" s="66">
        <f t="shared" si="1727"/>
        <v>-273.19999999999982</v>
      </c>
      <c r="AF965" s="208">
        <f>SUM(AE965:AE973)</f>
        <v>-1740.55</v>
      </c>
      <c r="AG965" s="8"/>
    </row>
    <row r="966" spans="1:33" x14ac:dyDescent="0.45">
      <c r="A966" s="22">
        <f>A965</f>
        <v>45186</v>
      </c>
      <c r="B966" s="15" t="s">
        <v>4</v>
      </c>
      <c r="C966" s="48">
        <f>80*W966</f>
        <v>2520</v>
      </c>
      <c r="D966" s="13">
        <v>72</v>
      </c>
      <c r="E966" s="13">
        <v>24</v>
      </c>
      <c r="F966" s="13">
        <v>10.5</v>
      </c>
      <c r="G966" s="13">
        <v>26</v>
      </c>
      <c r="H966" s="13">
        <v>0</v>
      </c>
      <c r="I966" s="13">
        <v>8</v>
      </c>
      <c r="J966" s="13">
        <v>8</v>
      </c>
      <c r="K966" s="13">
        <v>0</v>
      </c>
      <c r="L966" s="45">
        <v>0</v>
      </c>
      <c r="M966" s="34"/>
      <c r="N966" s="13">
        <v>72</v>
      </c>
      <c r="O966" s="13">
        <v>10</v>
      </c>
      <c r="P966" s="13">
        <v>24.5</v>
      </c>
      <c r="Q966" s="13">
        <v>26</v>
      </c>
      <c r="R966" s="34"/>
      <c r="S966" s="13">
        <f t="shared" ref="S966:S968" si="1739">SUM(D966:G966)</f>
        <v>132.5</v>
      </c>
      <c r="T966" s="13">
        <f t="shared" ref="T966" si="1740">SUM(N966:Q966)</f>
        <v>132.5</v>
      </c>
      <c r="U966" s="13">
        <f>SUM(H966:K966)</f>
        <v>16</v>
      </c>
      <c r="V966" s="34"/>
      <c r="W966" s="45">
        <v>31.5</v>
      </c>
      <c r="X966" s="10">
        <f t="shared" ref="X966:X967" si="1741">(W966*1*D966)+(W966*1.5*E966)+(W966*2*F966)+(W966*1*G966)</f>
        <v>4882.5</v>
      </c>
      <c r="Y966" s="10">
        <f t="shared" ref="Y966:Y973" si="1742">(W966*0*H966)+(W966*1*I966)</f>
        <v>252</v>
      </c>
      <c r="Z966" s="10">
        <f t="shared" ref="Z966:Z968" si="1743">(W966*1*J966)+L966</f>
        <v>252</v>
      </c>
      <c r="AA966" s="14">
        <f t="shared" ref="AA966:AA973" si="1744">(W966*1*K966)</f>
        <v>0</v>
      </c>
      <c r="AB966" s="14">
        <f t="shared" ref="AB966:AB968" si="1745">(W966*1*N966)+(W966*1.5*O966)+(W966*2*P966)+(W966*1*Q966)</f>
        <v>5103</v>
      </c>
      <c r="AC966" s="63">
        <f t="shared" si="1738"/>
        <v>-252</v>
      </c>
      <c r="AD966" s="209"/>
      <c r="AE966" s="63">
        <f t="shared" si="1727"/>
        <v>-31.5</v>
      </c>
      <c r="AF966" s="209"/>
      <c r="AG966" s="8"/>
    </row>
    <row r="967" spans="1:33" x14ac:dyDescent="0.45">
      <c r="A967" s="22">
        <f t="shared" ref="A967:A973" si="1746">A966</f>
        <v>45186</v>
      </c>
      <c r="B967" s="15" t="s">
        <v>5</v>
      </c>
      <c r="C967" s="48">
        <f>120*W967</f>
        <v>3654</v>
      </c>
      <c r="D967" s="13">
        <v>72</v>
      </c>
      <c r="E967" s="13">
        <v>52.25</v>
      </c>
      <c r="F967" s="13">
        <v>11.5</v>
      </c>
      <c r="G967" s="13">
        <v>0</v>
      </c>
      <c r="H967" s="13">
        <v>0</v>
      </c>
      <c r="I967" s="13">
        <v>0</v>
      </c>
      <c r="J967" s="13">
        <v>8</v>
      </c>
      <c r="K967" s="13">
        <v>0</v>
      </c>
      <c r="L967" s="45">
        <v>0</v>
      </c>
      <c r="M967" s="34"/>
      <c r="N967" s="13">
        <v>72</v>
      </c>
      <c r="O967" s="13">
        <v>52.25</v>
      </c>
      <c r="P967" s="13">
        <v>11.5</v>
      </c>
      <c r="Q967" s="13">
        <v>0</v>
      </c>
      <c r="R967" s="34"/>
      <c r="S967" s="13">
        <f t="shared" si="1739"/>
        <v>135.75</v>
      </c>
      <c r="T967" s="13">
        <f>SUM(N967:Q967)</f>
        <v>135.75</v>
      </c>
      <c r="U967" s="13">
        <f t="shared" ref="U967:U968" si="1747">SUM(H967:K967)</f>
        <v>8</v>
      </c>
      <c r="V967" s="34"/>
      <c r="W967" s="45">
        <v>30.45</v>
      </c>
      <c r="X967" s="10">
        <f t="shared" si="1741"/>
        <v>5279.2687500000002</v>
      </c>
      <c r="Y967" s="10">
        <f t="shared" si="1742"/>
        <v>0</v>
      </c>
      <c r="Z967" s="10">
        <f t="shared" si="1743"/>
        <v>243.6</v>
      </c>
      <c r="AA967" s="14">
        <f t="shared" si="1744"/>
        <v>0</v>
      </c>
      <c r="AB967" s="14">
        <f t="shared" si="1745"/>
        <v>5279.2687500000002</v>
      </c>
      <c r="AC967" s="63">
        <f t="shared" si="1738"/>
        <v>0</v>
      </c>
      <c r="AD967" s="209"/>
      <c r="AE967" s="63">
        <f t="shared" si="1727"/>
        <v>-243.60000000000036</v>
      </c>
      <c r="AF967" s="209"/>
      <c r="AG967" s="8"/>
    </row>
    <row r="968" spans="1:33" x14ac:dyDescent="0.45">
      <c r="A968" s="22">
        <f t="shared" si="1746"/>
        <v>45186</v>
      </c>
      <c r="B968" s="15" t="s">
        <v>6</v>
      </c>
      <c r="C968" s="48">
        <f>120*W968</f>
        <v>3780</v>
      </c>
      <c r="D968" s="13">
        <v>72</v>
      </c>
      <c r="E968" s="13">
        <v>25.75</v>
      </c>
      <c r="F968" s="13">
        <v>0</v>
      </c>
      <c r="G968" s="13">
        <v>6.5</v>
      </c>
      <c r="H968" s="13">
        <v>0</v>
      </c>
      <c r="I968" s="13">
        <v>0</v>
      </c>
      <c r="J968" s="13">
        <v>8</v>
      </c>
      <c r="K968" s="13">
        <v>0</v>
      </c>
      <c r="L968" s="45">
        <v>0</v>
      </c>
      <c r="M968" s="34"/>
      <c r="N968" s="13">
        <v>72</v>
      </c>
      <c r="O968" s="13">
        <v>24.75</v>
      </c>
      <c r="P968" s="13">
        <v>1</v>
      </c>
      <c r="Q968" s="13">
        <v>6.5</v>
      </c>
      <c r="R968" s="34"/>
      <c r="S968" s="13">
        <f t="shared" si="1739"/>
        <v>104.25</v>
      </c>
      <c r="T968" s="13">
        <f t="shared" ref="T968" si="1748">SUM(N968:Q968)</f>
        <v>104.25</v>
      </c>
      <c r="U968" s="13">
        <f t="shared" si="1747"/>
        <v>8</v>
      </c>
      <c r="V968" s="34"/>
      <c r="W968" s="45">
        <v>31.5</v>
      </c>
      <c r="X968" s="45">
        <f>(W968*1*D968)+(W968*1.5*E968)+(W968*2*F968)+(W968*1*G968)</f>
        <v>3689.4375</v>
      </c>
      <c r="Y968" s="45">
        <f t="shared" si="1742"/>
        <v>0</v>
      </c>
      <c r="Z968" s="45">
        <f t="shared" si="1743"/>
        <v>252</v>
      </c>
      <c r="AA968" s="79">
        <f t="shared" si="1744"/>
        <v>0</v>
      </c>
      <c r="AB968" s="79">
        <f t="shared" si="1745"/>
        <v>3705.1875</v>
      </c>
      <c r="AC968" s="80">
        <f t="shared" si="1738"/>
        <v>0</v>
      </c>
      <c r="AD968" s="209"/>
      <c r="AE968" s="80">
        <f t="shared" si="1727"/>
        <v>-236.25</v>
      </c>
      <c r="AF968" s="209"/>
      <c r="AG968" s="8"/>
    </row>
    <row r="969" spans="1:33" x14ac:dyDescent="0.45">
      <c r="A969" s="22">
        <f t="shared" si="1746"/>
        <v>45186</v>
      </c>
      <c r="B969" s="50" t="s">
        <v>31</v>
      </c>
      <c r="C969" s="48">
        <f>120*W969</f>
        <v>3780</v>
      </c>
      <c r="D969" s="51">
        <v>72</v>
      </c>
      <c r="E969" s="51">
        <v>52.25</v>
      </c>
      <c r="F969" s="51">
        <v>11.5</v>
      </c>
      <c r="G969" s="51">
        <v>0</v>
      </c>
      <c r="H969" s="51">
        <v>0</v>
      </c>
      <c r="I969" s="51">
        <v>0</v>
      </c>
      <c r="J969" s="51">
        <v>8</v>
      </c>
      <c r="K969" s="51">
        <v>0</v>
      </c>
      <c r="L969" s="52">
        <v>0</v>
      </c>
      <c r="M969" s="34"/>
      <c r="N969" s="13">
        <v>72</v>
      </c>
      <c r="O969" s="13">
        <v>52.25</v>
      </c>
      <c r="P969" s="13">
        <v>11.5</v>
      </c>
      <c r="Q969" s="13">
        <v>0</v>
      </c>
      <c r="R969" s="34"/>
      <c r="S969" s="51">
        <f t="shared" ref="S969" si="1749">SUM(D969:G969)</f>
        <v>135.75</v>
      </c>
      <c r="T969" s="51">
        <f>SUM(N969:Q969)</f>
        <v>135.75</v>
      </c>
      <c r="U969" s="51">
        <f t="shared" ref="U969" si="1750">SUM(H969:K969)</f>
        <v>8</v>
      </c>
      <c r="V969" s="34"/>
      <c r="W969" s="52">
        <v>31.5</v>
      </c>
      <c r="X969" s="53">
        <f>(W969*1*D969)+(W969*1.5*E969)+(W969*2*F969)+(W969*1*G969)</f>
        <v>5461.3125</v>
      </c>
      <c r="Y969" s="53">
        <f t="shared" si="1742"/>
        <v>0</v>
      </c>
      <c r="Z969" s="53">
        <f>(W969*1*J969)+L969</f>
        <v>252</v>
      </c>
      <c r="AA969" s="54">
        <f t="shared" si="1744"/>
        <v>0</v>
      </c>
      <c r="AB969" s="54">
        <f>(W969*1*N969)+(W969*1.5*O969)+(W969*2*P969)+(W969*1*Q969)</f>
        <v>5461.3125</v>
      </c>
      <c r="AC969" s="64">
        <f t="shared" si="1738"/>
        <v>0</v>
      </c>
      <c r="AD969" s="209"/>
      <c r="AE969" s="64">
        <f t="shared" ref="AE969:AE977" si="1751">AB969-(X969+Z969)</f>
        <v>-252</v>
      </c>
      <c r="AF969" s="209"/>
      <c r="AG969" s="8"/>
    </row>
    <row r="970" spans="1:33" x14ac:dyDescent="0.45">
      <c r="A970" s="22">
        <f t="shared" si="1746"/>
        <v>45186</v>
      </c>
      <c r="B970" s="50" t="s">
        <v>64</v>
      </c>
      <c r="C970" s="48">
        <f t="shared" ref="C970:C973" si="1752">80*W970</f>
        <v>1672</v>
      </c>
      <c r="D970" s="51">
        <v>72</v>
      </c>
      <c r="E970" s="51">
        <v>11.25</v>
      </c>
      <c r="F970" s="51">
        <v>0</v>
      </c>
      <c r="G970" s="51">
        <v>6</v>
      </c>
      <c r="H970" s="51">
        <v>0</v>
      </c>
      <c r="I970" s="51">
        <v>0</v>
      </c>
      <c r="J970" s="51">
        <v>8</v>
      </c>
      <c r="K970" s="51">
        <v>0</v>
      </c>
      <c r="L970" s="52">
        <v>0</v>
      </c>
      <c r="M970" s="34"/>
      <c r="N970" s="51">
        <v>72</v>
      </c>
      <c r="O970" s="51">
        <v>11.25</v>
      </c>
      <c r="P970" s="51">
        <v>0</v>
      </c>
      <c r="Q970" s="51">
        <v>6</v>
      </c>
      <c r="R970" s="34"/>
      <c r="S970" s="51">
        <f t="shared" ref="S970:S971" si="1753">SUM(D970:G970)</f>
        <v>89.25</v>
      </c>
      <c r="T970" s="51">
        <f>SUM(N970:Q970)</f>
        <v>89.25</v>
      </c>
      <c r="U970" s="51">
        <f t="shared" ref="U970:U971" si="1754">SUM(H970:K970)</f>
        <v>8</v>
      </c>
      <c r="V970" s="34"/>
      <c r="W970" s="52">
        <v>20.9</v>
      </c>
      <c r="X970" s="53">
        <f t="shared" ref="X970:X973" si="1755">(W970*1*D970)+(W970*1.5*E970)+(W970*2*F970)+(W970*1*G970)</f>
        <v>1982.8875</v>
      </c>
      <c r="Y970" s="53">
        <f t="shared" si="1742"/>
        <v>0</v>
      </c>
      <c r="Z970" s="53">
        <f t="shared" ref="Z970:Z973" si="1756">(W970*1*J970)+L970</f>
        <v>167.2</v>
      </c>
      <c r="AA970" s="54">
        <f t="shared" si="1744"/>
        <v>0</v>
      </c>
      <c r="AB970" s="54">
        <f t="shared" ref="AB970:AB973" si="1757">(W970*1*N970)+(W970*1.5*O970)+(W970*2*P970)+(W970*1*Q970)</f>
        <v>1982.8875</v>
      </c>
      <c r="AC970" s="64">
        <f t="shared" si="1738"/>
        <v>0</v>
      </c>
      <c r="AD970" s="209"/>
      <c r="AE970" s="64">
        <f t="shared" si="1751"/>
        <v>-167.20000000000005</v>
      </c>
      <c r="AF970" s="209"/>
      <c r="AG970" s="8"/>
    </row>
    <row r="971" spans="1:33" x14ac:dyDescent="0.45">
      <c r="A971" s="22">
        <f t="shared" si="1746"/>
        <v>45186</v>
      </c>
      <c r="B971" s="50" t="s">
        <v>54</v>
      </c>
      <c r="C971" s="48">
        <f t="shared" si="1752"/>
        <v>2024</v>
      </c>
      <c r="D971" s="51">
        <v>72</v>
      </c>
      <c r="E971" s="51">
        <v>34</v>
      </c>
      <c r="F971" s="51">
        <v>12</v>
      </c>
      <c r="G971" s="51">
        <v>8</v>
      </c>
      <c r="H971" s="51">
        <v>0</v>
      </c>
      <c r="I971" s="51">
        <v>0</v>
      </c>
      <c r="J971" s="51">
        <v>8</v>
      </c>
      <c r="K971" s="51">
        <v>0</v>
      </c>
      <c r="L971" s="52">
        <v>0</v>
      </c>
      <c r="M971" s="34"/>
      <c r="N971" s="13">
        <v>72</v>
      </c>
      <c r="O971" s="13">
        <v>34</v>
      </c>
      <c r="P971" s="13">
        <v>12</v>
      </c>
      <c r="Q971" s="13">
        <v>8</v>
      </c>
      <c r="R971" s="34"/>
      <c r="S971" s="51">
        <f t="shared" si="1753"/>
        <v>126</v>
      </c>
      <c r="T971" s="51">
        <f t="shared" ref="T971" si="1758">SUM(N971:Q971)</f>
        <v>126</v>
      </c>
      <c r="U971" s="51">
        <f t="shared" si="1754"/>
        <v>8</v>
      </c>
      <c r="V971" s="34"/>
      <c r="W971" s="52">
        <v>25.3</v>
      </c>
      <c r="X971" s="53">
        <f t="shared" si="1755"/>
        <v>3921.5000000000005</v>
      </c>
      <c r="Y971" s="53">
        <f t="shared" si="1742"/>
        <v>0</v>
      </c>
      <c r="Z971" s="53">
        <f t="shared" si="1756"/>
        <v>202.4</v>
      </c>
      <c r="AA971" s="54">
        <f t="shared" si="1744"/>
        <v>0</v>
      </c>
      <c r="AB971" s="54">
        <f t="shared" si="1757"/>
        <v>3921.5000000000005</v>
      </c>
      <c r="AC971" s="64">
        <f>0-Y971-AA971</f>
        <v>0</v>
      </c>
      <c r="AD971" s="209"/>
      <c r="AE971" s="64">
        <f t="shared" si="1751"/>
        <v>-202.40000000000009</v>
      </c>
      <c r="AF971" s="209"/>
      <c r="AG971" s="8"/>
    </row>
    <row r="972" spans="1:33" x14ac:dyDescent="0.45">
      <c r="A972" s="22">
        <f t="shared" si="1746"/>
        <v>45186</v>
      </c>
      <c r="B972" s="50" t="s">
        <v>65</v>
      </c>
      <c r="C972" s="48">
        <f t="shared" si="1752"/>
        <v>1672</v>
      </c>
      <c r="D972" s="51">
        <v>72</v>
      </c>
      <c r="E972" s="51">
        <v>32.5</v>
      </c>
      <c r="F972" s="51">
        <v>0</v>
      </c>
      <c r="G972" s="51">
        <v>0</v>
      </c>
      <c r="H972" s="51">
        <v>0</v>
      </c>
      <c r="I972" s="51">
        <v>0</v>
      </c>
      <c r="J972" s="51">
        <v>8</v>
      </c>
      <c r="K972" s="51">
        <v>0</v>
      </c>
      <c r="L972" s="52">
        <v>0</v>
      </c>
      <c r="M972" s="34"/>
      <c r="N972" s="51">
        <v>72</v>
      </c>
      <c r="O972" s="51">
        <v>32.5</v>
      </c>
      <c r="P972" s="51">
        <v>0</v>
      </c>
      <c r="Q972" s="51">
        <v>0</v>
      </c>
      <c r="R972" s="34"/>
      <c r="S972" s="51">
        <f t="shared" ref="S972:S973" si="1759">SUM(D972:G972)</f>
        <v>104.5</v>
      </c>
      <c r="T972" s="51">
        <f t="shared" ref="T972:T973" si="1760">SUM(N972:Q972)</f>
        <v>104.5</v>
      </c>
      <c r="U972" s="51">
        <f t="shared" ref="U972:U973" si="1761">SUM(H972:K972)</f>
        <v>8</v>
      </c>
      <c r="V972" s="34"/>
      <c r="W972" s="52">
        <v>20.9</v>
      </c>
      <c r="X972" s="53">
        <f t="shared" si="1755"/>
        <v>2523.6749999999997</v>
      </c>
      <c r="Y972" s="53">
        <f t="shared" si="1742"/>
        <v>0</v>
      </c>
      <c r="Z972" s="53">
        <f t="shared" si="1756"/>
        <v>167.2</v>
      </c>
      <c r="AA972" s="54">
        <f t="shared" si="1744"/>
        <v>0</v>
      </c>
      <c r="AB972" s="54">
        <f t="shared" si="1757"/>
        <v>2523.6749999999997</v>
      </c>
      <c r="AC972" s="64">
        <f>0-Y972-AA972</f>
        <v>0</v>
      </c>
      <c r="AD972" s="209"/>
      <c r="AE972" s="64">
        <f t="shared" si="1751"/>
        <v>-167.19999999999982</v>
      </c>
      <c r="AF972" s="209"/>
      <c r="AG972" s="8"/>
    </row>
    <row r="973" spans="1:33" ht="14.65" thickBot="1" x14ac:dyDescent="0.5">
      <c r="A973" s="23">
        <f t="shared" si="1746"/>
        <v>45186</v>
      </c>
      <c r="B973" s="24" t="s">
        <v>66</v>
      </c>
      <c r="C973" s="49">
        <f t="shared" si="1752"/>
        <v>1672</v>
      </c>
      <c r="D973" s="25">
        <v>72</v>
      </c>
      <c r="E973" s="25">
        <v>32.25</v>
      </c>
      <c r="F973" s="25">
        <v>0</v>
      </c>
      <c r="G973" s="25">
        <v>0</v>
      </c>
      <c r="H973" s="25">
        <v>0</v>
      </c>
      <c r="I973" s="25">
        <v>0</v>
      </c>
      <c r="J973" s="25">
        <v>8</v>
      </c>
      <c r="K973" s="25">
        <v>0</v>
      </c>
      <c r="L973" s="46">
        <v>0</v>
      </c>
      <c r="M973" s="35"/>
      <c r="N973" s="25">
        <v>72</v>
      </c>
      <c r="O973" s="25">
        <v>32.25</v>
      </c>
      <c r="P973" s="25">
        <v>0</v>
      </c>
      <c r="Q973" s="25">
        <v>0</v>
      </c>
      <c r="R973" s="35"/>
      <c r="S973" s="25">
        <f t="shared" si="1759"/>
        <v>104.25</v>
      </c>
      <c r="T973" s="25">
        <f t="shared" si="1760"/>
        <v>104.25</v>
      </c>
      <c r="U973" s="25">
        <f t="shared" si="1761"/>
        <v>8</v>
      </c>
      <c r="V973" s="35"/>
      <c r="W973" s="46">
        <v>20.9</v>
      </c>
      <c r="X973" s="26">
        <f t="shared" si="1755"/>
        <v>2515.8374999999996</v>
      </c>
      <c r="Y973" s="26">
        <f t="shared" si="1742"/>
        <v>0</v>
      </c>
      <c r="Z973" s="26">
        <f t="shared" si="1756"/>
        <v>167.2</v>
      </c>
      <c r="AA973" s="27">
        <f t="shared" si="1744"/>
        <v>0</v>
      </c>
      <c r="AB973" s="27">
        <f t="shared" si="1757"/>
        <v>2515.8374999999996</v>
      </c>
      <c r="AC973" s="65">
        <f>0-Y973-AA973</f>
        <v>0</v>
      </c>
      <c r="AD973" s="210"/>
      <c r="AE973" s="65">
        <f t="shared" si="1751"/>
        <v>-167.19999999999982</v>
      </c>
      <c r="AF973" s="210"/>
      <c r="AG973" s="8"/>
    </row>
    <row r="974" spans="1:33" x14ac:dyDescent="0.45">
      <c r="A974" s="16">
        <f>A973+14</f>
        <v>45200</v>
      </c>
      <c r="B974" s="17" t="s">
        <v>30</v>
      </c>
      <c r="C974" s="47">
        <f>120*W974</f>
        <v>4098</v>
      </c>
      <c r="D974" s="18">
        <v>80</v>
      </c>
      <c r="E974" s="18">
        <v>19.75</v>
      </c>
      <c r="F974" s="18">
        <v>0</v>
      </c>
      <c r="G974" s="18">
        <v>0</v>
      </c>
      <c r="H974" s="18">
        <v>0</v>
      </c>
      <c r="I974" s="18">
        <v>0</v>
      </c>
      <c r="J974" s="18">
        <v>0</v>
      </c>
      <c r="K974" s="18">
        <v>0</v>
      </c>
      <c r="L974" s="44">
        <v>0</v>
      </c>
      <c r="M974" s="33"/>
      <c r="N974" s="18">
        <v>80</v>
      </c>
      <c r="O974" s="18">
        <v>19.75</v>
      </c>
      <c r="P974" s="18">
        <v>0</v>
      </c>
      <c r="Q974" s="18">
        <v>0</v>
      </c>
      <c r="R974" s="33"/>
      <c r="S974" s="18">
        <f>SUM(D974:G974)</f>
        <v>99.75</v>
      </c>
      <c r="T974" s="18">
        <f>SUM(N974:Q974)</f>
        <v>99.75</v>
      </c>
      <c r="U974" s="18">
        <f>SUM(H974:K974)</f>
        <v>0</v>
      </c>
      <c r="V974" s="33"/>
      <c r="W974" s="44">
        <v>34.15</v>
      </c>
      <c r="X974" s="19">
        <f>(W974*1*D974)+(W974*1.5*E974)+(W974*2*F974)+(W974*1*G974)</f>
        <v>3743.6937499999999</v>
      </c>
      <c r="Y974" s="19">
        <f>(W974*0*H974)+(W974*1*I974)</f>
        <v>0</v>
      </c>
      <c r="Z974" s="19">
        <f>(W974*1*J974)+L974</f>
        <v>0</v>
      </c>
      <c r="AA974" s="20">
        <f>(W974*1*K974)</f>
        <v>0</v>
      </c>
      <c r="AB974" s="20">
        <f>(W974*1*N974)+(W974*1.5*O974)+(W974*2*P974)+(W974*1*Q974)</f>
        <v>3743.6937499999999</v>
      </c>
      <c r="AC974" s="66">
        <f t="shared" ref="AC974:AC979" si="1762">0-Y974-AA974</f>
        <v>0</v>
      </c>
      <c r="AD974" s="208"/>
      <c r="AE974" s="66">
        <f t="shared" si="1751"/>
        <v>0</v>
      </c>
      <c r="AF974" s="208">
        <f>SUM(AE974:AE982)</f>
        <v>23.587500000000091</v>
      </c>
      <c r="AG974" s="8"/>
    </row>
    <row r="975" spans="1:33" x14ac:dyDescent="0.45">
      <c r="A975" s="22">
        <f>A974</f>
        <v>45200</v>
      </c>
      <c r="B975" s="15" t="s">
        <v>4</v>
      </c>
      <c r="C975" s="48">
        <f>80*W975</f>
        <v>2520</v>
      </c>
      <c r="D975" s="13">
        <v>80</v>
      </c>
      <c r="E975" s="13">
        <v>28.5</v>
      </c>
      <c r="F975" s="13">
        <v>0</v>
      </c>
      <c r="G975" s="13">
        <v>43.25</v>
      </c>
      <c r="H975" s="13">
        <v>0</v>
      </c>
      <c r="I975" s="13">
        <v>0</v>
      </c>
      <c r="J975" s="13">
        <v>0</v>
      </c>
      <c r="K975" s="13">
        <v>0</v>
      </c>
      <c r="L975" s="45">
        <v>0</v>
      </c>
      <c r="M975" s="34"/>
      <c r="N975" s="13">
        <v>80</v>
      </c>
      <c r="O975" s="13">
        <v>27.5</v>
      </c>
      <c r="P975" s="13">
        <v>1</v>
      </c>
      <c r="Q975" s="13">
        <v>43.25</v>
      </c>
      <c r="R975" s="34"/>
      <c r="S975" s="13">
        <f t="shared" ref="S975:S977" si="1763">SUM(D975:G975)</f>
        <v>151.75</v>
      </c>
      <c r="T975" s="13">
        <f t="shared" ref="T975" si="1764">SUM(N975:Q975)</f>
        <v>151.75</v>
      </c>
      <c r="U975" s="13">
        <f>SUM(H975:K975)</f>
        <v>0</v>
      </c>
      <c r="V975" s="34"/>
      <c r="W975" s="45">
        <v>31.5</v>
      </c>
      <c r="X975" s="10">
        <f t="shared" ref="X975:X976" si="1765">(W975*1*D975)+(W975*1.5*E975)+(W975*2*F975)+(W975*1*G975)</f>
        <v>5229</v>
      </c>
      <c r="Y975" s="10">
        <f t="shared" ref="Y975:Y982" si="1766">(W975*0*H975)+(W975*1*I975)</f>
        <v>0</v>
      </c>
      <c r="Z975" s="10">
        <f t="shared" ref="Z975:Z977" si="1767">(W975*1*J975)+L975</f>
        <v>0</v>
      </c>
      <c r="AA975" s="14">
        <f t="shared" ref="AA975:AA982" si="1768">(W975*1*K975)</f>
        <v>0</v>
      </c>
      <c r="AB975" s="14">
        <f t="shared" ref="AB975:AB977" si="1769">(W975*1*N975)+(W975*1.5*O975)+(W975*2*P975)+(W975*1*Q975)</f>
        <v>5244.75</v>
      </c>
      <c r="AC975" s="63">
        <f t="shared" si="1762"/>
        <v>0</v>
      </c>
      <c r="AD975" s="209"/>
      <c r="AE975" s="63">
        <f t="shared" si="1751"/>
        <v>15.75</v>
      </c>
      <c r="AF975" s="209"/>
      <c r="AG975" s="8"/>
    </row>
    <row r="976" spans="1:33" x14ac:dyDescent="0.45">
      <c r="A976" s="22">
        <f t="shared" ref="A976:A982" si="1770">A975</f>
        <v>45200</v>
      </c>
      <c r="B976" s="15" t="s">
        <v>5</v>
      </c>
      <c r="C976" s="48">
        <f>120*W976</f>
        <v>3654</v>
      </c>
      <c r="D976" s="13">
        <v>80</v>
      </c>
      <c r="E976" s="13">
        <v>29.25</v>
      </c>
      <c r="F976" s="13">
        <v>0</v>
      </c>
      <c r="G976" s="13">
        <v>0</v>
      </c>
      <c r="H976" s="13">
        <v>0</v>
      </c>
      <c r="I976" s="13">
        <v>0</v>
      </c>
      <c r="J976" s="13">
        <v>0</v>
      </c>
      <c r="K976" s="13">
        <v>0</v>
      </c>
      <c r="L976" s="45">
        <v>0</v>
      </c>
      <c r="M976" s="34"/>
      <c r="N976" s="13">
        <v>80</v>
      </c>
      <c r="O976" s="13">
        <v>29.25</v>
      </c>
      <c r="P976" s="13">
        <v>0</v>
      </c>
      <c r="Q976" s="13">
        <v>0</v>
      </c>
      <c r="R976" s="34"/>
      <c r="S976" s="13">
        <f t="shared" si="1763"/>
        <v>109.25</v>
      </c>
      <c r="T976" s="13">
        <f>SUM(N976:Q976)</f>
        <v>109.25</v>
      </c>
      <c r="U976" s="13">
        <f t="shared" ref="U976:U977" si="1771">SUM(H976:K976)</f>
        <v>0</v>
      </c>
      <c r="V976" s="34"/>
      <c r="W976" s="45">
        <v>30.45</v>
      </c>
      <c r="X976" s="10">
        <f t="shared" si="1765"/>
        <v>3771.9937499999996</v>
      </c>
      <c r="Y976" s="10">
        <f t="shared" si="1766"/>
        <v>0</v>
      </c>
      <c r="Z976" s="10">
        <f t="shared" si="1767"/>
        <v>0</v>
      </c>
      <c r="AA976" s="14">
        <f t="shared" si="1768"/>
        <v>0</v>
      </c>
      <c r="AB976" s="14">
        <f t="shared" si="1769"/>
        <v>3771.9937499999996</v>
      </c>
      <c r="AC976" s="63">
        <f t="shared" si="1762"/>
        <v>0</v>
      </c>
      <c r="AD976" s="209"/>
      <c r="AE976" s="63">
        <f t="shared" si="1751"/>
        <v>0</v>
      </c>
      <c r="AF976" s="209"/>
      <c r="AG976" s="8"/>
    </row>
    <row r="977" spans="1:33" x14ac:dyDescent="0.45">
      <c r="A977" s="22">
        <f t="shared" si="1770"/>
        <v>45200</v>
      </c>
      <c r="B977" s="15" t="s">
        <v>6</v>
      </c>
      <c r="C977" s="48">
        <f>120*W977</f>
        <v>3780</v>
      </c>
      <c r="D977" s="13">
        <v>80</v>
      </c>
      <c r="E977" s="13">
        <v>31.75</v>
      </c>
      <c r="F977" s="13">
        <v>8</v>
      </c>
      <c r="G977" s="13">
        <v>0</v>
      </c>
      <c r="H977" s="13">
        <v>0</v>
      </c>
      <c r="I977" s="13">
        <v>0</v>
      </c>
      <c r="J977" s="13">
        <v>0</v>
      </c>
      <c r="K977" s="13">
        <v>0</v>
      </c>
      <c r="L977" s="45">
        <v>0</v>
      </c>
      <c r="M977" s="34"/>
      <c r="N977" s="13">
        <v>80</v>
      </c>
      <c r="O977" s="13">
        <v>31.75</v>
      </c>
      <c r="P977" s="13">
        <v>8</v>
      </c>
      <c r="Q977" s="13">
        <v>0</v>
      </c>
      <c r="R977" s="34"/>
      <c r="S977" s="13">
        <f t="shared" si="1763"/>
        <v>119.75</v>
      </c>
      <c r="T977" s="13">
        <f t="shared" ref="T977" si="1772">SUM(N977:Q977)</f>
        <v>119.75</v>
      </c>
      <c r="U977" s="13">
        <f t="shared" si="1771"/>
        <v>0</v>
      </c>
      <c r="V977" s="34"/>
      <c r="W977" s="45">
        <v>31.5</v>
      </c>
      <c r="X977" s="45">
        <f>(W977*1*D977)+(W977*1.5*E977)+(W977*2*F977)+(W977*1*G977)</f>
        <v>4524.1875</v>
      </c>
      <c r="Y977" s="45">
        <f t="shared" si="1766"/>
        <v>0</v>
      </c>
      <c r="Z977" s="45">
        <f t="shared" si="1767"/>
        <v>0</v>
      </c>
      <c r="AA977" s="79">
        <f t="shared" si="1768"/>
        <v>0</v>
      </c>
      <c r="AB977" s="79">
        <f t="shared" si="1769"/>
        <v>4524.1875</v>
      </c>
      <c r="AC977" s="80">
        <f t="shared" si="1762"/>
        <v>0</v>
      </c>
      <c r="AD977" s="209"/>
      <c r="AE977" s="80">
        <f t="shared" si="1751"/>
        <v>0</v>
      </c>
      <c r="AF977" s="209"/>
      <c r="AG977" s="8"/>
    </row>
    <row r="978" spans="1:33" x14ac:dyDescent="0.45">
      <c r="A978" s="22">
        <f t="shared" si="1770"/>
        <v>45200</v>
      </c>
      <c r="B978" s="50" t="s">
        <v>31</v>
      </c>
      <c r="C978" s="48">
        <f>120*W978</f>
        <v>3780</v>
      </c>
      <c r="D978" s="51">
        <v>80</v>
      </c>
      <c r="E978" s="51">
        <v>38.25</v>
      </c>
      <c r="F978" s="51">
        <v>12</v>
      </c>
      <c r="G978" s="51">
        <v>3</v>
      </c>
      <c r="H978" s="51">
        <v>0</v>
      </c>
      <c r="I978" s="51">
        <v>0</v>
      </c>
      <c r="J978" s="51">
        <v>0</v>
      </c>
      <c r="K978" s="51">
        <v>0</v>
      </c>
      <c r="L978" s="52">
        <v>0</v>
      </c>
      <c r="M978" s="34"/>
      <c r="N978" s="13">
        <v>80</v>
      </c>
      <c r="O978" s="13">
        <v>38.25</v>
      </c>
      <c r="P978" s="13">
        <v>12</v>
      </c>
      <c r="Q978" s="13">
        <v>3</v>
      </c>
      <c r="R978" s="34"/>
      <c r="S978" s="51">
        <f t="shared" ref="S978" si="1773">SUM(D978:G978)</f>
        <v>133.25</v>
      </c>
      <c r="T978" s="51">
        <f>SUM(N978:Q978)</f>
        <v>133.25</v>
      </c>
      <c r="U978" s="51">
        <f t="shared" ref="U978" si="1774">SUM(H978:K978)</f>
        <v>0</v>
      </c>
      <c r="V978" s="34"/>
      <c r="W978" s="52">
        <v>31.5</v>
      </c>
      <c r="X978" s="53">
        <f>(W978*1*D978)+(W978*1.5*E978)+(W978*2*F978)+(W978*1*G978)</f>
        <v>5177.8125</v>
      </c>
      <c r="Y978" s="53">
        <f t="shared" si="1766"/>
        <v>0</v>
      </c>
      <c r="Z978" s="53">
        <f>(W978*1*J978)+L978</f>
        <v>0</v>
      </c>
      <c r="AA978" s="54">
        <f t="shared" si="1768"/>
        <v>0</v>
      </c>
      <c r="AB978" s="54">
        <f>(W978*1*N978)+(W978*1.5*O978)+(W978*2*P978)+(W978*1*Q978)</f>
        <v>5177.8125</v>
      </c>
      <c r="AC978" s="64">
        <f t="shared" si="1762"/>
        <v>0</v>
      </c>
      <c r="AD978" s="209"/>
      <c r="AE978" s="64">
        <f t="shared" ref="AE978:AE986" si="1775">AB978-(X978+Z978)</f>
        <v>0</v>
      </c>
      <c r="AF978" s="209"/>
      <c r="AG978" s="8"/>
    </row>
    <row r="979" spans="1:33" x14ac:dyDescent="0.45">
      <c r="A979" s="22">
        <f t="shared" si="1770"/>
        <v>45200</v>
      </c>
      <c r="B979" s="50" t="s">
        <v>64</v>
      </c>
      <c r="C979" s="48">
        <f t="shared" ref="C979:C982" si="1776">80*W979</f>
        <v>1672</v>
      </c>
      <c r="D979" s="51">
        <v>80</v>
      </c>
      <c r="E979" s="51">
        <v>20</v>
      </c>
      <c r="F979" s="51">
        <v>0</v>
      </c>
      <c r="G979" s="51">
        <v>6</v>
      </c>
      <c r="H979" s="51">
        <v>0</v>
      </c>
      <c r="I979" s="51">
        <v>0</v>
      </c>
      <c r="J979" s="51">
        <v>0</v>
      </c>
      <c r="K979" s="51">
        <v>0</v>
      </c>
      <c r="L979" s="52">
        <v>0</v>
      </c>
      <c r="M979" s="34"/>
      <c r="N979" s="51">
        <v>80</v>
      </c>
      <c r="O979" s="51">
        <v>20</v>
      </c>
      <c r="P979" s="51">
        <v>0</v>
      </c>
      <c r="Q979" s="51">
        <v>6</v>
      </c>
      <c r="R979" s="34"/>
      <c r="S979" s="51">
        <f t="shared" ref="S979:S980" si="1777">SUM(D979:G979)</f>
        <v>106</v>
      </c>
      <c r="T979" s="51">
        <f>SUM(N979:Q979)</f>
        <v>106</v>
      </c>
      <c r="U979" s="51">
        <f t="shared" ref="U979:U980" si="1778">SUM(H979:K979)</f>
        <v>0</v>
      </c>
      <c r="V979" s="34"/>
      <c r="W979" s="52">
        <v>20.9</v>
      </c>
      <c r="X979" s="53">
        <f t="shared" ref="X979:X982" si="1779">(W979*1*D979)+(W979*1.5*E979)+(W979*2*F979)+(W979*1*G979)</f>
        <v>2424.4</v>
      </c>
      <c r="Y979" s="53">
        <f t="shared" si="1766"/>
        <v>0</v>
      </c>
      <c r="Z979" s="53">
        <f t="shared" ref="Z979:Z982" si="1780">(W979*1*J979)+L979</f>
        <v>0</v>
      </c>
      <c r="AA979" s="54">
        <f t="shared" si="1768"/>
        <v>0</v>
      </c>
      <c r="AB979" s="54">
        <f t="shared" ref="AB979:AB982" si="1781">(W979*1*N979)+(W979*1.5*O979)+(W979*2*P979)+(W979*1*Q979)</f>
        <v>2424.4</v>
      </c>
      <c r="AC979" s="64">
        <f t="shared" si="1762"/>
        <v>0</v>
      </c>
      <c r="AD979" s="209"/>
      <c r="AE979" s="64">
        <f t="shared" si="1775"/>
        <v>0</v>
      </c>
      <c r="AF979" s="209"/>
      <c r="AG979" s="8"/>
    </row>
    <row r="980" spans="1:33" x14ac:dyDescent="0.45">
      <c r="A980" s="22">
        <f t="shared" si="1770"/>
        <v>45200</v>
      </c>
      <c r="B980" s="50" t="s">
        <v>54</v>
      </c>
      <c r="C980" s="48">
        <f t="shared" si="1776"/>
        <v>2024</v>
      </c>
      <c r="D980" s="51">
        <v>80</v>
      </c>
      <c r="E980" s="51">
        <v>14</v>
      </c>
      <c r="F980" s="51">
        <v>0</v>
      </c>
      <c r="G980" s="51">
        <v>8</v>
      </c>
      <c r="H980" s="51">
        <v>0</v>
      </c>
      <c r="I980" s="51">
        <v>0</v>
      </c>
      <c r="J980" s="51">
        <v>0</v>
      </c>
      <c r="K980" s="51">
        <v>0</v>
      </c>
      <c r="L980" s="52">
        <v>0</v>
      </c>
      <c r="M980" s="34"/>
      <c r="N980" s="13">
        <v>80</v>
      </c>
      <c r="O980" s="13">
        <v>14</v>
      </c>
      <c r="P980" s="13">
        <v>0</v>
      </c>
      <c r="Q980" s="13">
        <v>8</v>
      </c>
      <c r="R980" s="34"/>
      <c r="S980" s="51">
        <f t="shared" si="1777"/>
        <v>102</v>
      </c>
      <c r="T980" s="51">
        <f t="shared" ref="T980" si="1782">SUM(N980:Q980)</f>
        <v>102</v>
      </c>
      <c r="U980" s="51">
        <f t="shared" si="1778"/>
        <v>0</v>
      </c>
      <c r="V980" s="34"/>
      <c r="W980" s="52">
        <v>25.3</v>
      </c>
      <c r="X980" s="53">
        <f t="shared" si="1779"/>
        <v>2757.7000000000003</v>
      </c>
      <c r="Y980" s="53">
        <f t="shared" si="1766"/>
        <v>0</v>
      </c>
      <c r="Z980" s="53">
        <f t="shared" si="1780"/>
        <v>0</v>
      </c>
      <c r="AA980" s="54">
        <f t="shared" si="1768"/>
        <v>0</v>
      </c>
      <c r="AB980" s="54">
        <f t="shared" si="1781"/>
        <v>2757.7000000000003</v>
      </c>
      <c r="AC980" s="64">
        <f>0-Y980-AA980</f>
        <v>0</v>
      </c>
      <c r="AD980" s="209"/>
      <c r="AE980" s="64">
        <f t="shared" si="1775"/>
        <v>0</v>
      </c>
      <c r="AF980" s="209"/>
      <c r="AG980" s="8"/>
    </row>
    <row r="981" spans="1:33" x14ac:dyDescent="0.45">
      <c r="A981" s="22">
        <f t="shared" si="1770"/>
        <v>45200</v>
      </c>
      <c r="B981" s="50" t="s">
        <v>65</v>
      </c>
      <c r="C981" s="48">
        <f t="shared" si="1776"/>
        <v>1672</v>
      </c>
      <c r="D981" s="51">
        <v>80</v>
      </c>
      <c r="E981" s="51">
        <v>25</v>
      </c>
      <c r="F981" s="51">
        <v>0</v>
      </c>
      <c r="G981" s="51">
        <v>0</v>
      </c>
      <c r="H981" s="51">
        <v>0</v>
      </c>
      <c r="I981" s="51">
        <v>0</v>
      </c>
      <c r="J981" s="51">
        <v>0</v>
      </c>
      <c r="K981" s="51">
        <v>0</v>
      </c>
      <c r="L981" s="52">
        <v>0</v>
      </c>
      <c r="M981" s="34"/>
      <c r="N981" s="51">
        <v>80</v>
      </c>
      <c r="O981" s="51">
        <v>25</v>
      </c>
      <c r="P981" s="51">
        <v>0</v>
      </c>
      <c r="Q981" s="51">
        <v>0</v>
      </c>
      <c r="R981" s="34"/>
      <c r="S981" s="51">
        <f t="shared" ref="S981:S982" si="1783">SUM(D981:G981)</f>
        <v>105</v>
      </c>
      <c r="T981" s="51">
        <f t="shared" ref="T981:T982" si="1784">SUM(N981:Q981)</f>
        <v>105</v>
      </c>
      <c r="U981" s="51">
        <f t="shared" ref="U981:U982" si="1785">SUM(H981:K981)</f>
        <v>0</v>
      </c>
      <c r="V981" s="34"/>
      <c r="W981" s="52">
        <v>20.9</v>
      </c>
      <c r="X981" s="53">
        <f t="shared" si="1779"/>
        <v>2455.75</v>
      </c>
      <c r="Y981" s="53">
        <f t="shared" si="1766"/>
        <v>0</v>
      </c>
      <c r="Z981" s="53">
        <f t="shared" si="1780"/>
        <v>0</v>
      </c>
      <c r="AA981" s="54">
        <f t="shared" si="1768"/>
        <v>0</v>
      </c>
      <c r="AB981" s="54">
        <f t="shared" si="1781"/>
        <v>2455.75</v>
      </c>
      <c r="AC981" s="64">
        <f>0-Y981-AA981</f>
        <v>0</v>
      </c>
      <c r="AD981" s="209"/>
      <c r="AE981" s="64">
        <f t="shared" si="1775"/>
        <v>0</v>
      </c>
      <c r="AF981" s="209"/>
      <c r="AG981" s="8"/>
    </row>
    <row r="982" spans="1:33" ht="14.65" thickBot="1" x14ac:dyDescent="0.5">
      <c r="A982" s="23">
        <f t="shared" si="1770"/>
        <v>45200</v>
      </c>
      <c r="B982" s="24" t="s">
        <v>66</v>
      </c>
      <c r="C982" s="49">
        <f t="shared" si="1776"/>
        <v>1672</v>
      </c>
      <c r="D982" s="25">
        <v>80</v>
      </c>
      <c r="E982" s="25">
        <v>6</v>
      </c>
      <c r="F982" s="25">
        <v>0</v>
      </c>
      <c r="G982" s="25">
        <v>0</v>
      </c>
      <c r="H982" s="25">
        <v>0</v>
      </c>
      <c r="I982" s="25">
        <v>0</v>
      </c>
      <c r="J982" s="25">
        <v>0</v>
      </c>
      <c r="K982" s="25">
        <v>0</v>
      </c>
      <c r="L982" s="46">
        <v>0</v>
      </c>
      <c r="M982" s="35"/>
      <c r="N982" s="25">
        <v>80</v>
      </c>
      <c r="O982" s="25">
        <v>5.25</v>
      </c>
      <c r="P982" s="25">
        <v>0.75</v>
      </c>
      <c r="Q982" s="25">
        <v>0</v>
      </c>
      <c r="R982" s="35"/>
      <c r="S982" s="25">
        <f t="shared" si="1783"/>
        <v>86</v>
      </c>
      <c r="T982" s="25">
        <f t="shared" si="1784"/>
        <v>86</v>
      </c>
      <c r="U982" s="25">
        <f t="shared" si="1785"/>
        <v>0</v>
      </c>
      <c r="V982" s="35"/>
      <c r="W982" s="46">
        <v>20.9</v>
      </c>
      <c r="X982" s="26">
        <f t="shared" si="1779"/>
        <v>1860.1</v>
      </c>
      <c r="Y982" s="26">
        <f t="shared" si="1766"/>
        <v>0</v>
      </c>
      <c r="Z982" s="26">
        <f t="shared" si="1780"/>
        <v>0</v>
      </c>
      <c r="AA982" s="27">
        <f t="shared" si="1768"/>
        <v>0</v>
      </c>
      <c r="AB982" s="27">
        <f t="shared" si="1781"/>
        <v>1867.9375</v>
      </c>
      <c r="AC982" s="65">
        <f>0-Y982-AA982</f>
        <v>0</v>
      </c>
      <c r="AD982" s="210"/>
      <c r="AE982" s="65">
        <f t="shared" si="1775"/>
        <v>7.8375000000000909</v>
      </c>
      <c r="AF982" s="210"/>
      <c r="AG982" s="8"/>
    </row>
    <row r="983" spans="1:33" x14ac:dyDescent="0.45">
      <c r="A983" s="16">
        <f>A982+14</f>
        <v>45214</v>
      </c>
      <c r="B983" s="17" t="s">
        <v>30</v>
      </c>
      <c r="C983" s="47">
        <f>120*W983</f>
        <v>4098</v>
      </c>
      <c r="D983" s="18">
        <v>72</v>
      </c>
      <c r="E983" s="18">
        <v>21</v>
      </c>
      <c r="F983" s="18">
        <v>0</v>
      </c>
      <c r="G983" s="18">
        <v>0</v>
      </c>
      <c r="H983" s="18">
        <v>0</v>
      </c>
      <c r="I983" s="18">
        <v>0</v>
      </c>
      <c r="J983" s="18">
        <v>8</v>
      </c>
      <c r="K983" s="18">
        <v>0</v>
      </c>
      <c r="L983" s="44">
        <v>0</v>
      </c>
      <c r="M983" s="33"/>
      <c r="N983" s="18">
        <v>72</v>
      </c>
      <c r="O983" s="18">
        <v>21</v>
      </c>
      <c r="P983" s="18">
        <v>0</v>
      </c>
      <c r="Q983" s="18">
        <v>0</v>
      </c>
      <c r="R983" s="33"/>
      <c r="S983" s="18">
        <f>SUM(D983:G983)</f>
        <v>93</v>
      </c>
      <c r="T983" s="18">
        <f>SUM(N983:Q983)</f>
        <v>93</v>
      </c>
      <c r="U983" s="18">
        <f>SUM(H983:K983)</f>
        <v>8</v>
      </c>
      <c r="V983" s="33"/>
      <c r="W983" s="44">
        <v>34.15</v>
      </c>
      <c r="X983" s="19">
        <f>(W983*1*D983)+(W983*1.5*E983)+(W983*2*F983)+(W983*1*G983)</f>
        <v>3534.5249999999996</v>
      </c>
      <c r="Y983" s="19">
        <f>(W983*0*H983)+(W983*1*I983)</f>
        <v>0</v>
      </c>
      <c r="Z983" s="19">
        <f>(W983*1*J983)+L983</f>
        <v>273.2</v>
      </c>
      <c r="AA983" s="20">
        <f>(W983*1*K983)</f>
        <v>0</v>
      </c>
      <c r="AB983" s="20">
        <f>(W983*1*N983)+(W983*1.5*O983)+(W983*2*P983)+(W983*1*Q983)</f>
        <v>3534.5249999999996</v>
      </c>
      <c r="AC983" s="66">
        <f t="shared" ref="AC983:AC988" si="1786">0-Y983-AA983</f>
        <v>0</v>
      </c>
      <c r="AD983" s="208"/>
      <c r="AE983" s="66">
        <f t="shared" si="1775"/>
        <v>-273.19999999999982</v>
      </c>
      <c r="AF983" s="208">
        <f>SUM(AE983:AE991)</f>
        <v>-1976.7999999999993</v>
      </c>
      <c r="AG983" s="8"/>
    </row>
    <row r="984" spans="1:33" x14ac:dyDescent="0.45">
      <c r="A984" s="22">
        <f>A983</f>
        <v>45214</v>
      </c>
      <c r="B984" s="15" t="s">
        <v>4</v>
      </c>
      <c r="C984" s="48">
        <f>80*W984</f>
        <v>2520</v>
      </c>
      <c r="D984" s="13">
        <v>72</v>
      </c>
      <c r="E984" s="13">
        <v>17.75</v>
      </c>
      <c r="F984" s="13">
        <v>0</v>
      </c>
      <c r="G984" s="13">
        <v>0</v>
      </c>
      <c r="H984" s="13">
        <v>0</v>
      </c>
      <c r="I984" s="13">
        <v>0</v>
      </c>
      <c r="J984" s="13">
        <v>8</v>
      </c>
      <c r="K984" s="13">
        <v>0</v>
      </c>
      <c r="L984" s="45">
        <v>0</v>
      </c>
      <c r="M984" s="34"/>
      <c r="N984" s="13">
        <v>72</v>
      </c>
      <c r="O984" s="13">
        <v>17.75</v>
      </c>
      <c r="P984" s="13">
        <v>0</v>
      </c>
      <c r="Q984" s="13">
        <v>0</v>
      </c>
      <c r="R984" s="34"/>
      <c r="S984" s="13">
        <f t="shared" ref="S984:S986" si="1787">SUM(D984:G984)</f>
        <v>89.75</v>
      </c>
      <c r="T984" s="13">
        <f t="shared" ref="T984" si="1788">SUM(N984:Q984)</f>
        <v>89.75</v>
      </c>
      <c r="U984" s="13">
        <f>SUM(H984:K984)</f>
        <v>8</v>
      </c>
      <c r="V984" s="34"/>
      <c r="W984" s="45">
        <v>31.5</v>
      </c>
      <c r="X984" s="10">
        <f t="shared" ref="X984:X985" si="1789">(W984*1*D984)+(W984*1.5*E984)+(W984*2*F984)+(W984*1*G984)</f>
        <v>3106.6875</v>
      </c>
      <c r="Y984" s="10">
        <f t="shared" ref="Y984:Y991" si="1790">(W984*0*H984)+(W984*1*I984)</f>
        <v>0</v>
      </c>
      <c r="Z984" s="10">
        <f t="shared" ref="Z984:Z986" si="1791">(W984*1*J984)+L984</f>
        <v>252</v>
      </c>
      <c r="AA984" s="14">
        <f t="shared" ref="AA984:AA991" si="1792">(W984*1*K984)</f>
        <v>0</v>
      </c>
      <c r="AB984" s="14">
        <f t="shared" ref="AB984:AB986" si="1793">(W984*1*N984)+(W984*1.5*O984)+(W984*2*P984)+(W984*1*Q984)</f>
        <v>3106.6875</v>
      </c>
      <c r="AC984" s="63">
        <f t="shared" si="1786"/>
        <v>0</v>
      </c>
      <c r="AD984" s="209"/>
      <c r="AE984" s="63">
        <f t="shared" si="1775"/>
        <v>-252</v>
      </c>
      <c r="AF984" s="209"/>
      <c r="AG984" s="8"/>
    </row>
    <row r="985" spans="1:33" x14ac:dyDescent="0.45">
      <c r="A985" s="22">
        <f t="shared" ref="A985:A991" si="1794">A984</f>
        <v>45214</v>
      </c>
      <c r="B985" s="15" t="s">
        <v>5</v>
      </c>
      <c r="C985" s="48">
        <f>120*W985</f>
        <v>3654</v>
      </c>
      <c r="D985" s="13">
        <v>72</v>
      </c>
      <c r="E985" s="13">
        <v>25.75</v>
      </c>
      <c r="F985" s="13">
        <v>0</v>
      </c>
      <c r="G985" s="13">
        <v>0</v>
      </c>
      <c r="H985" s="13">
        <v>0</v>
      </c>
      <c r="I985" s="13">
        <v>0</v>
      </c>
      <c r="J985" s="13">
        <v>8</v>
      </c>
      <c r="K985" s="13">
        <v>0</v>
      </c>
      <c r="L985" s="45">
        <v>0</v>
      </c>
      <c r="M985" s="34"/>
      <c r="N985" s="13">
        <v>72</v>
      </c>
      <c r="O985" s="13">
        <v>25.75</v>
      </c>
      <c r="P985" s="13">
        <v>0</v>
      </c>
      <c r="Q985" s="13">
        <v>0</v>
      </c>
      <c r="R985" s="34"/>
      <c r="S985" s="13">
        <f t="shared" si="1787"/>
        <v>97.75</v>
      </c>
      <c r="T985" s="13">
        <f>SUM(N985:Q985)</f>
        <v>97.75</v>
      </c>
      <c r="U985" s="13">
        <f t="shared" ref="U985:U986" si="1795">SUM(H985:K985)</f>
        <v>8</v>
      </c>
      <c r="V985" s="34"/>
      <c r="W985" s="45">
        <v>30.45</v>
      </c>
      <c r="X985" s="10">
        <f t="shared" si="1789"/>
        <v>3368.53125</v>
      </c>
      <c r="Y985" s="10">
        <f t="shared" si="1790"/>
        <v>0</v>
      </c>
      <c r="Z985" s="10">
        <f t="shared" si="1791"/>
        <v>243.6</v>
      </c>
      <c r="AA985" s="14">
        <f t="shared" si="1792"/>
        <v>0</v>
      </c>
      <c r="AB985" s="14">
        <f t="shared" si="1793"/>
        <v>3368.53125</v>
      </c>
      <c r="AC985" s="63">
        <f t="shared" si="1786"/>
        <v>0</v>
      </c>
      <c r="AD985" s="209"/>
      <c r="AE985" s="63">
        <f t="shared" si="1775"/>
        <v>-243.59999999999991</v>
      </c>
      <c r="AF985" s="209"/>
      <c r="AG985" s="8"/>
    </row>
    <row r="986" spans="1:33" x14ac:dyDescent="0.45">
      <c r="A986" s="22">
        <f t="shared" si="1794"/>
        <v>45214</v>
      </c>
      <c r="B986" s="15" t="s">
        <v>6</v>
      </c>
      <c r="C986" s="48">
        <f>120*W986</f>
        <v>3780</v>
      </c>
      <c r="D986" s="13">
        <v>72</v>
      </c>
      <c r="E986" s="13">
        <v>12</v>
      </c>
      <c r="F986" s="13">
        <v>0</v>
      </c>
      <c r="G986" s="13">
        <v>0</v>
      </c>
      <c r="H986" s="13">
        <v>0</v>
      </c>
      <c r="I986" s="13">
        <v>0</v>
      </c>
      <c r="J986" s="13">
        <v>8</v>
      </c>
      <c r="K986" s="13">
        <v>0</v>
      </c>
      <c r="L986" s="45">
        <v>0</v>
      </c>
      <c r="M986" s="34"/>
      <c r="N986" s="13">
        <v>72</v>
      </c>
      <c r="O986" s="13">
        <v>12</v>
      </c>
      <c r="P986" s="13">
        <v>0</v>
      </c>
      <c r="Q986" s="13">
        <v>0</v>
      </c>
      <c r="R986" s="34"/>
      <c r="S986" s="13">
        <f t="shared" si="1787"/>
        <v>84</v>
      </c>
      <c r="T986" s="13">
        <f t="shared" ref="T986" si="1796">SUM(N986:Q986)</f>
        <v>84</v>
      </c>
      <c r="U986" s="13">
        <f t="shared" si="1795"/>
        <v>8</v>
      </c>
      <c r="V986" s="34"/>
      <c r="W986" s="45">
        <v>31.5</v>
      </c>
      <c r="X986" s="45">
        <f>(W986*1*D986)+(W986*1.5*E986)+(W986*2*F986)+(W986*1*G986)</f>
        <v>2835</v>
      </c>
      <c r="Y986" s="45">
        <f t="shared" si="1790"/>
        <v>0</v>
      </c>
      <c r="Z986" s="45">
        <f t="shared" si="1791"/>
        <v>252</v>
      </c>
      <c r="AA986" s="79">
        <f t="shared" si="1792"/>
        <v>0</v>
      </c>
      <c r="AB986" s="79">
        <f t="shared" si="1793"/>
        <v>2835</v>
      </c>
      <c r="AC986" s="80">
        <f t="shared" si="1786"/>
        <v>0</v>
      </c>
      <c r="AD986" s="209"/>
      <c r="AE986" s="80">
        <f t="shared" si="1775"/>
        <v>-252</v>
      </c>
      <c r="AF986" s="209"/>
      <c r="AG986" s="8"/>
    </row>
    <row r="987" spans="1:33" x14ac:dyDescent="0.45">
      <c r="A987" s="22">
        <f t="shared" si="1794"/>
        <v>45214</v>
      </c>
      <c r="B987" s="50" t="s">
        <v>31</v>
      </c>
      <c r="C987" s="48">
        <f>120*W987</f>
        <v>3780</v>
      </c>
      <c r="D987" s="51">
        <v>72</v>
      </c>
      <c r="E987" s="51">
        <v>20.5</v>
      </c>
      <c r="F987" s="51">
        <v>0</v>
      </c>
      <c r="G987" s="51">
        <v>5</v>
      </c>
      <c r="H987" s="51">
        <v>0</v>
      </c>
      <c r="I987" s="51">
        <v>8</v>
      </c>
      <c r="J987" s="51">
        <v>8</v>
      </c>
      <c r="K987" s="51">
        <v>0</v>
      </c>
      <c r="L987" s="52">
        <v>0</v>
      </c>
      <c r="M987" s="34"/>
      <c r="N987" s="13">
        <v>72</v>
      </c>
      <c r="O987" s="13">
        <v>20.5</v>
      </c>
      <c r="P987" s="13">
        <v>0</v>
      </c>
      <c r="Q987" s="13">
        <v>5</v>
      </c>
      <c r="R987" s="34"/>
      <c r="S987" s="51">
        <f t="shared" ref="S987" si="1797">SUM(D987:G987)</f>
        <v>97.5</v>
      </c>
      <c r="T987" s="51">
        <f>SUM(N987:Q987)</f>
        <v>97.5</v>
      </c>
      <c r="U987" s="51">
        <f t="shared" ref="U987" si="1798">SUM(H987:K987)</f>
        <v>16</v>
      </c>
      <c r="V987" s="34"/>
      <c r="W987" s="52">
        <v>31.5</v>
      </c>
      <c r="X987" s="53">
        <f>(W987*1*D987)+(W987*1.5*E987)+(W987*2*F987)+(W987*1*G987)</f>
        <v>3394.125</v>
      </c>
      <c r="Y987" s="53">
        <f t="shared" si="1790"/>
        <v>252</v>
      </c>
      <c r="Z987" s="53">
        <f>(W987*1*J987)+L987</f>
        <v>252</v>
      </c>
      <c r="AA987" s="54">
        <f t="shared" si="1792"/>
        <v>0</v>
      </c>
      <c r="AB987" s="54">
        <f>(W987*1*N987)+(W987*1.5*O987)+(W987*2*P987)+(W987*1*Q987)</f>
        <v>3394.125</v>
      </c>
      <c r="AC987" s="64">
        <f t="shared" si="1786"/>
        <v>-252</v>
      </c>
      <c r="AD987" s="209"/>
      <c r="AE987" s="64">
        <f t="shared" ref="AE987:AE995" si="1799">AB987-(X987+Z987)</f>
        <v>-252</v>
      </c>
      <c r="AF987" s="209"/>
      <c r="AG987" s="8"/>
    </row>
    <row r="988" spans="1:33" x14ac:dyDescent="0.45">
      <c r="A988" s="22">
        <f t="shared" si="1794"/>
        <v>45214</v>
      </c>
      <c r="B988" s="50" t="s">
        <v>64</v>
      </c>
      <c r="C988" s="48">
        <f t="shared" ref="C988:C991" si="1800">80*W988</f>
        <v>1672</v>
      </c>
      <c r="D988" s="51">
        <v>72</v>
      </c>
      <c r="E988" s="51">
        <v>19.25</v>
      </c>
      <c r="F988" s="51">
        <v>0</v>
      </c>
      <c r="G988" s="51">
        <v>0</v>
      </c>
      <c r="H988" s="51">
        <v>0</v>
      </c>
      <c r="I988" s="51">
        <v>0</v>
      </c>
      <c r="J988" s="51">
        <v>8</v>
      </c>
      <c r="K988" s="51">
        <v>0</v>
      </c>
      <c r="L988" s="52">
        <v>0</v>
      </c>
      <c r="M988" s="34"/>
      <c r="N988" s="51">
        <v>72</v>
      </c>
      <c r="O988" s="51">
        <v>19.25</v>
      </c>
      <c r="P988" s="51">
        <v>0</v>
      </c>
      <c r="Q988" s="51">
        <v>0</v>
      </c>
      <c r="R988" s="34"/>
      <c r="S988" s="51">
        <f t="shared" ref="S988:S989" si="1801">SUM(D988:G988)</f>
        <v>91.25</v>
      </c>
      <c r="T988" s="51">
        <f>SUM(N988:Q988)</f>
        <v>91.25</v>
      </c>
      <c r="U988" s="51">
        <f t="shared" ref="U988:U989" si="1802">SUM(H988:K988)</f>
        <v>8</v>
      </c>
      <c r="V988" s="34"/>
      <c r="W988" s="52">
        <v>20.9</v>
      </c>
      <c r="X988" s="53">
        <f t="shared" ref="X988:X991" si="1803">(W988*1*D988)+(W988*1.5*E988)+(W988*2*F988)+(W988*1*G988)</f>
        <v>2108.2874999999999</v>
      </c>
      <c r="Y988" s="53">
        <f t="shared" si="1790"/>
        <v>0</v>
      </c>
      <c r="Z988" s="53">
        <f t="shared" ref="Z988:Z991" si="1804">(W988*1*J988)+L988</f>
        <v>167.2</v>
      </c>
      <c r="AA988" s="54">
        <f t="shared" si="1792"/>
        <v>0</v>
      </c>
      <c r="AB988" s="54">
        <f t="shared" ref="AB988:AB991" si="1805">(W988*1*N988)+(W988*1.5*O988)+(W988*2*P988)+(W988*1*Q988)</f>
        <v>2108.2874999999999</v>
      </c>
      <c r="AC988" s="64">
        <f t="shared" si="1786"/>
        <v>0</v>
      </c>
      <c r="AD988" s="209"/>
      <c r="AE988" s="64">
        <f t="shared" si="1799"/>
        <v>-167.19999999999982</v>
      </c>
      <c r="AF988" s="209"/>
      <c r="AG988" s="8"/>
    </row>
    <row r="989" spans="1:33" x14ac:dyDescent="0.45">
      <c r="A989" s="22">
        <f t="shared" si="1794"/>
        <v>45214</v>
      </c>
      <c r="B989" s="50" t="s">
        <v>54</v>
      </c>
      <c r="C989" s="48">
        <f t="shared" si="1800"/>
        <v>2024</v>
      </c>
      <c r="D989" s="51">
        <v>72</v>
      </c>
      <c r="E989" s="51">
        <v>28</v>
      </c>
      <c r="F989" s="51">
        <v>0</v>
      </c>
      <c r="G989" s="51">
        <v>0</v>
      </c>
      <c r="H989" s="51">
        <v>0</v>
      </c>
      <c r="I989" s="51">
        <v>0</v>
      </c>
      <c r="J989" s="51">
        <v>8</v>
      </c>
      <c r="K989" s="51">
        <v>0</v>
      </c>
      <c r="L989" s="52">
        <v>0</v>
      </c>
      <c r="M989" s="34"/>
      <c r="N989" s="13">
        <v>72</v>
      </c>
      <c r="O989" s="13">
        <v>28</v>
      </c>
      <c r="P989" s="13">
        <v>0</v>
      </c>
      <c r="Q989" s="13">
        <v>0</v>
      </c>
      <c r="R989" s="34"/>
      <c r="S989" s="51">
        <f t="shared" si="1801"/>
        <v>100</v>
      </c>
      <c r="T989" s="51">
        <f t="shared" ref="T989" si="1806">SUM(N989:Q989)</f>
        <v>100</v>
      </c>
      <c r="U989" s="51">
        <f t="shared" si="1802"/>
        <v>8</v>
      </c>
      <c r="V989" s="34"/>
      <c r="W989" s="52">
        <v>25.3</v>
      </c>
      <c r="X989" s="53">
        <f t="shared" si="1803"/>
        <v>2884.2000000000003</v>
      </c>
      <c r="Y989" s="53">
        <f t="shared" si="1790"/>
        <v>0</v>
      </c>
      <c r="Z989" s="53">
        <f t="shared" si="1804"/>
        <v>202.4</v>
      </c>
      <c r="AA989" s="54">
        <f t="shared" si="1792"/>
        <v>0</v>
      </c>
      <c r="AB989" s="54">
        <f t="shared" si="1805"/>
        <v>2884.2000000000003</v>
      </c>
      <c r="AC989" s="64">
        <f>0-Y989-AA989</f>
        <v>0</v>
      </c>
      <c r="AD989" s="209"/>
      <c r="AE989" s="64">
        <f t="shared" si="1799"/>
        <v>-202.40000000000009</v>
      </c>
      <c r="AF989" s="209"/>
      <c r="AG989" s="8"/>
    </row>
    <row r="990" spans="1:33" x14ac:dyDescent="0.45">
      <c r="A990" s="22">
        <f t="shared" si="1794"/>
        <v>45214</v>
      </c>
      <c r="B990" s="50" t="s">
        <v>65</v>
      </c>
      <c r="C990" s="48">
        <f t="shared" si="1800"/>
        <v>1672</v>
      </c>
      <c r="D990" s="51">
        <v>72</v>
      </c>
      <c r="E990" s="51">
        <v>26</v>
      </c>
      <c r="F990" s="51">
        <v>0</v>
      </c>
      <c r="G990" s="51">
        <v>0</v>
      </c>
      <c r="H990" s="51">
        <v>0</v>
      </c>
      <c r="I990" s="51">
        <v>0</v>
      </c>
      <c r="J990" s="51">
        <v>8</v>
      </c>
      <c r="K990" s="51">
        <v>0</v>
      </c>
      <c r="L990" s="52">
        <v>0</v>
      </c>
      <c r="M990" s="34"/>
      <c r="N990" s="51">
        <v>72</v>
      </c>
      <c r="O990" s="51">
        <v>26</v>
      </c>
      <c r="P990" s="51">
        <v>0</v>
      </c>
      <c r="Q990" s="51">
        <v>0</v>
      </c>
      <c r="R990" s="34"/>
      <c r="S990" s="51">
        <f t="shared" ref="S990:S991" si="1807">SUM(D990:G990)</f>
        <v>98</v>
      </c>
      <c r="T990" s="51">
        <f t="shared" ref="T990:T991" si="1808">SUM(N990:Q990)</f>
        <v>98</v>
      </c>
      <c r="U990" s="51">
        <f t="shared" ref="U990:U991" si="1809">SUM(H990:K990)</f>
        <v>8</v>
      </c>
      <c r="V990" s="34"/>
      <c r="W990" s="52">
        <v>20.9</v>
      </c>
      <c r="X990" s="53">
        <f t="shared" si="1803"/>
        <v>2319.8999999999996</v>
      </c>
      <c r="Y990" s="53">
        <f t="shared" si="1790"/>
        <v>0</v>
      </c>
      <c r="Z990" s="53">
        <f t="shared" si="1804"/>
        <v>167.2</v>
      </c>
      <c r="AA990" s="54">
        <f t="shared" si="1792"/>
        <v>0</v>
      </c>
      <c r="AB990" s="54">
        <f t="shared" si="1805"/>
        <v>2319.8999999999996</v>
      </c>
      <c r="AC990" s="64">
        <f>0-Y990-AA990</f>
        <v>0</v>
      </c>
      <c r="AD990" s="209"/>
      <c r="AE990" s="64">
        <f t="shared" si="1799"/>
        <v>-167.19999999999982</v>
      </c>
      <c r="AF990" s="209"/>
      <c r="AG990" s="8"/>
    </row>
    <row r="991" spans="1:33" ht="14.65" thickBot="1" x14ac:dyDescent="0.5">
      <c r="A991" s="23">
        <f t="shared" si="1794"/>
        <v>45214</v>
      </c>
      <c r="B991" s="24" t="s">
        <v>66</v>
      </c>
      <c r="C991" s="49">
        <f t="shared" si="1800"/>
        <v>1672</v>
      </c>
      <c r="D991" s="25">
        <v>72</v>
      </c>
      <c r="E991" s="25">
        <v>16.5</v>
      </c>
      <c r="F991" s="25">
        <v>0</v>
      </c>
      <c r="G991" s="25">
        <v>16.5</v>
      </c>
      <c r="H991" s="25">
        <v>0</v>
      </c>
      <c r="I991" s="25">
        <v>0</v>
      </c>
      <c r="J991" s="25">
        <v>8</v>
      </c>
      <c r="K991" s="25">
        <v>0</v>
      </c>
      <c r="L991" s="46">
        <v>0</v>
      </c>
      <c r="M991" s="35"/>
      <c r="N991" s="25">
        <v>72</v>
      </c>
      <c r="O991" s="25">
        <v>16.5</v>
      </c>
      <c r="P991" s="25">
        <v>0</v>
      </c>
      <c r="Q991" s="25">
        <v>16.5</v>
      </c>
      <c r="R991" s="35"/>
      <c r="S991" s="25">
        <f t="shared" si="1807"/>
        <v>105</v>
      </c>
      <c r="T991" s="25">
        <f t="shared" si="1808"/>
        <v>105</v>
      </c>
      <c r="U991" s="25">
        <f t="shared" si="1809"/>
        <v>8</v>
      </c>
      <c r="V991" s="35"/>
      <c r="W991" s="46">
        <v>20.9</v>
      </c>
      <c r="X991" s="26">
        <f t="shared" si="1803"/>
        <v>2366.9249999999997</v>
      </c>
      <c r="Y991" s="26">
        <f t="shared" si="1790"/>
        <v>0</v>
      </c>
      <c r="Z991" s="26">
        <f t="shared" si="1804"/>
        <v>167.2</v>
      </c>
      <c r="AA991" s="27">
        <f t="shared" si="1792"/>
        <v>0</v>
      </c>
      <c r="AB991" s="27">
        <f t="shared" si="1805"/>
        <v>2366.9249999999997</v>
      </c>
      <c r="AC991" s="65">
        <f>0-Y991-AA991</f>
        <v>0</v>
      </c>
      <c r="AD991" s="210"/>
      <c r="AE991" s="65">
        <f t="shared" si="1799"/>
        <v>-167.19999999999982</v>
      </c>
      <c r="AF991" s="210"/>
      <c r="AG991" s="8"/>
    </row>
    <row r="992" spans="1:33" x14ac:dyDescent="0.45">
      <c r="A992" s="16">
        <f>A991+14</f>
        <v>45228</v>
      </c>
      <c r="B992" s="17" t="s">
        <v>30</v>
      </c>
      <c r="C992" s="47">
        <f>120*W992</f>
        <v>4098</v>
      </c>
      <c r="D992" s="18">
        <v>80</v>
      </c>
      <c r="E992" s="18">
        <v>14.5</v>
      </c>
      <c r="F992" s="18">
        <v>0</v>
      </c>
      <c r="G992" s="18">
        <v>8</v>
      </c>
      <c r="H992" s="18">
        <v>0</v>
      </c>
      <c r="I992" s="18">
        <v>0</v>
      </c>
      <c r="J992" s="18">
        <v>0</v>
      </c>
      <c r="K992" s="18">
        <v>0</v>
      </c>
      <c r="L992" s="44">
        <v>0</v>
      </c>
      <c r="M992" s="33"/>
      <c r="N992" s="18">
        <v>80</v>
      </c>
      <c r="O992" s="18">
        <v>14.5</v>
      </c>
      <c r="P992" s="18">
        <v>0</v>
      </c>
      <c r="Q992" s="18">
        <v>8</v>
      </c>
      <c r="R992" s="33"/>
      <c r="S992" s="18">
        <f>SUM(D992:G992)</f>
        <v>102.5</v>
      </c>
      <c r="T992" s="18">
        <f>SUM(N992:Q992)</f>
        <v>102.5</v>
      </c>
      <c r="U992" s="18">
        <f>SUM(H992:K992)</f>
        <v>0</v>
      </c>
      <c r="V992" s="33"/>
      <c r="W992" s="44">
        <v>34.15</v>
      </c>
      <c r="X992" s="19">
        <f>(W992*1*D992)+(W992*1.5*E992)+(W992*2*F992)+(W992*1*G992)</f>
        <v>3747.9624999999996</v>
      </c>
      <c r="Y992" s="19">
        <f>(W992*0*H992)+(W992*1*I992)</f>
        <v>0</v>
      </c>
      <c r="Z992" s="19">
        <f>(W992*1*J992)+L992</f>
        <v>0</v>
      </c>
      <c r="AA992" s="20">
        <f>(W992*1*K992)</f>
        <v>0</v>
      </c>
      <c r="AB992" s="20">
        <f>(W992*1*N992)+(W992*1.5*O992)+(W992*2*P992)+(W992*1*Q992)</f>
        <v>3747.9624999999996</v>
      </c>
      <c r="AC992" s="66">
        <f t="shared" ref="AC992:AC997" si="1810">0-Y992-AA992</f>
        <v>0</v>
      </c>
      <c r="AD992" s="208"/>
      <c r="AE992" s="66">
        <f t="shared" si="1799"/>
        <v>0</v>
      </c>
      <c r="AF992" s="208">
        <f>SUM(AE992:AE1000)</f>
        <v>20.900000000000091</v>
      </c>
      <c r="AG992" s="8"/>
    </row>
    <row r="993" spans="1:33" x14ac:dyDescent="0.45">
      <c r="A993" s="22">
        <f>A992</f>
        <v>45228</v>
      </c>
      <c r="B993" s="15" t="s">
        <v>4</v>
      </c>
      <c r="C993" s="48">
        <f>80*W993</f>
        <v>2520</v>
      </c>
      <c r="D993" s="13">
        <v>80</v>
      </c>
      <c r="E993" s="13">
        <v>28</v>
      </c>
      <c r="F993" s="13">
        <v>12</v>
      </c>
      <c r="G993" s="13">
        <v>25</v>
      </c>
      <c r="H993" s="13">
        <v>0</v>
      </c>
      <c r="I993" s="13">
        <v>0</v>
      </c>
      <c r="J993" s="13">
        <v>0</v>
      </c>
      <c r="K993" s="13">
        <v>0</v>
      </c>
      <c r="L993" s="45">
        <v>0</v>
      </c>
      <c r="M993" s="34"/>
      <c r="N993" s="13">
        <v>80</v>
      </c>
      <c r="O993" s="13">
        <v>28</v>
      </c>
      <c r="P993" s="13">
        <v>12</v>
      </c>
      <c r="Q993" s="13">
        <v>25</v>
      </c>
      <c r="R993" s="34"/>
      <c r="S993" s="13">
        <f t="shared" ref="S993:S995" si="1811">SUM(D993:G993)</f>
        <v>145</v>
      </c>
      <c r="T993" s="13">
        <f t="shared" ref="T993" si="1812">SUM(N993:Q993)</f>
        <v>145</v>
      </c>
      <c r="U993" s="13">
        <f>SUM(H993:K993)</f>
        <v>0</v>
      </c>
      <c r="V993" s="34"/>
      <c r="W993" s="45">
        <v>31.5</v>
      </c>
      <c r="X993" s="10">
        <f t="shared" ref="X993:X994" si="1813">(W993*1*D993)+(W993*1.5*E993)+(W993*2*F993)+(W993*1*G993)</f>
        <v>5386.5</v>
      </c>
      <c r="Y993" s="10">
        <f t="shared" ref="Y993:Y1000" si="1814">(W993*0*H993)+(W993*1*I993)</f>
        <v>0</v>
      </c>
      <c r="Z993" s="10">
        <f t="shared" ref="Z993:Z995" si="1815">(W993*1*J993)+L993</f>
        <v>0</v>
      </c>
      <c r="AA993" s="14">
        <f t="shared" ref="AA993:AA1000" si="1816">(W993*1*K993)</f>
        <v>0</v>
      </c>
      <c r="AB993" s="14">
        <f t="shared" ref="AB993:AB995" si="1817">(W993*1*N993)+(W993*1.5*O993)+(W993*2*P993)+(W993*1*Q993)</f>
        <v>5386.5</v>
      </c>
      <c r="AC993" s="63">
        <f t="shared" si="1810"/>
        <v>0</v>
      </c>
      <c r="AD993" s="209"/>
      <c r="AE993" s="63">
        <f t="shared" si="1799"/>
        <v>0</v>
      </c>
      <c r="AF993" s="209"/>
      <c r="AG993" s="8"/>
    </row>
    <row r="994" spans="1:33" x14ac:dyDescent="0.45">
      <c r="A994" s="22">
        <f t="shared" ref="A994:A1000" si="1818">A993</f>
        <v>45228</v>
      </c>
      <c r="B994" s="15" t="s">
        <v>5</v>
      </c>
      <c r="C994" s="48">
        <f>120*W994</f>
        <v>3654</v>
      </c>
      <c r="D994" s="13">
        <v>80</v>
      </c>
      <c r="E994" s="13">
        <v>27</v>
      </c>
      <c r="F994" s="13">
        <v>0</v>
      </c>
      <c r="G994" s="13">
        <v>0</v>
      </c>
      <c r="H994" s="13">
        <v>0</v>
      </c>
      <c r="I994" s="13">
        <v>0</v>
      </c>
      <c r="J994" s="13">
        <v>0</v>
      </c>
      <c r="K994" s="13">
        <v>0</v>
      </c>
      <c r="L994" s="45">
        <v>0</v>
      </c>
      <c r="M994" s="34"/>
      <c r="N994" s="13">
        <v>80</v>
      </c>
      <c r="O994" s="13">
        <v>27</v>
      </c>
      <c r="P994" s="13">
        <v>0</v>
      </c>
      <c r="Q994" s="13">
        <v>0</v>
      </c>
      <c r="R994" s="34"/>
      <c r="S994" s="13">
        <f t="shared" si="1811"/>
        <v>107</v>
      </c>
      <c r="T994" s="13">
        <f>SUM(N994:Q994)</f>
        <v>107</v>
      </c>
      <c r="U994" s="13">
        <f t="shared" ref="U994:U995" si="1819">SUM(H994:K994)</f>
        <v>0</v>
      </c>
      <c r="V994" s="34"/>
      <c r="W994" s="45">
        <v>30.45</v>
      </c>
      <c r="X994" s="10">
        <f t="shared" si="1813"/>
        <v>3669.2249999999999</v>
      </c>
      <c r="Y994" s="10">
        <f t="shared" si="1814"/>
        <v>0</v>
      </c>
      <c r="Z994" s="10">
        <f t="shared" si="1815"/>
        <v>0</v>
      </c>
      <c r="AA994" s="14">
        <f t="shared" si="1816"/>
        <v>0</v>
      </c>
      <c r="AB994" s="14">
        <f t="shared" si="1817"/>
        <v>3669.2249999999999</v>
      </c>
      <c r="AC994" s="63">
        <f t="shared" si="1810"/>
        <v>0</v>
      </c>
      <c r="AD994" s="209"/>
      <c r="AE994" s="63">
        <f t="shared" si="1799"/>
        <v>0</v>
      </c>
      <c r="AF994" s="209"/>
      <c r="AG994" s="8"/>
    </row>
    <row r="995" spans="1:33" x14ac:dyDescent="0.45">
      <c r="A995" s="22">
        <f t="shared" si="1818"/>
        <v>45228</v>
      </c>
      <c r="B995" s="15" t="s">
        <v>6</v>
      </c>
      <c r="C995" s="48">
        <f>120*W995</f>
        <v>3780</v>
      </c>
      <c r="D995" s="13">
        <v>80</v>
      </c>
      <c r="E995" s="13">
        <v>52</v>
      </c>
      <c r="F995" s="13">
        <v>24</v>
      </c>
      <c r="G995" s="13">
        <v>6</v>
      </c>
      <c r="H995" s="13">
        <v>0</v>
      </c>
      <c r="I995" s="13">
        <v>0</v>
      </c>
      <c r="J995" s="13">
        <v>0</v>
      </c>
      <c r="K995" s="13">
        <v>0</v>
      </c>
      <c r="L995" s="45">
        <v>0</v>
      </c>
      <c r="M995" s="34"/>
      <c r="N995" s="13">
        <v>80</v>
      </c>
      <c r="O995" s="13">
        <v>52</v>
      </c>
      <c r="P995" s="13">
        <v>24</v>
      </c>
      <c r="Q995" s="13">
        <v>6</v>
      </c>
      <c r="R995" s="34"/>
      <c r="S995" s="13">
        <f t="shared" si="1811"/>
        <v>162</v>
      </c>
      <c r="T995" s="13">
        <f t="shared" ref="T995" si="1820">SUM(N995:Q995)</f>
        <v>162</v>
      </c>
      <c r="U995" s="13">
        <f t="shared" si="1819"/>
        <v>0</v>
      </c>
      <c r="V995" s="34"/>
      <c r="W995" s="45">
        <v>31.5</v>
      </c>
      <c r="X995" s="45">
        <f>(W995*1*D995)+(W995*1.5*E995)+(W995*2*F995)+(W995*1*G995)</f>
        <v>6678</v>
      </c>
      <c r="Y995" s="45">
        <f t="shared" si="1814"/>
        <v>0</v>
      </c>
      <c r="Z995" s="45">
        <f t="shared" si="1815"/>
        <v>0</v>
      </c>
      <c r="AA995" s="79">
        <f t="shared" si="1816"/>
        <v>0</v>
      </c>
      <c r="AB995" s="79">
        <f t="shared" si="1817"/>
        <v>6678</v>
      </c>
      <c r="AC995" s="80">
        <f t="shared" si="1810"/>
        <v>0</v>
      </c>
      <c r="AD995" s="209"/>
      <c r="AE995" s="80">
        <f t="shared" si="1799"/>
        <v>0</v>
      </c>
      <c r="AF995" s="209"/>
      <c r="AG995" s="8"/>
    </row>
    <row r="996" spans="1:33" x14ac:dyDescent="0.45">
      <c r="A996" s="22">
        <f t="shared" si="1818"/>
        <v>45228</v>
      </c>
      <c r="B996" s="50" t="s">
        <v>31</v>
      </c>
      <c r="C996" s="48">
        <f>120*W996</f>
        <v>3780</v>
      </c>
      <c r="D996" s="51">
        <v>80</v>
      </c>
      <c r="E996" s="51">
        <v>27</v>
      </c>
      <c r="F996" s="51">
        <v>12</v>
      </c>
      <c r="G996" s="51">
        <v>14</v>
      </c>
      <c r="H996" s="51">
        <v>0</v>
      </c>
      <c r="I996" s="51">
        <v>0</v>
      </c>
      <c r="J996" s="51">
        <v>0</v>
      </c>
      <c r="K996" s="51">
        <v>0</v>
      </c>
      <c r="L996" s="52">
        <v>0</v>
      </c>
      <c r="M996" s="34"/>
      <c r="N996" s="13">
        <v>80</v>
      </c>
      <c r="O996" s="13">
        <v>27</v>
      </c>
      <c r="P996" s="13">
        <v>12</v>
      </c>
      <c r="Q996" s="13">
        <v>14</v>
      </c>
      <c r="R996" s="34"/>
      <c r="S996" s="51">
        <f t="shared" ref="S996" si="1821">SUM(D996:G996)</f>
        <v>133</v>
      </c>
      <c r="T996" s="51">
        <f>SUM(N996:Q996)</f>
        <v>133</v>
      </c>
      <c r="U996" s="51">
        <f t="shared" ref="U996" si="1822">SUM(H996:K996)</f>
        <v>0</v>
      </c>
      <c r="V996" s="34"/>
      <c r="W996" s="52">
        <v>31.5</v>
      </c>
      <c r="X996" s="53">
        <f>(W996*1*D996)+(W996*1.5*E996)+(W996*2*F996)+(W996*1*G996)</f>
        <v>4992.75</v>
      </c>
      <c r="Y996" s="53">
        <f t="shared" si="1814"/>
        <v>0</v>
      </c>
      <c r="Z996" s="53">
        <f>(W996*1*J996)+L996</f>
        <v>0</v>
      </c>
      <c r="AA996" s="54">
        <f t="shared" si="1816"/>
        <v>0</v>
      </c>
      <c r="AB996" s="54">
        <f>(W996*1*N996)+(W996*1.5*O996)+(W996*2*P996)+(W996*1*Q996)</f>
        <v>4992.75</v>
      </c>
      <c r="AC996" s="64">
        <f t="shared" si="1810"/>
        <v>0</v>
      </c>
      <c r="AD996" s="209"/>
      <c r="AE996" s="64">
        <f t="shared" ref="AE996:AE1004" si="1823">AB996-(X996+Z996)</f>
        <v>0</v>
      </c>
      <c r="AF996" s="209"/>
      <c r="AG996" s="8"/>
    </row>
    <row r="997" spans="1:33" x14ac:dyDescent="0.45">
      <c r="A997" s="22">
        <f t="shared" si="1818"/>
        <v>45228</v>
      </c>
      <c r="B997" s="50" t="s">
        <v>64</v>
      </c>
      <c r="C997" s="48">
        <f t="shared" ref="C997:C1000" si="1824">80*W997</f>
        <v>1672</v>
      </c>
      <c r="D997" s="51">
        <v>80</v>
      </c>
      <c r="E997" s="51">
        <v>24.5</v>
      </c>
      <c r="F997" s="51">
        <v>0</v>
      </c>
      <c r="G997" s="51">
        <v>6</v>
      </c>
      <c r="H997" s="51">
        <v>0</v>
      </c>
      <c r="I997" s="51">
        <v>0</v>
      </c>
      <c r="J997" s="51">
        <v>0</v>
      </c>
      <c r="K997" s="51">
        <v>0</v>
      </c>
      <c r="L997" s="52">
        <v>0</v>
      </c>
      <c r="M997" s="34"/>
      <c r="N997" s="51">
        <v>80</v>
      </c>
      <c r="O997" s="51">
        <v>24.5</v>
      </c>
      <c r="P997" s="51">
        <v>1</v>
      </c>
      <c r="Q997" s="51">
        <v>5</v>
      </c>
      <c r="R997" s="34"/>
      <c r="S997" s="51">
        <f t="shared" ref="S997:S998" si="1825">SUM(D997:G997)</f>
        <v>110.5</v>
      </c>
      <c r="T997" s="51">
        <f>SUM(N997:Q997)</f>
        <v>110.5</v>
      </c>
      <c r="U997" s="51">
        <f t="shared" ref="U997:U998" si="1826">SUM(H997:K997)</f>
        <v>0</v>
      </c>
      <c r="V997" s="34"/>
      <c r="W997" s="52">
        <v>20.9</v>
      </c>
      <c r="X997" s="53">
        <f t="shared" ref="X997:X1000" si="1827">(W997*1*D997)+(W997*1.5*E997)+(W997*2*F997)+(W997*1*G997)</f>
        <v>2565.4749999999999</v>
      </c>
      <c r="Y997" s="53">
        <f t="shared" si="1814"/>
        <v>0</v>
      </c>
      <c r="Z997" s="53">
        <f t="shared" ref="Z997:Z1000" si="1828">(W997*1*J997)+L997</f>
        <v>0</v>
      </c>
      <c r="AA997" s="54">
        <f t="shared" si="1816"/>
        <v>0</v>
      </c>
      <c r="AB997" s="54">
        <f t="shared" ref="AB997:AB1000" si="1829">(W997*1*N997)+(W997*1.5*O997)+(W997*2*P997)+(W997*1*Q997)</f>
        <v>2586.375</v>
      </c>
      <c r="AC997" s="64">
        <f t="shared" si="1810"/>
        <v>0</v>
      </c>
      <c r="AD997" s="209"/>
      <c r="AE997" s="64">
        <f t="shared" si="1823"/>
        <v>20.900000000000091</v>
      </c>
      <c r="AF997" s="209"/>
      <c r="AG997" s="8"/>
    </row>
    <row r="998" spans="1:33" x14ac:dyDescent="0.45">
      <c r="A998" s="22">
        <f t="shared" si="1818"/>
        <v>45228</v>
      </c>
      <c r="B998" s="50" t="s">
        <v>54</v>
      </c>
      <c r="C998" s="48">
        <f t="shared" si="1824"/>
        <v>2024</v>
      </c>
      <c r="D998" s="51">
        <v>80</v>
      </c>
      <c r="E998" s="51">
        <v>28.5</v>
      </c>
      <c r="F998" s="51">
        <v>12</v>
      </c>
      <c r="G998" s="51">
        <v>4</v>
      </c>
      <c r="H998" s="51">
        <v>0</v>
      </c>
      <c r="I998" s="51">
        <v>0</v>
      </c>
      <c r="J998" s="51">
        <v>0</v>
      </c>
      <c r="K998" s="51">
        <v>0</v>
      </c>
      <c r="L998" s="52">
        <v>0</v>
      </c>
      <c r="M998" s="34"/>
      <c r="N998" s="13">
        <v>80</v>
      </c>
      <c r="O998" s="13">
        <v>28.5</v>
      </c>
      <c r="P998" s="13">
        <v>12</v>
      </c>
      <c r="Q998" s="13">
        <v>4</v>
      </c>
      <c r="R998" s="34"/>
      <c r="S998" s="51">
        <f t="shared" si="1825"/>
        <v>124.5</v>
      </c>
      <c r="T998" s="51">
        <f t="shared" ref="T998" si="1830">SUM(N998:Q998)</f>
        <v>124.5</v>
      </c>
      <c r="U998" s="51">
        <f t="shared" si="1826"/>
        <v>0</v>
      </c>
      <c r="V998" s="34"/>
      <c r="W998" s="52">
        <v>25.3</v>
      </c>
      <c r="X998" s="53">
        <f t="shared" si="1827"/>
        <v>3813.9749999999995</v>
      </c>
      <c r="Y998" s="53">
        <f t="shared" si="1814"/>
        <v>0</v>
      </c>
      <c r="Z998" s="53">
        <f t="shared" si="1828"/>
        <v>0</v>
      </c>
      <c r="AA998" s="54">
        <f t="shared" si="1816"/>
        <v>0</v>
      </c>
      <c r="AB998" s="54">
        <f t="shared" si="1829"/>
        <v>3813.9749999999995</v>
      </c>
      <c r="AC998" s="64">
        <f>0-Y998-AA998</f>
        <v>0</v>
      </c>
      <c r="AD998" s="209"/>
      <c r="AE998" s="64">
        <f t="shared" si="1823"/>
        <v>0</v>
      </c>
      <c r="AF998" s="209"/>
      <c r="AG998" s="8"/>
    </row>
    <row r="999" spans="1:33" x14ac:dyDescent="0.45">
      <c r="A999" s="22">
        <f t="shared" si="1818"/>
        <v>45228</v>
      </c>
      <c r="B999" s="50" t="s">
        <v>65</v>
      </c>
      <c r="C999" s="48">
        <f t="shared" si="1824"/>
        <v>1672</v>
      </c>
      <c r="D999" s="51">
        <v>80</v>
      </c>
      <c r="E999" s="51">
        <v>28.75</v>
      </c>
      <c r="F999" s="51">
        <v>0</v>
      </c>
      <c r="G999" s="51">
        <v>0</v>
      </c>
      <c r="H999" s="51">
        <v>0</v>
      </c>
      <c r="I999" s="51">
        <v>0</v>
      </c>
      <c r="J999" s="51">
        <v>0</v>
      </c>
      <c r="K999" s="51">
        <v>0</v>
      </c>
      <c r="L999" s="52">
        <v>0</v>
      </c>
      <c r="M999" s="34"/>
      <c r="N999" s="51">
        <v>80</v>
      </c>
      <c r="O999" s="51">
        <v>28.75</v>
      </c>
      <c r="P999" s="51">
        <v>0</v>
      </c>
      <c r="Q999" s="51">
        <v>0</v>
      </c>
      <c r="R999" s="34"/>
      <c r="S999" s="51">
        <f t="shared" ref="S999:S1000" si="1831">SUM(D999:G999)</f>
        <v>108.75</v>
      </c>
      <c r="T999" s="51">
        <f t="shared" ref="T999:T1000" si="1832">SUM(N999:Q999)</f>
        <v>108.75</v>
      </c>
      <c r="U999" s="51">
        <f t="shared" ref="U999:U1000" si="1833">SUM(H999:K999)</f>
        <v>0</v>
      </c>
      <c r="V999" s="34"/>
      <c r="W999" s="52">
        <v>20.9</v>
      </c>
      <c r="X999" s="53">
        <f t="shared" si="1827"/>
        <v>2573.3125</v>
      </c>
      <c r="Y999" s="53">
        <f t="shared" si="1814"/>
        <v>0</v>
      </c>
      <c r="Z999" s="53">
        <f t="shared" si="1828"/>
        <v>0</v>
      </c>
      <c r="AA999" s="54">
        <f t="shared" si="1816"/>
        <v>0</v>
      </c>
      <c r="AB999" s="54">
        <f t="shared" si="1829"/>
        <v>2573.3125</v>
      </c>
      <c r="AC999" s="64">
        <f>0-Y999-AA999</f>
        <v>0</v>
      </c>
      <c r="AD999" s="209"/>
      <c r="AE999" s="64">
        <f t="shared" si="1823"/>
        <v>0</v>
      </c>
      <c r="AF999" s="209"/>
      <c r="AG999" s="8"/>
    </row>
    <row r="1000" spans="1:33" ht="14.65" thickBot="1" x14ac:dyDescent="0.5">
      <c r="A1000" s="23">
        <f t="shared" si="1818"/>
        <v>45228</v>
      </c>
      <c r="B1000" s="24" t="s">
        <v>66</v>
      </c>
      <c r="C1000" s="49">
        <f t="shared" si="1824"/>
        <v>1672</v>
      </c>
      <c r="D1000" s="25">
        <v>80</v>
      </c>
      <c r="E1000" s="25">
        <v>20</v>
      </c>
      <c r="F1000" s="25">
        <v>0</v>
      </c>
      <c r="G1000" s="25">
        <v>8</v>
      </c>
      <c r="H1000" s="25">
        <v>0</v>
      </c>
      <c r="I1000" s="25">
        <v>0</v>
      </c>
      <c r="J1000" s="25">
        <v>0</v>
      </c>
      <c r="K1000" s="25">
        <v>0</v>
      </c>
      <c r="L1000" s="46">
        <v>0</v>
      </c>
      <c r="M1000" s="35"/>
      <c r="N1000" s="25">
        <v>80</v>
      </c>
      <c r="O1000" s="25">
        <v>20</v>
      </c>
      <c r="P1000" s="25">
        <v>0</v>
      </c>
      <c r="Q1000" s="25">
        <v>8</v>
      </c>
      <c r="R1000" s="35"/>
      <c r="S1000" s="25">
        <f t="shared" si="1831"/>
        <v>108</v>
      </c>
      <c r="T1000" s="25">
        <f t="shared" si="1832"/>
        <v>108</v>
      </c>
      <c r="U1000" s="25">
        <f t="shared" si="1833"/>
        <v>0</v>
      </c>
      <c r="V1000" s="35"/>
      <c r="W1000" s="46">
        <v>20.9</v>
      </c>
      <c r="X1000" s="26">
        <f t="shared" si="1827"/>
        <v>2466.1999999999998</v>
      </c>
      <c r="Y1000" s="26">
        <f t="shared" si="1814"/>
        <v>0</v>
      </c>
      <c r="Z1000" s="26">
        <f t="shared" si="1828"/>
        <v>0</v>
      </c>
      <c r="AA1000" s="27">
        <f t="shared" si="1816"/>
        <v>0</v>
      </c>
      <c r="AB1000" s="27">
        <f t="shared" si="1829"/>
        <v>2466.1999999999998</v>
      </c>
      <c r="AC1000" s="65">
        <f>0-Y1000-AA1000</f>
        <v>0</v>
      </c>
      <c r="AD1000" s="210"/>
      <c r="AE1000" s="65">
        <f t="shared" si="1823"/>
        <v>0</v>
      </c>
      <c r="AF1000" s="210"/>
      <c r="AG1000" s="8"/>
    </row>
    <row r="1001" spans="1:33" x14ac:dyDescent="0.45">
      <c r="A1001" s="16">
        <f>A1000+14</f>
        <v>45242</v>
      </c>
      <c r="B1001" s="17" t="s">
        <v>30</v>
      </c>
      <c r="C1001" s="47">
        <f>120*W1001</f>
        <v>4098</v>
      </c>
      <c r="D1001" s="18">
        <v>80</v>
      </c>
      <c r="E1001" s="18">
        <v>18</v>
      </c>
      <c r="F1001" s="18">
        <v>0</v>
      </c>
      <c r="G1001" s="18">
        <v>4</v>
      </c>
      <c r="H1001" s="18">
        <v>0</v>
      </c>
      <c r="I1001" s="18">
        <v>0</v>
      </c>
      <c r="J1001" s="18">
        <v>0</v>
      </c>
      <c r="K1001" s="18">
        <v>0</v>
      </c>
      <c r="L1001" s="44">
        <v>0</v>
      </c>
      <c r="M1001" s="33"/>
      <c r="N1001" s="18">
        <v>80</v>
      </c>
      <c r="O1001" s="18">
        <v>18</v>
      </c>
      <c r="P1001" s="18">
        <v>0</v>
      </c>
      <c r="Q1001" s="18">
        <v>4</v>
      </c>
      <c r="R1001" s="33"/>
      <c r="S1001" s="18">
        <f>SUM(D1001:G1001)</f>
        <v>102</v>
      </c>
      <c r="T1001" s="18">
        <f>SUM(N1001:Q1001)</f>
        <v>102</v>
      </c>
      <c r="U1001" s="18">
        <f>SUM(H1001:K1001)</f>
        <v>0</v>
      </c>
      <c r="V1001" s="33"/>
      <c r="W1001" s="44">
        <v>34.15</v>
      </c>
      <c r="X1001" s="19">
        <f>(W1001*1*D1001)+(W1001*1.5*E1001)+(W1001*2*F1001)+(W1001*1*G1001)</f>
        <v>3790.65</v>
      </c>
      <c r="Y1001" s="19">
        <f>(W1001*0*H1001)+(W1001*1*I1001)</f>
        <v>0</v>
      </c>
      <c r="Z1001" s="19">
        <f>(W1001*1*J1001)+L1001</f>
        <v>0</v>
      </c>
      <c r="AA1001" s="20">
        <f>(W1001*1*K1001)</f>
        <v>0</v>
      </c>
      <c r="AB1001" s="20">
        <f>(W1001*1*N1001)+(W1001*1.5*O1001)+(W1001*2*P1001)+(W1001*1*Q1001)</f>
        <v>3790.65</v>
      </c>
      <c r="AC1001" s="66">
        <f t="shared" ref="AC1001:AC1006" si="1834">0-Y1001-AA1001</f>
        <v>0</v>
      </c>
      <c r="AD1001" s="208"/>
      <c r="AE1001" s="66">
        <f t="shared" si="1823"/>
        <v>0</v>
      </c>
      <c r="AF1001" s="208">
        <f>SUM(AE1001:AE1009)</f>
        <v>242.69999999999982</v>
      </c>
      <c r="AG1001" s="8"/>
    </row>
    <row r="1002" spans="1:33" x14ac:dyDescent="0.45">
      <c r="A1002" s="22">
        <f>A1001</f>
        <v>45242</v>
      </c>
      <c r="B1002" s="15" t="s">
        <v>4</v>
      </c>
      <c r="C1002" s="48">
        <f>80*W1002</f>
        <v>2520</v>
      </c>
      <c r="D1002" s="13">
        <v>80</v>
      </c>
      <c r="E1002" s="13">
        <v>48</v>
      </c>
      <c r="F1002" s="13">
        <v>20</v>
      </c>
      <c r="G1002" s="13">
        <v>15.25</v>
      </c>
      <c r="H1002" s="13">
        <v>0</v>
      </c>
      <c r="I1002" s="13">
        <v>0</v>
      </c>
      <c r="J1002" s="13">
        <v>0</v>
      </c>
      <c r="K1002" s="13">
        <v>0</v>
      </c>
      <c r="L1002" s="45">
        <v>0</v>
      </c>
      <c r="M1002" s="34"/>
      <c r="N1002" s="13">
        <v>80</v>
      </c>
      <c r="O1002" s="13">
        <v>44.75</v>
      </c>
      <c r="P1002" s="13">
        <v>23.25</v>
      </c>
      <c r="Q1002" s="13">
        <v>15.25</v>
      </c>
      <c r="R1002" s="34"/>
      <c r="S1002" s="13">
        <f t="shared" ref="S1002:S1004" si="1835">SUM(D1002:G1002)</f>
        <v>163.25</v>
      </c>
      <c r="T1002" s="13">
        <f t="shared" ref="T1002" si="1836">SUM(N1002:Q1002)</f>
        <v>163.25</v>
      </c>
      <c r="U1002" s="13">
        <f>SUM(H1002:K1002)</f>
        <v>0</v>
      </c>
      <c r="V1002" s="34"/>
      <c r="W1002" s="45">
        <v>31.5</v>
      </c>
      <c r="X1002" s="10">
        <f t="shared" ref="X1002:X1003" si="1837">(W1002*1*D1002)+(W1002*1.5*E1002)+(W1002*2*F1002)+(W1002*1*G1002)</f>
        <v>6528.375</v>
      </c>
      <c r="Y1002" s="10">
        <f t="shared" ref="Y1002:Y1009" si="1838">(W1002*0*H1002)+(W1002*1*I1002)</f>
        <v>0</v>
      </c>
      <c r="Z1002" s="10">
        <f t="shared" ref="Z1002:Z1004" si="1839">(W1002*1*J1002)+L1002</f>
        <v>0</v>
      </c>
      <c r="AA1002" s="14">
        <f t="shared" ref="AA1002:AA1009" si="1840">(W1002*1*K1002)</f>
        <v>0</v>
      </c>
      <c r="AB1002" s="14">
        <f t="shared" ref="AB1002:AB1004" si="1841">(W1002*1*N1002)+(W1002*1.5*O1002)+(W1002*2*P1002)+(W1002*1*Q1002)</f>
        <v>6579.5625</v>
      </c>
      <c r="AC1002" s="63">
        <f t="shared" si="1834"/>
        <v>0</v>
      </c>
      <c r="AD1002" s="209"/>
      <c r="AE1002" s="63">
        <f t="shared" si="1823"/>
        <v>51.1875</v>
      </c>
      <c r="AF1002" s="209"/>
      <c r="AG1002" s="8"/>
    </row>
    <row r="1003" spans="1:33" x14ac:dyDescent="0.45">
      <c r="A1003" s="22">
        <f t="shared" ref="A1003:A1009" si="1842">A1002</f>
        <v>45242</v>
      </c>
      <c r="B1003" s="15" t="s">
        <v>5</v>
      </c>
      <c r="C1003" s="48">
        <f>120*W1003</f>
        <v>3654</v>
      </c>
      <c r="D1003" s="13">
        <v>80</v>
      </c>
      <c r="E1003" s="13">
        <v>18.25</v>
      </c>
      <c r="F1003" s="13">
        <v>0</v>
      </c>
      <c r="G1003" s="13">
        <v>0</v>
      </c>
      <c r="H1003" s="13">
        <v>0</v>
      </c>
      <c r="I1003" s="13">
        <v>0</v>
      </c>
      <c r="J1003" s="13">
        <v>0</v>
      </c>
      <c r="K1003" s="13">
        <v>0</v>
      </c>
      <c r="L1003" s="45">
        <v>0</v>
      </c>
      <c r="M1003" s="34"/>
      <c r="N1003" s="13">
        <v>80</v>
      </c>
      <c r="O1003" s="13">
        <v>18.25</v>
      </c>
      <c r="P1003" s="13">
        <v>0</v>
      </c>
      <c r="Q1003" s="13">
        <v>0</v>
      </c>
      <c r="R1003" s="34"/>
      <c r="S1003" s="13">
        <f t="shared" si="1835"/>
        <v>98.25</v>
      </c>
      <c r="T1003" s="13">
        <f>SUM(N1003:Q1003)</f>
        <v>98.25</v>
      </c>
      <c r="U1003" s="13">
        <f t="shared" ref="U1003:U1004" si="1843">SUM(H1003:K1003)</f>
        <v>0</v>
      </c>
      <c r="V1003" s="34"/>
      <c r="W1003" s="45">
        <v>30.45</v>
      </c>
      <c r="X1003" s="10">
        <f t="shared" si="1837"/>
        <v>3269.5687499999999</v>
      </c>
      <c r="Y1003" s="10">
        <f t="shared" si="1838"/>
        <v>0</v>
      </c>
      <c r="Z1003" s="10">
        <f t="shared" si="1839"/>
        <v>0</v>
      </c>
      <c r="AA1003" s="14">
        <f t="shared" si="1840"/>
        <v>0</v>
      </c>
      <c r="AB1003" s="14">
        <f t="shared" si="1841"/>
        <v>3269.5687499999999</v>
      </c>
      <c r="AC1003" s="63">
        <f t="shared" si="1834"/>
        <v>0</v>
      </c>
      <c r="AD1003" s="209"/>
      <c r="AE1003" s="63">
        <f t="shared" si="1823"/>
        <v>0</v>
      </c>
      <c r="AF1003" s="209"/>
      <c r="AG1003" s="8"/>
    </row>
    <row r="1004" spans="1:33" x14ac:dyDescent="0.45">
      <c r="A1004" s="22">
        <f t="shared" si="1842"/>
        <v>45242</v>
      </c>
      <c r="B1004" s="15" t="s">
        <v>6</v>
      </c>
      <c r="C1004" s="48">
        <f>120*W1004</f>
        <v>3780</v>
      </c>
      <c r="D1004" s="13">
        <v>74.75</v>
      </c>
      <c r="E1004" s="13">
        <v>0</v>
      </c>
      <c r="F1004" s="13">
        <v>0</v>
      </c>
      <c r="G1004" s="13">
        <v>9</v>
      </c>
      <c r="H1004" s="13">
        <v>0</v>
      </c>
      <c r="I1004" s="13">
        <v>0</v>
      </c>
      <c r="J1004" s="13">
        <v>0</v>
      </c>
      <c r="K1004" s="13">
        <v>0</v>
      </c>
      <c r="L1004" s="45">
        <v>0</v>
      </c>
      <c r="M1004" s="34"/>
      <c r="N1004" s="13">
        <v>72.5</v>
      </c>
      <c r="O1004" s="13">
        <v>2.25</v>
      </c>
      <c r="P1004" s="13">
        <v>0</v>
      </c>
      <c r="Q1004" s="13">
        <v>9</v>
      </c>
      <c r="R1004" s="34"/>
      <c r="S1004" s="13">
        <f t="shared" si="1835"/>
        <v>83.75</v>
      </c>
      <c r="T1004" s="13">
        <f t="shared" ref="T1004" si="1844">SUM(N1004:Q1004)</f>
        <v>83.75</v>
      </c>
      <c r="U1004" s="13">
        <f t="shared" si="1843"/>
        <v>0</v>
      </c>
      <c r="V1004" s="34"/>
      <c r="W1004" s="45">
        <v>31.5</v>
      </c>
      <c r="X1004" s="45">
        <f>(W1004*1*D1004)+(W1004*1.5*E1004)+(W1004*2*F1004)+(W1004*1*G1004)</f>
        <v>2638.125</v>
      </c>
      <c r="Y1004" s="45">
        <f t="shared" si="1838"/>
        <v>0</v>
      </c>
      <c r="Z1004" s="45">
        <f t="shared" si="1839"/>
        <v>0</v>
      </c>
      <c r="AA1004" s="79">
        <f t="shared" si="1840"/>
        <v>0</v>
      </c>
      <c r="AB1004" s="79">
        <f t="shared" si="1841"/>
        <v>2673.5625</v>
      </c>
      <c r="AC1004" s="80">
        <f t="shared" si="1834"/>
        <v>0</v>
      </c>
      <c r="AD1004" s="209"/>
      <c r="AE1004" s="80">
        <f t="shared" si="1823"/>
        <v>35.4375</v>
      </c>
      <c r="AF1004" s="209"/>
      <c r="AG1004" s="8"/>
    </row>
    <row r="1005" spans="1:33" x14ac:dyDescent="0.45">
      <c r="A1005" s="22">
        <f t="shared" si="1842"/>
        <v>45242</v>
      </c>
      <c r="B1005" s="50" t="s">
        <v>31</v>
      </c>
      <c r="C1005" s="48">
        <f>120*W1005</f>
        <v>3780</v>
      </c>
      <c r="D1005" s="51">
        <v>76.5</v>
      </c>
      <c r="E1005" s="51">
        <v>8</v>
      </c>
      <c r="F1005" s="51">
        <v>12</v>
      </c>
      <c r="G1005" s="51">
        <v>30</v>
      </c>
      <c r="H1005" s="51">
        <v>0</v>
      </c>
      <c r="I1005" s="51">
        <v>0</v>
      </c>
      <c r="J1005" s="51">
        <v>0</v>
      </c>
      <c r="K1005" s="51">
        <v>0</v>
      </c>
      <c r="L1005" s="52">
        <v>0</v>
      </c>
      <c r="M1005" s="34"/>
      <c r="N1005" s="13">
        <v>76.5</v>
      </c>
      <c r="O1005" s="13">
        <v>6</v>
      </c>
      <c r="P1005" s="13">
        <v>14</v>
      </c>
      <c r="Q1005" s="13">
        <v>30</v>
      </c>
      <c r="R1005" s="34"/>
      <c r="S1005" s="51">
        <f t="shared" ref="S1005" si="1845">SUM(D1005:G1005)</f>
        <v>126.5</v>
      </c>
      <c r="T1005" s="51">
        <f>SUM(N1005:Q1005)</f>
        <v>126.5</v>
      </c>
      <c r="U1005" s="51">
        <f t="shared" ref="U1005" si="1846">SUM(H1005:K1005)</f>
        <v>0</v>
      </c>
      <c r="V1005" s="34"/>
      <c r="W1005" s="52">
        <v>31.5</v>
      </c>
      <c r="X1005" s="53">
        <f>(W1005*1*D1005)+(W1005*1.5*E1005)+(W1005*2*F1005)+(W1005*1*G1005)</f>
        <v>4488.75</v>
      </c>
      <c r="Y1005" s="53">
        <f t="shared" si="1838"/>
        <v>0</v>
      </c>
      <c r="Z1005" s="53">
        <f>(W1005*1*J1005)+L1005</f>
        <v>0</v>
      </c>
      <c r="AA1005" s="54">
        <f t="shared" si="1840"/>
        <v>0</v>
      </c>
      <c r="AB1005" s="54">
        <f>(W1005*1*N1005)+(W1005*1.5*O1005)+(W1005*2*P1005)+(W1005*1*Q1005)</f>
        <v>4520.25</v>
      </c>
      <c r="AC1005" s="64">
        <f t="shared" si="1834"/>
        <v>0</v>
      </c>
      <c r="AD1005" s="209"/>
      <c r="AE1005" s="64">
        <f t="shared" ref="AE1005:AE1013" si="1847">AB1005-(X1005+Z1005)</f>
        <v>31.5</v>
      </c>
      <c r="AF1005" s="209"/>
      <c r="AG1005" s="8"/>
    </row>
    <row r="1006" spans="1:33" x14ac:dyDescent="0.45">
      <c r="A1006" s="22">
        <f t="shared" si="1842"/>
        <v>45242</v>
      </c>
      <c r="B1006" s="50" t="s">
        <v>64</v>
      </c>
      <c r="C1006" s="48">
        <f t="shared" ref="C1006:C1009" si="1848">80*W1006</f>
        <v>1672</v>
      </c>
      <c r="D1006" s="51">
        <v>80</v>
      </c>
      <c r="E1006" s="51">
        <v>23</v>
      </c>
      <c r="F1006" s="51">
        <v>0</v>
      </c>
      <c r="G1006" s="51">
        <v>0</v>
      </c>
      <c r="H1006" s="51">
        <v>0</v>
      </c>
      <c r="I1006" s="51">
        <v>0</v>
      </c>
      <c r="J1006" s="51">
        <v>0</v>
      </c>
      <c r="K1006" s="51">
        <v>0</v>
      </c>
      <c r="L1006" s="52">
        <v>0</v>
      </c>
      <c r="M1006" s="34"/>
      <c r="N1006" s="51">
        <v>80</v>
      </c>
      <c r="O1006" s="51">
        <v>23</v>
      </c>
      <c r="P1006" s="51">
        <v>0</v>
      </c>
      <c r="Q1006" s="51">
        <v>0</v>
      </c>
      <c r="R1006" s="34"/>
      <c r="S1006" s="51">
        <f t="shared" ref="S1006:S1007" si="1849">SUM(D1006:G1006)</f>
        <v>103</v>
      </c>
      <c r="T1006" s="51">
        <f>SUM(N1006:Q1006)</f>
        <v>103</v>
      </c>
      <c r="U1006" s="51">
        <f t="shared" ref="U1006:U1007" si="1850">SUM(H1006:K1006)</f>
        <v>0</v>
      </c>
      <c r="V1006" s="34"/>
      <c r="W1006" s="52">
        <v>20.9</v>
      </c>
      <c r="X1006" s="53">
        <f t="shared" ref="X1006:X1009" si="1851">(W1006*1*D1006)+(W1006*1.5*E1006)+(W1006*2*F1006)+(W1006*1*G1006)</f>
        <v>2393.0500000000002</v>
      </c>
      <c r="Y1006" s="53">
        <f t="shared" si="1838"/>
        <v>0</v>
      </c>
      <c r="Z1006" s="53">
        <f t="shared" ref="Z1006:Z1009" si="1852">(W1006*1*J1006)+L1006</f>
        <v>0</v>
      </c>
      <c r="AA1006" s="54">
        <f t="shared" si="1840"/>
        <v>0</v>
      </c>
      <c r="AB1006" s="54">
        <f t="shared" ref="AB1006:AB1009" si="1853">(W1006*1*N1006)+(W1006*1.5*O1006)+(W1006*2*P1006)+(W1006*1*Q1006)</f>
        <v>2393.0500000000002</v>
      </c>
      <c r="AC1006" s="64">
        <f t="shared" si="1834"/>
        <v>0</v>
      </c>
      <c r="AD1006" s="209"/>
      <c r="AE1006" s="64">
        <f t="shared" si="1847"/>
        <v>0</v>
      </c>
      <c r="AF1006" s="209"/>
      <c r="AG1006" s="8"/>
    </row>
    <row r="1007" spans="1:33" x14ac:dyDescent="0.45">
      <c r="A1007" s="22">
        <f t="shared" si="1842"/>
        <v>45242</v>
      </c>
      <c r="B1007" s="50" t="s">
        <v>54</v>
      </c>
      <c r="C1007" s="48">
        <f t="shared" si="1848"/>
        <v>2024</v>
      </c>
      <c r="D1007" s="51">
        <v>79.5</v>
      </c>
      <c r="E1007" s="51">
        <v>8</v>
      </c>
      <c r="F1007" s="51">
        <v>12</v>
      </c>
      <c r="G1007" s="51">
        <v>30</v>
      </c>
      <c r="H1007" s="51">
        <v>0</v>
      </c>
      <c r="I1007" s="51">
        <v>0</v>
      </c>
      <c r="J1007" s="51">
        <v>0</v>
      </c>
      <c r="K1007" s="51">
        <v>0</v>
      </c>
      <c r="L1007" s="52">
        <v>0</v>
      </c>
      <c r="M1007" s="34"/>
      <c r="N1007" s="13">
        <v>79.5</v>
      </c>
      <c r="O1007" s="13">
        <v>6</v>
      </c>
      <c r="P1007" s="13">
        <v>14</v>
      </c>
      <c r="Q1007" s="13">
        <v>30</v>
      </c>
      <c r="R1007" s="34"/>
      <c r="S1007" s="51">
        <f t="shared" si="1849"/>
        <v>129.5</v>
      </c>
      <c r="T1007" s="51">
        <f t="shared" ref="T1007" si="1854">SUM(N1007:Q1007)</f>
        <v>129.5</v>
      </c>
      <c r="U1007" s="51">
        <f t="shared" si="1850"/>
        <v>0</v>
      </c>
      <c r="V1007" s="34"/>
      <c r="W1007" s="52">
        <v>25.3</v>
      </c>
      <c r="X1007" s="53">
        <f t="shared" si="1851"/>
        <v>3681.1500000000005</v>
      </c>
      <c r="Y1007" s="53">
        <f t="shared" si="1838"/>
        <v>0</v>
      </c>
      <c r="Z1007" s="53">
        <f t="shared" si="1852"/>
        <v>0</v>
      </c>
      <c r="AA1007" s="54">
        <f t="shared" si="1840"/>
        <v>0</v>
      </c>
      <c r="AB1007" s="54">
        <f t="shared" si="1853"/>
        <v>3706.4500000000003</v>
      </c>
      <c r="AC1007" s="64">
        <f>0-Y1007-AA1007</f>
        <v>0</v>
      </c>
      <c r="AD1007" s="209"/>
      <c r="AE1007" s="64">
        <f t="shared" si="1847"/>
        <v>25.299999999999727</v>
      </c>
      <c r="AF1007" s="209"/>
      <c r="AG1007" s="8"/>
    </row>
    <row r="1008" spans="1:33" x14ac:dyDescent="0.45">
      <c r="A1008" s="22">
        <f t="shared" si="1842"/>
        <v>45242</v>
      </c>
      <c r="B1008" s="50" t="s">
        <v>65</v>
      </c>
      <c r="C1008" s="48">
        <f t="shared" si="1848"/>
        <v>1672</v>
      </c>
      <c r="D1008" s="51">
        <v>40</v>
      </c>
      <c r="E1008" s="51">
        <v>11.75</v>
      </c>
      <c r="F1008" s="51">
        <v>0</v>
      </c>
      <c r="G1008" s="51">
        <v>0</v>
      </c>
      <c r="H1008" s="51">
        <v>0</v>
      </c>
      <c r="I1008" s="51">
        <v>0</v>
      </c>
      <c r="J1008" s="51">
        <v>0</v>
      </c>
      <c r="K1008" s="51">
        <v>0</v>
      </c>
      <c r="L1008" s="52">
        <v>0</v>
      </c>
      <c r="M1008" s="34"/>
      <c r="N1008" s="51">
        <v>40</v>
      </c>
      <c r="O1008" s="51">
        <v>11.75</v>
      </c>
      <c r="P1008" s="51">
        <v>0</v>
      </c>
      <c r="Q1008" s="51">
        <v>0</v>
      </c>
      <c r="R1008" s="34"/>
      <c r="S1008" s="51">
        <f t="shared" ref="S1008:S1009" si="1855">SUM(D1008:G1008)</f>
        <v>51.75</v>
      </c>
      <c r="T1008" s="51">
        <f t="shared" ref="T1008:T1009" si="1856">SUM(N1008:Q1008)</f>
        <v>51.75</v>
      </c>
      <c r="U1008" s="51">
        <f t="shared" ref="U1008:U1009" si="1857">SUM(H1008:K1008)</f>
        <v>0</v>
      </c>
      <c r="V1008" s="34"/>
      <c r="W1008" s="52">
        <v>20.9</v>
      </c>
      <c r="X1008" s="53">
        <f t="shared" si="1851"/>
        <v>1204.3625</v>
      </c>
      <c r="Y1008" s="53">
        <f t="shared" si="1838"/>
        <v>0</v>
      </c>
      <c r="Z1008" s="53">
        <f t="shared" si="1852"/>
        <v>0</v>
      </c>
      <c r="AA1008" s="54">
        <f t="shared" si="1840"/>
        <v>0</v>
      </c>
      <c r="AB1008" s="54">
        <f t="shared" si="1853"/>
        <v>1204.3625</v>
      </c>
      <c r="AC1008" s="64">
        <f>0-Y1008-AA1008</f>
        <v>0</v>
      </c>
      <c r="AD1008" s="209"/>
      <c r="AE1008" s="64">
        <f t="shared" si="1847"/>
        <v>0</v>
      </c>
      <c r="AF1008" s="209"/>
      <c r="AG1008" s="8"/>
    </row>
    <row r="1009" spans="1:33" ht="14.65" thickBot="1" x14ac:dyDescent="0.5">
      <c r="A1009" s="23">
        <f t="shared" si="1842"/>
        <v>45242</v>
      </c>
      <c r="B1009" s="24" t="s">
        <v>66</v>
      </c>
      <c r="C1009" s="49">
        <f t="shared" si="1848"/>
        <v>1672</v>
      </c>
      <c r="D1009" s="25">
        <v>80</v>
      </c>
      <c r="E1009" s="25">
        <v>27.75</v>
      </c>
      <c r="F1009" s="25">
        <v>0</v>
      </c>
      <c r="G1009" s="25">
        <v>13.25</v>
      </c>
      <c r="H1009" s="25">
        <v>0</v>
      </c>
      <c r="I1009" s="25">
        <v>0</v>
      </c>
      <c r="J1009" s="25">
        <v>0</v>
      </c>
      <c r="K1009" s="25">
        <v>0</v>
      </c>
      <c r="L1009" s="46">
        <v>0</v>
      </c>
      <c r="M1009" s="35"/>
      <c r="N1009" s="25">
        <v>80</v>
      </c>
      <c r="O1009" s="25">
        <v>28.75</v>
      </c>
      <c r="P1009" s="25">
        <v>4.25</v>
      </c>
      <c r="Q1009" s="25">
        <v>8</v>
      </c>
      <c r="R1009" s="35"/>
      <c r="S1009" s="25">
        <f t="shared" si="1855"/>
        <v>121</v>
      </c>
      <c r="T1009" s="25">
        <f t="shared" si="1856"/>
        <v>121</v>
      </c>
      <c r="U1009" s="25">
        <f t="shared" si="1857"/>
        <v>0</v>
      </c>
      <c r="V1009" s="35"/>
      <c r="W1009" s="46">
        <v>20.9</v>
      </c>
      <c r="X1009" s="26">
        <f t="shared" si="1851"/>
        <v>2818.8874999999998</v>
      </c>
      <c r="Y1009" s="26">
        <f t="shared" si="1838"/>
        <v>0</v>
      </c>
      <c r="Z1009" s="26">
        <f t="shared" si="1852"/>
        <v>0</v>
      </c>
      <c r="AA1009" s="27">
        <f t="shared" si="1840"/>
        <v>0</v>
      </c>
      <c r="AB1009" s="27">
        <f t="shared" si="1853"/>
        <v>2918.1624999999999</v>
      </c>
      <c r="AC1009" s="65">
        <f>0-Y1009-AA1009</f>
        <v>0</v>
      </c>
      <c r="AD1009" s="210"/>
      <c r="AE1009" s="65">
        <f t="shared" si="1847"/>
        <v>99.275000000000091</v>
      </c>
      <c r="AF1009" s="210"/>
      <c r="AG1009" s="8"/>
    </row>
    <row r="1010" spans="1:33" x14ac:dyDescent="0.45">
      <c r="A1010" s="16">
        <f>A1009+14</f>
        <v>45256</v>
      </c>
      <c r="B1010" s="17" t="s">
        <v>30</v>
      </c>
      <c r="C1010" s="47">
        <f>120*W1010</f>
        <v>4098</v>
      </c>
      <c r="D1010" s="18">
        <v>80</v>
      </c>
      <c r="E1010" s="18">
        <v>19</v>
      </c>
      <c r="F1010" s="18">
        <v>12</v>
      </c>
      <c r="G1010" s="18">
        <v>12</v>
      </c>
      <c r="H1010" s="18">
        <v>0</v>
      </c>
      <c r="I1010" s="18">
        <v>0</v>
      </c>
      <c r="J1010" s="18">
        <v>0</v>
      </c>
      <c r="K1010" s="18">
        <v>0</v>
      </c>
      <c r="L1010" s="44">
        <v>0</v>
      </c>
      <c r="M1010" s="33"/>
      <c r="N1010" s="18">
        <v>80</v>
      </c>
      <c r="O1010" s="18">
        <v>19</v>
      </c>
      <c r="P1010" s="18">
        <v>12</v>
      </c>
      <c r="Q1010" s="18">
        <v>12</v>
      </c>
      <c r="R1010" s="33"/>
      <c r="S1010" s="18">
        <f>SUM(D1010:G1010)</f>
        <v>123</v>
      </c>
      <c r="T1010" s="18">
        <f>SUM(N1010:Q1010)</f>
        <v>123</v>
      </c>
      <c r="U1010" s="18">
        <f>SUM(H1010:K1010)</f>
        <v>0</v>
      </c>
      <c r="V1010" s="33"/>
      <c r="W1010" s="44">
        <v>34.15</v>
      </c>
      <c r="X1010" s="19">
        <f>(W1010*1*D1010)+(W1010*1.5*E1010)+(W1010*2*F1010)+(W1010*1*G1010)</f>
        <v>4934.6750000000002</v>
      </c>
      <c r="Y1010" s="19">
        <f>(W1010*0*H1010)+(W1010*1*I1010)</f>
        <v>0</v>
      </c>
      <c r="Z1010" s="19">
        <f>(W1010*1*J1010)+L1010</f>
        <v>0</v>
      </c>
      <c r="AA1010" s="20">
        <f>(W1010*1*K1010)</f>
        <v>0</v>
      </c>
      <c r="AB1010" s="20">
        <f>(W1010*1*N1010)+(W1010*1.5*O1010)+(W1010*2*P1010)+(W1010*1*Q1010)</f>
        <v>4934.6750000000002</v>
      </c>
      <c r="AC1010" s="66">
        <f t="shared" ref="AC1010:AC1015" si="1858">0-Y1010-AA1010</f>
        <v>0</v>
      </c>
      <c r="AD1010" s="208"/>
      <c r="AE1010" s="66">
        <f t="shared" si="1847"/>
        <v>0</v>
      </c>
      <c r="AF1010" s="208">
        <f>SUM(AE1010:AE1018)</f>
        <v>271.73750000000018</v>
      </c>
      <c r="AG1010" s="8"/>
    </row>
    <row r="1011" spans="1:33" x14ac:dyDescent="0.45">
      <c r="A1011" s="22">
        <f>A1010</f>
        <v>45256</v>
      </c>
      <c r="B1011" s="15" t="s">
        <v>4</v>
      </c>
      <c r="C1011" s="48">
        <f>80*W1011</f>
        <v>2520</v>
      </c>
      <c r="D1011" s="13">
        <v>77.25</v>
      </c>
      <c r="E1011" s="13">
        <v>8</v>
      </c>
      <c r="F1011" s="13">
        <v>0</v>
      </c>
      <c r="G1011" s="13">
        <v>13.25</v>
      </c>
      <c r="H1011" s="13">
        <v>0</v>
      </c>
      <c r="I1011" s="13">
        <v>0</v>
      </c>
      <c r="J1011" s="13">
        <v>0</v>
      </c>
      <c r="K1011" s="13">
        <v>0</v>
      </c>
      <c r="L1011" s="45">
        <v>0</v>
      </c>
      <c r="M1011" s="34"/>
      <c r="N1011" s="13">
        <v>77.25</v>
      </c>
      <c r="O1011" s="13">
        <v>6.75</v>
      </c>
      <c r="P1011" s="13">
        <v>1.25</v>
      </c>
      <c r="Q1011" s="13">
        <v>13.25</v>
      </c>
      <c r="R1011" s="34"/>
      <c r="S1011" s="13">
        <f t="shared" ref="S1011:S1013" si="1859">SUM(D1011:G1011)</f>
        <v>98.5</v>
      </c>
      <c r="T1011" s="13">
        <f t="shared" ref="T1011" si="1860">SUM(N1011:Q1011)</f>
        <v>98.5</v>
      </c>
      <c r="U1011" s="13">
        <f>SUM(H1011:K1011)</f>
        <v>0</v>
      </c>
      <c r="V1011" s="34"/>
      <c r="W1011" s="45">
        <v>31.5</v>
      </c>
      <c r="X1011" s="10">
        <f t="shared" ref="X1011:X1012" si="1861">(W1011*1*D1011)+(W1011*1.5*E1011)+(W1011*2*F1011)+(W1011*1*G1011)</f>
        <v>3228.75</v>
      </c>
      <c r="Y1011" s="10">
        <f t="shared" ref="Y1011:Y1018" si="1862">(W1011*0*H1011)+(W1011*1*I1011)</f>
        <v>0</v>
      </c>
      <c r="Z1011" s="10">
        <f t="shared" ref="Z1011:Z1013" si="1863">(W1011*1*J1011)+L1011</f>
        <v>0</v>
      </c>
      <c r="AA1011" s="14">
        <f t="shared" ref="AA1011:AA1018" si="1864">(W1011*1*K1011)</f>
        <v>0</v>
      </c>
      <c r="AB1011" s="14">
        <f t="shared" ref="AB1011:AB1013" si="1865">(W1011*1*N1011)+(W1011*1.5*O1011)+(W1011*2*P1011)+(W1011*1*Q1011)</f>
        <v>3248.4375</v>
      </c>
      <c r="AC1011" s="63">
        <f t="shared" si="1858"/>
        <v>0</v>
      </c>
      <c r="AD1011" s="209"/>
      <c r="AE1011" s="63">
        <f t="shared" si="1847"/>
        <v>19.6875</v>
      </c>
      <c r="AF1011" s="209"/>
      <c r="AG1011" s="8"/>
    </row>
    <row r="1012" spans="1:33" x14ac:dyDescent="0.45">
      <c r="A1012" s="22">
        <f t="shared" ref="A1012:A1018" si="1866">A1011</f>
        <v>45256</v>
      </c>
      <c r="B1012" s="15" t="s">
        <v>5</v>
      </c>
      <c r="C1012" s="48">
        <f>120*W1012</f>
        <v>3654</v>
      </c>
      <c r="D1012" s="13">
        <v>80</v>
      </c>
      <c r="E1012" s="13">
        <v>32.75</v>
      </c>
      <c r="F1012" s="13">
        <v>0</v>
      </c>
      <c r="G1012" s="13">
        <v>0</v>
      </c>
      <c r="H1012" s="13">
        <v>0</v>
      </c>
      <c r="I1012" s="13">
        <v>0</v>
      </c>
      <c r="J1012" s="13">
        <v>0</v>
      </c>
      <c r="K1012" s="13">
        <v>0</v>
      </c>
      <c r="L1012" s="45">
        <v>0</v>
      </c>
      <c r="M1012" s="34"/>
      <c r="N1012" s="13">
        <v>80</v>
      </c>
      <c r="O1012" s="13">
        <v>32.75</v>
      </c>
      <c r="P1012" s="13">
        <v>0</v>
      </c>
      <c r="Q1012" s="13">
        <v>0</v>
      </c>
      <c r="R1012" s="34"/>
      <c r="S1012" s="13">
        <f t="shared" si="1859"/>
        <v>112.75</v>
      </c>
      <c r="T1012" s="13">
        <f>SUM(N1012:Q1012)</f>
        <v>112.75</v>
      </c>
      <c r="U1012" s="13">
        <f t="shared" ref="U1012:U1013" si="1867">SUM(H1012:K1012)</f>
        <v>0</v>
      </c>
      <c r="V1012" s="34"/>
      <c r="W1012" s="45">
        <v>30.45</v>
      </c>
      <c r="X1012" s="10">
        <f t="shared" si="1861"/>
        <v>3931.8562499999998</v>
      </c>
      <c r="Y1012" s="10">
        <f t="shared" si="1862"/>
        <v>0</v>
      </c>
      <c r="Z1012" s="10">
        <f t="shared" si="1863"/>
        <v>0</v>
      </c>
      <c r="AA1012" s="14">
        <f t="shared" si="1864"/>
        <v>0</v>
      </c>
      <c r="AB1012" s="14">
        <f t="shared" si="1865"/>
        <v>3931.8562499999998</v>
      </c>
      <c r="AC1012" s="63">
        <f t="shared" si="1858"/>
        <v>0</v>
      </c>
      <c r="AD1012" s="209"/>
      <c r="AE1012" s="63">
        <f t="shared" si="1847"/>
        <v>0</v>
      </c>
      <c r="AF1012" s="209"/>
      <c r="AG1012" s="8"/>
    </row>
    <row r="1013" spans="1:33" x14ac:dyDescent="0.45">
      <c r="A1013" s="22">
        <f t="shared" si="1866"/>
        <v>45256</v>
      </c>
      <c r="B1013" s="15" t="s">
        <v>6</v>
      </c>
      <c r="C1013" s="48">
        <f>120*W1013</f>
        <v>3780</v>
      </c>
      <c r="D1013" s="13">
        <v>21.25</v>
      </c>
      <c r="E1013" s="13">
        <v>0</v>
      </c>
      <c r="F1013" s="13">
        <v>0</v>
      </c>
      <c r="G1013" s="13">
        <v>0</v>
      </c>
      <c r="H1013" s="13">
        <v>0</v>
      </c>
      <c r="I1013" s="13">
        <v>0</v>
      </c>
      <c r="J1013" s="13">
        <v>0</v>
      </c>
      <c r="K1013" s="13">
        <v>0</v>
      </c>
      <c r="L1013" s="45">
        <v>0</v>
      </c>
      <c r="M1013" s="34"/>
      <c r="N1013" s="13">
        <v>21.25</v>
      </c>
      <c r="O1013" s="13">
        <v>0</v>
      </c>
      <c r="P1013" s="13">
        <v>0</v>
      </c>
      <c r="Q1013" s="13">
        <v>0</v>
      </c>
      <c r="R1013" s="34"/>
      <c r="S1013" s="13">
        <f t="shared" si="1859"/>
        <v>21.25</v>
      </c>
      <c r="T1013" s="13">
        <f t="shared" ref="T1013" si="1868">SUM(N1013:Q1013)</f>
        <v>21.25</v>
      </c>
      <c r="U1013" s="13">
        <f t="shared" si="1867"/>
        <v>0</v>
      </c>
      <c r="V1013" s="34"/>
      <c r="W1013" s="45">
        <v>31.5</v>
      </c>
      <c r="X1013" s="45">
        <f>(W1013*1*D1013)+(W1013*1.5*E1013)+(W1013*2*F1013)+(W1013*1*G1013)</f>
        <v>669.375</v>
      </c>
      <c r="Y1013" s="45">
        <f t="shared" si="1862"/>
        <v>0</v>
      </c>
      <c r="Z1013" s="45">
        <f t="shared" si="1863"/>
        <v>0</v>
      </c>
      <c r="AA1013" s="79">
        <f t="shared" si="1864"/>
        <v>0</v>
      </c>
      <c r="AB1013" s="79">
        <f t="shared" si="1865"/>
        <v>669.375</v>
      </c>
      <c r="AC1013" s="80">
        <f t="shared" si="1858"/>
        <v>0</v>
      </c>
      <c r="AD1013" s="209"/>
      <c r="AE1013" s="80">
        <f t="shared" si="1847"/>
        <v>0</v>
      </c>
      <c r="AF1013" s="209"/>
      <c r="AG1013" s="8"/>
    </row>
    <row r="1014" spans="1:33" x14ac:dyDescent="0.45">
      <c r="A1014" s="22">
        <f t="shared" si="1866"/>
        <v>45256</v>
      </c>
      <c r="B1014" s="50" t="s">
        <v>31</v>
      </c>
      <c r="C1014" s="48">
        <f>120*W1014</f>
        <v>3780</v>
      </c>
      <c r="D1014" s="51">
        <v>79.5</v>
      </c>
      <c r="E1014" s="51">
        <v>21.5</v>
      </c>
      <c r="F1014" s="51">
        <v>12</v>
      </c>
      <c r="G1014" s="51">
        <v>29.75</v>
      </c>
      <c r="H1014" s="51">
        <v>0</v>
      </c>
      <c r="I1014" s="51">
        <v>0</v>
      </c>
      <c r="J1014" s="51">
        <v>0</v>
      </c>
      <c r="K1014" s="51">
        <v>0</v>
      </c>
      <c r="L1014" s="52">
        <v>0</v>
      </c>
      <c r="M1014" s="34"/>
      <c r="N1014" s="13">
        <v>80</v>
      </c>
      <c r="O1014" s="13">
        <v>10.25</v>
      </c>
      <c r="P1014" s="13">
        <v>22.75</v>
      </c>
      <c r="Q1014" s="13">
        <v>29.75</v>
      </c>
      <c r="R1014" s="34"/>
      <c r="S1014" s="51">
        <f t="shared" ref="S1014" si="1869">SUM(D1014:G1014)</f>
        <v>142.75</v>
      </c>
      <c r="T1014" s="51">
        <f>SUM(N1014:Q1014)</f>
        <v>142.75</v>
      </c>
      <c r="U1014" s="51">
        <f t="shared" ref="U1014" si="1870">SUM(H1014:K1014)</f>
        <v>0</v>
      </c>
      <c r="V1014" s="34"/>
      <c r="W1014" s="52">
        <v>31.5</v>
      </c>
      <c r="X1014" s="53">
        <f>(W1014*1*D1014)+(W1014*1.5*E1014)+(W1014*2*F1014)+(W1014*1*G1014)</f>
        <v>5213.25</v>
      </c>
      <c r="Y1014" s="53">
        <f t="shared" si="1862"/>
        <v>0</v>
      </c>
      <c r="Z1014" s="53">
        <f>(W1014*1*J1014)+L1014</f>
        <v>0</v>
      </c>
      <c r="AA1014" s="54">
        <f t="shared" si="1864"/>
        <v>0</v>
      </c>
      <c r="AB1014" s="54">
        <f>(W1014*1*N1014)+(W1014*1.5*O1014)+(W1014*2*P1014)+(W1014*1*Q1014)</f>
        <v>5374.6875</v>
      </c>
      <c r="AC1014" s="64">
        <f t="shared" si="1858"/>
        <v>0</v>
      </c>
      <c r="AD1014" s="209"/>
      <c r="AE1014" s="64">
        <f t="shared" ref="AE1014:AE1022" si="1871">AB1014-(X1014+Z1014)</f>
        <v>161.4375</v>
      </c>
      <c r="AF1014" s="209"/>
      <c r="AG1014" s="8"/>
    </row>
    <row r="1015" spans="1:33" x14ac:dyDescent="0.45">
      <c r="A1015" s="22">
        <f t="shared" si="1866"/>
        <v>45256</v>
      </c>
      <c r="B1015" s="50" t="s">
        <v>64</v>
      </c>
      <c r="C1015" s="48">
        <f t="shared" ref="C1015:C1018" si="1872">80*W1015</f>
        <v>1672</v>
      </c>
      <c r="D1015" s="51">
        <v>80</v>
      </c>
      <c r="E1015" s="51">
        <v>46</v>
      </c>
      <c r="F1015" s="51">
        <v>12</v>
      </c>
      <c r="G1015" s="51">
        <v>12</v>
      </c>
      <c r="H1015" s="51">
        <v>0</v>
      </c>
      <c r="I1015" s="51">
        <v>0</v>
      </c>
      <c r="J1015" s="51">
        <v>0</v>
      </c>
      <c r="K1015" s="51">
        <v>0</v>
      </c>
      <c r="L1015" s="52">
        <v>0</v>
      </c>
      <c r="M1015" s="34"/>
      <c r="N1015" s="51">
        <v>80</v>
      </c>
      <c r="O1015" s="51">
        <v>45.5</v>
      </c>
      <c r="P1015" s="51">
        <v>12.5</v>
      </c>
      <c r="Q1015" s="51">
        <v>12</v>
      </c>
      <c r="R1015" s="34"/>
      <c r="S1015" s="51">
        <f t="shared" ref="S1015:S1016" si="1873">SUM(D1015:G1015)</f>
        <v>150</v>
      </c>
      <c r="T1015" s="51">
        <f>SUM(N1015:Q1015)</f>
        <v>150</v>
      </c>
      <c r="U1015" s="51">
        <f t="shared" ref="U1015:U1016" si="1874">SUM(H1015:K1015)</f>
        <v>0</v>
      </c>
      <c r="V1015" s="34"/>
      <c r="W1015" s="52">
        <v>20.9</v>
      </c>
      <c r="X1015" s="53">
        <f t="shared" ref="X1015:X1018" si="1875">(W1015*1*D1015)+(W1015*1.5*E1015)+(W1015*2*F1015)+(W1015*1*G1015)</f>
        <v>3866.5</v>
      </c>
      <c r="Y1015" s="53">
        <f t="shared" si="1862"/>
        <v>0</v>
      </c>
      <c r="Z1015" s="53">
        <f t="shared" ref="Z1015:Z1018" si="1876">(W1015*1*J1015)+L1015</f>
        <v>0</v>
      </c>
      <c r="AA1015" s="54">
        <f t="shared" si="1864"/>
        <v>0</v>
      </c>
      <c r="AB1015" s="54">
        <f t="shared" ref="AB1015:AB1018" si="1877">(W1015*1*N1015)+(W1015*1.5*O1015)+(W1015*2*P1015)+(W1015*1*Q1015)</f>
        <v>3871.7250000000004</v>
      </c>
      <c r="AC1015" s="64">
        <f t="shared" si="1858"/>
        <v>0</v>
      </c>
      <c r="AD1015" s="209"/>
      <c r="AE1015" s="64">
        <f t="shared" si="1871"/>
        <v>5.2250000000003638</v>
      </c>
      <c r="AF1015" s="209"/>
      <c r="AG1015" s="8"/>
    </row>
    <row r="1016" spans="1:33" x14ac:dyDescent="0.45">
      <c r="A1016" s="22">
        <f t="shared" si="1866"/>
        <v>45256</v>
      </c>
      <c r="B1016" s="50" t="s">
        <v>54</v>
      </c>
      <c r="C1016" s="48">
        <f t="shared" si="1872"/>
        <v>2024</v>
      </c>
      <c r="D1016" s="51">
        <v>80</v>
      </c>
      <c r="E1016" s="51">
        <v>21.25</v>
      </c>
      <c r="F1016" s="51">
        <v>12</v>
      </c>
      <c r="G1016" s="51">
        <v>29.75</v>
      </c>
      <c r="H1016" s="51">
        <v>0</v>
      </c>
      <c r="I1016" s="51">
        <v>0</v>
      </c>
      <c r="J1016" s="51">
        <v>0</v>
      </c>
      <c r="K1016" s="51">
        <v>0</v>
      </c>
      <c r="L1016" s="52">
        <v>0</v>
      </c>
      <c r="M1016" s="34"/>
      <c r="N1016" s="13">
        <v>80</v>
      </c>
      <c r="O1016" s="13">
        <v>13.5</v>
      </c>
      <c r="P1016" s="13">
        <v>19.25</v>
      </c>
      <c r="Q1016" s="13">
        <v>30.25</v>
      </c>
      <c r="R1016" s="34"/>
      <c r="S1016" s="51">
        <f t="shared" si="1873"/>
        <v>143</v>
      </c>
      <c r="T1016" s="51">
        <f t="shared" ref="T1016" si="1878">SUM(N1016:Q1016)</f>
        <v>143</v>
      </c>
      <c r="U1016" s="51">
        <f t="shared" si="1874"/>
        <v>0</v>
      </c>
      <c r="V1016" s="34"/>
      <c r="W1016" s="52">
        <v>25.3</v>
      </c>
      <c r="X1016" s="53">
        <f t="shared" si="1875"/>
        <v>4190.3125</v>
      </c>
      <c r="Y1016" s="53">
        <f t="shared" si="1862"/>
        <v>0</v>
      </c>
      <c r="Z1016" s="53">
        <f t="shared" si="1876"/>
        <v>0</v>
      </c>
      <c r="AA1016" s="54">
        <f t="shared" si="1864"/>
        <v>0</v>
      </c>
      <c r="AB1016" s="54">
        <f t="shared" si="1877"/>
        <v>4275.7</v>
      </c>
      <c r="AC1016" s="64">
        <f>0-Y1016-AA1016</f>
        <v>0</v>
      </c>
      <c r="AD1016" s="209"/>
      <c r="AE1016" s="64">
        <f t="shared" si="1871"/>
        <v>85.387499999999818</v>
      </c>
      <c r="AF1016" s="209"/>
      <c r="AG1016" s="8"/>
    </row>
    <row r="1017" spans="1:33" x14ac:dyDescent="0.45">
      <c r="A1017" s="22">
        <f t="shared" si="1866"/>
        <v>45256</v>
      </c>
      <c r="B1017" s="50" t="s">
        <v>65</v>
      </c>
      <c r="C1017" s="48">
        <f t="shared" si="1872"/>
        <v>1672</v>
      </c>
      <c r="D1017" s="51">
        <v>80</v>
      </c>
      <c r="E1017" s="51">
        <v>32</v>
      </c>
      <c r="F1017" s="51">
        <v>0</v>
      </c>
      <c r="G1017" s="51">
        <v>0</v>
      </c>
      <c r="H1017" s="51">
        <v>0</v>
      </c>
      <c r="I1017" s="51">
        <v>0</v>
      </c>
      <c r="J1017" s="51">
        <v>0</v>
      </c>
      <c r="K1017" s="51">
        <v>0</v>
      </c>
      <c r="L1017" s="52">
        <v>0</v>
      </c>
      <c r="M1017" s="34"/>
      <c r="N1017" s="51">
        <v>80</v>
      </c>
      <c r="O1017" s="51">
        <v>32</v>
      </c>
      <c r="P1017" s="51">
        <v>0</v>
      </c>
      <c r="Q1017" s="51">
        <v>0</v>
      </c>
      <c r="R1017" s="34"/>
      <c r="S1017" s="51">
        <f t="shared" ref="S1017:S1018" si="1879">SUM(D1017:G1017)</f>
        <v>112</v>
      </c>
      <c r="T1017" s="51">
        <f t="shared" ref="T1017:T1018" si="1880">SUM(N1017:Q1017)</f>
        <v>112</v>
      </c>
      <c r="U1017" s="51">
        <f t="shared" ref="U1017:U1018" si="1881">SUM(H1017:K1017)</f>
        <v>0</v>
      </c>
      <c r="V1017" s="34"/>
      <c r="W1017" s="52">
        <v>20.9</v>
      </c>
      <c r="X1017" s="53">
        <f t="shared" si="1875"/>
        <v>2675.2</v>
      </c>
      <c r="Y1017" s="53">
        <f t="shared" si="1862"/>
        <v>0</v>
      </c>
      <c r="Z1017" s="53">
        <f t="shared" si="1876"/>
        <v>0</v>
      </c>
      <c r="AA1017" s="54">
        <f t="shared" si="1864"/>
        <v>0</v>
      </c>
      <c r="AB1017" s="54">
        <f t="shared" si="1877"/>
        <v>2675.2</v>
      </c>
      <c r="AC1017" s="64">
        <f>0-Y1017-AA1017</f>
        <v>0</v>
      </c>
      <c r="AD1017" s="209"/>
      <c r="AE1017" s="64">
        <f t="shared" si="1871"/>
        <v>0</v>
      </c>
      <c r="AF1017" s="209"/>
      <c r="AG1017" s="8"/>
    </row>
    <row r="1018" spans="1:33" ht="14.65" thickBot="1" x14ac:dyDescent="0.5">
      <c r="A1018" s="23">
        <f t="shared" si="1866"/>
        <v>45256</v>
      </c>
      <c r="B1018" s="24" t="s">
        <v>66</v>
      </c>
      <c r="C1018" s="49">
        <f t="shared" si="1872"/>
        <v>1672</v>
      </c>
      <c r="D1018" s="25">
        <v>80</v>
      </c>
      <c r="E1018" s="25">
        <v>28.25</v>
      </c>
      <c r="F1018" s="25">
        <v>0</v>
      </c>
      <c r="G1018" s="25">
        <v>12.25</v>
      </c>
      <c r="H1018" s="25">
        <v>0</v>
      </c>
      <c r="I1018" s="25">
        <v>0</v>
      </c>
      <c r="J1018" s="25">
        <v>0</v>
      </c>
      <c r="K1018" s="25">
        <v>0</v>
      </c>
      <c r="L1018" s="46">
        <v>0</v>
      </c>
      <c r="M1018" s="35"/>
      <c r="N1018" s="25">
        <v>80</v>
      </c>
      <c r="O1018" s="25">
        <v>28.25</v>
      </c>
      <c r="P1018" s="25">
        <v>0</v>
      </c>
      <c r="Q1018" s="25">
        <v>12.25</v>
      </c>
      <c r="R1018" s="35"/>
      <c r="S1018" s="25">
        <f t="shared" si="1879"/>
        <v>120.5</v>
      </c>
      <c r="T1018" s="25">
        <f t="shared" si="1880"/>
        <v>120.5</v>
      </c>
      <c r="U1018" s="25">
        <f t="shared" si="1881"/>
        <v>0</v>
      </c>
      <c r="V1018" s="35"/>
      <c r="W1018" s="46">
        <v>20.9</v>
      </c>
      <c r="X1018" s="26">
        <f t="shared" si="1875"/>
        <v>2813.6624999999999</v>
      </c>
      <c r="Y1018" s="26">
        <f t="shared" si="1862"/>
        <v>0</v>
      </c>
      <c r="Z1018" s="26">
        <f t="shared" si="1876"/>
        <v>0</v>
      </c>
      <c r="AA1018" s="27">
        <f t="shared" si="1864"/>
        <v>0</v>
      </c>
      <c r="AB1018" s="27">
        <f t="shared" si="1877"/>
        <v>2813.6624999999999</v>
      </c>
      <c r="AC1018" s="65">
        <f>0-Y1018-AA1018</f>
        <v>0</v>
      </c>
      <c r="AD1018" s="210"/>
      <c r="AE1018" s="65">
        <f t="shared" si="1871"/>
        <v>0</v>
      </c>
      <c r="AF1018" s="210"/>
      <c r="AG1018" s="8"/>
    </row>
    <row r="1019" spans="1:33" x14ac:dyDescent="0.45">
      <c r="A1019" s="16">
        <f>A1018+14</f>
        <v>45270</v>
      </c>
      <c r="B1019" s="17" t="s">
        <v>30</v>
      </c>
      <c r="C1019" s="47">
        <f>120*W1019</f>
        <v>4098</v>
      </c>
      <c r="D1019" s="18">
        <v>76</v>
      </c>
      <c r="E1019" s="18">
        <v>8</v>
      </c>
      <c r="F1019" s="18">
        <v>0</v>
      </c>
      <c r="G1019" s="18">
        <v>6</v>
      </c>
      <c r="H1019" s="18">
        <v>0</v>
      </c>
      <c r="I1019" s="18">
        <v>0</v>
      </c>
      <c r="J1019" s="18">
        <v>0</v>
      </c>
      <c r="K1019" s="18">
        <v>0</v>
      </c>
      <c r="L1019" s="44">
        <v>0</v>
      </c>
      <c r="M1019" s="33"/>
      <c r="N1019" s="18">
        <v>76</v>
      </c>
      <c r="O1019" s="18">
        <v>8</v>
      </c>
      <c r="P1019" s="18">
        <v>0</v>
      </c>
      <c r="Q1019" s="18">
        <v>6</v>
      </c>
      <c r="R1019" s="33"/>
      <c r="S1019" s="18">
        <f>SUM(D1019:G1019)</f>
        <v>90</v>
      </c>
      <c r="T1019" s="18">
        <f>SUM(N1019:Q1019)</f>
        <v>90</v>
      </c>
      <c r="U1019" s="18">
        <f>SUM(H1019:K1019)</f>
        <v>0</v>
      </c>
      <c r="V1019" s="33"/>
      <c r="W1019" s="44">
        <v>34.15</v>
      </c>
      <c r="X1019" s="19">
        <f>(W1019*1*D1019)+(W1019*1.5*E1019)+(W1019*2*F1019)+(W1019*1*G1019)</f>
        <v>3210.1</v>
      </c>
      <c r="Y1019" s="19">
        <f>(W1019*0*H1019)+(W1019*1*I1019)</f>
        <v>0</v>
      </c>
      <c r="Z1019" s="19">
        <f>(W1019*1*J1019)+L1019</f>
        <v>0</v>
      </c>
      <c r="AA1019" s="20">
        <f>(W1019*1*K1019)</f>
        <v>0</v>
      </c>
      <c r="AB1019" s="20">
        <f>(W1019*1*N1019)+(W1019*1.5*O1019)+(W1019*2*P1019)+(W1019*1*Q1019)</f>
        <v>3210.1</v>
      </c>
      <c r="AC1019" s="66">
        <f t="shared" ref="AC1019:AC1024" si="1882">0-Y1019-AA1019</f>
        <v>0</v>
      </c>
      <c r="AD1019" s="208"/>
      <c r="AE1019" s="66">
        <f t="shared" si="1871"/>
        <v>0</v>
      </c>
      <c r="AF1019" s="208">
        <f>SUM(AE1019:AE1027)</f>
        <v>5.2249999999999091</v>
      </c>
      <c r="AG1019" s="8"/>
    </row>
    <row r="1020" spans="1:33" x14ac:dyDescent="0.45">
      <c r="A1020" s="22">
        <f>A1019</f>
        <v>45270</v>
      </c>
      <c r="B1020" s="15" t="s">
        <v>4</v>
      </c>
      <c r="C1020" s="48">
        <f>80*W1020</f>
        <v>2520</v>
      </c>
      <c r="D1020" s="13">
        <v>35</v>
      </c>
      <c r="E1020" s="13">
        <v>0</v>
      </c>
      <c r="F1020" s="13">
        <v>5.5</v>
      </c>
      <c r="G1020" s="13">
        <v>0</v>
      </c>
      <c r="H1020" s="13">
        <v>8</v>
      </c>
      <c r="I1020" s="13">
        <v>0</v>
      </c>
      <c r="J1020" s="13">
        <v>0</v>
      </c>
      <c r="K1020" s="13">
        <v>0</v>
      </c>
      <c r="L1020" s="45">
        <v>0</v>
      </c>
      <c r="M1020" s="34"/>
      <c r="N1020" s="13">
        <v>35</v>
      </c>
      <c r="O1020" s="13">
        <v>0</v>
      </c>
      <c r="P1020" s="13">
        <v>5.5</v>
      </c>
      <c r="Q1020" s="13">
        <v>0</v>
      </c>
      <c r="R1020" s="34"/>
      <c r="S1020" s="13">
        <f t="shared" ref="S1020:S1022" si="1883">SUM(D1020:G1020)</f>
        <v>40.5</v>
      </c>
      <c r="T1020" s="13">
        <f t="shared" ref="T1020" si="1884">SUM(N1020:Q1020)</f>
        <v>40.5</v>
      </c>
      <c r="U1020" s="13">
        <f>SUM(H1020:K1020)</f>
        <v>8</v>
      </c>
      <c r="V1020" s="34"/>
      <c r="W1020" s="45">
        <v>31.5</v>
      </c>
      <c r="X1020" s="10">
        <f t="shared" ref="X1020:X1021" si="1885">(W1020*1*D1020)+(W1020*1.5*E1020)+(W1020*2*F1020)+(W1020*1*G1020)</f>
        <v>1449</v>
      </c>
      <c r="Y1020" s="10">
        <f t="shared" ref="Y1020:Y1027" si="1886">(W1020*0*H1020)+(W1020*1*I1020)</f>
        <v>0</v>
      </c>
      <c r="Z1020" s="10">
        <f t="shared" ref="Z1020:Z1022" si="1887">(W1020*1*J1020)+L1020</f>
        <v>0</v>
      </c>
      <c r="AA1020" s="14">
        <f t="shared" ref="AA1020:AA1027" si="1888">(W1020*1*K1020)</f>
        <v>0</v>
      </c>
      <c r="AB1020" s="14">
        <f t="shared" ref="AB1020:AB1022" si="1889">(W1020*1*N1020)+(W1020*1.5*O1020)+(W1020*2*P1020)+(W1020*1*Q1020)</f>
        <v>1449</v>
      </c>
      <c r="AC1020" s="63">
        <f t="shared" si="1882"/>
        <v>0</v>
      </c>
      <c r="AD1020" s="209"/>
      <c r="AE1020" s="63">
        <f t="shared" si="1871"/>
        <v>0</v>
      </c>
      <c r="AF1020" s="209"/>
      <c r="AG1020" s="8"/>
    </row>
    <row r="1021" spans="1:33" x14ac:dyDescent="0.45">
      <c r="A1021" s="22">
        <f t="shared" ref="A1021:A1027" si="1890">A1020</f>
        <v>45270</v>
      </c>
      <c r="B1021" s="15" t="s">
        <v>5</v>
      </c>
      <c r="C1021" s="48">
        <f>120*W1021</f>
        <v>3654</v>
      </c>
      <c r="D1021" s="13">
        <v>79.5</v>
      </c>
      <c r="E1021" s="13">
        <v>6</v>
      </c>
      <c r="F1021" s="13">
        <v>0</v>
      </c>
      <c r="G1021" s="13">
        <v>0</v>
      </c>
      <c r="H1021" s="13">
        <v>0</v>
      </c>
      <c r="I1021" s="13">
        <v>16</v>
      </c>
      <c r="J1021" s="13">
        <v>0</v>
      </c>
      <c r="K1021" s="13">
        <v>0</v>
      </c>
      <c r="L1021" s="45">
        <v>0</v>
      </c>
      <c r="M1021" s="34"/>
      <c r="N1021" s="13">
        <v>79.5</v>
      </c>
      <c r="O1021" s="13">
        <v>6</v>
      </c>
      <c r="P1021" s="13">
        <v>0</v>
      </c>
      <c r="Q1021" s="13">
        <v>0</v>
      </c>
      <c r="R1021" s="34"/>
      <c r="S1021" s="13">
        <f t="shared" si="1883"/>
        <v>85.5</v>
      </c>
      <c r="T1021" s="13">
        <f>SUM(N1021:Q1021)</f>
        <v>85.5</v>
      </c>
      <c r="U1021" s="13">
        <f t="shared" ref="U1021:U1022" si="1891">SUM(H1021:K1021)</f>
        <v>16</v>
      </c>
      <c r="V1021" s="34"/>
      <c r="W1021" s="45">
        <v>30.45</v>
      </c>
      <c r="X1021" s="10">
        <f t="shared" si="1885"/>
        <v>2694.8249999999998</v>
      </c>
      <c r="Y1021" s="10">
        <f t="shared" si="1886"/>
        <v>487.2</v>
      </c>
      <c r="Z1021" s="10">
        <f t="shared" si="1887"/>
        <v>0</v>
      </c>
      <c r="AA1021" s="14">
        <f t="shared" si="1888"/>
        <v>0</v>
      </c>
      <c r="AB1021" s="14">
        <f t="shared" si="1889"/>
        <v>2694.8249999999998</v>
      </c>
      <c r="AC1021" s="63">
        <f t="shared" si="1882"/>
        <v>-487.2</v>
      </c>
      <c r="AD1021" s="209"/>
      <c r="AE1021" s="63">
        <f t="shared" si="1871"/>
        <v>0</v>
      </c>
      <c r="AF1021" s="209"/>
      <c r="AG1021" s="8"/>
    </row>
    <row r="1022" spans="1:33" x14ac:dyDescent="0.45">
      <c r="A1022" s="22">
        <f t="shared" si="1890"/>
        <v>45270</v>
      </c>
      <c r="B1022" s="15" t="s">
        <v>6</v>
      </c>
      <c r="C1022" s="48">
        <f>120*W1022</f>
        <v>3780</v>
      </c>
      <c r="D1022" s="13">
        <v>80</v>
      </c>
      <c r="E1022" s="13">
        <v>6.75</v>
      </c>
      <c r="F1022" s="13">
        <v>0</v>
      </c>
      <c r="G1022" s="13">
        <v>0</v>
      </c>
      <c r="H1022" s="13">
        <v>0</v>
      </c>
      <c r="I1022" s="13">
        <v>0</v>
      </c>
      <c r="J1022" s="13">
        <v>0</v>
      </c>
      <c r="K1022" s="13">
        <v>0</v>
      </c>
      <c r="L1022" s="45">
        <v>0</v>
      </c>
      <c r="M1022" s="34"/>
      <c r="N1022" s="13">
        <v>80</v>
      </c>
      <c r="O1022" s="13">
        <v>6.75</v>
      </c>
      <c r="P1022" s="13">
        <v>0</v>
      </c>
      <c r="Q1022" s="13">
        <v>0</v>
      </c>
      <c r="R1022" s="34"/>
      <c r="S1022" s="13">
        <f t="shared" si="1883"/>
        <v>86.75</v>
      </c>
      <c r="T1022" s="13">
        <f t="shared" ref="T1022" si="1892">SUM(N1022:Q1022)</f>
        <v>86.75</v>
      </c>
      <c r="U1022" s="13">
        <f t="shared" si="1891"/>
        <v>0</v>
      </c>
      <c r="V1022" s="34"/>
      <c r="W1022" s="45">
        <v>31.5</v>
      </c>
      <c r="X1022" s="45">
        <f>(W1022*1*D1022)+(W1022*1.5*E1022)+(W1022*2*F1022)+(W1022*1*G1022)</f>
        <v>2838.9375</v>
      </c>
      <c r="Y1022" s="45">
        <f t="shared" si="1886"/>
        <v>0</v>
      </c>
      <c r="Z1022" s="45">
        <f t="shared" si="1887"/>
        <v>0</v>
      </c>
      <c r="AA1022" s="79">
        <f t="shared" si="1888"/>
        <v>0</v>
      </c>
      <c r="AB1022" s="79">
        <f t="shared" si="1889"/>
        <v>2838.9375</v>
      </c>
      <c r="AC1022" s="80">
        <f t="shared" si="1882"/>
        <v>0</v>
      </c>
      <c r="AD1022" s="209"/>
      <c r="AE1022" s="80">
        <f t="shared" si="1871"/>
        <v>0</v>
      </c>
      <c r="AF1022" s="209"/>
      <c r="AG1022" s="8"/>
    </row>
    <row r="1023" spans="1:33" x14ac:dyDescent="0.45">
      <c r="A1023" s="22">
        <f t="shared" si="1890"/>
        <v>45270</v>
      </c>
      <c r="B1023" s="50" t="s">
        <v>31</v>
      </c>
      <c r="C1023" s="48">
        <f>120*W1023</f>
        <v>3780</v>
      </c>
      <c r="D1023" s="51">
        <v>80</v>
      </c>
      <c r="E1023" s="51">
        <v>6.75</v>
      </c>
      <c r="F1023" s="51">
        <v>0</v>
      </c>
      <c r="G1023" s="51">
        <v>0</v>
      </c>
      <c r="H1023" s="51">
        <v>0</v>
      </c>
      <c r="I1023" s="51">
        <v>0</v>
      </c>
      <c r="J1023" s="51">
        <v>0</v>
      </c>
      <c r="K1023" s="51">
        <v>0</v>
      </c>
      <c r="L1023" s="52">
        <v>0</v>
      </c>
      <c r="M1023" s="34"/>
      <c r="N1023" s="13">
        <v>80</v>
      </c>
      <c r="O1023" s="13">
        <v>6.75</v>
      </c>
      <c r="P1023" s="13">
        <v>0</v>
      </c>
      <c r="Q1023" s="13">
        <v>0</v>
      </c>
      <c r="R1023" s="34"/>
      <c r="S1023" s="51">
        <f t="shared" ref="S1023" si="1893">SUM(D1023:G1023)</f>
        <v>86.75</v>
      </c>
      <c r="T1023" s="51">
        <f>SUM(N1023:Q1023)</f>
        <v>86.75</v>
      </c>
      <c r="U1023" s="51">
        <f t="shared" ref="U1023" si="1894">SUM(H1023:K1023)</f>
        <v>0</v>
      </c>
      <c r="V1023" s="34"/>
      <c r="W1023" s="52">
        <v>31.5</v>
      </c>
      <c r="X1023" s="53">
        <f>(W1023*1*D1023)+(W1023*1.5*E1023)+(W1023*2*F1023)+(W1023*1*G1023)</f>
        <v>2838.9375</v>
      </c>
      <c r="Y1023" s="53">
        <f t="shared" si="1886"/>
        <v>0</v>
      </c>
      <c r="Z1023" s="53">
        <f>(W1023*1*J1023)+L1023</f>
        <v>0</v>
      </c>
      <c r="AA1023" s="54">
        <f t="shared" si="1888"/>
        <v>0</v>
      </c>
      <c r="AB1023" s="54">
        <f>(W1023*1*N1023)+(W1023*1.5*O1023)+(W1023*2*P1023)+(W1023*1*Q1023)</f>
        <v>2838.9375</v>
      </c>
      <c r="AC1023" s="64">
        <f t="shared" si="1882"/>
        <v>0</v>
      </c>
      <c r="AD1023" s="209"/>
      <c r="AE1023" s="64">
        <f t="shared" ref="AE1023:AE1031" si="1895">AB1023-(X1023+Z1023)</f>
        <v>0</v>
      </c>
      <c r="AF1023" s="209"/>
      <c r="AG1023" s="8"/>
    </row>
    <row r="1024" spans="1:33" x14ac:dyDescent="0.45">
      <c r="A1024" s="22">
        <f t="shared" si="1890"/>
        <v>45270</v>
      </c>
      <c r="B1024" s="50" t="s">
        <v>64</v>
      </c>
      <c r="C1024" s="48">
        <f t="shared" ref="C1024:C1027" si="1896">80*W1024</f>
        <v>1672</v>
      </c>
      <c r="D1024" s="51">
        <v>80</v>
      </c>
      <c r="E1024" s="51">
        <v>13.25</v>
      </c>
      <c r="F1024" s="51">
        <v>0</v>
      </c>
      <c r="G1024" s="51">
        <v>0</v>
      </c>
      <c r="H1024" s="51">
        <v>0</v>
      </c>
      <c r="I1024" s="51">
        <v>0</v>
      </c>
      <c r="J1024" s="51">
        <v>0</v>
      </c>
      <c r="K1024" s="51">
        <v>0</v>
      </c>
      <c r="L1024" s="52">
        <v>0</v>
      </c>
      <c r="M1024" s="34"/>
      <c r="N1024" s="51">
        <v>80</v>
      </c>
      <c r="O1024" s="51">
        <v>13.25</v>
      </c>
      <c r="P1024" s="51">
        <v>0</v>
      </c>
      <c r="Q1024" s="51">
        <v>0</v>
      </c>
      <c r="R1024" s="34"/>
      <c r="S1024" s="51">
        <f t="shared" ref="S1024:S1025" si="1897">SUM(D1024:G1024)</f>
        <v>93.25</v>
      </c>
      <c r="T1024" s="51">
        <f>SUM(N1024:Q1024)</f>
        <v>93.25</v>
      </c>
      <c r="U1024" s="51">
        <f t="shared" ref="U1024:U1025" si="1898">SUM(H1024:K1024)</f>
        <v>0</v>
      </c>
      <c r="V1024" s="34"/>
      <c r="W1024" s="52">
        <v>20.9</v>
      </c>
      <c r="X1024" s="53">
        <f t="shared" ref="X1024:X1027" si="1899">(W1024*1*D1024)+(W1024*1.5*E1024)+(W1024*2*F1024)+(W1024*1*G1024)</f>
        <v>2087.3874999999998</v>
      </c>
      <c r="Y1024" s="53">
        <f t="shared" si="1886"/>
        <v>0</v>
      </c>
      <c r="Z1024" s="53">
        <f t="shared" ref="Z1024:Z1027" si="1900">(W1024*1*J1024)+L1024</f>
        <v>0</v>
      </c>
      <c r="AA1024" s="54">
        <f t="shared" si="1888"/>
        <v>0</v>
      </c>
      <c r="AB1024" s="54">
        <f t="shared" ref="AB1024:AB1027" si="1901">(W1024*1*N1024)+(W1024*1.5*O1024)+(W1024*2*P1024)+(W1024*1*Q1024)</f>
        <v>2087.3874999999998</v>
      </c>
      <c r="AC1024" s="64">
        <f t="shared" si="1882"/>
        <v>0</v>
      </c>
      <c r="AD1024" s="209"/>
      <c r="AE1024" s="64">
        <f t="shared" si="1895"/>
        <v>0</v>
      </c>
      <c r="AF1024" s="209"/>
      <c r="AG1024" s="8"/>
    </row>
    <row r="1025" spans="1:33" x14ac:dyDescent="0.45">
      <c r="A1025" s="22">
        <f t="shared" si="1890"/>
        <v>45270</v>
      </c>
      <c r="B1025" s="50" t="s">
        <v>54</v>
      </c>
      <c r="C1025" s="48">
        <f t="shared" si="1896"/>
        <v>2024</v>
      </c>
      <c r="D1025" s="51">
        <v>80</v>
      </c>
      <c r="E1025" s="51">
        <v>11</v>
      </c>
      <c r="F1025" s="51">
        <v>0</v>
      </c>
      <c r="G1025" s="51">
        <v>7</v>
      </c>
      <c r="H1025" s="51">
        <v>0</v>
      </c>
      <c r="I1025" s="51">
        <v>0</v>
      </c>
      <c r="J1025" s="51">
        <v>0</v>
      </c>
      <c r="K1025" s="51">
        <v>0</v>
      </c>
      <c r="L1025" s="52">
        <v>0</v>
      </c>
      <c r="M1025" s="34"/>
      <c r="N1025" s="13">
        <v>80</v>
      </c>
      <c r="O1025" s="13">
        <v>11</v>
      </c>
      <c r="P1025" s="13">
        <v>0</v>
      </c>
      <c r="Q1025" s="13">
        <v>7</v>
      </c>
      <c r="R1025" s="34"/>
      <c r="S1025" s="51">
        <f t="shared" si="1897"/>
        <v>98</v>
      </c>
      <c r="T1025" s="51">
        <f t="shared" ref="T1025" si="1902">SUM(N1025:Q1025)</f>
        <v>98</v>
      </c>
      <c r="U1025" s="51">
        <f t="shared" si="1898"/>
        <v>0</v>
      </c>
      <c r="V1025" s="34"/>
      <c r="W1025" s="52">
        <v>25.3</v>
      </c>
      <c r="X1025" s="53">
        <f t="shared" si="1899"/>
        <v>2618.5499999999997</v>
      </c>
      <c r="Y1025" s="53">
        <f t="shared" si="1886"/>
        <v>0</v>
      </c>
      <c r="Z1025" s="53">
        <f t="shared" si="1900"/>
        <v>0</v>
      </c>
      <c r="AA1025" s="54">
        <f t="shared" si="1888"/>
        <v>0</v>
      </c>
      <c r="AB1025" s="54">
        <f t="shared" si="1901"/>
        <v>2618.5499999999997</v>
      </c>
      <c r="AC1025" s="64">
        <f>0-Y1025-AA1025</f>
        <v>0</v>
      </c>
      <c r="AD1025" s="209"/>
      <c r="AE1025" s="64">
        <f t="shared" si="1895"/>
        <v>0</v>
      </c>
      <c r="AF1025" s="209"/>
      <c r="AG1025" s="8"/>
    </row>
    <row r="1026" spans="1:33" x14ac:dyDescent="0.45">
      <c r="A1026" s="22">
        <f t="shared" si="1890"/>
        <v>45270</v>
      </c>
      <c r="B1026" s="50" t="s">
        <v>65</v>
      </c>
      <c r="C1026" s="48">
        <f t="shared" si="1896"/>
        <v>1672</v>
      </c>
      <c r="D1026" s="51">
        <v>80</v>
      </c>
      <c r="E1026" s="51">
        <v>19.5</v>
      </c>
      <c r="F1026" s="51">
        <v>0</v>
      </c>
      <c r="G1026" s="51">
        <v>0</v>
      </c>
      <c r="H1026" s="51">
        <v>0</v>
      </c>
      <c r="I1026" s="51">
        <v>0</v>
      </c>
      <c r="J1026" s="51">
        <v>0</v>
      </c>
      <c r="K1026" s="51">
        <v>0</v>
      </c>
      <c r="L1026" s="52">
        <v>0</v>
      </c>
      <c r="M1026" s="34"/>
      <c r="N1026" s="51">
        <v>80</v>
      </c>
      <c r="O1026" s="51">
        <v>19.5</v>
      </c>
      <c r="P1026" s="51">
        <v>0</v>
      </c>
      <c r="Q1026" s="51">
        <v>0</v>
      </c>
      <c r="R1026" s="34"/>
      <c r="S1026" s="51">
        <f t="shared" ref="S1026:S1027" si="1903">SUM(D1026:G1026)</f>
        <v>99.5</v>
      </c>
      <c r="T1026" s="51">
        <f t="shared" ref="T1026:T1027" si="1904">SUM(N1026:Q1026)</f>
        <v>99.5</v>
      </c>
      <c r="U1026" s="51">
        <f t="shared" ref="U1026:U1027" si="1905">SUM(H1026:K1026)</f>
        <v>0</v>
      </c>
      <c r="V1026" s="34"/>
      <c r="W1026" s="52">
        <v>20.9</v>
      </c>
      <c r="X1026" s="53">
        <f t="shared" si="1899"/>
        <v>2283.3249999999998</v>
      </c>
      <c r="Y1026" s="53">
        <f t="shared" si="1886"/>
        <v>0</v>
      </c>
      <c r="Z1026" s="53">
        <f t="shared" si="1900"/>
        <v>0</v>
      </c>
      <c r="AA1026" s="54">
        <f t="shared" si="1888"/>
        <v>0</v>
      </c>
      <c r="AB1026" s="54">
        <f t="shared" si="1901"/>
        <v>2283.3249999999998</v>
      </c>
      <c r="AC1026" s="64">
        <f>0-Y1026-AA1026</f>
        <v>0</v>
      </c>
      <c r="AD1026" s="209"/>
      <c r="AE1026" s="64">
        <f t="shared" si="1895"/>
        <v>0</v>
      </c>
      <c r="AF1026" s="209"/>
      <c r="AG1026" s="8"/>
    </row>
    <row r="1027" spans="1:33" ht="14.65" thickBot="1" x14ac:dyDescent="0.5">
      <c r="A1027" s="23">
        <f t="shared" si="1890"/>
        <v>45270</v>
      </c>
      <c r="B1027" s="24" t="s">
        <v>66</v>
      </c>
      <c r="C1027" s="49">
        <f t="shared" si="1896"/>
        <v>1672</v>
      </c>
      <c r="D1027" s="25">
        <v>80</v>
      </c>
      <c r="E1027" s="25">
        <v>10.25</v>
      </c>
      <c r="F1027" s="25">
        <v>0</v>
      </c>
      <c r="G1027" s="25">
        <v>16</v>
      </c>
      <c r="H1027" s="25">
        <v>0</v>
      </c>
      <c r="I1027" s="25">
        <v>0</v>
      </c>
      <c r="J1027" s="25">
        <v>0</v>
      </c>
      <c r="K1027" s="25">
        <v>0</v>
      </c>
      <c r="L1027" s="46">
        <v>0</v>
      </c>
      <c r="M1027" s="35"/>
      <c r="N1027" s="25">
        <v>80</v>
      </c>
      <c r="O1027" s="25">
        <v>9.75</v>
      </c>
      <c r="P1027" s="25">
        <v>0.5</v>
      </c>
      <c r="Q1027" s="25">
        <v>16</v>
      </c>
      <c r="R1027" s="35"/>
      <c r="S1027" s="25">
        <f t="shared" si="1903"/>
        <v>106.25</v>
      </c>
      <c r="T1027" s="25">
        <f t="shared" si="1904"/>
        <v>106.25</v>
      </c>
      <c r="U1027" s="25">
        <f t="shared" si="1905"/>
        <v>0</v>
      </c>
      <c r="V1027" s="35"/>
      <c r="W1027" s="46">
        <v>20.9</v>
      </c>
      <c r="X1027" s="26">
        <f t="shared" si="1899"/>
        <v>2327.7375000000002</v>
      </c>
      <c r="Y1027" s="26">
        <f t="shared" si="1886"/>
        <v>0</v>
      </c>
      <c r="Z1027" s="26">
        <f t="shared" si="1900"/>
        <v>0</v>
      </c>
      <c r="AA1027" s="27">
        <f t="shared" si="1888"/>
        <v>0</v>
      </c>
      <c r="AB1027" s="27">
        <f t="shared" si="1901"/>
        <v>2332.9625000000001</v>
      </c>
      <c r="AC1027" s="65">
        <f>0-Y1027-AA1027</f>
        <v>0</v>
      </c>
      <c r="AD1027" s="210"/>
      <c r="AE1027" s="65">
        <f t="shared" si="1895"/>
        <v>5.2249999999999091</v>
      </c>
      <c r="AF1027" s="210"/>
      <c r="AG1027" s="8"/>
    </row>
    <row r="1028" spans="1:33" x14ac:dyDescent="0.45">
      <c r="A1028" s="16">
        <f>A1027+14</f>
        <v>45284</v>
      </c>
      <c r="B1028" s="17" t="s">
        <v>30</v>
      </c>
      <c r="C1028" s="47">
        <f>120*W1028</f>
        <v>4098</v>
      </c>
      <c r="D1028" s="18">
        <v>80</v>
      </c>
      <c r="E1028" s="18">
        <v>10</v>
      </c>
      <c r="F1028" s="18">
        <v>0</v>
      </c>
      <c r="G1028" s="18">
        <v>0</v>
      </c>
      <c r="H1028" s="18">
        <v>0</v>
      </c>
      <c r="I1028" s="18">
        <v>0</v>
      </c>
      <c r="J1028" s="18">
        <v>0</v>
      </c>
      <c r="K1028" s="18">
        <v>0</v>
      </c>
      <c r="L1028" s="44">
        <v>0</v>
      </c>
      <c r="M1028" s="33"/>
      <c r="N1028" s="18">
        <v>80</v>
      </c>
      <c r="O1028" s="18">
        <v>10</v>
      </c>
      <c r="P1028" s="18">
        <v>0</v>
      </c>
      <c r="Q1028" s="18">
        <v>0</v>
      </c>
      <c r="R1028" s="33"/>
      <c r="S1028" s="18">
        <f>SUM(D1028:G1028)</f>
        <v>90</v>
      </c>
      <c r="T1028" s="18">
        <f>SUM(N1028:Q1028)</f>
        <v>90</v>
      </c>
      <c r="U1028" s="18">
        <f>SUM(H1028:K1028)</f>
        <v>0</v>
      </c>
      <c r="V1028" s="33"/>
      <c r="W1028" s="44">
        <v>34.15</v>
      </c>
      <c r="X1028" s="19">
        <f>(W1028*1*D1028)+(W1028*1.5*E1028)+(W1028*2*F1028)+(W1028*1*G1028)</f>
        <v>3244.25</v>
      </c>
      <c r="Y1028" s="19">
        <f>(W1028*0*H1028)+(W1028*1*I1028)</f>
        <v>0</v>
      </c>
      <c r="Z1028" s="19">
        <f>(W1028*1*J1028)+L1028</f>
        <v>0</v>
      </c>
      <c r="AA1028" s="20">
        <f>(W1028*1*K1028)</f>
        <v>0</v>
      </c>
      <c r="AB1028" s="20">
        <f>(W1028*1*N1028)+(W1028*1.5*O1028)+(W1028*2*P1028)+(W1028*1*Q1028)</f>
        <v>3244.25</v>
      </c>
      <c r="AC1028" s="66">
        <f t="shared" ref="AC1028:AC1033" si="1906">0-Y1028-AA1028</f>
        <v>0</v>
      </c>
      <c r="AD1028" s="208"/>
      <c r="AE1028" s="66">
        <f t="shared" si="1895"/>
        <v>0</v>
      </c>
      <c r="AF1028" s="208">
        <f>SUM(AE1028:AE1036)</f>
        <v>31.462500000000091</v>
      </c>
      <c r="AG1028" s="8"/>
    </row>
    <row r="1029" spans="1:33" x14ac:dyDescent="0.45">
      <c r="A1029" s="22">
        <f>A1028</f>
        <v>45284</v>
      </c>
      <c r="B1029" s="15" t="s">
        <v>4</v>
      </c>
      <c r="C1029" s="48">
        <f>80*W1029</f>
        <v>2520</v>
      </c>
      <c r="D1029" s="13">
        <v>80</v>
      </c>
      <c r="E1029" s="13">
        <v>29.25</v>
      </c>
      <c r="F1029" s="13">
        <v>10</v>
      </c>
      <c r="G1029" s="13">
        <v>13.5</v>
      </c>
      <c r="H1029" s="13">
        <v>0</v>
      </c>
      <c r="I1029" s="13">
        <v>0</v>
      </c>
      <c r="J1029" s="13">
        <v>0</v>
      </c>
      <c r="K1029" s="13">
        <v>0</v>
      </c>
      <c r="L1029" s="45">
        <v>0</v>
      </c>
      <c r="M1029" s="34"/>
      <c r="N1029" s="13">
        <v>80</v>
      </c>
      <c r="O1029" s="13">
        <v>27.5</v>
      </c>
      <c r="P1029" s="13">
        <v>12</v>
      </c>
      <c r="Q1029" s="13">
        <v>13.5</v>
      </c>
      <c r="R1029" s="34"/>
      <c r="S1029" s="13">
        <f t="shared" ref="S1029:S1031" si="1907">SUM(D1029:G1029)</f>
        <v>132.75</v>
      </c>
      <c r="T1029" s="13">
        <f t="shared" ref="T1029" si="1908">SUM(N1029:Q1029)</f>
        <v>133</v>
      </c>
      <c r="U1029" s="13">
        <f>SUM(H1029:K1029)</f>
        <v>0</v>
      </c>
      <c r="V1029" s="34"/>
      <c r="W1029" s="45">
        <v>31.5</v>
      </c>
      <c r="X1029" s="10">
        <f t="shared" ref="X1029:X1030" si="1909">(W1029*1*D1029)+(W1029*1.5*E1029)+(W1029*2*F1029)+(W1029*1*G1029)</f>
        <v>4957.3125</v>
      </c>
      <c r="Y1029" s="10">
        <f t="shared" ref="Y1029:Y1036" si="1910">(W1029*0*H1029)+(W1029*1*I1029)</f>
        <v>0</v>
      </c>
      <c r="Z1029" s="10">
        <f t="shared" ref="Z1029:Z1031" si="1911">(W1029*1*J1029)+L1029</f>
        <v>0</v>
      </c>
      <c r="AA1029" s="14">
        <f t="shared" ref="AA1029:AA1036" si="1912">(W1029*1*K1029)</f>
        <v>0</v>
      </c>
      <c r="AB1029" s="14">
        <f t="shared" ref="AB1029:AB1031" si="1913">(W1029*1*N1029)+(W1029*1.5*O1029)+(W1029*2*P1029)+(W1029*1*Q1029)</f>
        <v>5000.625</v>
      </c>
      <c r="AC1029" s="63">
        <f t="shared" si="1906"/>
        <v>0</v>
      </c>
      <c r="AD1029" s="209"/>
      <c r="AE1029" s="63">
        <f t="shared" si="1895"/>
        <v>43.3125</v>
      </c>
      <c r="AF1029" s="209"/>
      <c r="AG1029" s="8"/>
    </row>
    <row r="1030" spans="1:33" s="92" customFormat="1" x14ac:dyDescent="0.45">
      <c r="A1030" s="22">
        <f t="shared" ref="A1030:A1036" si="1914">A1029</f>
        <v>45284</v>
      </c>
      <c r="B1030" s="15" t="s">
        <v>5</v>
      </c>
      <c r="C1030" s="48">
        <f>120*W1030</f>
        <v>3654</v>
      </c>
      <c r="D1030" s="13">
        <v>80</v>
      </c>
      <c r="E1030" s="13">
        <v>12.5</v>
      </c>
      <c r="F1030" s="13">
        <v>0</v>
      </c>
      <c r="G1030" s="13">
        <v>0</v>
      </c>
      <c r="H1030" s="13">
        <v>0</v>
      </c>
      <c r="I1030" s="13">
        <v>0</v>
      </c>
      <c r="J1030" s="13">
        <v>0</v>
      </c>
      <c r="K1030" s="13">
        <v>0</v>
      </c>
      <c r="L1030" s="45">
        <v>0</v>
      </c>
      <c r="M1030" s="34"/>
      <c r="N1030" s="13">
        <v>80</v>
      </c>
      <c r="O1030" s="13">
        <v>12.5</v>
      </c>
      <c r="P1030" s="13">
        <v>0</v>
      </c>
      <c r="Q1030" s="13">
        <v>0</v>
      </c>
      <c r="R1030" s="34"/>
      <c r="S1030" s="13">
        <f t="shared" si="1907"/>
        <v>92.5</v>
      </c>
      <c r="T1030" s="13">
        <f>SUM(N1030:Q1030)</f>
        <v>92.5</v>
      </c>
      <c r="U1030" s="13">
        <f t="shared" ref="U1030:U1031" si="1915">SUM(H1030:K1030)</f>
        <v>0</v>
      </c>
      <c r="V1030" s="88"/>
      <c r="W1030" s="62">
        <v>30.45</v>
      </c>
      <c r="X1030" s="62">
        <f t="shared" si="1909"/>
        <v>3006.9375</v>
      </c>
      <c r="Y1030" s="62">
        <f t="shared" si="1910"/>
        <v>0</v>
      </c>
      <c r="Z1030" s="62">
        <f t="shared" si="1911"/>
        <v>0</v>
      </c>
      <c r="AA1030" s="89">
        <f t="shared" si="1912"/>
        <v>0</v>
      </c>
      <c r="AB1030" s="89">
        <f t="shared" si="1913"/>
        <v>3006.9375</v>
      </c>
      <c r="AC1030" s="90">
        <f t="shared" si="1906"/>
        <v>0</v>
      </c>
      <c r="AD1030" s="209"/>
      <c r="AE1030" s="90">
        <f t="shared" si="1895"/>
        <v>0</v>
      </c>
      <c r="AF1030" s="209"/>
      <c r="AG1030" s="91"/>
    </row>
    <row r="1031" spans="1:33" s="92" customFormat="1" x14ac:dyDescent="0.45">
      <c r="A1031" s="22">
        <f t="shared" si="1914"/>
        <v>45284</v>
      </c>
      <c r="B1031" s="15" t="s">
        <v>6</v>
      </c>
      <c r="C1031" s="48">
        <f>120*W1031</f>
        <v>3780</v>
      </c>
      <c r="D1031" s="13">
        <v>78.5</v>
      </c>
      <c r="E1031" s="13">
        <v>7.25</v>
      </c>
      <c r="F1031" s="13">
        <v>0</v>
      </c>
      <c r="G1031" s="13">
        <v>0</v>
      </c>
      <c r="H1031" s="13">
        <v>0</v>
      </c>
      <c r="I1031" s="13">
        <v>0</v>
      </c>
      <c r="J1031" s="13">
        <v>0</v>
      </c>
      <c r="K1031" s="13">
        <v>0</v>
      </c>
      <c r="L1031" s="45">
        <v>0</v>
      </c>
      <c r="M1031" s="34"/>
      <c r="N1031" s="13">
        <v>77.5</v>
      </c>
      <c r="O1031" s="13">
        <v>7.5</v>
      </c>
      <c r="P1031" s="13">
        <v>0</v>
      </c>
      <c r="Q1031" s="13">
        <v>0</v>
      </c>
      <c r="R1031" s="34"/>
      <c r="S1031" s="13">
        <f t="shared" si="1907"/>
        <v>85.75</v>
      </c>
      <c r="T1031" s="13">
        <f t="shared" ref="T1031" si="1916">SUM(N1031:Q1031)</f>
        <v>85</v>
      </c>
      <c r="U1031" s="13">
        <f t="shared" si="1915"/>
        <v>0</v>
      </c>
      <c r="V1031" s="88"/>
      <c r="W1031" s="62">
        <v>31.5</v>
      </c>
      <c r="X1031" s="62">
        <f>(W1031*1*D1031)+(W1031*1.5*E1031)+(W1031*2*F1031)+(W1031*1*G1031)</f>
        <v>2815.3125</v>
      </c>
      <c r="Y1031" s="62">
        <f t="shared" si="1910"/>
        <v>0</v>
      </c>
      <c r="Z1031" s="62">
        <f t="shared" si="1911"/>
        <v>0</v>
      </c>
      <c r="AA1031" s="89">
        <f t="shared" si="1912"/>
        <v>0</v>
      </c>
      <c r="AB1031" s="89">
        <f t="shared" si="1913"/>
        <v>2795.625</v>
      </c>
      <c r="AC1031" s="90">
        <f t="shared" si="1906"/>
        <v>0</v>
      </c>
      <c r="AD1031" s="209"/>
      <c r="AE1031" s="90">
        <f t="shared" si="1895"/>
        <v>-19.6875</v>
      </c>
      <c r="AF1031" s="209"/>
      <c r="AG1031" s="91"/>
    </row>
    <row r="1032" spans="1:33" x14ac:dyDescent="0.45">
      <c r="A1032" s="22">
        <f t="shared" si="1914"/>
        <v>45284</v>
      </c>
      <c r="B1032" s="50" t="s">
        <v>31</v>
      </c>
      <c r="C1032" s="48">
        <f>120*W1032</f>
        <v>3780</v>
      </c>
      <c r="D1032" s="13">
        <v>40</v>
      </c>
      <c r="E1032" s="13">
        <v>6</v>
      </c>
      <c r="F1032" s="13">
        <v>0</v>
      </c>
      <c r="G1032" s="13">
        <v>6</v>
      </c>
      <c r="H1032" s="13">
        <v>0</v>
      </c>
      <c r="I1032" s="13">
        <v>20.69</v>
      </c>
      <c r="J1032" s="13">
        <v>0</v>
      </c>
      <c r="K1032" s="13">
        <v>0</v>
      </c>
      <c r="L1032" s="45">
        <v>0</v>
      </c>
      <c r="M1032" s="34"/>
      <c r="N1032" s="13">
        <v>40</v>
      </c>
      <c r="O1032" s="13">
        <v>6</v>
      </c>
      <c r="P1032" s="13">
        <v>0</v>
      </c>
      <c r="Q1032" s="13">
        <v>6</v>
      </c>
      <c r="R1032" s="34"/>
      <c r="S1032" s="13">
        <f t="shared" ref="S1032" si="1917">SUM(D1032:G1032)</f>
        <v>52</v>
      </c>
      <c r="T1032" s="13">
        <f>SUM(N1032:Q1032)</f>
        <v>52</v>
      </c>
      <c r="U1032" s="13">
        <f t="shared" ref="U1032" si="1918">SUM(H1032:K1032)</f>
        <v>20.69</v>
      </c>
      <c r="V1032" s="34"/>
      <c r="W1032" s="52">
        <v>31.5</v>
      </c>
      <c r="X1032" s="53">
        <f>(W1032*1*D1032)+(W1032*1.5*E1032)+(W1032*2*F1032)+(W1032*1*G1032)</f>
        <v>1732.5</v>
      </c>
      <c r="Y1032" s="53">
        <f t="shared" si="1910"/>
        <v>651.73500000000001</v>
      </c>
      <c r="Z1032" s="53">
        <f>(W1032*1*J1032)+L1032</f>
        <v>0</v>
      </c>
      <c r="AA1032" s="54">
        <f t="shared" si="1912"/>
        <v>0</v>
      </c>
      <c r="AB1032" s="54">
        <f>(W1032*1*N1032)+(W1032*1.5*O1032)+(W1032*2*P1032)+(W1032*1*Q1032)</f>
        <v>1732.5</v>
      </c>
      <c r="AC1032" s="64">
        <f t="shared" si="1906"/>
        <v>-651.73500000000001</v>
      </c>
      <c r="AD1032" s="209"/>
      <c r="AE1032" s="64">
        <f t="shared" ref="AE1032:AE1040" si="1919">AB1032-(X1032+Z1032)</f>
        <v>0</v>
      </c>
      <c r="AF1032" s="209"/>
      <c r="AG1032" s="8"/>
    </row>
    <row r="1033" spans="1:33" s="92" customFormat="1" x14ac:dyDescent="0.45">
      <c r="A1033" s="22">
        <f t="shared" si="1914"/>
        <v>45284</v>
      </c>
      <c r="B1033" s="50" t="s">
        <v>64</v>
      </c>
      <c r="C1033" s="48">
        <f t="shared" ref="C1033:C1036" si="1920">80*W1033</f>
        <v>1672</v>
      </c>
      <c r="D1033" s="13">
        <v>80</v>
      </c>
      <c r="E1033" s="13">
        <v>11</v>
      </c>
      <c r="F1033" s="13">
        <v>0</v>
      </c>
      <c r="G1033" s="13">
        <v>6</v>
      </c>
      <c r="H1033" s="13">
        <v>0</v>
      </c>
      <c r="I1033" s="13">
        <v>0</v>
      </c>
      <c r="J1033" s="13">
        <v>0</v>
      </c>
      <c r="K1033" s="13">
        <v>0</v>
      </c>
      <c r="L1033" s="45">
        <v>0</v>
      </c>
      <c r="M1033" s="34"/>
      <c r="N1033" s="13">
        <v>80</v>
      </c>
      <c r="O1033" s="13">
        <v>11.25</v>
      </c>
      <c r="P1033" s="13">
        <v>0</v>
      </c>
      <c r="Q1033" s="13">
        <v>6</v>
      </c>
      <c r="R1033" s="34"/>
      <c r="S1033" s="13">
        <f t="shared" ref="S1033:S1034" si="1921">SUM(D1033:G1033)</f>
        <v>97</v>
      </c>
      <c r="T1033" s="13">
        <f>SUM(N1033:Q1033)</f>
        <v>97.25</v>
      </c>
      <c r="U1033" s="13">
        <f t="shared" ref="U1033:U1034" si="1922">SUM(H1033:K1033)</f>
        <v>0</v>
      </c>
      <c r="V1033" s="88"/>
      <c r="W1033" s="93">
        <v>20.9</v>
      </c>
      <c r="X1033" s="93">
        <f t="shared" ref="X1033:X1036" si="1923">(W1033*1*D1033)+(W1033*1.5*E1033)+(W1033*2*F1033)+(W1033*1*G1033)</f>
        <v>2142.25</v>
      </c>
      <c r="Y1033" s="93">
        <f t="shared" si="1910"/>
        <v>0</v>
      </c>
      <c r="Z1033" s="93">
        <f t="shared" ref="Z1033:Z1036" si="1924">(W1033*1*J1033)+L1033</f>
        <v>0</v>
      </c>
      <c r="AA1033" s="94">
        <f t="shared" si="1912"/>
        <v>0</v>
      </c>
      <c r="AB1033" s="94">
        <f t="shared" ref="AB1033:AB1036" si="1925">(W1033*1*N1033)+(W1033*1.5*O1033)+(W1033*2*P1033)+(W1033*1*Q1033)</f>
        <v>2150.0875000000001</v>
      </c>
      <c r="AC1033" s="95">
        <f t="shared" si="1906"/>
        <v>0</v>
      </c>
      <c r="AD1033" s="209"/>
      <c r="AE1033" s="95">
        <f t="shared" si="1919"/>
        <v>7.8375000000000909</v>
      </c>
      <c r="AF1033" s="209"/>
      <c r="AG1033" s="91"/>
    </row>
    <row r="1034" spans="1:33" s="92" customFormat="1" x14ac:dyDescent="0.45">
      <c r="A1034" s="22">
        <f t="shared" si="1914"/>
        <v>45284</v>
      </c>
      <c r="B1034" s="50" t="s">
        <v>54</v>
      </c>
      <c r="C1034" s="48">
        <f t="shared" si="1920"/>
        <v>2024</v>
      </c>
      <c r="D1034" s="13">
        <v>80</v>
      </c>
      <c r="E1034" s="13">
        <v>11.75</v>
      </c>
      <c r="F1034" s="13">
        <v>0</v>
      </c>
      <c r="G1034" s="13">
        <v>0</v>
      </c>
      <c r="H1034" s="13">
        <v>0</v>
      </c>
      <c r="I1034" s="13">
        <v>0</v>
      </c>
      <c r="J1034" s="13">
        <v>0</v>
      </c>
      <c r="K1034" s="13">
        <v>0</v>
      </c>
      <c r="L1034" s="45">
        <v>0</v>
      </c>
      <c r="M1034" s="34"/>
      <c r="N1034" s="13">
        <v>80</v>
      </c>
      <c r="O1034" s="13">
        <v>11.75</v>
      </c>
      <c r="P1034" s="13">
        <v>0</v>
      </c>
      <c r="Q1034" s="13">
        <v>0</v>
      </c>
      <c r="R1034" s="34"/>
      <c r="S1034" s="13">
        <f t="shared" si="1921"/>
        <v>91.75</v>
      </c>
      <c r="T1034" s="13">
        <f t="shared" ref="T1034" si="1926">SUM(N1034:Q1034)</f>
        <v>91.75</v>
      </c>
      <c r="U1034" s="13">
        <f t="shared" si="1922"/>
        <v>0</v>
      </c>
      <c r="V1034" s="88"/>
      <c r="W1034" s="93">
        <v>25.3</v>
      </c>
      <c r="X1034" s="93">
        <f t="shared" si="1923"/>
        <v>2469.9124999999999</v>
      </c>
      <c r="Y1034" s="93">
        <f t="shared" si="1910"/>
        <v>0</v>
      </c>
      <c r="Z1034" s="93">
        <f t="shared" si="1924"/>
        <v>0</v>
      </c>
      <c r="AA1034" s="94">
        <f t="shared" si="1912"/>
        <v>0</v>
      </c>
      <c r="AB1034" s="94">
        <f t="shared" si="1925"/>
        <v>2469.9124999999999</v>
      </c>
      <c r="AC1034" s="95">
        <f>0-Y1034-AA1034</f>
        <v>0</v>
      </c>
      <c r="AD1034" s="209"/>
      <c r="AE1034" s="95">
        <f t="shared" si="1919"/>
        <v>0</v>
      </c>
      <c r="AF1034" s="209"/>
      <c r="AG1034" s="91"/>
    </row>
    <row r="1035" spans="1:33" x14ac:dyDescent="0.45">
      <c r="A1035" s="22">
        <f t="shared" si="1914"/>
        <v>45284</v>
      </c>
      <c r="B1035" s="50" t="s">
        <v>65</v>
      </c>
      <c r="C1035" s="48">
        <f t="shared" si="1920"/>
        <v>1672</v>
      </c>
      <c r="D1035" s="51">
        <v>48</v>
      </c>
      <c r="E1035" s="51">
        <v>0</v>
      </c>
      <c r="F1035" s="51">
        <v>0</v>
      </c>
      <c r="G1035" s="51">
        <v>0</v>
      </c>
      <c r="H1035" s="51">
        <v>0</v>
      </c>
      <c r="I1035" s="51">
        <v>8</v>
      </c>
      <c r="J1035" s="51">
        <v>0</v>
      </c>
      <c r="K1035" s="51">
        <v>0</v>
      </c>
      <c r="L1035" s="52">
        <v>0</v>
      </c>
      <c r="M1035" s="34"/>
      <c r="N1035" s="51">
        <v>48</v>
      </c>
      <c r="O1035" s="51">
        <v>0</v>
      </c>
      <c r="P1035" s="51">
        <v>0</v>
      </c>
      <c r="Q1035" s="51">
        <v>0</v>
      </c>
      <c r="R1035" s="34"/>
      <c r="S1035" s="51">
        <f t="shared" ref="S1035:S1036" si="1927">SUM(D1035:G1035)</f>
        <v>48</v>
      </c>
      <c r="T1035" s="51">
        <f t="shared" ref="T1035:T1036" si="1928">SUM(N1035:Q1035)</f>
        <v>48</v>
      </c>
      <c r="U1035" s="51">
        <f t="shared" ref="U1035:U1036" si="1929">SUM(H1035:K1035)</f>
        <v>8</v>
      </c>
      <c r="V1035" s="34"/>
      <c r="W1035" s="52">
        <v>20.9</v>
      </c>
      <c r="X1035" s="53">
        <f t="shared" si="1923"/>
        <v>1003.1999999999999</v>
      </c>
      <c r="Y1035" s="53">
        <f t="shared" si="1910"/>
        <v>167.2</v>
      </c>
      <c r="Z1035" s="53">
        <f t="shared" si="1924"/>
        <v>0</v>
      </c>
      <c r="AA1035" s="54">
        <f t="shared" si="1912"/>
        <v>0</v>
      </c>
      <c r="AB1035" s="54">
        <f t="shared" si="1925"/>
        <v>1003.1999999999999</v>
      </c>
      <c r="AC1035" s="64">
        <f>0-Y1035-AA1035</f>
        <v>-167.2</v>
      </c>
      <c r="AD1035" s="209"/>
      <c r="AE1035" s="64">
        <f t="shared" si="1919"/>
        <v>0</v>
      </c>
      <c r="AF1035" s="209"/>
      <c r="AG1035" s="8"/>
    </row>
    <row r="1036" spans="1:33" ht="14.65" thickBot="1" x14ac:dyDescent="0.5">
      <c r="A1036" s="23">
        <f t="shared" si="1914"/>
        <v>45284</v>
      </c>
      <c r="B1036" s="24" t="s">
        <v>66</v>
      </c>
      <c r="C1036" s="49">
        <f t="shared" si="1920"/>
        <v>1672</v>
      </c>
      <c r="D1036" s="25">
        <v>40</v>
      </c>
      <c r="E1036" s="25">
        <v>9</v>
      </c>
      <c r="F1036" s="25">
        <v>0</v>
      </c>
      <c r="G1036" s="25">
        <v>8</v>
      </c>
      <c r="H1036" s="25">
        <v>0</v>
      </c>
      <c r="I1036" s="25">
        <v>0</v>
      </c>
      <c r="J1036" s="25">
        <v>0</v>
      </c>
      <c r="K1036" s="25">
        <v>0</v>
      </c>
      <c r="L1036" s="46">
        <v>0</v>
      </c>
      <c r="M1036" s="35"/>
      <c r="N1036" s="25">
        <v>40</v>
      </c>
      <c r="O1036" s="25">
        <v>9</v>
      </c>
      <c r="P1036" s="25">
        <v>0</v>
      </c>
      <c r="Q1036" s="25">
        <v>8</v>
      </c>
      <c r="R1036" s="35"/>
      <c r="S1036" s="25">
        <f t="shared" si="1927"/>
        <v>57</v>
      </c>
      <c r="T1036" s="25">
        <f t="shared" si="1928"/>
        <v>57</v>
      </c>
      <c r="U1036" s="25">
        <f t="shared" si="1929"/>
        <v>0</v>
      </c>
      <c r="V1036" s="35"/>
      <c r="W1036" s="46">
        <v>20.9</v>
      </c>
      <c r="X1036" s="26">
        <f t="shared" si="1923"/>
        <v>1285.3500000000001</v>
      </c>
      <c r="Y1036" s="26">
        <f t="shared" si="1910"/>
        <v>0</v>
      </c>
      <c r="Z1036" s="26">
        <f t="shared" si="1924"/>
        <v>0</v>
      </c>
      <c r="AA1036" s="27">
        <f t="shared" si="1912"/>
        <v>0</v>
      </c>
      <c r="AB1036" s="27">
        <f t="shared" si="1925"/>
        <v>1285.3500000000001</v>
      </c>
      <c r="AC1036" s="65">
        <f>0-Y1036-AA1036</f>
        <v>0</v>
      </c>
      <c r="AD1036" s="210"/>
      <c r="AE1036" s="65">
        <f t="shared" si="1919"/>
        <v>0</v>
      </c>
      <c r="AF1036" s="210"/>
      <c r="AG1036" s="8"/>
    </row>
    <row r="1037" spans="1:33" x14ac:dyDescent="0.45">
      <c r="A1037" s="16">
        <f>A1036+14</f>
        <v>45298</v>
      </c>
      <c r="B1037" s="17" t="s">
        <v>30</v>
      </c>
      <c r="C1037" s="47">
        <f>120*W1037</f>
        <v>4098</v>
      </c>
      <c r="D1037" s="18">
        <v>32</v>
      </c>
      <c r="E1037" s="18">
        <v>4</v>
      </c>
      <c r="F1037" s="18">
        <v>0</v>
      </c>
      <c r="G1037" s="18">
        <v>0</v>
      </c>
      <c r="H1037" s="18">
        <v>0</v>
      </c>
      <c r="I1037" s="18">
        <v>24</v>
      </c>
      <c r="J1037" s="18">
        <v>24</v>
      </c>
      <c r="K1037" s="18">
        <v>0</v>
      </c>
      <c r="L1037" s="44">
        <v>0</v>
      </c>
      <c r="M1037" s="33"/>
      <c r="N1037" s="18">
        <v>32</v>
      </c>
      <c r="O1037" s="18">
        <v>4</v>
      </c>
      <c r="P1037" s="18">
        <v>0</v>
      </c>
      <c r="Q1037" s="18">
        <v>0</v>
      </c>
      <c r="R1037" s="33"/>
      <c r="S1037" s="18">
        <f>SUM(D1037:G1037)</f>
        <v>36</v>
      </c>
      <c r="T1037" s="18">
        <f>SUM(N1037:Q1037)</f>
        <v>36</v>
      </c>
      <c r="U1037" s="18">
        <f>SUM(H1037:K1037)</f>
        <v>48</v>
      </c>
      <c r="V1037" s="33"/>
      <c r="W1037" s="44">
        <v>34.15</v>
      </c>
      <c r="X1037" s="19">
        <f>(W1037*1*D1037)+(W1037*1.5*E1037)+(W1037*2*F1037)+(W1037*1*G1037)</f>
        <v>1297.6999999999998</v>
      </c>
      <c r="Y1037" s="19">
        <f>(W1037*0*H1037)+(W1037*1*I1037)</f>
        <v>819.59999999999991</v>
      </c>
      <c r="Z1037" s="19">
        <f>(W1037*1*J1037)+L1037</f>
        <v>819.59999999999991</v>
      </c>
      <c r="AA1037" s="20">
        <f>(W1037*1*K1037)</f>
        <v>0</v>
      </c>
      <c r="AB1037" s="20">
        <f>(W1037*1*N1037)+(W1037*1.5*O1037)+(W1037*2*P1037)+(W1037*1*Q1037)</f>
        <v>1297.6999999999998</v>
      </c>
      <c r="AC1037" s="66">
        <f t="shared" ref="AC1037:AC1042" si="1930">0-Y1037-AA1037</f>
        <v>-819.59999999999991</v>
      </c>
      <c r="AD1037" s="208"/>
      <c r="AE1037" s="66">
        <f t="shared" si="1919"/>
        <v>-819.59999999999991</v>
      </c>
      <c r="AF1037" s="208">
        <f>SUM(AE1037:AE1045)</f>
        <v>-5829.6</v>
      </c>
      <c r="AG1037" s="8"/>
    </row>
    <row r="1038" spans="1:33" x14ac:dyDescent="0.45">
      <c r="A1038" s="22">
        <f>A1037</f>
        <v>45298</v>
      </c>
      <c r="B1038" s="15" t="s">
        <v>4</v>
      </c>
      <c r="C1038" s="48">
        <f>80*W1038</f>
        <v>2520</v>
      </c>
      <c r="D1038" s="13">
        <v>32</v>
      </c>
      <c r="E1038" s="13">
        <v>3.75</v>
      </c>
      <c r="F1038" s="13">
        <v>0</v>
      </c>
      <c r="G1038" s="13">
        <v>3</v>
      </c>
      <c r="H1038" s="13">
        <v>0</v>
      </c>
      <c r="I1038" s="13">
        <v>24</v>
      </c>
      <c r="J1038" s="13">
        <v>24</v>
      </c>
      <c r="K1038" s="13">
        <v>0</v>
      </c>
      <c r="L1038" s="45">
        <v>0</v>
      </c>
      <c r="M1038" s="34"/>
      <c r="N1038" s="13">
        <v>32</v>
      </c>
      <c r="O1038" s="13">
        <v>3.75</v>
      </c>
      <c r="P1038" s="13">
        <v>0</v>
      </c>
      <c r="Q1038" s="13">
        <v>3</v>
      </c>
      <c r="R1038" s="34"/>
      <c r="S1038" s="13">
        <f t="shared" ref="S1038:S1040" si="1931">SUM(D1038:G1038)</f>
        <v>38.75</v>
      </c>
      <c r="T1038" s="13">
        <f t="shared" ref="T1038" si="1932">SUM(N1038:Q1038)</f>
        <v>38.75</v>
      </c>
      <c r="U1038" s="13">
        <f>SUM(H1038:K1038)</f>
        <v>48</v>
      </c>
      <c r="V1038" s="34"/>
      <c r="W1038" s="45">
        <v>31.5</v>
      </c>
      <c r="X1038" s="10">
        <f t="shared" ref="X1038:X1039" si="1933">(W1038*1*D1038)+(W1038*1.5*E1038)+(W1038*2*F1038)+(W1038*1*G1038)</f>
        <v>1279.6875</v>
      </c>
      <c r="Y1038" s="10">
        <f t="shared" ref="Y1038:Y1045" si="1934">(W1038*0*H1038)+(W1038*1*I1038)</f>
        <v>756</v>
      </c>
      <c r="Z1038" s="10">
        <f t="shared" ref="Z1038:Z1040" si="1935">(W1038*1*J1038)+L1038</f>
        <v>756</v>
      </c>
      <c r="AA1038" s="14">
        <f t="shared" ref="AA1038:AA1045" si="1936">(W1038*1*K1038)</f>
        <v>0</v>
      </c>
      <c r="AB1038" s="14">
        <f t="shared" ref="AB1038:AB1040" si="1937">(W1038*1*N1038)+(W1038*1.5*O1038)+(W1038*2*P1038)+(W1038*1*Q1038)</f>
        <v>1279.6875</v>
      </c>
      <c r="AC1038" s="63">
        <f t="shared" si="1930"/>
        <v>-756</v>
      </c>
      <c r="AD1038" s="209"/>
      <c r="AE1038" s="63">
        <f t="shared" si="1919"/>
        <v>-756</v>
      </c>
      <c r="AF1038" s="209"/>
      <c r="AG1038" s="8"/>
    </row>
    <row r="1039" spans="1:33" x14ac:dyDescent="0.45">
      <c r="A1039" s="22">
        <f t="shared" ref="A1039:A1045" si="1938">A1038</f>
        <v>45298</v>
      </c>
      <c r="B1039" s="15" t="s">
        <v>5</v>
      </c>
      <c r="C1039" s="48">
        <f>120*W1039</f>
        <v>3654</v>
      </c>
      <c r="D1039" s="13">
        <v>32</v>
      </c>
      <c r="E1039" s="13">
        <v>3.5</v>
      </c>
      <c r="F1039" s="13">
        <v>0</v>
      </c>
      <c r="G1039" s="13">
        <v>0</v>
      </c>
      <c r="H1039" s="13">
        <v>0</v>
      </c>
      <c r="I1039" s="13">
        <v>24</v>
      </c>
      <c r="J1039" s="13">
        <v>24</v>
      </c>
      <c r="K1039" s="13">
        <v>0</v>
      </c>
      <c r="L1039" s="45">
        <v>0</v>
      </c>
      <c r="M1039" s="34"/>
      <c r="N1039" s="13">
        <v>32</v>
      </c>
      <c r="O1039" s="13">
        <v>3.5</v>
      </c>
      <c r="P1039" s="13">
        <v>0</v>
      </c>
      <c r="Q1039" s="13">
        <v>0</v>
      </c>
      <c r="R1039" s="34"/>
      <c r="S1039" s="13">
        <f t="shared" si="1931"/>
        <v>35.5</v>
      </c>
      <c r="T1039" s="13">
        <f>SUM(N1039:Q1039)</f>
        <v>35.5</v>
      </c>
      <c r="U1039" s="13">
        <f t="shared" ref="U1039:U1040" si="1939">SUM(H1039:K1039)</f>
        <v>48</v>
      </c>
      <c r="V1039" s="34"/>
      <c r="W1039" s="45">
        <v>30.45</v>
      </c>
      <c r="X1039" s="45">
        <f t="shared" si="1933"/>
        <v>1134.2625</v>
      </c>
      <c r="Y1039" s="45">
        <f t="shared" si="1934"/>
        <v>730.8</v>
      </c>
      <c r="Z1039" s="45">
        <f t="shared" si="1935"/>
        <v>730.8</v>
      </c>
      <c r="AA1039" s="79">
        <f t="shared" si="1936"/>
        <v>0</v>
      </c>
      <c r="AB1039" s="79">
        <f t="shared" si="1937"/>
        <v>1134.2625</v>
      </c>
      <c r="AC1039" s="80">
        <f t="shared" si="1930"/>
        <v>-730.8</v>
      </c>
      <c r="AD1039" s="209"/>
      <c r="AE1039" s="80">
        <f t="shared" si="1919"/>
        <v>-730.8</v>
      </c>
      <c r="AF1039" s="209"/>
      <c r="AG1039" s="8"/>
    </row>
    <row r="1040" spans="1:33" x14ac:dyDescent="0.45">
      <c r="A1040" s="22">
        <f t="shared" si="1938"/>
        <v>45298</v>
      </c>
      <c r="B1040" s="15" t="s">
        <v>6</v>
      </c>
      <c r="C1040" s="48">
        <f>120*W1040</f>
        <v>3780</v>
      </c>
      <c r="D1040" s="13">
        <v>31</v>
      </c>
      <c r="E1040" s="13">
        <v>2</v>
      </c>
      <c r="F1040" s="13">
        <v>0</v>
      </c>
      <c r="G1040" s="13">
        <v>0</v>
      </c>
      <c r="H1040" s="13">
        <v>0</v>
      </c>
      <c r="I1040" s="13">
        <v>0</v>
      </c>
      <c r="J1040" s="13">
        <v>24</v>
      </c>
      <c r="K1040" s="13">
        <v>0</v>
      </c>
      <c r="L1040" s="45">
        <v>0</v>
      </c>
      <c r="M1040" s="34"/>
      <c r="N1040" s="13">
        <v>32</v>
      </c>
      <c r="O1040" s="13">
        <v>2</v>
      </c>
      <c r="P1040" s="13">
        <v>0</v>
      </c>
      <c r="Q1040" s="13">
        <v>0</v>
      </c>
      <c r="R1040" s="34"/>
      <c r="S1040" s="13">
        <f t="shared" si="1931"/>
        <v>33</v>
      </c>
      <c r="T1040" s="13">
        <f t="shared" ref="T1040" si="1940">SUM(N1040:Q1040)</f>
        <v>34</v>
      </c>
      <c r="U1040" s="13">
        <f t="shared" si="1939"/>
        <v>24</v>
      </c>
      <c r="V1040" s="34"/>
      <c r="W1040" s="45">
        <v>31.5</v>
      </c>
      <c r="X1040" s="45">
        <f>(W1040*1*D1040)+(W1040*1.5*E1040)+(W1040*2*F1040)+(W1040*1*G1040)</f>
        <v>1071</v>
      </c>
      <c r="Y1040" s="45">
        <f t="shared" si="1934"/>
        <v>0</v>
      </c>
      <c r="Z1040" s="45">
        <f t="shared" si="1935"/>
        <v>756</v>
      </c>
      <c r="AA1040" s="79">
        <f t="shared" si="1936"/>
        <v>0</v>
      </c>
      <c r="AB1040" s="79">
        <f t="shared" si="1937"/>
        <v>1102.5</v>
      </c>
      <c r="AC1040" s="80">
        <f t="shared" si="1930"/>
        <v>0</v>
      </c>
      <c r="AD1040" s="209"/>
      <c r="AE1040" s="80">
        <f t="shared" si="1919"/>
        <v>-724.5</v>
      </c>
      <c r="AF1040" s="209"/>
      <c r="AG1040" s="8"/>
    </row>
    <row r="1041" spans="1:33" x14ac:dyDescent="0.45">
      <c r="A1041" s="22">
        <f t="shared" si="1938"/>
        <v>45298</v>
      </c>
      <c r="B1041" s="50" t="s">
        <v>31</v>
      </c>
      <c r="C1041" s="48">
        <f>120*W1041</f>
        <v>3780</v>
      </c>
      <c r="D1041" s="13">
        <v>56</v>
      </c>
      <c r="E1041" s="13">
        <v>23</v>
      </c>
      <c r="F1041" s="13">
        <v>0</v>
      </c>
      <c r="G1041" s="13">
        <v>11.25</v>
      </c>
      <c r="H1041" s="13">
        <v>0</v>
      </c>
      <c r="I1041" s="13">
        <v>0</v>
      </c>
      <c r="J1041" s="13">
        <v>24</v>
      </c>
      <c r="K1041" s="13">
        <v>0</v>
      </c>
      <c r="L1041" s="45">
        <v>0</v>
      </c>
      <c r="M1041" s="34"/>
      <c r="N1041" s="13">
        <v>56</v>
      </c>
      <c r="O1041" s="13">
        <v>23</v>
      </c>
      <c r="P1041" s="13">
        <v>0</v>
      </c>
      <c r="Q1041" s="13">
        <v>11.25</v>
      </c>
      <c r="R1041" s="34"/>
      <c r="S1041" s="13">
        <f t="shared" ref="S1041" si="1941">SUM(D1041:G1041)</f>
        <v>90.25</v>
      </c>
      <c r="T1041" s="13">
        <f>SUM(N1041:Q1041)</f>
        <v>90.25</v>
      </c>
      <c r="U1041" s="13">
        <f t="shared" ref="U1041" si="1942">SUM(H1041:K1041)</f>
        <v>24</v>
      </c>
      <c r="V1041" s="34"/>
      <c r="W1041" s="52">
        <v>31.5</v>
      </c>
      <c r="X1041" s="52">
        <f>(W1041*1*D1041)+(W1041*1.5*E1041)+(W1041*2*F1041)+(W1041*1*G1041)</f>
        <v>3205.125</v>
      </c>
      <c r="Y1041" s="52">
        <f t="shared" si="1934"/>
        <v>0</v>
      </c>
      <c r="Z1041" s="52">
        <f>(W1041*1*J1041)+L1041</f>
        <v>756</v>
      </c>
      <c r="AA1041" s="96">
        <f t="shared" si="1936"/>
        <v>0</v>
      </c>
      <c r="AB1041" s="96">
        <f>(W1041*1*N1041)+(W1041*1.5*O1041)+(W1041*2*P1041)+(W1041*1*Q1041)</f>
        <v>3205.125</v>
      </c>
      <c r="AC1041" s="97">
        <f t="shared" si="1930"/>
        <v>0</v>
      </c>
      <c r="AD1041" s="209"/>
      <c r="AE1041" s="97">
        <f t="shared" ref="AE1041:AE1049" si="1943">AB1041-(X1041+Z1041)</f>
        <v>-756</v>
      </c>
      <c r="AF1041" s="209"/>
      <c r="AG1041" s="8"/>
    </row>
    <row r="1042" spans="1:33" x14ac:dyDescent="0.45">
      <c r="A1042" s="22">
        <f t="shared" si="1938"/>
        <v>45298</v>
      </c>
      <c r="B1042" s="50" t="s">
        <v>64</v>
      </c>
      <c r="C1042" s="48">
        <f t="shared" ref="C1042:C1045" si="1944">80*W1042</f>
        <v>1672</v>
      </c>
      <c r="D1042" s="13">
        <v>32</v>
      </c>
      <c r="E1042" s="13">
        <v>11</v>
      </c>
      <c r="F1042" s="13">
        <v>0</v>
      </c>
      <c r="G1042" s="13">
        <v>0</v>
      </c>
      <c r="H1042" s="13">
        <v>0</v>
      </c>
      <c r="I1042" s="13">
        <v>24</v>
      </c>
      <c r="J1042" s="13">
        <v>24</v>
      </c>
      <c r="K1042" s="13">
        <v>0</v>
      </c>
      <c r="L1042" s="45">
        <v>0</v>
      </c>
      <c r="M1042" s="34"/>
      <c r="N1042" s="13">
        <v>32</v>
      </c>
      <c r="O1042" s="13">
        <v>12</v>
      </c>
      <c r="P1042" s="13">
        <v>0</v>
      </c>
      <c r="Q1042" s="13">
        <v>0</v>
      </c>
      <c r="R1042" s="34"/>
      <c r="S1042" s="13">
        <f t="shared" ref="S1042:S1043" si="1945">SUM(D1042:G1042)</f>
        <v>43</v>
      </c>
      <c r="T1042" s="13">
        <f>SUM(N1042:Q1042)</f>
        <v>44</v>
      </c>
      <c r="U1042" s="13">
        <f t="shared" ref="U1042:U1043" si="1946">SUM(H1042:K1042)</f>
        <v>48</v>
      </c>
      <c r="V1042" s="34"/>
      <c r="W1042" s="52">
        <v>20.9</v>
      </c>
      <c r="X1042" s="52">
        <f t="shared" ref="X1042:X1045" si="1947">(W1042*1*D1042)+(W1042*1.5*E1042)+(W1042*2*F1042)+(W1042*1*G1042)</f>
        <v>1013.6499999999999</v>
      </c>
      <c r="Y1042" s="52">
        <f t="shared" si="1934"/>
        <v>501.59999999999997</v>
      </c>
      <c r="Z1042" s="52">
        <f t="shared" ref="Z1042:Z1045" si="1948">(W1042*1*J1042)+L1042</f>
        <v>501.59999999999997</v>
      </c>
      <c r="AA1042" s="96">
        <f t="shared" si="1936"/>
        <v>0</v>
      </c>
      <c r="AB1042" s="96">
        <f t="shared" ref="AB1042:AB1045" si="1949">(W1042*1*N1042)+(W1042*1.5*O1042)+(W1042*2*P1042)+(W1042*1*Q1042)</f>
        <v>1045</v>
      </c>
      <c r="AC1042" s="97">
        <f t="shared" si="1930"/>
        <v>-501.59999999999997</v>
      </c>
      <c r="AD1042" s="209"/>
      <c r="AE1042" s="97">
        <f t="shared" si="1943"/>
        <v>-470.24999999999977</v>
      </c>
      <c r="AF1042" s="209"/>
      <c r="AG1042" s="8"/>
    </row>
    <row r="1043" spans="1:33" x14ac:dyDescent="0.45">
      <c r="A1043" s="22">
        <f t="shared" si="1938"/>
        <v>45298</v>
      </c>
      <c r="B1043" s="50" t="s">
        <v>54</v>
      </c>
      <c r="C1043" s="48">
        <f t="shared" si="1944"/>
        <v>2024</v>
      </c>
      <c r="D1043" s="13">
        <v>32</v>
      </c>
      <c r="E1043" s="13">
        <v>5.5</v>
      </c>
      <c r="F1043" s="13">
        <v>0</v>
      </c>
      <c r="G1043" s="13">
        <v>0</v>
      </c>
      <c r="H1043" s="13">
        <v>0</v>
      </c>
      <c r="I1043" s="13">
        <v>8</v>
      </c>
      <c r="J1043" s="13">
        <v>24</v>
      </c>
      <c r="K1043" s="13">
        <v>0</v>
      </c>
      <c r="L1043" s="45">
        <v>0</v>
      </c>
      <c r="M1043" s="34"/>
      <c r="N1043" s="13">
        <v>32</v>
      </c>
      <c r="O1043" s="13">
        <v>6.5</v>
      </c>
      <c r="P1043" s="13">
        <v>0</v>
      </c>
      <c r="Q1043" s="13">
        <v>0</v>
      </c>
      <c r="R1043" s="34"/>
      <c r="S1043" s="13">
        <f t="shared" si="1945"/>
        <v>37.5</v>
      </c>
      <c r="T1043" s="13">
        <f t="shared" ref="T1043" si="1950">SUM(N1043:Q1043)</f>
        <v>38.5</v>
      </c>
      <c r="U1043" s="13">
        <f t="shared" si="1946"/>
        <v>32</v>
      </c>
      <c r="V1043" s="34"/>
      <c r="W1043" s="52">
        <v>25.3</v>
      </c>
      <c r="X1043" s="52">
        <f t="shared" si="1947"/>
        <v>1018.325</v>
      </c>
      <c r="Y1043" s="52">
        <f t="shared" si="1934"/>
        <v>202.4</v>
      </c>
      <c r="Z1043" s="52">
        <f t="shared" si="1948"/>
        <v>607.20000000000005</v>
      </c>
      <c r="AA1043" s="96">
        <f t="shared" si="1936"/>
        <v>0</v>
      </c>
      <c r="AB1043" s="96">
        <f t="shared" si="1949"/>
        <v>1056.2750000000001</v>
      </c>
      <c r="AC1043" s="97">
        <f>0-Y1043-AA1043</f>
        <v>-202.4</v>
      </c>
      <c r="AD1043" s="209"/>
      <c r="AE1043" s="97">
        <f t="shared" si="1943"/>
        <v>-569.25</v>
      </c>
      <c r="AF1043" s="209"/>
      <c r="AG1043" s="8"/>
    </row>
    <row r="1044" spans="1:33" x14ac:dyDescent="0.45">
      <c r="A1044" s="22">
        <f t="shared" si="1938"/>
        <v>45298</v>
      </c>
      <c r="B1044" s="50" t="s">
        <v>65</v>
      </c>
      <c r="C1044" s="48">
        <f t="shared" si="1944"/>
        <v>1672</v>
      </c>
      <c r="D1044" s="51">
        <v>31.75</v>
      </c>
      <c r="E1044" s="51">
        <v>0</v>
      </c>
      <c r="F1044" s="51">
        <v>0</v>
      </c>
      <c r="G1044" s="51">
        <v>0</v>
      </c>
      <c r="H1044" s="51">
        <v>0</v>
      </c>
      <c r="I1044" s="51">
        <v>0</v>
      </c>
      <c r="J1044" s="51">
        <v>24</v>
      </c>
      <c r="K1044" s="51">
        <v>0</v>
      </c>
      <c r="L1044" s="52">
        <v>0</v>
      </c>
      <c r="M1044" s="34"/>
      <c r="N1044" s="51">
        <v>31.75</v>
      </c>
      <c r="O1044" s="51">
        <v>0</v>
      </c>
      <c r="P1044" s="51">
        <v>0</v>
      </c>
      <c r="Q1044" s="51">
        <v>0</v>
      </c>
      <c r="R1044" s="34"/>
      <c r="S1044" s="51">
        <f t="shared" ref="S1044:S1045" si="1951">SUM(D1044:G1044)</f>
        <v>31.75</v>
      </c>
      <c r="T1044" s="51">
        <f t="shared" ref="T1044:T1045" si="1952">SUM(N1044:Q1044)</f>
        <v>31.75</v>
      </c>
      <c r="U1044" s="51">
        <f t="shared" ref="U1044:U1045" si="1953">SUM(H1044:K1044)</f>
        <v>24</v>
      </c>
      <c r="V1044" s="34"/>
      <c r="W1044" s="52">
        <v>20.9</v>
      </c>
      <c r="X1044" s="53">
        <f t="shared" si="1947"/>
        <v>663.57499999999993</v>
      </c>
      <c r="Y1044" s="53">
        <f t="shared" si="1934"/>
        <v>0</v>
      </c>
      <c r="Z1044" s="53">
        <f t="shared" si="1948"/>
        <v>501.59999999999997</v>
      </c>
      <c r="AA1044" s="54">
        <f t="shared" si="1936"/>
        <v>0</v>
      </c>
      <c r="AB1044" s="54">
        <f t="shared" si="1949"/>
        <v>663.57499999999993</v>
      </c>
      <c r="AC1044" s="64">
        <f>0-Y1044-AA1044</f>
        <v>0</v>
      </c>
      <c r="AD1044" s="209"/>
      <c r="AE1044" s="64">
        <f t="shared" si="1943"/>
        <v>-501.6</v>
      </c>
      <c r="AF1044" s="209"/>
      <c r="AG1044" s="8"/>
    </row>
    <row r="1045" spans="1:33" ht="14.65" thickBot="1" x14ac:dyDescent="0.5">
      <c r="A1045" s="23">
        <f t="shared" si="1938"/>
        <v>45298</v>
      </c>
      <c r="B1045" s="24" t="s">
        <v>66</v>
      </c>
      <c r="C1045" s="49">
        <f t="shared" si="1944"/>
        <v>1672</v>
      </c>
      <c r="D1045" s="25">
        <v>8.5</v>
      </c>
      <c r="E1045" s="25">
        <v>0</v>
      </c>
      <c r="F1045" s="25">
        <v>0</v>
      </c>
      <c r="G1045" s="25">
        <v>0</v>
      </c>
      <c r="H1045" s="25">
        <v>0</v>
      </c>
      <c r="I1045" s="25">
        <v>24</v>
      </c>
      <c r="J1045" s="25">
        <v>24</v>
      </c>
      <c r="K1045" s="25">
        <v>0</v>
      </c>
      <c r="L1045" s="46">
        <v>0</v>
      </c>
      <c r="M1045" s="35"/>
      <c r="N1045" s="25">
        <v>8.5</v>
      </c>
      <c r="O1045" s="25">
        <v>0</v>
      </c>
      <c r="P1045" s="25">
        <v>0</v>
      </c>
      <c r="Q1045" s="25">
        <v>0</v>
      </c>
      <c r="R1045" s="35"/>
      <c r="S1045" s="25">
        <f t="shared" si="1951"/>
        <v>8.5</v>
      </c>
      <c r="T1045" s="25">
        <f t="shared" si="1952"/>
        <v>8.5</v>
      </c>
      <c r="U1045" s="25">
        <f t="shared" si="1953"/>
        <v>48</v>
      </c>
      <c r="V1045" s="35"/>
      <c r="W1045" s="46">
        <v>20.9</v>
      </c>
      <c r="X1045" s="26">
        <f t="shared" si="1947"/>
        <v>177.64999999999998</v>
      </c>
      <c r="Y1045" s="26">
        <f t="shared" si="1934"/>
        <v>501.59999999999997</v>
      </c>
      <c r="Z1045" s="26">
        <f t="shared" si="1948"/>
        <v>501.59999999999997</v>
      </c>
      <c r="AA1045" s="27">
        <f t="shared" si="1936"/>
        <v>0</v>
      </c>
      <c r="AB1045" s="27">
        <f t="shared" si="1949"/>
        <v>177.64999999999998</v>
      </c>
      <c r="AC1045" s="65">
        <f>0-Y1045-AA1045</f>
        <v>-501.59999999999997</v>
      </c>
      <c r="AD1045" s="210"/>
      <c r="AE1045" s="65">
        <f t="shared" si="1943"/>
        <v>-501.6</v>
      </c>
      <c r="AF1045" s="210"/>
      <c r="AG1045" s="8"/>
    </row>
    <row r="1046" spans="1:33" x14ac:dyDescent="0.45">
      <c r="A1046" s="16">
        <f>A1045+14</f>
        <v>45312</v>
      </c>
      <c r="B1046" s="17" t="s">
        <v>30</v>
      </c>
      <c r="C1046" s="47">
        <f>120*W1046</f>
        <v>4098</v>
      </c>
      <c r="D1046" s="18">
        <v>80</v>
      </c>
      <c r="E1046" s="18">
        <v>9.5</v>
      </c>
      <c r="F1046" s="18">
        <v>0</v>
      </c>
      <c r="G1046" s="18">
        <v>0</v>
      </c>
      <c r="H1046" s="18">
        <v>0</v>
      </c>
      <c r="I1046" s="18">
        <v>0</v>
      </c>
      <c r="J1046" s="18">
        <v>0</v>
      </c>
      <c r="K1046" s="18">
        <v>0</v>
      </c>
      <c r="L1046" s="44">
        <v>0</v>
      </c>
      <c r="M1046" s="33"/>
      <c r="N1046" s="18">
        <v>80</v>
      </c>
      <c r="O1046" s="18">
        <v>9.5</v>
      </c>
      <c r="P1046" s="18">
        <v>0</v>
      </c>
      <c r="Q1046" s="18">
        <v>0</v>
      </c>
      <c r="R1046" s="33"/>
      <c r="S1046" s="18">
        <f>SUM(D1046:G1046)</f>
        <v>89.5</v>
      </c>
      <c r="T1046" s="18">
        <f>SUM(N1046:Q1046)</f>
        <v>89.5</v>
      </c>
      <c r="U1046" s="18">
        <f>SUM(H1046:K1046)</f>
        <v>0</v>
      </c>
      <c r="V1046" s="33"/>
      <c r="W1046" s="44">
        <v>34.15</v>
      </c>
      <c r="X1046" s="19">
        <f>(W1046*1*D1046)+(W1046*1.5*E1046)+(W1046*2*F1046)+(W1046*1*G1046)</f>
        <v>3218.6374999999998</v>
      </c>
      <c r="Y1046" s="19">
        <f>(W1046*0*H1046)+(W1046*1*I1046)</f>
        <v>0</v>
      </c>
      <c r="Z1046" s="19">
        <f>(W1046*1*J1046)+L1046</f>
        <v>0</v>
      </c>
      <c r="AA1046" s="20">
        <f>(W1046*1*K1046)</f>
        <v>0</v>
      </c>
      <c r="AB1046" s="20">
        <f>(W1046*1*N1046)+(W1046*1.5*O1046)+(W1046*2*P1046)+(W1046*1*Q1046)</f>
        <v>3218.6374999999998</v>
      </c>
      <c r="AC1046" s="66">
        <f t="shared" ref="AC1046:AC1051" si="1954">0-Y1046-AA1046</f>
        <v>0</v>
      </c>
      <c r="AD1046" s="208"/>
      <c r="AE1046" s="66">
        <f t="shared" si="1943"/>
        <v>0</v>
      </c>
      <c r="AF1046" s="208">
        <f>SUM(AE1046:AE1054)</f>
        <v>0</v>
      </c>
      <c r="AG1046" s="8"/>
    </row>
    <row r="1047" spans="1:33" x14ac:dyDescent="0.45">
      <c r="A1047" s="22">
        <f>A1046</f>
        <v>45312</v>
      </c>
      <c r="B1047" s="15" t="s">
        <v>4</v>
      </c>
      <c r="C1047" s="48">
        <f>80*W1047</f>
        <v>2520</v>
      </c>
      <c r="D1047" s="13">
        <v>0</v>
      </c>
      <c r="E1047" s="13">
        <v>0</v>
      </c>
      <c r="F1047" s="13">
        <v>0</v>
      </c>
      <c r="G1047" s="13">
        <v>0</v>
      </c>
      <c r="H1047" s="13">
        <v>0</v>
      </c>
      <c r="I1047" s="13">
        <v>80</v>
      </c>
      <c r="J1047" s="13">
        <v>0</v>
      </c>
      <c r="K1047" s="13">
        <v>0</v>
      </c>
      <c r="L1047" s="45">
        <v>0</v>
      </c>
      <c r="M1047" s="34"/>
      <c r="N1047" s="13">
        <v>0</v>
      </c>
      <c r="O1047" s="13">
        <v>0</v>
      </c>
      <c r="P1047" s="13">
        <v>0</v>
      </c>
      <c r="Q1047" s="13">
        <v>0</v>
      </c>
      <c r="R1047" s="34"/>
      <c r="S1047" s="13">
        <f t="shared" ref="S1047:S1049" si="1955">SUM(D1047:G1047)</f>
        <v>0</v>
      </c>
      <c r="T1047" s="13">
        <f t="shared" ref="T1047" si="1956">SUM(N1047:Q1047)</f>
        <v>0</v>
      </c>
      <c r="U1047" s="13">
        <f>SUM(H1047:K1047)</f>
        <v>80</v>
      </c>
      <c r="V1047" s="34"/>
      <c r="W1047" s="45">
        <v>31.5</v>
      </c>
      <c r="X1047" s="10">
        <f t="shared" ref="X1047:X1048" si="1957">(W1047*1*D1047)+(W1047*1.5*E1047)+(W1047*2*F1047)+(W1047*1*G1047)</f>
        <v>0</v>
      </c>
      <c r="Y1047" s="10">
        <f t="shared" ref="Y1047:Y1054" si="1958">(W1047*0*H1047)+(W1047*1*I1047)</f>
        <v>2520</v>
      </c>
      <c r="Z1047" s="10">
        <f t="shared" ref="Z1047:Z1049" si="1959">(W1047*1*J1047)+L1047</f>
        <v>0</v>
      </c>
      <c r="AA1047" s="14">
        <f t="shared" ref="AA1047:AA1054" si="1960">(W1047*1*K1047)</f>
        <v>0</v>
      </c>
      <c r="AB1047" s="14">
        <f t="shared" ref="AB1047:AB1049" si="1961">(W1047*1*N1047)+(W1047*1.5*O1047)+(W1047*2*P1047)+(W1047*1*Q1047)</f>
        <v>0</v>
      </c>
      <c r="AC1047" s="63">
        <f t="shared" si="1954"/>
        <v>-2520</v>
      </c>
      <c r="AD1047" s="209"/>
      <c r="AE1047" s="63">
        <f t="shared" si="1943"/>
        <v>0</v>
      </c>
      <c r="AF1047" s="209"/>
      <c r="AG1047" s="8"/>
    </row>
    <row r="1048" spans="1:33" x14ac:dyDescent="0.45">
      <c r="A1048" s="22">
        <f t="shared" ref="A1048:A1054" si="1962">A1047</f>
        <v>45312</v>
      </c>
      <c r="B1048" s="15" t="s">
        <v>5</v>
      </c>
      <c r="C1048" s="48">
        <f>120*W1048</f>
        <v>3654</v>
      </c>
      <c r="D1048" s="13">
        <v>80</v>
      </c>
      <c r="E1048" s="13">
        <v>3.5</v>
      </c>
      <c r="F1048" s="13">
        <v>0</v>
      </c>
      <c r="G1048" s="13">
        <v>3</v>
      </c>
      <c r="H1048" s="13">
        <v>0</v>
      </c>
      <c r="I1048" s="13">
        <v>0</v>
      </c>
      <c r="J1048" s="13">
        <v>0</v>
      </c>
      <c r="K1048" s="13">
        <v>0</v>
      </c>
      <c r="L1048" s="45">
        <v>0</v>
      </c>
      <c r="M1048" s="34"/>
      <c r="N1048" s="13">
        <v>80</v>
      </c>
      <c r="O1048" s="13">
        <v>3.5</v>
      </c>
      <c r="P1048" s="13">
        <v>0</v>
      </c>
      <c r="Q1048" s="13">
        <v>3</v>
      </c>
      <c r="R1048" s="34"/>
      <c r="S1048" s="13">
        <f t="shared" si="1955"/>
        <v>86.5</v>
      </c>
      <c r="T1048" s="13">
        <f>SUM(N1048:Q1048)</f>
        <v>86.5</v>
      </c>
      <c r="U1048" s="13">
        <f t="shared" ref="U1048:U1049" si="1963">SUM(H1048:K1048)</f>
        <v>0</v>
      </c>
      <c r="V1048" s="34"/>
      <c r="W1048" s="45">
        <v>30.45</v>
      </c>
      <c r="X1048" s="45">
        <f t="shared" si="1957"/>
        <v>2687.2125000000001</v>
      </c>
      <c r="Y1048" s="45">
        <f t="shared" si="1958"/>
        <v>0</v>
      </c>
      <c r="Z1048" s="45">
        <f t="shared" si="1959"/>
        <v>0</v>
      </c>
      <c r="AA1048" s="79">
        <f t="shared" si="1960"/>
        <v>0</v>
      </c>
      <c r="AB1048" s="79">
        <f t="shared" si="1961"/>
        <v>2687.2125000000001</v>
      </c>
      <c r="AC1048" s="80">
        <f t="shared" si="1954"/>
        <v>0</v>
      </c>
      <c r="AD1048" s="209"/>
      <c r="AE1048" s="80">
        <f t="shared" si="1943"/>
        <v>0</v>
      </c>
      <c r="AF1048" s="209"/>
      <c r="AG1048" s="8"/>
    </row>
    <row r="1049" spans="1:33" x14ac:dyDescent="0.45">
      <c r="A1049" s="22">
        <f t="shared" si="1962"/>
        <v>45312</v>
      </c>
      <c r="B1049" s="15" t="s">
        <v>6</v>
      </c>
      <c r="C1049" s="48">
        <f>120*W1049</f>
        <v>3780</v>
      </c>
      <c r="D1049" s="13">
        <v>80</v>
      </c>
      <c r="E1049" s="13">
        <v>15.25</v>
      </c>
      <c r="F1049" s="13">
        <v>0</v>
      </c>
      <c r="G1049" s="13">
        <v>0</v>
      </c>
      <c r="H1049" s="13">
        <v>0</v>
      </c>
      <c r="I1049" s="13">
        <v>0</v>
      </c>
      <c r="J1049" s="13">
        <v>0</v>
      </c>
      <c r="K1049" s="13">
        <v>0</v>
      </c>
      <c r="L1049" s="45">
        <v>0</v>
      </c>
      <c r="M1049" s="34"/>
      <c r="N1049" s="13">
        <v>80</v>
      </c>
      <c r="O1049" s="13">
        <v>15.25</v>
      </c>
      <c r="P1049" s="13">
        <v>0</v>
      </c>
      <c r="Q1049" s="13">
        <v>0</v>
      </c>
      <c r="R1049" s="34"/>
      <c r="S1049" s="13">
        <f t="shared" si="1955"/>
        <v>95.25</v>
      </c>
      <c r="T1049" s="13">
        <f t="shared" ref="T1049" si="1964">SUM(N1049:Q1049)</f>
        <v>95.25</v>
      </c>
      <c r="U1049" s="13">
        <f t="shared" si="1963"/>
        <v>0</v>
      </c>
      <c r="V1049" s="34"/>
      <c r="W1049" s="45">
        <v>31.5</v>
      </c>
      <c r="X1049" s="45">
        <f>(W1049*1*D1049)+(W1049*1.5*E1049)+(W1049*2*F1049)+(W1049*1*G1049)</f>
        <v>3240.5625</v>
      </c>
      <c r="Y1049" s="45">
        <f t="shared" si="1958"/>
        <v>0</v>
      </c>
      <c r="Z1049" s="45">
        <f t="shared" si="1959"/>
        <v>0</v>
      </c>
      <c r="AA1049" s="79">
        <f t="shared" si="1960"/>
        <v>0</v>
      </c>
      <c r="AB1049" s="79">
        <f t="shared" si="1961"/>
        <v>3240.5625</v>
      </c>
      <c r="AC1049" s="80">
        <f t="shared" si="1954"/>
        <v>0</v>
      </c>
      <c r="AD1049" s="209"/>
      <c r="AE1049" s="80">
        <f t="shared" si="1943"/>
        <v>0</v>
      </c>
      <c r="AF1049" s="209"/>
      <c r="AG1049" s="8"/>
    </row>
    <row r="1050" spans="1:33" x14ac:dyDescent="0.45">
      <c r="A1050" s="22">
        <f t="shared" si="1962"/>
        <v>45312</v>
      </c>
      <c r="B1050" s="50" t="s">
        <v>31</v>
      </c>
      <c r="C1050" s="48">
        <f>120*W1050</f>
        <v>3780</v>
      </c>
      <c r="D1050" s="13">
        <v>80</v>
      </c>
      <c r="E1050" s="13">
        <v>6.75</v>
      </c>
      <c r="F1050" s="13">
        <v>0</v>
      </c>
      <c r="G1050" s="13">
        <v>0</v>
      </c>
      <c r="H1050" s="13">
        <v>0</v>
      </c>
      <c r="I1050" s="13">
        <v>0</v>
      </c>
      <c r="J1050" s="13">
        <v>0</v>
      </c>
      <c r="K1050" s="13">
        <v>0</v>
      </c>
      <c r="L1050" s="45">
        <v>0</v>
      </c>
      <c r="M1050" s="34"/>
      <c r="N1050" s="13">
        <v>80</v>
      </c>
      <c r="O1050" s="13">
        <v>6.75</v>
      </c>
      <c r="P1050" s="13">
        <v>0</v>
      </c>
      <c r="Q1050" s="13">
        <v>0</v>
      </c>
      <c r="R1050" s="34"/>
      <c r="S1050" s="13">
        <f t="shared" ref="S1050" si="1965">SUM(D1050:G1050)</f>
        <v>86.75</v>
      </c>
      <c r="T1050" s="13">
        <f>SUM(N1050:Q1050)</f>
        <v>86.75</v>
      </c>
      <c r="U1050" s="13">
        <f t="shared" ref="U1050" si="1966">SUM(H1050:K1050)</f>
        <v>0</v>
      </c>
      <c r="V1050" s="34"/>
      <c r="W1050" s="52">
        <v>31.5</v>
      </c>
      <c r="X1050" s="52">
        <f>(W1050*1*D1050)+(W1050*1.5*E1050)+(W1050*2*F1050)+(W1050*1*G1050)</f>
        <v>2838.9375</v>
      </c>
      <c r="Y1050" s="52">
        <f t="shared" si="1958"/>
        <v>0</v>
      </c>
      <c r="Z1050" s="52">
        <f>(W1050*1*J1050)+L1050</f>
        <v>0</v>
      </c>
      <c r="AA1050" s="96">
        <f t="shared" si="1960"/>
        <v>0</v>
      </c>
      <c r="AB1050" s="96">
        <f>(W1050*1*N1050)+(W1050*1.5*O1050)+(W1050*2*P1050)+(W1050*1*Q1050)</f>
        <v>2838.9375</v>
      </c>
      <c r="AC1050" s="97">
        <f t="shared" si="1954"/>
        <v>0</v>
      </c>
      <c r="AD1050" s="209"/>
      <c r="AE1050" s="97">
        <f t="shared" ref="AE1050:AE1058" si="1967">AB1050-(X1050+Z1050)</f>
        <v>0</v>
      </c>
      <c r="AF1050" s="209"/>
      <c r="AG1050" s="8"/>
    </row>
    <row r="1051" spans="1:33" x14ac:dyDescent="0.45">
      <c r="A1051" s="22">
        <f t="shared" si="1962"/>
        <v>45312</v>
      </c>
      <c r="B1051" s="50" t="s">
        <v>64</v>
      </c>
      <c r="C1051" s="48">
        <f t="shared" ref="C1051:C1054" si="1968">80*W1051</f>
        <v>1672</v>
      </c>
      <c r="D1051" s="13">
        <v>80</v>
      </c>
      <c r="E1051" s="13">
        <v>32</v>
      </c>
      <c r="F1051" s="13">
        <v>0</v>
      </c>
      <c r="G1051" s="13">
        <v>0</v>
      </c>
      <c r="H1051" s="13">
        <v>0</v>
      </c>
      <c r="I1051" s="13">
        <v>0</v>
      </c>
      <c r="J1051" s="13">
        <v>0</v>
      </c>
      <c r="K1051" s="13">
        <v>0</v>
      </c>
      <c r="L1051" s="45">
        <v>0</v>
      </c>
      <c r="M1051" s="34"/>
      <c r="N1051" s="13">
        <v>80</v>
      </c>
      <c r="O1051" s="13">
        <v>32</v>
      </c>
      <c r="P1051" s="13">
        <v>0</v>
      </c>
      <c r="Q1051" s="13">
        <v>0</v>
      </c>
      <c r="R1051" s="34"/>
      <c r="S1051" s="13">
        <f t="shared" ref="S1051:S1052" si="1969">SUM(D1051:G1051)</f>
        <v>112</v>
      </c>
      <c r="T1051" s="13">
        <f>SUM(N1051:Q1051)</f>
        <v>112</v>
      </c>
      <c r="U1051" s="13">
        <f t="shared" ref="U1051:U1052" si="1970">SUM(H1051:K1051)</f>
        <v>0</v>
      </c>
      <c r="V1051" s="34"/>
      <c r="W1051" s="52">
        <v>20.9</v>
      </c>
      <c r="X1051" s="52">
        <f t="shared" ref="X1051:X1054" si="1971">(W1051*1*D1051)+(W1051*1.5*E1051)+(W1051*2*F1051)+(W1051*1*G1051)</f>
        <v>2675.2</v>
      </c>
      <c r="Y1051" s="52">
        <f t="shared" si="1958"/>
        <v>0</v>
      </c>
      <c r="Z1051" s="52">
        <f t="shared" ref="Z1051:Z1054" si="1972">(W1051*1*J1051)+L1051</f>
        <v>0</v>
      </c>
      <c r="AA1051" s="96">
        <f t="shared" si="1960"/>
        <v>0</v>
      </c>
      <c r="AB1051" s="96">
        <f t="shared" ref="AB1051:AB1054" si="1973">(W1051*1*N1051)+(W1051*1.5*O1051)+(W1051*2*P1051)+(W1051*1*Q1051)</f>
        <v>2675.2</v>
      </c>
      <c r="AC1051" s="97">
        <f t="shared" si="1954"/>
        <v>0</v>
      </c>
      <c r="AD1051" s="209"/>
      <c r="AE1051" s="97">
        <f t="shared" si="1967"/>
        <v>0</v>
      </c>
      <c r="AF1051" s="209"/>
      <c r="AG1051" s="8"/>
    </row>
    <row r="1052" spans="1:33" x14ac:dyDescent="0.45">
      <c r="A1052" s="22">
        <f t="shared" si="1962"/>
        <v>45312</v>
      </c>
      <c r="B1052" s="50" t="s">
        <v>54</v>
      </c>
      <c r="C1052" s="48">
        <f t="shared" si="1968"/>
        <v>2024</v>
      </c>
      <c r="D1052" s="13">
        <v>80</v>
      </c>
      <c r="E1052" s="13">
        <v>19.25</v>
      </c>
      <c r="F1052" s="13">
        <v>0</v>
      </c>
      <c r="G1052" s="13">
        <v>0</v>
      </c>
      <c r="H1052" s="13">
        <v>0</v>
      </c>
      <c r="I1052" s="13">
        <v>0</v>
      </c>
      <c r="J1052" s="13">
        <v>0</v>
      </c>
      <c r="K1052" s="13">
        <v>0</v>
      </c>
      <c r="L1052" s="45">
        <v>0</v>
      </c>
      <c r="M1052" s="34"/>
      <c r="N1052" s="13">
        <v>80</v>
      </c>
      <c r="O1052" s="13">
        <v>19.25</v>
      </c>
      <c r="P1052" s="13">
        <v>0</v>
      </c>
      <c r="Q1052" s="13">
        <v>0</v>
      </c>
      <c r="R1052" s="34"/>
      <c r="S1052" s="13">
        <f t="shared" si="1969"/>
        <v>99.25</v>
      </c>
      <c r="T1052" s="13">
        <f t="shared" ref="T1052" si="1974">SUM(N1052:Q1052)</f>
        <v>99.25</v>
      </c>
      <c r="U1052" s="13">
        <f t="shared" si="1970"/>
        <v>0</v>
      </c>
      <c r="V1052" s="34"/>
      <c r="W1052" s="52">
        <v>25.3</v>
      </c>
      <c r="X1052" s="52">
        <f t="shared" si="1971"/>
        <v>2754.5374999999999</v>
      </c>
      <c r="Y1052" s="52">
        <f t="shared" si="1958"/>
        <v>0</v>
      </c>
      <c r="Z1052" s="52">
        <f t="shared" si="1972"/>
        <v>0</v>
      </c>
      <c r="AA1052" s="96">
        <f t="shared" si="1960"/>
        <v>0</v>
      </c>
      <c r="AB1052" s="96">
        <f t="shared" si="1973"/>
        <v>2754.5374999999999</v>
      </c>
      <c r="AC1052" s="97">
        <f>0-Y1052-AA1052</f>
        <v>0</v>
      </c>
      <c r="AD1052" s="209"/>
      <c r="AE1052" s="97">
        <f t="shared" si="1967"/>
        <v>0</v>
      </c>
      <c r="AF1052" s="209"/>
      <c r="AG1052" s="8"/>
    </row>
    <row r="1053" spans="1:33" x14ac:dyDescent="0.45">
      <c r="A1053" s="22">
        <f t="shared" si="1962"/>
        <v>45312</v>
      </c>
      <c r="B1053" s="50" t="s">
        <v>65</v>
      </c>
      <c r="C1053" s="48">
        <f t="shared" si="1968"/>
        <v>1672</v>
      </c>
      <c r="D1053" s="51">
        <v>74.75</v>
      </c>
      <c r="E1053" s="51">
        <v>0</v>
      </c>
      <c r="F1053" s="51">
        <v>0</v>
      </c>
      <c r="G1053" s="51">
        <v>0</v>
      </c>
      <c r="H1053" s="51">
        <v>0</v>
      </c>
      <c r="I1053" s="51">
        <v>0</v>
      </c>
      <c r="J1053" s="51">
        <v>0</v>
      </c>
      <c r="K1053" s="51">
        <v>0</v>
      </c>
      <c r="L1053" s="52">
        <v>0</v>
      </c>
      <c r="M1053" s="34"/>
      <c r="N1053" s="51">
        <v>74.75</v>
      </c>
      <c r="O1053" s="51">
        <v>0</v>
      </c>
      <c r="P1053" s="51">
        <v>0</v>
      </c>
      <c r="Q1053" s="51">
        <v>0</v>
      </c>
      <c r="R1053" s="34"/>
      <c r="S1053" s="51">
        <f t="shared" ref="S1053:S1054" si="1975">SUM(D1053:G1053)</f>
        <v>74.75</v>
      </c>
      <c r="T1053" s="51">
        <f t="shared" ref="T1053:T1054" si="1976">SUM(N1053:Q1053)</f>
        <v>74.75</v>
      </c>
      <c r="U1053" s="51">
        <f t="shared" ref="U1053:U1054" si="1977">SUM(H1053:K1053)</f>
        <v>0</v>
      </c>
      <c r="V1053" s="34"/>
      <c r="W1053" s="52">
        <v>20.9</v>
      </c>
      <c r="X1053" s="53">
        <f t="shared" si="1971"/>
        <v>1562.2749999999999</v>
      </c>
      <c r="Y1053" s="53">
        <f t="shared" si="1958"/>
        <v>0</v>
      </c>
      <c r="Z1053" s="53">
        <f t="shared" si="1972"/>
        <v>0</v>
      </c>
      <c r="AA1053" s="54">
        <f t="shared" si="1960"/>
        <v>0</v>
      </c>
      <c r="AB1053" s="54">
        <f t="shared" si="1973"/>
        <v>1562.2749999999999</v>
      </c>
      <c r="AC1053" s="64">
        <f>0-Y1053-AA1053</f>
        <v>0</v>
      </c>
      <c r="AD1053" s="209"/>
      <c r="AE1053" s="64">
        <f t="shared" si="1967"/>
        <v>0</v>
      </c>
      <c r="AF1053" s="209"/>
      <c r="AG1053" s="8"/>
    </row>
    <row r="1054" spans="1:33" ht="14.65" thickBot="1" x14ac:dyDescent="0.5">
      <c r="A1054" s="23">
        <f t="shared" si="1962"/>
        <v>45312</v>
      </c>
      <c r="B1054" s="24" t="s">
        <v>66</v>
      </c>
      <c r="C1054" s="49">
        <f t="shared" si="1968"/>
        <v>1672</v>
      </c>
      <c r="D1054" s="25">
        <v>80</v>
      </c>
      <c r="E1054" s="25">
        <v>17.75</v>
      </c>
      <c r="F1054" s="25">
        <v>0</v>
      </c>
      <c r="G1054" s="25">
        <v>16</v>
      </c>
      <c r="H1054" s="25">
        <v>0</v>
      </c>
      <c r="I1054" s="25">
        <v>0</v>
      </c>
      <c r="J1054" s="25">
        <v>0</v>
      </c>
      <c r="K1054" s="25">
        <v>0</v>
      </c>
      <c r="L1054" s="46">
        <v>0</v>
      </c>
      <c r="M1054" s="35"/>
      <c r="N1054" s="25">
        <v>80</v>
      </c>
      <c r="O1054" s="25">
        <v>17.75</v>
      </c>
      <c r="P1054" s="25">
        <v>0</v>
      </c>
      <c r="Q1054" s="25">
        <v>16</v>
      </c>
      <c r="R1054" s="35"/>
      <c r="S1054" s="25">
        <f t="shared" si="1975"/>
        <v>113.75</v>
      </c>
      <c r="T1054" s="25">
        <f t="shared" si="1976"/>
        <v>113.75</v>
      </c>
      <c r="U1054" s="25">
        <f t="shared" si="1977"/>
        <v>0</v>
      </c>
      <c r="V1054" s="35"/>
      <c r="W1054" s="46">
        <v>20.9</v>
      </c>
      <c r="X1054" s="26">
        <f t="shared" si="1971"/>
        <v>2562.8625000000002</v>
      </c>
      <c r="Y1054" s="26">
        <f t="shared" si="1958"/>
        <v>0</v>
      </c>
      <c r="Z1054" s="26">
        <f t="shared" si="1972"/>
        <v>0</v>
      </c>
      <c r="AA1054" s="27">
        <f t="shared" si="1960"/>
        <v>0</v>
      </c>
      <c r="AB1054" s="27">
        <f t="shared" si="1973"/>
        <v>2562.8625000000002</v>
      </c>
      <c r="AC1054" s="65">
        <f>0-Y1054-AA1054</f>
        <v>0</v>
      </c>
      <c r="AD1054" s="210"/>
      <c r="AE1054" s="65">
        <f t="shared" si="1967"/>
        <v>0</v>
      </c>
      <c r="AF1054" s="210"/>
      <c r="AG1054" s="8"/>
    </row>
    <row r="1055" spans="1:33" x14ac:dyDescent="0.45">
      <c r="A1055" s="16">
        <f>A1054+14</f>
        <v>45326</v>
      </c>
      <c r="B1055" s="17" t="s">
        <v>30</v>
      </c>
      <c r="C1055" s="47">
        <f>120*W1055</f>
        <v>4098</v>
      </c>
      <c r="D1055" s="18">
        <v>75.5</v>
      </c>
      <c r="E1055" s="18">
        <v>5.5</v>
      </c>
      <c r="F1055" s="18">
        <v>0</v>
      </c>
      <c r="G1055" s="18">
        <v>0</v>
      </c>
      <c r="H1055" s="18">
        <v>0</v>
      </c>
      <c r="I1055" s="18">
        <v>8</v>
      </c>
      <c r="J1055" s="18">
        <v>0</v>
      </c>
      <c r="K1055" s="18">
        <v>0</v>
      </c>
      <c r="L1055" s="44">
        <v>0</v>
      </c>
      <c r="M1055" s="33"/>
      <c r="N1055" s="18">
        <v>75.5</v>
      </c>
      <c r="O1055" s="18">
        <v>5.5</v>
      </c>
      <c r="P1055" s="18">
        <v>0</v>
      </c>
      <c r="Q1055" s="18">
        <v>0</v>
      </c>
      <c r="R1055" s="33"/>
      <c r="S1055" s="18">
        <f>SUM(D1055:G1055)</f>
        <v>81</v>
      </c>
      <c r="T1055" s="18">
        <f>SUM(N1055:Q1055)</f>
        <v>81</v>
      </c>
      <c r="U1055" s="18">
        <f>SUM(H1055:K1055)</f>
        <v>8</v>
      </c>
      <c r="V1055" s="33"/>
      <c r="W1055" s="44">
        <v>34.15</v>
      </c>
      <c r="X1055" s="19">
        <f>(W1055*1*D1055)+(W1055*1.5*E1055)+(W1055*2*F1055)+(W1055*1*G1055)</f>
        <v>2860.0625</v>
      </c>
      <c r="Y1055" s="19">
        <f>(W1055*0*H1055)+(W1055*1*I1055)</f>
        <v>273.2</v>
      </c>
      <c r="Z1055" s="19">
        <f>(W1055*1*J1055)+L1055</f>
        <v>0</v>
      </c>
      <c r="AA1055" s="20">
        <f>(W1055*1*K1055)</f>
        <v>0</v>
      </c>
      <c r="AB1055" s="20">
        <f>(W1055*1*N1055)+(W1055*1.5*O1055)+(W1055*2*P1055)+(W1055*1*Q1055)</f>
        <v>2860.0625</v>
      </c>
      <c r="AC1055" s="66">
        <f t="shared" ref="AC1055:AC1060" si="1978">0-Y1055-AA1055</f>
        <v>-273.2</v>
      </c>
      <c r="AD1055" s="208"/>
      <c r="AE1055" s="66">
        <f t="shared" si="1967"/>
        <v>0</v>
      </c>
      <c r="AF1055" s="208">
        <f>SUM(AE1055:AE1063)</f>
        <v>0</v>
      </c>
      <c r="AG1055" s="8"/>
    </row>
    <row r="1056" spans="1:33" x14ac:dyDescent="0.45">
      <c r="A1056" s="22">
        <f>A1055</f>
        <v>45326</v>
      </c>
      <c r="B1056" s="15" t="s">
        <v>4</v>
      </c>
      <c r="C1056" s="48">
        <f>80*W1056</f>
        <v>2520</v>
      </c>
      <c r="D1056" s="13">
        <v>80</v>
      </c>
      <c r="E1056" s="13">
        <v>14.25</v>
      </c>
      <c r="F1056" s="13">
        <v>0</v>
      </c>
      <c r="G1056" s="13">
        <v>0</v>
      </c>
      <c r="H1056" s="13">
        <v>0</v>
      </c>
      <c r="I1056" s="13">
        <v>0</v>
      </c>
      <c r="J1056" s="13">
        <v>0</v>
      </c>
      <c r="K1056" s="13">
        <v>0</v>
      </c>
      <c r="L1056" s="45">
        <v>0</v>
      </c>
      <c r="M1056" s="34"/>
      <c r="N1056" s="13">
        <v>80</v>
      </c>
      <c r="O1056" s="13">
        <v>14.25</v>
      </c>
      <c r="P1056" s="13">
        <v>0</v>
      </c>
      <c r="Q1056" s="13">
        <v>0</v>
      </c>
      <c r="R1056" s="34"/>
      <c r="S1056" s="13">
        <f t="shared" ref="S1056:S1058" si="1979">SUM(D1056:G1056)</f>
        <v>94.25</v>
      </c>
      <c r="T1056" s="13">
        <f t="shared" ref="T1056" si="1980">SUM(N1056:Q1056)</f>
        <v>94.25</v>
      </c>
      <c r="U1056" s="13">
        <f>SUM(H1056:K1056)</f>
        <v>0</v>
      </c>
      <c r="V1056" s="34"/>
      <c r="W1056" s="45">
        <v>31.5</v>
      </c>
      <c r="X1056" s="10">
        <f t="shared" ref="X1056:X1057" si="1981">(W1056*1*D1056)+(W1056*1.5*E1056)+(W1056*2*F1056)+(W1056*1*G1056)</f>
        <v>3193.3125</v>
      </c>
      <c r="Y1056" s="10">
        <f t="shared" ref="Y1056:Y1063" si="1982">(W1056*0*H1056)+(W1056*1*I1056)</f>
        <v>0</v>
      </c>
      <c r="Z1056" s="10">
        <f t="shared" ref="Z1056:Z1058" si="1983">(W1056*1*J1056)+L1056</f>
        <v>0</v>
      </c>
      <c r="AA1056" s="14">
        <f t="shared" ref="AA1056:AA1063" si="1984">(W1056*1*K1056)</f>
        <v>0</v>
      </c>
      <c r="AB1056" s="14">
        <f t="shared" ref="AB1056:AB1058" si="1985">(W1056*1*N1056)+(W1056*1.5*O1056)+(W1056*2*P1056)+(W1056*1*Q1056)</f>
        <v>3193.3125</v>
      </c>
      <c r="AC1056" s="63">
        <f t="shared" si="1978"/>
        <v>0</v>
      </c>
      <c r="AD1056" s="209"/>
      <c r="AE1056" s="63">
        <f t="shared" si="1967"/>
        <v>0</v>
      </c>
      <c r="AF1056" s="209"/>
      <c r="AG1056" s="8"/>
    </row>
    <row r="1057" spans="1:33" x14ac:dyDescent="0.45">
      <c r="A1057" s="22">
        <f t="shared" ref="A1057:A1063" si="1986">A1056</f>
        <v>45326</v>
      </c>
      <c r="B1057" s="15" t="s">
        <v>5</v>
      </c>
      <c r="C1057" s="48">
        <f>120*W1057</f>
        <v>3654</v>
      </c>
      <c r="D1057" s="13">
        <v>76</v>
      </c>
      <c r="E1057" s="13">
        <v>7.5</v>
      </c>
      <c r="F1057" s="13">
        <v>0</v>
      </c>
      <c r="G1057" s="13">
        <v>8</v>
      </c>
      <c r="H1057" s="13">
        <v>0</v>
      </c>
      <c r="I1057" s="13">
        <v>8</v>
      </c>
      <c r="J1057" s="13">
        <v>0</v>
      </c>
      <c r="K1057" s="13">
        <v>0</v>
      </c>
      <c r="L1057" s="45">
        <v>0</v>
      </c>
      <c r="M1057" s="34"/>
      <c r="N1057" s="13">
        <v>76</v>
      </c>
      <c r="O1057" s="13">
        <v>7.5</v>
      </c>
      <c r="P1057" s="13">
        <v>0</v>
      </c>
      <c r="Q1057" s="13">
        <v>8</v>
      </c>
      <c r="R1057" s="34"/>
      <c r="S1057" s="13">
        <f t="shared" si="1979"/>
        <v>91.5</v>
      </c>
      <c r="T1057" s="13">
        <f>SUM(N1057:Q1057)</f>
        <v>91.5</v>
      </c>
      <c r="U1057" s="13">
        <f t="shared" ref="U1057:U1058" si="1987">SUM(H1057:K1057)</f>
        <v>8</v>
      </c>
      <c r="V1057" s="34"/>
      <c r="W1057" s="45">
        <v>30.45</v>
      </c>
      <c r="X1057" s="45">
        <f t="shared" si="1981"/>
        <v>2900.3624999999997</v>
      </c>
      <c r="Y1057" s="45">
        <f t="shared" si="1982"/>
        <v>243.6</v>
      </c>
      <c r="Z1057" s="45">
        <f t="shared" si="1983"/>
        <v>0</v>
      </c>
      <c r="AA1057" s="79">
        <f t="shared" si="1984"/>
        <v>0</v>
      </c>
      <c r="AB1057" s="79">
        <f t="shared" si="1985"/>
        <v>2900.3624999999997</v>
      </c>
      <c r="AC1057" s="80">
        <f t="shared" si="1978"/>
        <v>-243.6</v>
      </c>
      <c r="AD1057" s="209"/>
      <c r="AE1057" s="80">
        <f t="shared" si="1967"/>
        <v>0</v>
      </c>
      <c r="AF1057" s="209"/>
      <c r="AG1057" s="8"/>
    </row>
    <row r="1058" spans="1:33" x14ac:dyDescent="0.45">
      <c r="A1058" s="22">
        <f t="shared" si="1986"/>
        <v>45326</v>
      </c>
      <c r="B1058" s="15" t="s">
        <v>6</v>
      </c>
      <c r="C1058" s="48">
        <f>120*W1058</f>
        <v>3780</v>
      </c>
      <c r="D1058" s="13">
        <v>80</v>
      </c>
      <c r="E1058" s="13">
        <v>30</v>
      </c>
      <c r="F1058" s="13">
        <v>12</v>
      </c>
      <c r="G1058" s="13">
        <v>8</v>
      </c>
      <c r="H1058" s="13">
        <v>0</v>
      </c>
      <c r="I1058" s="13">
        <v>0</v>
      </c>
      <c r="J1058" s="13">
        <v>0</v>
      </c>
      <c r="K1058" s="13">
        <v>0</v>
      </c>
      <c r="L1058" s="45">
        <v>0</v>
      </c>
      <c r="M1058" s="34"/>
      <c r="N1058" s="13">
        <v>80</v>
      </c>
      <c r="O1058" s="13">
        <v>30</v>
      </c>
      <c r="P1058" s="13">
        <v>12</v>
      </c>
      <c r="Q1058" s="13">
        <v>8</v>
      </c>
      <c r="R1058" s="34"/>
      <c r="S1058" s="13">
        <f t="shared" si="1979"/>
        <v>130</v>
      </c>
      <c r="T1058" s="13">
        <f t="shared" ref="T1058" si="1988">SUM(N1058:Q1058)</f>
        <v>130</v>
      </c>
      <c r="U1058" s="13">
        <f t="shared" si="1987"/>
        <v>0</v>
      </c>
      <c r="V1058" s="34"/>
      <c r="W1058" s="45">
        <v>31.5</v>
      </c>
      <c r="X1058" s="45">
        <f>(W1058*1*D1058)+(W1058*1.5*E1058)+(W1058*2*F1058)+(W1058*1*G1058)</f>
        <v>4945.5</v>
      </c>
      <c r="Y1058" s="45">
        <f t="shared" si="1982"/>
        <v>0</v>
      </c>
      <c r="Z1058" s="45">
        <f t="shared" si="1983"/>
        <v>0</v>
      </c>
      <c r="AA1058" s="79">
        <f t="shared" si="1984"/>
        <v>0</v>
      </c>
      <c r="AB1058" s="79">
        <f t="shared" si="1985"/>
        <v>4945.5</v>
      </c>
      <c r="AC1058" s="80">
        <f t="shared" si="1978"/>
        <v>0</v>
      </c>
      <c r="AD1058" s="209"/>
      <c r="AE1058" s="80">
        <f t="shared" si="1967"/>
        <v>0</v>
      </c>
      <c r="AF1058" s="209"/>
      <c r="AG1058" s="8"/>
    </row>
    <row r="1059" spans="1:33" x14ac:dyDescent="0.45">
      <c r="A1059" s="22">
        <f t="shared" si="1986"/>
        <v>45326</v>
      </c>
      <c r="B1059" s="50" t="s">
        <v>31</v>
      </c>
      <c r="C1059" s="48">
        <f>120*W1059</f>
        <v>3780</v>
      </c>
      <c r="D1059" s="13">
        <v>80</v>
      </c>
      <c r="E1059" s="13">
        <v>18.75</v>
      </c>
      <c r="F1059" s="13">
        <v>12</v>
      </c>
      <c r="G1059" s="13">
        <v>15</v>
      </c>
      <c r="H1059" s="13">
        <v>0</v>
      </c>
      <c r="I1059" s="13">
        <v>0</v>
      </c>
      <c r="J1059" s="13">
        <v>0</v>
      </c>
      <c r="K1059" s="13">
        <v>0</v>
      </c>
      <c r="L1059" s="45">
        <v>0</v>
      </c>
      <c r="M1059" s="34"/>
      <c r="N1059" s="13">
        <v>80</v>
      </c>
      <c r="O1059" s="13">
        <v>18.75</v>
      </c>
      <c r="P1059" s="13">
        <v>12</v>
      </c>
      <c r="Q1059" s="13">
        <v>15</v>
      </c>
      <c r="R1059" s="34"/>
      <c r="S1059" s="13">
        <f t="shared" ref="S1059" si="1989">SUM(D1059:G1059)</f>
        <v>125.75</v>
      </c>
      <c r="T1059" s="13">
        <f>SUM(N1059:Q1059)</f>
        <v>125.75</v>
      </c>
      <c r="U1059" s="13">
        <f t="shared" ref="U1059" si="1990">SUM(H1059:K1059)</f>
        <v>0</v>
      </c>
      <c r="V1059" s="34"/>
      <c r="W1059" s="52">
        <v>31.5</v>
      </c>
      <c r="X1059" s="52">
        <f>(W1059*1*D1059)+(W1059*1.5*E1059)+(W1059*2*F1059)+(W1059*1*G1059)</f>
        <v>4634.4375</v>
      </c>
      <c r="Y1059" s="52">
        <f t="shared" si="1982"/>
        <v>0</v>
      </c>
      <c r="Z1059" s="52">
        <f>(W1059*1*J1059)+L1059</f>
        <v>0</v>
      </c>
      <c r="AA1059" s="96">
        <f t="shared" si="1984"/>
        <v>0</v>
      </c>
      <c r="AB1059" s="96">
        <f>(W1059*1*N1059)+(W1059*1.5*O1059)+(W1059*2*P1059)+(W1059*1*Q1059)</f>
        <v>4634.4375</v>
      </c>
      <c r="AC1059" s="97">
        <f t="shared" si="1978"/>
        <v>0</v>
      </c>
      <c r="AD1059" s="209"/>
      <c r="AE1059" s="97">
        <f t="shared" ref="AE1059:AE1067" si="1991">AB1059-(X1059+Z1059)</f>
        <v>0</v>
      </c>
      <c r="AF1059" s="209"/>
      <c r="AG1059" s="8"/>
    </row>
    <row r="1060" spans="1:33" x14ac:dyDescent="0.45">
      <c r="A1060" s="22">
        <f t="shared" si="1986"/>
        <v>45326</v>
      </c>
      <c r="B1060" s="50" t="s">
        <v>64</v>
      </c>
      <c r="C1060" s="48">
        <f t="shared" ref="C1060:C1063" si="1992">80*W1060</f>
        <v>1672</v>
      </c>
      <c r="D1060" s="13">
        <v>75</v>
      </c>
      <c r="E1060" s="13">
        <v>22.5</v>
      </c>
      <c r="F1060" s="13">
        <v>8</v>
      </c>
      <c r="G1060" s="13">
        <v>0</v>
      </c>
      <c r="H1060" s="13">
        <v>0</v>
      </c>
      <c r="I1060" s="13">
        <v>0</v>
      </c>
      <c r="J1060" s="13">
        <v>0</v>
      </c>
      <c r="K1060" s="13">
        <v>0</v>
      </c>
      <c r="L1060" s="45">
        <v>0</v>
      </c>
      <c r="M1060" s="34"/>
      <c r="N1060" s="13">
        <v>75</v>
      </c>
      <c r="O1060" s="13">
        <v>22.5</v>
      </c>
      <c r="P1060" s="13">
        <v>8</v>
      </c>
      <c r="Q1060" s="13">
        <v>0</v>
      </c>
      <c r="R1060" s="34"/>
      <c r="S1060" s="13">
        <f t="shared" ref="S1060:S1061" si="1993">SUM(D1060:G1060)</f>
        <v>105.5</v>
      </c>
      <c r="T1060" s="13">
        <f>SUM(N1060:Q1060)</f>
        <v>105.5</v>
      </c>
      <c r="U1060" s="13">
        <f t="shared" ref="U1060:U1061" si="1994">SUM(H1060:K1060)</f>
        <v>0</v>
      </c>
      <c r="V1060" s="34"/>
      <c r="W1060" s="52">
        <v>20.9</v>
      </c>
      <c r="X1060" s="52">
        <f t="shared" ref="X1060:X1063" si="1995">(W1060*1*D1060)+(W1060*1.5*E1060)+(W1060*2*F1060)+(W1060*1*G1060)</f>
        <v>2607.2750000000001</v>
      </c>
      <c r="Y1060" s="52">
        <f t="shared" si="1982"/>
        <v>0</v>
      </c>
      <c r="Z1060" s="52">
        <f t="shared" ref="Z1060:Z1063" si="1996">(W1060*1*J1060)+L1060</f>
        <v>0</v>
      </c>
      <c r="AA1060" s="96">
        <f t="shared" si="1984"/>
        <v>0</v>
      </c>
      <c r="AB1060" s="96">
        <f t="shared" ref="AB1060:AB1063" si="1997">(W1060*1*N1060)+(W1060*1.5*O1060)+(W1060*2*P1060)+(W1060*1*Q1060)</f>
        <v>2607.2750000000001</v>
      </c>
      <c r="AC1060" s="97">
        <f t="shared" si="1978"/>
        <v>0</v>
      </c>
      <c r="AD1060" s="209"/>
      <c r="AE1060" s="97">
        <f t="shared" si="1991"/>
        <v>0</v>
      </c>
      <c r="AF1060" s="209"/>
      <c r="AG1060" s="8"/>
    </row>
    <row r="1061" spans="1:33" x14ac:dyDescent="0.45">
      <c r="A1061" s="22">
        <f t="shared" si="1986"/>
        <v>45326</v>
      </c>
      <c r="B1061" s="50" t="s">
        <v>54</v>
      </c>
      <c r="C1061" s="48">
        <f t="shared" si="1992"/>
        <v>2024</v>
      </c>
      <c r="D1061" s="13">
        <v>80</v>
      </c>
      <c r="E1061" s="13">
        <v>32.5</v>
      </c>
      <c r="F1061" s="13">
        <v>0</v>
      </c>
      <c r="G1061" s="13">
        <v>0</v>
      </c>
      <c r="H1061" s="13">
        <v>0</v>
      </c>
      <c r="I1061" s="13">
        <v>0</v>
      </c>
      <c r="J1061" s="13">
        <v>0</v>
      </c>
      <c r="K1061" s="13">
        <v>0</v>
      </c>
      <c r="L1061" s="45">
        <v>0</v>
      </c>
      <c r="M1061" s="34"/>
      <c r="N1061" s="13">
        <v>80</v>
      </c>
      <c r="O1061" s="13">
        <v>32.5</v>
      </c>
      <c r="P1061" s="13">
        <v>0</v>
      </c>
      <c r="Q1061" s="13">
        <v>0</v>
      </c>
      <c r="R1061" s="34"/>
      <c r="S1061" s="13">
        <f t="shared" si="1993"/>
        <v>112.5</v>
      </c>
      <c r="T1061" s="13">
        <f t="shared" ref="T1061" si="1998">SUM(N1061:Q1061)</f>
        <v>112.5</v>
      </c>
      <c r="U1061" s="13">
        <f t="shared" si="1994"/>
        <v>0</v>
      </c>
      <c r="V1061" s="34"/>
      <c r="W1061" s="52">
        <v>25.3</v>
      </c>
      <c r="X1061" s="52">
        <f t="shared" si="1995"/>
        <v>3257.375</v>
      </c>
      <c r="Y1061" s="52">
        <f t="shared" si="1982"/>
        <v>0</v>
      </c>
      <c r="Z1061" s="52">
        <f t="shared" si="1996"/>
        <v>0</v>
      </c>
      <c r="AA1061" s="96">
        <f t="shared" si="1984"/>
        <v>0</v>
      </c>
      <c r="AB1061" s="96">
        <f t="shared" si="1997"/>
        <v>3257.375</v>
      </c>
      <c r="AC1061" s="97">
        <f>0-Y1061-AA1061</f>
        <v>0</v>
      </c>
      <c r="AD1061" s="209"/>
      <c r="AE1061" s="97">
        <f t="shared" si="1991"/>
        <v>0</v>
      </c>
      <c r="AF1061" s="209"/>
      <c r="AG1061" s="8"/>
    </row>
    <row r="1062" spans="1:33" x14ac:dyDescent="0.45">
      <c r="A1062" s="22">
        <f t="shared" si="1986"/>
        <v>45326</v>
      </c>
      <c r="B1062" s="50" t="s">
        <v>65</v>
      </c>
      <c r="C1062" s="48">
        <f t="shared" si="1992"/>
        <v>1672</v>
      </c>
      <c r="D1062" s="51">
        <v>80</v>
      </c>
      <c r="E1062" s="51">
        <v>20</v>
      </c>
      <c r="F1062" s="51">
        <v>0</v>
      </c>
      <c r="G1062" s="51">
        <v>0</v>
      </c>
      <c r="H1062" s="51">
        <v>0</v>
      </c>
      <c r="I1062" s="51">
        <v>0</v>
      </c>
      <c r="J1062" s="51">
        <v>0</v>
      </c>
      <c r="K1062" s="51">
        <v>0</v>
      </c>
      <c r="L1062" s="52">
        <v>0</v>
      </c>
      <c r="M1062" s="34"/>
      <c r="N1062" s="51">
        <v>80</v>
      </c>
      <c r="O1062" s="51">
        <v>20</v>
      </c>
      <c r="P1062" s="51">
        <v>0</v>
      </c>
      <c r="Q1062" s="51">
        <v>0</v>
      </c>
      <c r="R1062" s="34"/>
      <c r="S1062" s="51">
        <f t="shared" ref="S1062:S1063" si="1999">SUM(D1062:G1062)</f>
        <v>100</v>
      </c>
      <c r="T1062" s="51">
        <f t="shared" ref="T1062:T1063" si="2000">SUM(N1062:Q1062)</f>
        <v>100</v>
      </c>
      <c r="U1062" s="51">
        <f t="shared" ref="U1062:U1063" si="2001">SUM(H1062:K1062)</f>
        <v>0</v>
      </c>
      <c r="V1062" s="34"/>
      <c r="W1062" s="52">
        <v>20.9</v>
      </c>
      <c r="X1062" s="53">
        <f t="shared" si="1995"/>
        <v>2299</v>
      </c>
      <c r="Y1062" s="53">
        <f t="shared" si="1982"/>
        <v>0</v>
      </c>
      <c r="Z1062" s="53">
        <f t="shared" si="1996"/>
        <v>0</v>
      </c>
      <c r="AA1062" s="54">
        <f t="shared" si="1984"/>
        <v>0</v>
      </c>
      <c r="AB1062" s="54">
        <f t="shared" si="1997"/>
        <v>2299</v>
      </c>
      <c r="AC1062" s="64">
        <f>0-Y1062-AA1062</f>
        <v>0</v>
      </c>
      <c r="AD1062" s="209"/>
      <c r="AE1062" s="64">
        <f t="shared" si="1991"/>
        <v>0</v>
      </c>
      <c r="AF1062" s="209"/>
      <c r="AG1062" s="8"/>
    </row>
    <row r="1063" spans="1:33" ht="14.65" thickBot="1" x14ac:dyDescent="0.5">
      <c r="A1063" s="23">
        <f t="shared" si="1986"/>
        <v>45326</v>
      </c>
      <c r="B1063" s="24" t="s">
        <v>66</v>
      </c>
      <c r="C1063" s="49">
        <f t="shared" si="1992"/>
        <v>1672</v>
      </c>
      <c r="D1063" s="25">
        <v>71.25</v>
      </c>
      <c r="E1063" s="25">
        <v>0</v>
      </c>
      <c r="F1063" s="25">
        <v>0</v>
      </c>
      <c r="G1063" s="25">
        <v>8</v>
      </c>
      <c r="H1063" s="25">
        <v>0</v>
      </c>
      <c r="I1063" s="25">
        <v>0</v>
      </c>
      <c r="J1063" s="25">
        <v>0</v>
      </c>
      <c r="K1063" s="25">
        <v>0</v>
      </c>
      <c r="L1063" s="46">
        <v>0</v>
      </c>
      <c r="M1063" s="35"/>
      <c r="N1063" s="25">
        <v>71.25</v>
      </c>
      <c r="O1063" s="25">
        <v>0</v>
      </c>
      <c r="P1063" s="25">
        <v>0</v>
      </c>
      <c r="Q1063" s="25">
        <v>8</v>
      </c>
      <c r="R1063" s="35"/>
      <c r="S1063" s="25">
        <f t="shared" si="1999"/>
        <v>79.25</v>
      </c>
      <c r="T1063" s="25">
        <f t="shared" si="2000"/>
        <v>79.25</v>
      </c>
      <c r="U1063" s="25">
        <f t="shared" si="2001"/>
        <v>0</v>
      </c>
      <c r="V1063" s="35"/>
      <c r="W1063" s="46">
        <v>20.9</v>
      </c>
      <c r="X1063" s="26">
        <f t="shared" si="1995"/>
        <v>1656.325</v>
      </c>
      <c r="Y1063" s="26">
        <f t="shared" si="1982"/>
        <v>0</v>
      </c>
      <c r="Z1063" s="26">
        <f t="shared" si="1996"/>
        <v>0</v>
      </c>
      <c r="AA1063" s="27">
        <f t="shared" si="1984"/>
        <v>0</v>
      </c>
      <c r="AB1063" s="27">
        <f t="shared" si="1997"/>
        <v>1656.325</v>
      </c>
      <c r="AC1063" s="65">
        <f>0-Y1063-AA1063</f>
        <v>0</v>
      </c>
      <c r="AD1063" s="210"/>
      <c r="AE1063" s="65">
        <f t="shared" si="1991"/>
        <v>0</v>
      </c>
      <c r="AF1063" s="210"/>
      <c r="AG1063" s="8"/>
    </row>
    <row r="1064" spans="1:33" x14ac:dyDescent="0.45">
      <c r="A1064" s="16">
        <f>A1063+14</f>
        <v>45340</v>
      </c>
      <c r="B1064" s="17" t="s">
        <v>30</v>
      </c>
      <c r="C1064" s="47">
        <f>120*W1064</f>
        <v>4098</v>
      </c>
      <c r="D1064" s="18">
        <v>80</v>
      </c>
      <c r="E1064" s="18">
        <v>11</v>
      </c>
      <c r="F1064" s="18">
        <v>0</v>
      </c>
      <c r="G1064" s="18">
        <v>16</v>
      </c>
      <c r="H1064" s="18">
        <v>0</v>
      </c>
      <c r="I1064" s="18">
        <v>0</v>
      </c>
      <c r="J1064" s="18">
        <v>0</v>
      </c>
      <c r="K1064" s="18">
        <v>0</v>
      </c>
      <c r="L1064" s="44">
        <v>0</v>
      </c>
      <c r="M1064" s="33"/>
      <c r="N1064" s="18">
        <v>80</v>
      </c>
      <c r="O1064" s="18">
        <v>11</v>
      </c>
      <c r="P1064" s="18">
        <v>0</v>
      </c>
      <c r="Q1064" s="18">
        <v>16</v>
      </c>
      <c r="R1064" s="33"/>
      <c r="S1064" s="18">
        <f>SUM(D1064:G1064)</f>
        <v>107</v>
      </c>
      <c r="T1064" s="18">
        <f>SUM(N1064:Q1064)</f>
        <v>107</v>
      </c>
      <c r="U1064" s="18">
        <f>SUM(H1064:K1064)</f>
        <v>0</v>
      </c>
      <c r="V1064" s="33"/>
      <c r="W1064" s="44">
        <v>34.15</v>
      </c>
      <c r="X1064" s="19">
        <f>(W1064*1*D1064)+(W1064*1.5*E1064)+(W1064*2*F1064)+(W1064*1*G1064)</f>
        <v>3841.875</v>
      </c>
      <c r="Y1064" s="19">
        <f>(W1064*0*H1064)+(W1064*1*I1064)</f>
        <v>0</v>
      </c>
      <c r="Z1064" s="19">
        <f>(W1064*1*J1064)+L1064</f>
        <v>0</v>
      </c>
      <c r="AA1064" s="20">
        <f>(W1064*1*K1064)</f>
        <v>0</v>
      </c>
      <c r="AB1064" s="20">
        <f>(W1064*1*N1064)+(W1064*1.5*O1064)+(W1064*2*P1064)+(W1064*1*Q1064)</f>
        <v>3841.875</v>
      </c>
      <c r="AC1064" s="66">
        <f t="shared" ref="AC1064:AC1069" si="2002">0-Y1064-AA1064</f>
        <v>0</v>
      </c>
      <c r="AD1064" s="208"/>
      <c r="AE1064" s="66">
        <f t="shared" si="1991"/>
        <v>0</v>
      </c>
      <c r="AF1064" s="208">
        <f>SUM(AE1064:AE1072)</f>
        <v>23.625</v>
      </c>
      <c r="AG1064" s="8"/>
    </row>
    <row r="1065" spans="1:33" x14ac:dyDescent="0.45">
      <c r="A1065" s="22">
        <f>A1064</f>
        <v>45340</v>
      </c>
      <c r="B1065" s="15" t="s">
        <v>4</v>
      </c>
      <c r="C1065" s="48">
        <f>120*W1065</f>
        <v>3780</v>
      </c>
      <c r="D1065" s="13">
        <v>77</v>
      </c>
      <c r="E1065" s="13">
        <v>5</v>
      </c>
      <c r="F1065" s="13">
        <v>0</v>
      </c>
      <c r="G1065" s="13">
        <v>0</v>
      </c>
      <c r="H1065" s="13">
        <v>0</v>
      </c>
      <c r="I1065" s="13">
        <v>8</v>
      </c>
      <c r="J1065" s="13">
        <v>0</v>
      </c>
      <c r="K1065" s="13">
        <v>0</v>
      </c>
      <c r="L1065" s="45">
        <v>0</v>
      </c>
      <c r="M1065" s="34"/>
      <c r="N1065" s="13">
        <v>77</v>
      </c>
      <c r="O1065" s="13">
        <v>5</v>
      </c>
      <c r="P1065" s="13">
        <v>0</v>
      </c>
      <c r="Q1065" s="13">
        <v>0</v>
      </c>
      <c r="R1065" s="34"/>
      <c r="S1065" s="13">
        <f t="shared" ref="S1065:S1067" si="2003">SUM(D1065:G1065)</f>
        <v>82</v>
      </c>
      <c r="T1065" s="13">
        <f t="shared" ref="T1065" si="2004">SUM(N1065:Q1065)</f>
        <v>82</v>
      </c>
      <c r="U1065" s="13">
        <f>SUM(H1065:K1065)</f>
        <v>8</v>
      </c>
      <c r="V1065" s="34"/>
      <c r="W1065" s="45">
        <v>31.5</v>
      </c>
      <c r="X1065" s="10">
        <f t="shared" ref="X1065:X1066" si="2005">(W1065*1*D1065)+(W1065*1.5*E1065)+(W1065*2*F1065)+(W1065*1*G1065)</f>
        <v>2661.75</v>
      </c>
      <c r="Y1065" s="10">
        <f t="shared" ref="Y1065:Y1072" si="2006">(W1065*0*H1065)+(W1065*1*I1065)</f>
        <v>252</v>
      </c>
      <c r="Z1065" s="10">
        <f t="shared" ref="Z1065:Z1067" si="2007">(W1065*1*J1065)+L1065</f>
        <v>0</v>
      </c>
      <c r="AA1065" s="14">
        <f t="shared" ref="AA1065:AA1072" si="2008">(W1065*1*K1065)</f>
        <v>0</v>
      </c>
      <c r="AB1065" s="14">
        <f t="shared" ref="AB1065:AB1067" si="2009">(W1065*1*N1065)+(W1065*1.5*O1065)+(W1065*2*P1065)+(W1065*1*Q1065)</f>
        <v>2661.75</v>
      </c>
      <c r="AC1065" s="63">
        <f t="shared" si="2002"/>
        <v>-252</v>
      </c>
      <c r="AD1065" s="209"/>
      <c r="AE1065" s="63">
        <f t="shared" si="1991"/>
        <v>0</v>
      </c>
      <c r="AF1065" s="209"/>
      <c r="AG1065" s="8"/>
    </row>
    <row r="1066" spans="1:33" x14ac:dyDescent="0.45">
      <c r="A1066" s="22">
        <f t="shared" ref="A1066:A1072" si="2010">A1065</f>
        <v>45340</v>
      </c>
      <c r="B1066" s="15" t="s">
        <v>5</v>
      </c>
      <c r="C1066" s="48">
        <f>120*W1066</f>
        <v>3654</v>
      </c>
      <c r="D1066" s="13">
        <v>80</v>
      </c>
      <c r="E1066" s="13">
        <v>6.25</v>
      </c>
      <c r="F1066" s="13">
        <v>0</v>
      </c>
      <c r="G1066" s="13">
        <v>0</v>
      </c>
      <c r="H1066" s="13">
        <v>0</v>
      </c>
      <c r="I1066" s="13">
        <v>0</v>
      </c>
      <c r="J1066" s="13">
        <v>0</v>
      </c>
      <c r="K1066" s="13">
        <v>0</v>
      </c>
      <c r="L1066" s="45">
        <v>0</v>
      </c>
      <c r="M1066" s="34"/>
      <c r="N1066" s="13">
        <v>80</v>
      </c>
      <c r="O1066" s="13">
        <v>6.25</v>
      </c>
      <c r="P1066" s="13">
        <v>0</v>
      </c>
      <c r="Q1066" s="13">
        <v>0</v>
      </c>
      <c r="R1066" s="34"/>
      <c r="S1066" s="13">
        <f t="shared" si="2003"/>
        <v>86.25</v>
      </c>
      <c r="T1066" s="13">
        <f>SUM(N1066:Q1066)</f>
        <v>86.25</v>
      </c>
      <c r="U1066" s="13">
        <f t="shared" ref="U1066:U1067" si="2011">SUM(H1066:K1066)</f>
        <v>0</v>
      </c>
      <c r="V1066" s="34"/>
      <c r="W1066" s="45">
        <v>30.45</v>
      </c>
      <c r="X1066" s="45">
        <f t="shared" si="2005"/>
        <v>2721.46875</v>
      </c>
      <c r="Y1066" s="45">
        <f t="shared" si="2006"/>
        <v>0</v>
      </c>
      <c r="Z1066" s="45">
        <f t="shared" si="2007"/>
        <v>0</v>
      </c>
      <c r="AA1066" s="79">
        <f t="shared" si="2008"/>
        <v>0</v>
      </c>
      <c r="AB1066" s="79">
        <f t="shared" si="2009"/>
        <v>2721.46875</v>
      </c>
      <c r="AC1066" s="80">
        <f t="shared" si="2002"/>
        <v>0</v>
      </c>
      <c r="AD1066" s="209"/>
      <c r="AE1066" s="80">
        <f t="shared" si="1991"/>
        <v>0</v>
      </c>
      <c r="AF1066" s="209"/>
      <c r="AG1066" s="8"/>
    </row>
    <row r="1067" spans="1:33" x14ac:dyDescent="0.45">
      <c r="A1067" s="22">
        <f t="shared" si="2010"/>
        <v>45340</v>
      </c>
      <c r="B1067" s="15" t="s">
        <v>6</v>
      </c>
      <c r="C1067" s="48">
        <f>120*W1067</f>
        <v>3780</v>
      </c>
      <c r="D1067" s="13">
        <v>80</v>
      </c>
      <c r="E1067" s="13">
        <v>19.75</v>
      </c>
      <c r="F1067" s="13">
        <v>12</v>
      </c>
      <c r="G1067" s="13">
        <v>18</v>
      </c>
      <c r="H1067" s="13">
        <v>0</v>
      </c>
      <c r="I1067" s="13">
        <v>0</v>
      </c>
      <c r="J1067" s="13">
        <v>0</v>
      </c>
      <c r="K1067" s="13">
        <v>0</v>
      </c>
      <c r="L1067" s="45">
        <v>0</v>
      </c>
      <c r="M1067" s="34"/>
      <c r="N1067" s="13">
        <v>80</v>
      </c>
      <c r="O1067" s="13">
        <v>19.75</v>
      </c>
      <c r="P1067" s="13">
        <v>12</v>
      </c>
      <c r="Q1067" s="13">
        <v>18</v>
      </c>
      <c r="R1067" s="34"/>
      <c r="S1067" s="13">
        <f t="shared" si="2003"/>
        <v>129.75</v>
      </c>
      <c r="T1067" s="13">
        <f t="shared" ref="T1067" si="2012">SUM(N1067:Q1067)</f>
        <v>129.75</v>
      </c>
      <c r="U1067" s="13">
        <f t="shared" si="2011"/>
        <v>0</v>
      </c>
      <c r="V1067" s="34"/>
      <c r="W1067" s="45">
        <v>31.5</v>
      </c>
      <c r="X1067" s="45">
        <f>(W1067*1*D1067)+(W1067*1.5*E1067)+(W1067*2*F1067)+(W1067*1*G1067)</f>
        <v>4776.1875</v>
      </c>
      <c r="Y1067" s="45">
        <f t="shared" si="2006"/>
        <v>0</v>
      </c>
      <c r="Z1067" s="45">
        <f t="shared" si="2007"/>
        <v>0</v>
      </c>
      <c r="AA1067" s="79">
        <f t="shared" si="2008"/>
        <v>0</v>
      </c>
      <c r="AB1067" s="79">
        <f t="shared" si="2009"/>
        <v>4776.1875</v>
      </c>
      <c r="AC1067" s="80">
        <f t="shared" si="2002"/>
        <v>0</v>
      </c>
      <c r="AD1067" s="209"/>
      <c r="AE1067" s="80">
        <f t="shared" si="1991"/>
        <v>0</v>
      </c>
      <c r="AF1067" s="209"/>
      <c r="AG1067" s="8"/>
    </row>
    <row r="1068" spans="1:33" x14ac:dyDescent="0.45">
      <c r="A1068" s="22">
        <f t="shared" si="2010"/>
        <v>45340</v>
      </c>
      <c r="B1068" s="50" t="s">
        <v>31</v>
      </c>
      <c r="C1068" s="48">
        <f>120*W1068</f>
        <v>3780</v>
      </c>
      <c r="D1068" s="13">
        <v>80</v>
      </c>
      <c r="E1068" s="13">
        <v>5</v>
      </c>
      <c r="F1068" s="13">
        <v>0</v>
      </c>
      <c r="G1068" s="13">
        <v>0</v>
      </c>
      <c r="H1068" s="13">
        <v>0</v>
      </c>
      <c r="I1068" s="13">
        <v>0</v>
      </c>
      <c r="J1068" s="13">
        <v>0</v>
      </c>
      <c r="K1068" s="13">
        <v>0</v>
      </c>
      <c r="L1068" s="45">
        <v>0</v>
      </c>
      <c r="M1068" s="34"/>
      <c r="N1068" s="13">
        <v>80</v>
      </c>
      <c r="O1068" s="13">
        <v>5.5</v>
      </c>
      <c r="P1068" s="13">
        <v>0</v>
      </c>
      <c r="Q1068" s="13">
        <v>0</v>
      </c>
      <c r="R1068" s="34"/>
      <c r="S1068" s="13">
        <f t="shared" ref="S1068" si="2013">SUM(D1068:G1068)</f>
        <v>85</v>
      </c>
      <c r="T1068" s="13">
        <f>SUM(N1068:Q1068)</f>
        <v>85.5</v>
      </c>
      <c r="U1068" s="13">
        <f t="shared" ref="U1068" si="2014">SUM(H1068:K1068)</f>
        <v>0</v>
      </c>
      <c r="V1068" s="34"/>
      <c r="W1068" s="52">
        <v>31.5</v>
      </c>
      <c r="X1068" s="52">
        <f>(W1068*1*D1068)+(W1068*1.5*E1068)+(W1068*2*F1068)+(W1068*1*G1068)</f>
        <v>2756.25</v>
      </c>
      <c r="Y1068" s="52">
        <f t="shared" si="2006"/>
        <v>0</v>
      </c>
      <c r="Z1068" s="52">
        <f>(W1068*1*J1068)+L1068</f>
        <v>0</v>
      </c>
      <c r="AA1068" s="96">
        <f t="shared" si="2008"/>
        <v>0</v>
      </c>
      <c r="AB1068" s="96">
        <f>(W1068*1*N1068)+(W1068*1.5*O1068)+(W1068*2*P1068)+(W1068*1*Q1068)</f>
        <v>2779.875</v>
      </c>
      <c r="AC1068" s="97">
        <f t="shared" si="2002"/>
        <v>0</v>
      </c>
      <c r="AD1068" s="209"/>
      <c r="AE1068" s="97">
        <f t="shared" ref="AE1068:AE1076" si="2015">AB1068-(X1068+Z1068)</f>
        <v>23.625</v>
      </c>
      <c r="AF1068" s="209"/>
      <c r="AG1068" s="8"/>
    </row>
    <row r="1069" spans="1:33" x14ac:dyDescent="0.45">
      <c r="A1069" s="22">
        <f t="shared" si="2010"/>
        <v>45340</v>
      </c>
      <c r="B1069" s="50" t="s">
        <v>64</v>
      </c>
      <c r="C1069" s="48">
        <f t="shared" ref="C1069:C1072" si="2016">80*W1069</f>
        <v>1672</v>
      </c>
      <c r="D1069" s="13">
        <v>80</v>
      </c>
      <c r="E1069" s="13">
        <v>28.5</v>
      </c>
      <c r="F1069" s="13">
        <v>12</v>
      </c>
      <c r="G1069" s="13">
        <v>6</v>
      </c>
      <c r="H1069" s="13">
        <v>0</v>
      </c>
      <c r="I1069" s="13">
        <v>0</v>
      </c>
      <c r="J1069" s="13">
        <v>0</v>
      </c>
      <c r="K1069" s="13">
        <v>0</v>
      </c>
      <c r="L1069" s="45">
        <v>0</v>
      </c>
      <c r="M1069" s="34"/>
      <c r="N1069" s="13">
        <v>80</v>
      </c>
      <c r="O1069" s="13">
        <v>28.5</v>
      </c>
      <c r="P1069" s="13">
        <v>12</v>
      </c>
      <c r="Q1069" s="13">
        <v>6</v>
      </c>
      <c r="R1069" s="34"/>
      <c r="S1069" s="13">
        <f t="shared" ref="S1069:S1070" si="2017">SUM(D1069:G1069)</f>
        <v>126.5</v>
      </c>
      <c r="T1069" s="13">
        <f>SUM(N1069:Q1069)</f>
        <v>126.5</v>
      </c>
      <c r="U1069" s="13">
        <f t="shared" ref="U1069:U1070" si="2018">SUM(H1069:K1069)</f>
        <v>0</v>
      </c>
      <c r="V1069" s="34"/>
      <c r="W1069" s="52">
        <v>20.9</v>
      </c>
      <c r="X1069" s="52">
        <f t="shared" ref="X1069:X1072" si="2019">(W1069*1*D1069)+(W1069*1.5*E1069)+(W1069*2*F1069)+(W1069*1*G1069)</f>
        <v>3192.4749999999999</v>
      </c>
      <c r="Y1069" s="52">
        <f t="shared" si="2006"/>
        <v>0</v>
      </c>
      <c r="Z1069" s="52">
        <f t="shared" ref="Z1069:Z1072" si="2020">(W1069*1*J1069)+L1069</f>
        <v>0</v>
      </c>
      <c r="AA1069" s="96">
        <f t="shared" si="2008"/>
        <v>0</v>
      </c>
      <c r="AB1069" s="96">
        <f t="shared" ref="AB1069:AB1072" si="2021">(W1069*1*N1069)+(W1069*1.5*O1069)+(W1069*2*P1069)+(W1069*1*Q1069)</f>
        <v>3192.4749999999999</v>
      </c>
      <c r="AC1069" s="97">
        <f t="shared" si="2002"/>
        <v>0</v>
      </c>
      <c r="AD1069" s="209"/>
      <c r="AE1069" s="97">
        <f t="shared" si="2015"/>
        <v>0</v>
      </c>
      <c r="AF1069" s="209"/>
      <c r="AG1069" s="8"/>
    </row>
    <row r="1070" spans="1:33" x14ac:dyDescent="0.45">
      <c r="A1070" s="22">
        <f t="shared" si="2010"/>
        <v>45340</v>
      </c>
      <c r="B1070" s="50" t="s">
        <v>54</v>
      </c>
      <c r="C1070" s="48">
        <f t="shared" si="2016"/>
        <v>2024</v>
      </c>
      <c r="D1070" s="13">
        <v>80</v>
      </c>
      <c r="E1070" s="13">
        <v>25</v>
      </c>
      <c r="F1070" s="13">
        <v>0</v>
      </c>
      <c r="G1070" s="13">
        <v>0</v>
      </c>
      <c r="H1070" s="13">
        <v>0</v>
      </c>
      <c r="I1070" s="13">
        <v>0</v>
      </c>
      <c r="J1070" s="13">
        <v>0</v>
      </c>
      <c r="K1070" s="13">
        <v>0</v>
      </c>
      <c r="L1070" s="45">
        <v>0</v>
      </c>
      <c r="M1070" s="34"/>
      <c r="N1070" s="13">
        <v>80</v>
      </c>
      <c r="O1070" s="13">
        <v>25</v>
      </c>
      <c r="P1070" s="13">
        <v>0</v>
      </c>
      <c r="Q1070" s="13">
        <v>0</v>
      </c>
      <c r="R1070" s="34"/>
      <c r="S1070" s="13">
        <f t="shared" si="2017"/>
        <v>105</v>
      </c>
      <c r="T1070" s="13">
        <f t="shared" ref="T1070" si="2022">SUM(N1070:Q1070)</f>
        <v>105</v>
      </c>
      <c r="U1070" s="13">
        <f t="shared" si="2018"/>
        <v>0</v>
      </c>
      <c r="V1070" s="34"/>
      <c r="W1070" s="52">
        <v>25.3</v>
      </c>
      <c r="X1070" s="52">
        <f t="shared" si="2019"/>
        <v>2972.75</v>
      </c>
      <c r="Y1070" s="52">
        <f t="shared" si="2006"/>
        <v>0</v>
      </c>
      <c r="Z1070" s="52">
        <f t="shared" si="2020"/>
        <v>0</v>
      </c>
      <c r="AA1070" s="96">
        <f t="shared" si="2008"/>
        <v>0</v>
      </c>
      <c r="AB1070" s="96">
        <f t="shared" si="2021"/>
        <v>2972.75</v>
      </c>
      <c r="AC1070" s="97">
        <f>0-Y1070-AA1070</f>
        <v>0</v>
      </c>
      <c r="AD1070" s="209"/>
      <c r="AE1070" s="97">
        <f t="shared" si="2015"/>
        <v>0</v>
      </c>
      <c r="AF1070" s="209"/>
      <c r="AG1070" s="8"/>
    </row>
    <row r="1071" spans="1:33" x14ac:dyDescent="0.45">
      <c r="A1071" s="22">
        <f t="shared" si="2010"/>
        <v>45340</v>
      </c>
      <c r="B1071" s="50" t="s">
        <v>65</v>
      </c>
      <c r="C1071" s="48">
        <f t="shared" si="2016"/>
        <v>1672</v>
      </c>
      <c r="D1071" s="51">
        <v>80</v>
      </c>
      <c r="E1071" s="51">
        <v>22</v>
      </c>
      <c r="F1071" s="51">
        <v>0</v>
      </c>
      <c r="G1071" s="51">
        <v>0</v>
      </c>
      <c r="H1071" s="51">
        <v>0</v>
      </c>
      <c r="I1071" s="51">
        <v>0</v>
      </c>
      <c r="J1071" s="51">
        <v>0</v>
      </c>
      <c r="K1071" s="51">
        <v>0</v>
      </c>
      <c r="L1071" s="52">
        <v>0</v>
      </c>
      <c r="M1071" s="34"/>
      <c r="N1071" s="51">
        <v>80</v>
      </c>
      <c r="O1071" s="51">
        <v>22</v>
      </c>
      <c r="P1071" s="51">
        <v>0</v>
      </c>
      <c r="Q1071" s="51">
        <v>0</v>
      </c>
      <c r="R1071" s="34"/>
      <c r="S1071" s="51">
        <f t="shared" ref="S1071:S1072" si="2023">SUM(D1071:G1071)</f>
        <v>102</v>
      </c>
      <c r="T1071" s="51">
        <f t="shared" ref="T1071:T1072" si="2024">SUM(N1071:Q1071)</f>
        <v>102</v>
      </c>
      <c r="U1071" s="51">
        <f t="shared" ref="U1071:U1072" si="2025">SUM(H1071:K1071)</f>
        <v>0</v>
      </c>
      <c r="V1071" s="34"/>
      <c r="W1071" s="52">
        <v>20.9</v>
      </c>
      <c r="X1071" s="53">
        <f t="shared" si="2019"/>
        <v>2361.6999999999998</v>
      </c>
      <c r="Y1071" s="53">
        <f t="shared" si="2006"/>
        <v>0</v>
      </c>
      <c r="Z1071" s="53">
        <f t="shared" si="2020"/>
        <v>0</v>
      </c>
      <c r="AA1071" s="54">
        <f t="shared" si="2008"/>
        <v>0</v>
      </c>
      <c r="AB1071" s="54">
        <f t="shared" si="2021"/>
        <v>2361.6999999999998</v>
      </c>
      <c r="AC1071" s="64">
        <f>0-Y1071-AA1071</f>
        <v>0</v>
      </c>
      <c r="AD1071" s="209"/>
      <c r="AE1071" s="64">
        <f t="shared" si="2015"/>
        <v>0</v>
      </c>
      <c r="AF1071" s="209"/>
      <c r="AG1071" s="8"/>
    </row>
    <row r="1072" spans="1:33" ht="14.65" thickBot="1" x14ac:dyDescent="0.5">
      <c r="A1072" s="23">
        <f t="shared" si="2010"/>
        <v>45340</v>
      </c>
      <c r="B1072" s="24" t="s">
        <v>66</v>
      </c>
      <c r="C1072" s="49">
        <f t="shared" si="2016"/>
        <v>1672</v>
      </c>
      <c r="D1072" s="25">
        <v>80</v>
      </c>
      <c r="E1072" s="25">
        <v>16.75</v>
      </c>
      <c r="F1072" s="25">
        <v>0</v>
      </c>
      <c r="G1072" s="25">
        <v>0</v>
      </c>
      <c r="H1072" s="25">
        <v>0</v>
      </c>
      <c r="I1072" s="25">
        <v>0</v>
      </c>
      <c r="J1072" s="25">
        <v>0</v>
      </c>
      <c r="K1072" s="25">
        <v>0</v>
      </c>
      <c r="L1072" s="46">
        <v>0</v>
      </c>
      <c r="M1072" s="35"/>
      <c r="N1072" s="25">
        <v>80</v>
      </c>
      <c r="O1072" s="25">
        <v>16.75</v>
      </c>
      <c r="P1072" s="25">
        <v>0</v>
      </c>
      <c r="Q1072" s="25">
        <v>0</v>
      </c>
      <c r="R1072" s="35"/>
      <c r="S1072" s="25">
        <f t="shared" si="2023"/>
        <v>96.75</v>
      </c>
      <c r="T1072" s="25">
        <f t="shared" si="2024"/>
        <v>96.75</v>
      </c>
      <c r="U1072" s="25">
        <f t="shared" si="2025"/>
        <v>0</v>
      </c>
      <c r="V1072" s="35"/>
      <c r="W1072" s="46">
        <v>20.9</v>
      </c>
      <c r="X1072" s="26">
        <f t="shared" si="2019"/>
        <v>2197.1125000000002</v>
      </c>
      <c r="Y1072" s="26">
        <f t="shared" si="2006"/>
        <v>0</v>
      </c>
      <c r="Z1072" s="26">
        <f t="shared" si="2020"/>
        <v>0</v>
      </c>
      <c r="AA1072" s="27">
        <f t="shared" si="2008"/>
        <v>0</v>
      </c>
      <c r="AB1072" s="27">
        <f t="shared" si="2021"/>
        <v>2197.1125000000002</v>
      </c>
      <c r="AC1072" s="65">
        <f>0-Y1072-AA1072</f>
        <v>0</v>
      </c>
      <c r="AD1072" s="210"/>
      <c r="AE1072" s="65">
        <f t="shared" si="2015"/>
        <v>0</v>
      </c>
      <c r="AF1072" s="210"/>
      <c r="AG1072" s="8"/>
    </row>
    <row r="1073" spans="1:34" x14ac:dyDescent="0.45">
      <c r="A1073" s="16">
        <f>A1072+14</f>
        <v>45354</v>
      </c>
      <c r="B1073" s="17" t="s">
        <v>30</v>
      </c>
      <c r="C1073" s="47">
        <f>120*W1073</f>
        <v>4098</v>
      </c>
      <c r="D1073" s="18">
        <v>72</v>
      </c>
      <c r="E1073" s="18">
        <v>14.75</v>
      </c>
      <c r="F1073" s="18">
        <v>0</v>
      </c>
      <c r="G1073" s="18">
        <v>8</v>
      </c>
      <c r="H1073" s="18">
        <v>0</v>
      </c>
      <c r="I1073" s="18">
        <v>0</v>
      </c>
      <c r="J1073" s="18">
        <v>8</v>
      </c>
      <c r="K1073" s="18">
        <v>0</v>
      </c>
      <c r="L1073" s="44">
        <v>0</v>
      </c>
      <c r="M1073" s="33"/>
      <c r="N1073" s="18">
        <v>80</v>
      </c>
      <c r="O1073" s="18">
        <v>6.75</v>
      </c>
      <c r="P1073" s="18">
        <v>0</v>
      </c>
      <c r="Q1073" s="18">
        <v>8</v>
      </c>
      <c r="R1073" s="33"/>
      <c r="S1073" s="18">
        <f>SUM(D1073:G1073)</f>
        <v>94.75</v>
      </c>
      <c r="T1073" s="18">
        <f>SUM(N1073:Q1073)</f>
        <v>94.75</v>
      </c>
      <c r="U1073" s="18">
        <f>SUM(H1073:K1073)</f>
        <v>8</v>
      </c>
      <c r="V1073" s="33"/>
      <c r="W1073" s="44">
        <v>34.15</v>
      </c>
      <c r="X1073" s="19">
        <f>(W1073*1*D1073)+(W1073*1.5*E1073)+(W1073*2*F1073)+(W1073*1*G1073)</f>
        <v>3487.5687499999995</v>
      </c>
      <c r="Y1073" s="19">
        <f>(W1073*0*H1073)+(W1073*1*I1073)</f>
        <v>0</v>
      </c>
      <c r="Z1073" s="19">
        <f>(W1073*1*J1073)+L1073</f>
        <v>273.2</v>
      </c>
      <c r="AA1073" s="20">
        <f>(W1073*1*K1073)</f>
        <v>0</v>
      </c>
      <c r="AB1073" s="20">
        <f>(W1073*1*N1073)+(W1073*1.5*O1073)+(W1073*2*P1073)+(W1073*1*Q1073)</f>
        <v>3350.96875</v>
      </c>
      <c r="AC1073" s="66">
        <f t="shared" ref="AC1073:AC1078" si="2026">0-Y1073-AA1073</f>
        <v>0</v>
      </c>
      <c r="AD1073" s="208"/>
      <c r="AE1073" s="66">
        <f t="shared" si="2015"/>
        <v>-409.79999999999927</v>
      </c>
      <c r="AF1073" s="208">
        <f>SUM(AE1073:AE1081)</f>
        <v>-2959.4250000000002</v>
      </c>
      <c r="AG1073" s="8"/>
    </row>
    <row r="1074" spans="1:34" x14ac:dyDescent="0.45">
      <c r="A1074" s="22">
        <f>A1073</f>
        <v>45354</v>
      </c>
      <c r="B1074" s="15" t="s">
        <v>4</v>
      </c>
      <c r="C1074" s="48">
        <f>120*W1074</f>
        <v>3780</v>
      </c>
      <c r="D1074" s="13">
        <v>72</v>
      </c>
      <c r="E1074" s="13">
        <v>40</v>
      </c>
      <c r="F1074" s="13">
        <v>12</v>
      </c>
      <c r="G1074" s="13">
        <v>17</v>
      </c>
      <c r="H1074" s="13">
        <v>0</v>
      </c>
      <c r="I1074" s="13">
        <v>0</v>
      </c>
      <c r="J1074" s="13">
        <v>8</v>
      </c>
      <c r="K1074" s="13">
        <v>0</v>
      </c>
      <c r="L1074" s="45">
        <v>0</v>
      </c>
      <c r="M1074" s="34"/>
      <c r="N1074" s="13">
        <v>80</v>
      </c>
      <c r="O1074" s="13">
        <v>32</v>
      </c>
      <c r="P1074" s="13">
        <v>12</v>
      </c>
      <c r="Q1074" s="13">
        <v>17</v>
      </c>
      <c r="R1074" s="34"/>
      <c r="S1074" s="13">
        <f t="shared" ref="S1074:S1076" si="2027">SUM(D1074:G1074)</f>
        <v>141</v>
      </c>
      <c r="T1074" s="13">
        <f t="shared" ref="T1074" si="2028">SUM(N1074:Q1074)</f>
        <v>141</v>
      </c>
      <c r="U1074" s="13">
        <f>SUM(H1074:K1074)</f>
        <v>8</v>
      </c>
      <c r="V1074" s="34"/>
      <c r="W1074" s="45">
        <v>31.5</v>
      </c>
      <c r="X1074" s="10">
        <f t="shared" ref="X1074:X1075" si="2029">(W1074*1*D1074)+(W1074*1.5*E1074)+(W1074*2*F1074)+(W1074*1*G1074)</f>
        <v>5449.5</v>
      </c>
      <c r="Y1074" s="10">
        <f t="shared" ref="Y1074:Y1081" si="2030">(W1074*0*H1074)+(W1074*1*I1074)</f>
        <v>0</v>
      </c>
      <c r="Z1074" s="10">
        <f t="shared" ref="Z1074:Z1076" si="2031">(W1074*1*J1074)+L1074</f>
        <v>252</v>
      </c>
      <c r="AA1074" s="14">
        <f t="shared" ref="AA1074:AA1081" si="2032">(W1074*1*K1074)</f>
        <v>0</v>
      </c>
      <c r="AB1074" s="14">
        <f t="shared" ref="AB1074:AB1076" si="2033">(W1074*1*N1074)+(W1074*1.5*O1074)+(W1074*2*P1074)+(W1074*1*Q1074)</f>
        <v>5323.5</v>
      </c>
      <c r="AC1074" s="63">
        <f t="shared" si="2026"/>
        <v>0</v>
      </c>
      <c r="AD1074" s="209"/>
      <c r="AE1074" s="63">
        <f t="shared" si="2015"/>
        <v>-378</v>
      </c>
      <c r="AF1074" s="209"/>
      <c r="AG1074" s="8"/>
    </row>
    <row r="1075" spans="1:34" x14ac:dyDescent="0.45">
      <c r="A1075" s="22">
        <f t="shared" ref="A1075:A1081" si="2034">A1074</f>
        <v>45354</v>
      </c>
      <c r="B1075" s="15" t="s">
        <v>5</v>
      </c>
      <c r="C1075" s="48">
        <f>120*W1075</f>
        <v>3654</v>
      </c>
      <c r="D1075" s="13">
        <v>72</v>
      </c>
      <c r="E1075" s="13">
        <v>40</v>
      </c>
      <c r="F1075" s="13">
        <v>12</v>
      </c>
      <c r="G1075" s="13">
        <v>17</v>
      </c>
      <c r="H1075" s="13">
        <v>0</v>
      </c>
      <c r="I1075" s="13">
        <v>0</v>
      </c>
      <c r="J1075" s="13">
        <v>8</v>
      </c>
      <c r="K1075" s="13">
        <v>0</v>
      </c>
      <c r="L1075" s="45">
        <v>0</v>
      </c>
      <c r="M1075" s="34"/>
      <c r="N1075" s="13">
        <v>80</v>
      </c>
      <c r="O1075" s="13">
        <v>32</v>
      </c>
      <c r="P1075" s="13">
        <v>12</v>
      </c>
      <c r="Q1075" s="13">
        <v>17</v>
      </c>
      <c r="R1075" s="34"/>
      <c r="S1075" s="13">
        <f t="shared" si="2027"/>
        <v>141</v>
      </c>
      <c r="T1075" s="13">
        <f>SUM(N1075:Q1075)</f>
        <v>141</v>
      </c>
      <c r="U1075" s="13">
        <f t="shared" ref="U1075:U1076" si="2035">SUM(H1075:K1075)</f>
        <v>8</v>
      </c>
      <c r="V1075" s="34"/>
      <c r="W1075" s="45">
        <v>30.45</v>
      </c>
      <c r="X1075" s="45">
        <f t="shared" si="2029"/>
        <v>5267.8499999999995</v>
      </c>
      <c r="Y1075" s="45">
        <f t="shared" si="2030"/>
        <v>0</v>
      </c>
      <c r="Z1075" s="45">
        <f t="shared" si="2031"/>
        <v>243.6</v>
      </c>
      <c r="AA1075" s="79">
        <f t="shared" si="2032"/>
        <v>0</v>
      </c>
      <c r="AB1075" s="79">
        <f t="shared" si="2033"/>
        <v>5146.0499999999993</v>
      </c>
      <c r="AC1075" s="80">
        <f t="shared" si="2026"/>
        <v>0</v>
      </c>
      <c r="AD1075" s="209"/>
      <c r="AE1075" s="80">
        <f t="shared" si="2015"/>
        <v>-365.40000000000055</v>
      </c>
      <c r="AF1075" s="209"/>
      <c r="AG1075" s="8"/>
    </row>
    <row r="1076" spans="1:34" x14ac:dyDescent="0.45">
      <c r="A1076" s="22">
        <f t="shared" si="2034"/>
        <v>45354</v>
      </c>
      <c r="B1076" s="15" t="s">
        <v>6</v>
      </c>
      <c r="C1076" s="48">
        <f>120*W1076</f>
        <v>3780</v>
      </c>
      <c r="D1076" s="13">
        <v>55</v>
      </c>
      <c r="E1076" s="13">
        <v>12</v>
      </c>
      <c r="F1076" s="13">
        <v>0</v>
      </c>
      <c r="G1076" s="13">
        <v>6</v>
      </c>
      <c r="H1076" s="13">
        <v>0</v>
      </c>
      <c r="I1076" s="13">
        <v>0</v>
      </c>
      <c r="J1076" s="13">
        <v>8</v>
      </c>
      <c r="K1076" s="13">
        <v>1.5</v>
      </c>
      <c r="L1076" s="45">
        <v>0</v>
      </c>
      <c r="M1076" s="34"/>
      <c r="N1076" s="13">
        <v>68.25</v>
      </c>
      <c r="O1076" s="13">
        <v>0.5</v>
      </c>
      <c r="P1076" s="13">
        <v>0</v>
      </c>
      <c r="Q1076" s="13">
        <v>6</v>
      </c>
      <c r="R1076" s="34"/>
      <c r="S1076" s="13">
        <f t="shared" si="2027"/>
        <v>73</v>
      </c>
      <c r="T1076" s="13">
        <f t="shared" ref="T1076" si="2036">SUM(N1076:Q1076)</f>
        <v>74.75</v>
      </c>
      <c r="U1076" s="13">
        <f t="shared" si="2035"/>
        <v>9.5</v>
      </c>
      <c r="V1076" s="34"/>
      <c r="W1076" s="45">
        <v>31.5</v>
      </c>
      <c r="X1076" s="45">
        <f>(W1076*1*D1076)+(W1076*1.5*E1076)+(W1076*2*F1076)+(W1076*1*G1076)</f>
        <v>2488.5</v>
      </c>
      <c r="Y1076" s="45">
        <f t="shared" si="2030"/>
        <v>0</v>
      </c>
      <c r="Z1076" s="45">
        <f t="shared" si="2031"/>
        <v>252</v>
      </c>
      <c r="AA1076" s="79">
        <f t="shared" si="2032"/>
        <v>47.25</v>
      </c>
      <c r="AB1076" s="79">
        <f t="shared" si="2033"/>
        <v>2362.5</v>
      </c>
      <c r="AC1076" s="80">
        <f t="shared" si="2026"/>
        <v>-47.25</v>
      </c>
      <c r="AD1076" s="209"/>
      <c r="AE1076" s="80">
        <f t="shared" si="2015"/>
        <v>-378</v>
      </c>
      <c r="AF1076" s="209"/>
      <c r="AG1076" s="8"/>
    </row>
    <row r="1077" spans="1:34" x14ac:dyDescent="0.45">
      <c r="A1077" s="22">
        <f t="shared" si="2034"/>
        <v>45354</v>
      </c>
      <c r="B1077" s="50" t="s">
        <v>31</v>
      </c>
      <c r="C1077" s="48">
        <f>120*W1077</f>
        <v>3780</v>
      </c>
      <c r="D1077" s="13">
        <v>72</v>
      </c>
      <c r="E1077" s="13">
        <v>40</v>
      </c>
      <c r="F1077" s="13">
        <v>12</v>
      </c>
      <c r="G1077" s="13">
        <v>17</v>
      </c>
      <c r="H1077" s="13">
        <v>0</v>
      </c>
      <c r="I1077" s="13">
        <v>0</v>
      </c>
      <c r="J1077" s="13">
        <v>8</v>
      </c>
      <c r="K1077" s="13">
        <v>0</v>
      </c>
      <c r="L1077" s="45">
        <v>0</v>
      </c>
      <c r="M1077" s="34"/>
      <c r="N1077" s="13">
        <v>80</v>
      </c>
      <c r="O1077" s="13">
        <v>32</v>
      </c>
      <c r="P1077" s="13">
        <v>12</v>
      </c>
      <c r="Q1077" s="13">
        <v>17</v>
      </c>
      <c r="R1077" s="34"/>
      <c r="S1077" s="13">
        <f t="shared" ref="S1077" si="2037">SUM(D1077:G1077)</f>
        <v>141</v>
      </c>
      <c r="T1077" s="13">
        <f>SUM(N1077:Q1077)</f>
        <v>141</v>
      </c>
      <c r="U1077" s="13">
        <f t="shared" ref="U1077" si="2038">SUM(H1077:K1077)</f>
        <v>8</v>
      </c>
      <c r="V1077" s="34"/>
      <c r="W1077" s="52">
        <v>31.5</v>
      </c>
      <c r="X1077" s="52">
        <f>(W1077*1*D1077)+(W1077*1.5*E1077)+(W1077*2*F1077)+(W1077*1*G1077)</f>
        <v>5449.5</v>
      </c>
      <c r="Y1077" s="52">
        <f t="shared" si="2030"/>
        <v>0</v>
      </c>
      <c r="Z1077" s="52">
        <f>(W1077*1*J1077)+L1077</f>
        <v>252</v>
      </c>
      <c r="AA1077" s="96">
        <f t="shared" si="2032"/>
        <v>0</v>
      </c>
      <c r="AB1077" s="96">
        <f>(W1077*1*N1077)+(W1077*1.5*O1077)+(W1077*2*P1077)+(W1077*1*Q1077)</f>
        <v>5323.5</v>
      </c>
      <c r="AC1077" s="97">
        <f t="shared" si="2026"/>
        <v>0</v>
      </c>
      <c r="AD1077" s="209"/>
      <c r="AE1077" s="97">
        <f t="shared" ref="AE1077:AE1085" si="2039">AB1077-(X1077+Z1077)</f>
        <v>-378</v>
      </c>
      <c r="AF1077" s="209"/>
      <c r="AG1077" s="8"/>
    </row>
    <row r="1078" spans="1:34" x14ac:dyDescent="0.45">
      <c r="A1078" s="22">
        <f t="shared" si="2034"/>
        <v>45354</v>
      </c>
      <c r="B1078" s="50" t="s">
        <v>64</v>
      </c>
      <c r="C1078" s="48">
        <f t="shared" ref="C1078:C1081" si="2040">80*W1078</f>
        <v>1672</v>
      </c>
      <c r="D1078" s="13">
        <v>72</v>
      </c>
      <c r="E1078" s="13">
        <v>33</v>
      </c>
      <c r="F1078" s="13">
        <v>0</v>
      </c>
      <c r="G1078" s="13">
        <v>6</v>
      </c>
      <c r="H1078" s="13">
        <v>0</v>
      </c>
      <c r="I1078" s="13">
        <v>0</v>
      </c>
      <c r="J1078" s="13">
        <v>8</v>
      </c>
      <c r="K1078" s="13">
        <v>0</v>
      </c>
      <c r="L1078" s="45">
        <v>0</v>
      </c>
      <c r="M1078" s="34"/>
      <c r="N1078" s="13">
        <v>80</v>
      </c>
      <c r="O1078" s="13">
        <v>31</v>
      </c>
      <c r="P1078" s="13">
        <v>0</v>
      </c>
      <c r="Q1078" s="13">
        <v>0</v>
      </c>
      <c r="R1078" s="34"/>
      <c r="S1078" s="13">
        <f t="shared" ref="S1078:S1079" si="2041">SUM(D1078:G1078)</f>
        <v>111</v>
      </c>
      <c r="T1078" s="13">
        <f>SUM(N1078:Q1078)</f>
        <v>111</v>
      </c>
      <c r="U1078" s="13">
        <f t="shared" ref="U1078:U1079" si="2042">SUM(H1078:K1078)</f>
        <v>8</v>
      </c>
      <c r="V1078" s="34"/>
      <c r="W1078" s="52">
        <v>20.9</v>
      </c>
      <c r="X1078" s="52">
        <f t="shared" ref="X1078:X1081" si="2043">(W1078*1*D1078)+(W1078*1.5*E1078)+(W1078*2*F1078)+(W1078*1*G1078)</f>
        <v>2664.75</v>
      </c>
      <c r="Y1078" s="52">
        <f t="shared" si="2030"/>
        <v>0</v>
      </c>
      <c r="Z1078" s="52">
        <f t="shared" ref="Z1078:Z1081" si="2044">(W1078*1*J1078)+L1078</f>
        <v>167.2</v>
      </c>
      <c r="AA1078" s="96">
        <f t="shared" si="2032"/>
        <v>0</v>
      </c>
      <c r="AB1078" s="96">
        <f t="shared" ref="AB1078:AB1081" si="2045">(W1078*1*N1078)+(W1078*1.5*O1078)+(W1078*2*P1078)+(W1078*1*Q1078)</f>
        <v>2643.85</v>
      </c>
      <c r="AC1078" s="97">
        <f t="shared" si="2026"/>
        <v>0</v>
      </c>
      <c r="AD1078" s="209"/>
      <c r="AE1078" s="97">
        <f t="shared" si="2039"/>
        <v>-188.09999999999991</v>
      </c>
      <c r="AF1078" s="209"/>
      <c r="AG1078" s="8"/>
    </row>
    <row r="1079" spans="1:34" x14ac:dyDescent="0.45">
      <c r="A1079" s="22">
        <f t="shared" si="2034"/>
        <v>45354</v>
      </c>
      <c r="B1079" s="50" t="s">
        <v>54</v>
      </c>
      <c r="C1079" s="48">
        <f t="shared" si="2040"/>
        <v>2024</v>
      </c>
      <c r="D1079" s="13">
        <v>70.75</v>
      </c>
      <c r="E1079" s="13">
        <v>35</v>
      </c>
      <c r="F1079" s="13">
        <v>9.5</v>
      </c>
      <c r="G1079" s="13">
        <v>0</v>
      </c>
      <c r="H1079" s="13">
        <v>0</v>
      </c>
      <c r="I1079" s="13">
        <v>0</v>
      </c>
      <c r="J1079" s="13">
        <v>8</v>
      </c>
      <c r="K1079" s="13">
        <v>1.25</v>
      </c>
      <c r="L1079" s="45">
        <v>0</v>
      </c>
      <c r="M1079" s="34"/>
      <c r="N1079" s="13">
        <v>80</v>
      </c>
      <c r="O1079" s="13">
        <v>26</v>
      </c>
      <c r="P1079" s="13">
        <v>8.5</v>
      </c>
      <c r="Q1079" s="13">
        <v>0</v>
      </c>
      <c r="R1079" s="34"/>
      <c r="S1079" s="13">
        <f t="shared" si="2041"/>
        <v>115.25</v>
      </c>
      <c r="T1079" s="13">
        <f t="shared" ref="T1079" si="2046">SUM(N1079:Q1079)</f>
        <v>114.5</v>
      </c>
      <c r="U1079" s="13">
        <f t="shared" si="2042"/>
        <v>9.25</v>
      </c>
      <c r="V1079" s="34"/>
      <c r="W1079" s="52">
        <v>25.3</v>
      </c>
      <c r="X1079" s="52">
        <f t="shared" si="2043"/>
        <v>3598.9250000000002</v>
      </c>
      <c r="Y1079" s="52">
        <f t="shared" si="2030"/>
        <v>0</v>
      </c>
      <c r="Z1079" s="52">
        <f t="shared" si="2044"/>
        <v>202.4</v>
      </c>
      <c r="AA1079" s="96">
        <f t="shared" si="2032"/>
        <v>31.625</v>
      </c>
      <c r="AB1079" s="96">
        <f t="shared" si="2045"/>
        <v>3440.7999999999997</v>
      </c>
      <c r="AC1079" s="97">
        <f>0-Y1079-AA1079</f>
        <v>-31.625</v>
      </c>
      <c r="AD1079" s="209"/>
      <c r="AE1079" s="97">
        <f t="shared" si="2039"/>
        <v>-360.52500000000055</v>
      </c>
      <c r="AF1079" s="209"/>
      <c r="AG1079" s="8"/>
    </row>
    <row r="1080" spans="1:34" x14ac:dyDescent="0.45">
      <c r="A1080" s="22">
        <f t="shared" si="2034"/>
        <v>45354</v>
      </c>
      <c r="B1080" s="50" t="s">
        <v>65</v>
      </c>
      <c r="C1080" s="48">
        <f t="shared" si="2040"/>
        <v>1672</v>
      </c>
      <c r="D1080" s="51">
        <v>72</v>
      </c>
      <c r="E1080" s="51">
        <v>27</v>
      </c>
      <c r="F1080" s="51">
        <v>0</v>
      </c>
      <c r="G1080" s="51">
        <v>0</v>
      </c>
      <c r="H1080" s="51">
        <v>0</v>
      </c>
      <c r="I1080" s="51">
        <v>0</v>
      </c>
      <c r="J1080" s="51">
        <v>8</v>
      </c>
      <c r="K1080" s="51">
        <v>0</v>
      </c>
      <c r="L1080" s="52">
        <v>0</v>
      </c>
      <c r="M1080" s="34"/>
      <c r="N1080" s="51">
        <v>80</v>
      </c>
      <c r="O1080" s="51">
        <v>19</v>
      </c>
      <c r="P1080" s="51">
        <v>0</v>
      </c>
      <c r="Q1080" s="51">
        <v>0</v>
      </c>
      <c r="R1080" s="34"/>
      <c r="S1080" s="51">
        <f t="shared" ref="S1080:S1081" si="2047">SUM(D1080:G1080)</f>
        <v>99</v>
      </c>
      <c r="T1080" s="51">
        <f t="shared" ref="T1080:T1081" si="2048">SUM(N1080:Q1080)</f>
        <v>99</v>
      </c>
      <c r="U1080" s="51">
        <f t="shared" ref="U1080:U1081" si="2049">SUM(H1080:K1080)</f>
        <v>8</v>
      </c>
      <c r="V1080" s="34"/>
      <c r="W1080" s="52">
        <v>20.9</v>
      </c>
      <c r="X1080" s="53">
        <f t="shared" si="2043"/>
        <v>2351.25</v>
      </c>
      <c r="Y1080" s="53">
        <f t="shared" si="2030"/>
        <v>0</v>
      </c>
      <c r="Z1080" s="53">
        <f t="shared" si="2044"/>
        <v>167.2</v>
      </c>
      <c r="AA1080" s="54">
        <f t="shared" si="2032"/>
        <v>0</v>
      </c>
      <c r="AB1080" s="54">
        <f t="shared" si="2045"/>
        <v>2267.65</v>
      </c>
      <c r="AC1080" s="64">
        <f>0-Y1080-AA1080</f>
        <v>0</v>
      </c>
      <c r="AD1080" s="209"/>
      <c r="AE1080" s="64">
        <f t="shared" si="2039"/>
        <v>-250.79999999999973</v>
      </c>
      <c r="AF1080" s="209"/>
      <c r="AG1080" s="8"/>
    </row>
    <row r="1081" spans="1:34" ht="14.65" thickBot="1" x14ac:dyDescent="0.5">
      <c r="A1081" s="23">
        <f t="shared" si="2034"/>
        <v>45354</v>
      </c>
      <c r="B1081" s="24" t="s">
        <v>66</v>
      </c>
      <c r="C1081" s="49">
        <f t="shared" si="2040"/>
        <v>1672</v>
      </c>
      <c r="D1081" s="25">
        <v>72</v>
      </c>
      <c r="E1081" s="25">
        <v>23.75</v>
      </c>
      <c r="F1081" s="25">
        <v>0</v>
      </c>
      <c r="G1081" s="25">
        <v>8</v>
      </c>
      <c r="H1081" s="25">
        <v>0</v>
      </c>
      <c r="I1081" s="25">
        <v>0</v>
      </c>
      <c r="J1081" s="25">
        <v>8</v>
      </c>
      <c r="K1081" s="25">
        <v>0</v>
      </c>
      <c r="L1081" s="46">
        <v>0</v>
      </c>
      <c r="M1081" s="35"/>
      <c r="N1081" s="25">
        <v>80</v>
      </c>
      <c r="O1081" s="25">
        <v>15.75</v>
      </c>
      <c r="P1081" s="25">
        <v>0</v>
      </c>
      <c r="Q1081" s="25">
        <v>8</v>
      </c>
      <c r="R1081" s="35"/>
      <c r="S1081" s="25">
        <f t="shared" si="2047"/>
        <v>103.75</v>
      </c>
      <c r="T1081" s="25">
        <f t="shared" si="2048"/>
        <v>103.75</v>
      </c>
      <c r="U1081" s="25">
        <f t="shared" si="2049"/>
        <v>8</v>
      </c>
      <c r="V1081" s="35"/>
      <c r="W1081" s="46">
        <v>20.9</v>
      </c>
      <c r="X1081" s="26">
        <f t="shared" si="2043"/>
        <v>2416.5625</v>
      </c>
      <c r="Y1081" s="26">
        <f t="shared" si="2030"/>
        <v>0</v>
      </c>
      <c r="Z1081" s="26">
        <f t="shared" si="2044"/>
        <v>167.2</v>
      </c>
      <c r="AA1081" s="27">
        <f t="shared" si="2032"/>
        <v>0</v>
      </c>
      <c r="AB1081" s="27">
        <f t="shared" si="2045"/>
        <v>2332.9624999999996</v>
      </c>
      <c r="AC1081" s="65">
        <f>0-Y1081-AA1081</f>
        <v>0</v>
      </c>
      <c r="AD1081" s="210"/>
      <c r="AE1081" s="65">
        <f t="shared" si="2039"/>
        <v>-250.80000000000018</v>
      </c>
      <c r="AF1081" s="210"/>
      <c r="AG1081" s="8"/>
    </row>
    <row r="1082" spans="1:34" x14ac:dyDescent="0.45">
      <c r="A1082" s="16">
        <f>A1081+14</f>
        <v>45368</v>
      </c>
      <c r="B1082" s="17" t="s">
        <v>30</v>
      </c>
      <c r="C1082" s="47">
        <f>120*W1082</f>
        <v>4303.2</v>
      </c>
      <c r="D1082" s="18">
        <v>75.5</v>
      </c>
      <c r="E1082" s="18">
        <v>4</v>
      </c>
      <c r="F1082" s="18">
        <v>0</v>
      </c>
      <c r="G1082" s="18">
        <v>0</v>
      </c>
      <c r="H1082" s="18">
        <v>0</v>
      </c>
      <c r="I1082" s="18">
        <v>8</v>
      </c>
      <c r="J1082" s="18">
        <v>0</v>
      </c>
      <c r="K1082" s="18">
        <v>0</v>
      </c>
      <c r="L1082" s="44">
        <v>0</v>
      </c>
      <c r="M1082" s="33"/>
      <c r="N1082" s="18">
        <v>75.5</v>
      </c>
      <c r="O1082" s="18">
        <v>4</v>
      </c>
      <c r="P1082" s="18">
        <v>0</v>
      </c>
      <c r="Q1082" s="18">
        <v>0</v>
      </c>
      <c r="R1082" s="33"/>
      <c r="S1082" s="18">
        <f>SUM(D1082:G1082)</f>
        <v>79.5</v>
      </c>
      <c r="T1082" s="18">
        <f>SUM(N1082:Q1082)</f>
        <v>79.5</v>
      </c>
      <c r="U1082" s="18">
        <f>SUM(H1082:K1082)</f>
        <v>8</v>
      </c>
      <c r="V1082" s="33"/>
      <c r="W1082" s="44">
        <v>35.86</v>
      </c>
      <c r="X1082" s="19">
        <f>(W1082*1*D1082)+(W1082*1.5*E1082)+(W1082*2*F1082)+(W1082*1*G1082)</f>
        <v>2922.5899999999997</v>
      </c>
      <c r="Y1082" s="19">
        <f>(W1082*0*H1082)+(W1082*1*I1082)</f>
        <v>286.88</v>
      </c>
      <c r="Z1082" s="19">
        <f>(W1082*1*J1082)+L1082</f>
        <v>0</v>
      </c>
      <c r="AA1082" s="20">
        <f>(W1082*1*K1082)</f>
        <v>0</v>
      </c>
      <c r="AB1082" s="20">
        <f>(W1082*1*N1082)+(W1082*1.5*O1082)+(W1082*2*P1082)+(W1082*1*Q1082)</f>
        <v>2922.5899999999997</v>
      </c>
      <c r="AC1082" s="66">
        <f t="shared" ref="AC1082:AC1087" si="2050">0-Y1082-AA1082</f>
        <v>-286.88</v>
      </c>
      <c r="AD1082" s="208"/>
      <c r="AE1082" s="66">
        <f t="shared" si="2039"/>
        <v>0</v>
      </c>
      <c r="AF1082" s="208">
        <f>SUM(AE1082:AE1090)</f>
        <v>2361.0074999999997</v>
      </c>
      <c r="AG1082" s="8"/>
    </row>
    <row r="1083" spans="1:34" x14ac:dyDescent="0.45">
      <c r="A1083" s="22">
        <f>A1082</f>
        <v>45368</v>
      </c>
      <c r="B1083" s="15" t="s">
        <v>4</v>
      </c>
      <c r="C1083" s="48">
        <f>120*W1083</f>
        <v>3969.6</v>
      </c>
      <c r="D1083" s="43">
        <v>80</v>
      </c>
      <c r="E1083" s="13">
        <v>0</v>
      </c>
      <c r="F1083" s="13">
        <v>0</v>
      </c>
      <c r="G1083" s="13">
        <v>0</v>
      </c>
      <c r="H1083" s="13">
        <v>0</v>
      </c>
      <c r="I1083" s="13">
        <v>0</v>
      </c>
      <c r="J1083" s="13">
        <v>0</v>
      </c>
      <c r="K1083" s="13">
        <v>0</v>
      </c>
      <c r="L1083" s="45">
        <v>0</v>
      </c>
      <c r="M1083" s="34"/>
      <c r="N1083" s="13">
        <v>80</v>
      </c>
      <c r="O1083" s="13">
        <v>25.25</v>
      </c>
      <c r="P1083" s="13">
        <v>12</v>
      </c>
      <c r="Q1083" s="13">
        <v>9</v>
      </c>
      <c r="R1083" s="34"/>
      <c r="S1083" s="13">
        <f t="shared" ref="S1083:S1085" si="2051">SUM(D1083:G1083)</f>
        <v>80</v>
      </c>
      <c r="T1083" s="13">
        <f t="shared" ref="T1083" si="2052">SUM(N1083:Q1083)</f>
        <v>126.25</v>
      </c>
      <c r="U1083" s="13">
        <f>SUM(H1083:K1083)</f>
        <v>0</v>
      </c>
      <c r="V1083" s="34"/>
      <c r="W1083" s="45">
        <v>33.08</v>
      </c>
      <c r="X1083" s="10">
        <f t="shared" ref="X1083:X1084" si="2053">(W1083*1*D1083)+(W1083*1.5*E1083)+(W1083*2*F1083)+(W1083*1*G1083)</f>
        <v>2646.3999999999996</v>
      </c>
      <c r="Y1083" s="10">
        <f t="shared" ref="Y1083:Y1090" si="2054">(W1083*0*H1083)+(W1083*1*I1083)</f>
        <v>0</v>
      </c>
      <c r="Z1083" s="10">
        <f t="shared" ref="Z1083:Z1085" si="2055">(W1083*1*J1083)+L1083</f>
        <v>0</v>
      </c>
      <c r="AA1083" s="14">
        <f t="shared" ref="AA1083:AA1090" si="2056">(W1083*1*K1083)</f>
        <v>0</v>
      </c>
      <c r="AB1083" s="14">
        <f t="shared" ref="AB1083:AB1085" si="2057">(W1083*1*N1083)+(W1083*1.5*O1083)+(W1083*2*P1083)+(W1083*1*Q1083)</f>
        <v>4990.9449999999997</v>
      </c>
      <c r="AC1083" s="63">
        <f t="shared" si="2050"/>
        <v>0</v>
      </c>
      <c r="AD1083" s="209"/>
      <c r="AE1083" s="63">
        <f t="shared" si="2039"/>
        <v>2344.5450000000001</v>
      </c>
      <c r="AF1083" s="209"/>
      <c r="AG1083" s="8"/>
    </row>
    <row r="1084" spans="1:34" x14ac:dyDescent="0.45">
      <c r="A1084" s="22">
        <f t="shared" ref="A1084:A1090" si="2058">A1083</f>
        <v>45368</v>
      </c>
      <c r="B1084" s="15" t="s">
        <v>5</v>
      </c>
      <c r="C1084" s="48">
        <f>120*W1084</f>
        <v>3836.3999999999996</v>
      </c>
      <c r="D1084" s="13">
        <v>80</v>
      </c>
      <c r="E1084" s="13">
        <v>28.75</v>
      </c>
      <c r="F1084" s="13">
        <v>12</v>
      </c>
      <c r="G1084" s="13">
        <v>2</v>
      </c>
      <c r="H1084" s="13">
        <v>0</v>
      </c>
      <c r="I1084" s="13">
        <v>0</v>
      </c>
      <c r="J1084" s="13">
        <v>0</v>
      </c>
      <c r="K1084" s="13">
        <v>0</v>
      </c>
      <c r="L1084" s="45">
        <v>0</v>
      </c>
      <c r="M1084" s="34"/>
      <c r="N1084" s="13">
        <v>80</v>
      </c>
      <c r="O1084" s="13">
        <v>28.75</v>
      </c>
      <c r="P1084" s="13">
        <v>12</v>
      </c>
      <c r="Q1084" s="13">
        <v>2</v>
      </c>
      <c r="R1084" s="34"/>
      <c r="S1084" s="13">
        <f t="shared" si="2051"/>
        <v>122.75</v>
      </c>
      <c r="T1084" s="13">
        <f>SUM(N1084:Q1084)</f>
        <v>122.75</v>
      </c>
      <c r="U1084" s="13">
        <f t="shared" ref="U1084:U1085" si="2059">SUM(H1084:K1084)</f>
        <v>0</v>
      </c>
      <c r="V1084" s="34"/>
      <c r="W1084" s="45">
        <v>31.97</v>
      </c>
      <c r="X1084" s="45">
        <f t="shared" si="2053"/>
        <v>4767.526249999999</v>
      </c>
      <c r="Y1084" s="45">
        <f t="shared" si="2054"/>
        <v>0</v>
      </c>
      <c r="Z1084" s="45">
        <f t="shared" si="2055"/>
        <v>0</v>
      </c>
      <c r="AA1084" s="79">
        <f t="shared" si="2056"/>
        <v>0</v>
      </c>
      <c r="AB1084" s="79">
        <f t="shared" si="2057"/>
        <v>4767.526249999999</v>
      </c>
      <c r="AC1084" s="80">
        <f t="shared" si="2050"/>
        <v>0</v>
      </c>
      <c r="AD1084" s="209"/>
      <c r="AE1084" s="80">
        <f t="shared" si="2039"/>
        <v>0</v>
      </c>
      <c r="AF1084" s="209"/>
      <c r="AG1084" s="8"/>
    </row>
    <row r="1085" spans="1:34" x14ac:dyDescent="0.45">
      <c r="A1085" s="22">
        <f t="shared" si="2058"/>
        <v>45368</v>
      </c>
      <c r="B1085" s="15" t="s">
        <v>6</v>
      </c>
      <c r="C1085" s="48">
        <f>120*W1085</f>
        <v>3969.6</v>
      </c>
      <c r="D1085" s="13">
        <v>76.25</v>
      </c>
      <c r="E1085" s="13">
        <v>7</v>
      </c>
      <c r="F1085" s="13">
        <v>0</v>
      </c>
      <c r="G1085" s="13">
        <v>0</v>
      </c>
      <c r="H1085" s="13">
        <v>0</v>
      </c>
      <c r="I1085" s="13">
        <v>0</v>
      </c>
      <c r="J1085" s="13">
        <v>0</v>
      </c>
      <c r="K1085" s="13">
        <v>0</v>
      </c>
      <c r="L1085" s="45">
        <v>0</v>
      </c>
      <c r="M1085" s="34"/>
      <c r="N1085" s="13">
        <v>76.25</v>
      </c>
      <c r="O1085" s="13">
        <v>7</v>
      </c>
      <c r="P1085" s="13">
        <v>0</v>
      </c>
      <c r="Q1085" s="13">
        <v>0</v>
      </c>
      <c r="R1085" s="34"/>
      <c r="S1085" s="13">
        <f t="shared" si="2051"/>
        <v>83.25</v>
      </c>
      <c r="T1085" s="13">
        <f t="shared" ref="T1085" si="2060">SUM(N1085:Q1085)</f>
        <v>83.25</v>
      </c>
      <c r="U1085" s="13">
        <f t="shared" si="2059"/>
        <v>0</v>
      </c>
      <c r="V1085" s="34"/>
      <c r="W1085" s="45">
        <v>33.08</v>
      </c>
      <c r="X1085" s="45">
        <f>(W1085*1*D1085)+(W1085*1.5*E1085)+(W1085*2*F1085)+(W1085*1*G1085)</f>
        <v>2869.69</v>
      </c>
      <c r="Y1085" s="45">
        <f t="shared" si="2054"/>
        <v>0</v>
      </c>
      <c r="Z1085" s="45">
        <f t="shared" si="2055"/>
        <v>0</v>
      </c>
      <c r="AA1085" s="79">
        <f t="shared" si="2056"/>
        <v>0</v>
      </c>
      <c r="AB1085" s="79">
        <f t="shared" si="2057"/>
        <v>2869.69</v>
      </c>
      <c r="AC1085" s="80">
        <f t="shared" si="2050"/>
        <v>0</v>
      </c>
      <c r="AD1085" s="209"/>
      <c r="AE1085" s="80">
        <f t="shared" si="2039"/>
        <v>0</v>
      </c>
      <c r="AF1085" s="209"/>
      <c r="AG1085" s="8"/>
    </row>
    <row r="1086" spans="1:34" x14ac:dyDescent="0.45">
      <c r="A1086" s="22">
        <f t="shared" si="2058"/>
        <v>45368</v>
      </c>
      <c r="B1086" s="50" t="s">
        <v>31</v>
      </c>
      <c r="C1086" s="48">
        <f>120*W1086</f>
        <v>3969.6</v>
      </c>
      <c r="D1086" s="13">
        <v>80</v>
      </c>
      <c r="E1086" s="13">
        <v>31.75</v>
      </c>
      <c r="F1086" s="13">
        <v>12</v>
      </c>
      <c r="G1086" s="13">
        <v>2</v>
      </c>
      <c r="H1086" s="13">
        <v>0</v>
      </c>
      <c r="I1086" s="13">
        <v>0</v>
      </c>
      <c r="J1086" s="13">
        <v>0</v>
      </c>
      <c r="K1086" s="13">
        <v>0</v>
      </c>
      <c r="L1086" s="45">
        <v>0</v>
      </c>
      <c r="M1086" s="34"/>
      <c r="N1086" s="13">
        <v>80</v>
      </c>
      <c r="O1086" s="13">
        <v>31.75</v>
      </c>
      <c r="P1086" s="13">
        <v>12</v>
      </c>
      <c r="Q1086" s="13">
        <v>2</v>
      </c>
      <c r="R1086" s="34"/>
      <c r="S1086" s="13">
        <f t="shared" ref="S1086" si="2061">SUM(D1086:G1086)</f>
        <v>125.75</v>
      </c>
      <c r="T1086" s="13">
        <f>SUM(N1086:Q1086)</f>
        <v>125.75</v>
      </c>
      <c r="U1086" s="13">
        <f t="shared" ref="U1086" si="2062">SUM(H1086:K1086)</f>
        <v>0</v>
      </c>
      <c r="V1086" s="34"/>
      <c r="W1086" s="45">
        <v>33.08</v>
      </c>
      <c r="X1086" s="52">
        <f>(W1086*1*D1086)+(W1086*1.5*E1086)+(W1086*2*F1086)+(W1086*1*G1086)</f>
        <v>5081.9149999999991</v>
      </c>
      <c r="Y1086" s="52">
        <f t="shared" si="2054"/>
        <v>0</v>
      </c>
      <c r="Z1086" s="52">
        <f>(W1086*1*J1086)+L1086</f>
        <v>0</v>
      </c>
      <c r="AA1086" s="96">
        <f t="shared" si="2056"/>
        <v>0</v>
      </c>
      <c r="AB1086" s="96">
        <f>(W1086*1*N1086)+(W1086*1.5*O1086)+(W1086*2*P1086)+(W1086*1*Q1086)</f>
        <v>5081.9149999999991</v>
      </c>
      <c r="AC1086" s="97">
        <f t="shared" si="2050"/>
        <v>0</v>
      </c>
      <c r="AD1086" s="209"/>
      <c r="AE1086" s="97">
        <f t="shared" ref="AE1086:AE1094" si="2063">AB1086-(X1086+Z1086)</f>
        <v>0</v>
      </c>
      <c r="AF1086" s="209"/>
      <c r="AG1086" s="8"/>
      <c r="AH1086">
        <v>27074.2</v>
      </c>
    </row>
    <row r="1087" spans="1:34" x14ac:dyDescent="0.45">
      <c r="A1087" s="22">
        <f t="shared" si="2058"/>
        <v>45368</v>
      </c>
      <c r="B1087" s="50" t="s">
        <v>64</v>
      </c>
      <c r="C1087" s="48">
        <f t="shared" ref="C1087:C1090" si="2064">80*W1087</f>
        <v>2000</v>
      </c>
      <c r="D1087" s="13">
        <v>79</v>
      </c>
      <c r="E1087" s="13">
        <v>9.5</v>
      </c>
      <c r="F1087" s="13">
        <v>0</v>
      </c>
      <c r="G1087" s="13">
        <v>0</v>
      </c>
      <c r="H1087" s="13">
        <v>0</v>
      </c>
      <c r="I1087" s="13">
        <v>0</v>
      </c>
      <c r="J1087" s="13">
        <v>0</v>
      </c>
      <c r="K1087" s="13">
        <v>0</v>
      </c>
      <c r="L1087" s="45">
        <v>0</v>
      </c>
      <c r="M1087" s="34"/>
      <c r="N1087" s="13">
        <v>79</v>
      </c>
      <c r="O1087" s="13">
        <v>9.5</v>
      </c>
      <c r="P1087" s="13">
        <v>0</v>
      </c>
      <c r="Q1087" s="13">
        <v>0</v>
      </c>
      <c r="R1087" s="34"/>
      <c r="S1087" s="13">
        <f t="shared" ref="S1087:S1088" si="2065">SUM(D1087:G1087)</f>
        <v>88.5</v>
      </c>
      <c r="T1087" s="13">
        <f>SUM(N1087:Q1087)</f>
        <v>88.5</v>
      </c>
      <c r="U1087" s="13">
        <f t="shared" ref="U1087:U1088" si="2066">SUM(H1087:K1087)</f>
        <v>0</v>
      </c>
      <c r="V1087" s="34"/>
      <c r="W1087" s="52">
        <v>25</v>
      </c>
      <c r="X1087" s="52">
        <f t="shared" ref="X1087:X1090" si="2067">(W1087*1*D1087)+(W1087*1.5*E1087)+(W1087*2*F1087)+(W1087*1*G1087)</f>
        <v>2331.25</v>
      </c>
      <c r="Y1087" s="52">
        <f t="shared" si="2054"/>
        <v>0</v>
      </c>
      <c r="Z1087" s="52">
        <f t="shared" ref="Z1087:Z1090" si="2068">(W1087*1*J1087)+L1087</f>
        <v>0</v>
      </c>
      <c r="AA1087" s="96">
        <f t="shared" si="2056"/>
        <v>0</v>
      </c>
      <c r="AB1087" s="96">
        <f t="shared" ref="AB1087:AB1090" si="2069">(W1087*1*N1087)+(W1087*1.5*O1087)+(W1087*2*P1087)+(W1087*1*Q1087)</f>
        <v>2331.25</v>
      </c>
      <c r="AC1087" s="97">
        <f t="shared" si="2050"/>
        <v>0</v>
      </c>
      <c r="AD1087" s="209"/>
      <c r="AE1087" s="97">
        <f t="shared" si="2063"/>
        <v>0</v>
      </c>
      <c r="AF1087" s="209"/>
      <c r="AG1087" s="8"/>
      <c r="AH1087">
        <v>-3024.03</v>
      </c>
    </row>
    <row r="1088" spans="1:34" x14ac:dyDescent="0.45">
      <c r="A1088" s="22">
        <f t="shared" si="2058"/>
        <v>45368</v>
      </c>
      <c r="B1088" s="50" t="s">
        <v>54</v>
      </c>
      <c r="C1088" s="48">
        <f t="shared" si="2064"/>
        <v>2125.6</v>
      </c>
      <c r="D1088" s="13">
        <v>80</v>
      </c>
      <c r="E1088" s="13">
        <v>15.25</v>
      </c>
      <c r="F1088" s="13">
        <v>0</v>
      </c>
      <c r="G1088" s="13">
        <v>0</v>
      </c>
      <c r="H1088" s="13">
        <v>0</v>
      </c>
      <c r="I1088" s="13">
        <v>0</v>
      </c>
      <c r="J1088" s="13">
        <v>0</v>
      </c>
      <c r="K1088" s="13">
        <v>0</v>
      </c>
      <c r="L1088" s="45">
        <v>0</v>
      </c>
      <c r="M1088" s="34"/>
      <c r="N1088" s="13">
        <v>80</v>
      </c>
      <c r="O1088" s="13">
        <v>15.25</v>
      </c>
      <c r="P1088" s="13">
        <v>0</v>
      </c>
      <c r="Q1088" s="13">
        <v>0</v>
      </c>
      <c r="R1088" s="34"/>
      <c r="S1088" s="13">
        <f t="shared" si="2065"/>
        <v>95.25</v>
      </c>
      <c r="T1088" s="13">
        <f t="shared" ref="T1088" si="2070">SUM(N1088:Q1088)</f>
        <v>95.25</v>
      </c>
      <c r="U1088" s="13">
        <f t="shared" si="2066"/>
        <v>0</v>
      </c>
      <c r="V1088" s="34"/>
      <c r="W1088" s="52">
        <v>26.57</v>
      </c>
      <c r="X1088" s="52">
        <f t="shared" si="2067"/>
        <v>2733.3887500000001</v>
      </c>
      <c r="Y1088" s="52">
        <f t="shared" si="2054"/>
        <v>0</v>
      </c>
      <c r="Z1088" s="52">
        <f t="shared" si="2068"/>
        <v>0</v>
      </c>
      <c r="AA1088" s="96">
        <f t="shared" si="2056"/>
        <v>0</v>
      </c>
      <c r="AB1088" s="96">
        <f t="shared" si="2069"/>
        <v>2733.3887500000001</v>
      </c>
      <c r="AC1088" s="97">
        <f>0-Y1088-AA1088</f>
        <v>0</v>
      </c>
      <c r="AD1088" s="209"/>
      <c r="AE1088" s="97">
        <f t="shared" si="2063"/>
        <v>0</v>
      </c>
      <c r="AF1088" s="209"/>
      <c r="AG1088" s="8"/>
      <c r="AH1088">
        <v>-2133.02</v>
      </c>
    </row>
    <row r="1089" spans="1:34" x14ac:dyDescent="0.45">
      <c r="A1089" s="22">
        <f t="shared" si="2058"/>
        <v>45368</v>
      </c>
      <c r="B1089" s="50" t="s">
        <v>65</v>
      </c>
      <c r="C1089" s="48">
        <f t="shared" si="2064"/>
        <v>1920</v>
      </c>
      <c r="D1089" s="51">
        <v>80</v>
      </c>
      <c r="E1089" s="51">
        <v>26.5</v>
      </c>
      <c r="F1089" s="51">
        <v>0</v>
      </c>
      <c r="G1089" s="51">
        <v>0</v>
      </c>
      <c r="H1089" s="51">
        <v>0</v>
      </c>
      <c r="I1089" s="51">
        <v>0</v>
      </c>
      <c r="J1089" s="51">
        <v>0</v>
      </c>
      <c r="K1089" s="51">
        <v>0</v>
      </c>
      <c r="L1089" s="52">
        <v>0</v>
      </c>
      <c r="M1089" s="34"/>
      <c r="N1089" s="51">
        <v>80</v>
      </c>
      <c r="O1089" s="51">
        <v>26.5</v>
      </c>
      <c r="P1089" s="51">
        <v>0</v>
      </c>
      <c r="Q1089" s="51">
        <v>0</v>
      </c>
      <c r="R1089" s="34"/>
      <c r="S1089" s="51">
        <f t="shared" ref="S1089:S1090" si="2071">SUM(D1089:G1089)</f>
        <v>106.5</v>
      </c>
      <c r="T1089" s="51">
        <f t="shared" ref="T1089:T1090" si="2072">SUM(N1089:Q1089)</f>
        <v>106.5</v>
      </c>
      <c r="U1089" s="51">
        <f t="shared" ref="U1089:U1090" si="2073">SUM(H1089:K1089)</f>
        <v>0</v>
      </c>
      <c r="V1089" s="34"/>
      <c r="W1089" s="52">
        <v>24</v>
      </c>
      <c r="X1089" s="53">
        <f>(W1089*1*D1089)+(W1089*1.5*E1089)+(W1089*2*F1089)+(W1089*1*G1089)</f>
        <v>2874</v>
      </c>
      <c r="Y1089" s="53">
        <f t="shared" si="2054"/>
        <v>0</v>
      </c>
      <c r="Z1089" s="53">
        <f t="shared" si="2068"/>
        <v>0</v>
      </c>
      <c r="AA1089" s="54">
        <f t="shared" si="2056"/>
        <v>0</v>
      </c>
      <c r="AB1089" s="54">
        <f t="shared" si="2069"/>
        <v>2874</v>
      </c>
      <c r="AC1089" s="64">
        <f>0-Y1089-AA1089</f>
        <v>0</v>
      </c>
      <c r="AD1089" s="209"/>
      <c r="AE1089" s="64">
        <f>AB1089-(X1089+Z1089)</f>
        <v>0</v>
      </c>
      <c r="AF1089" s="209"/>
      <c r="AG1089" s="8"/>
      <c r="AH1089">
        <v>-2128.65</v>
      </c>
    </row>
    <row r="1090" spans="1:34" ht="14.65" thickBot="1" x14ac:dyDescent="0.5">
      <c r="A1090" s="23">
        <f t="shared" si="2058"/>
        <v>45368</v>
      </c>
      <c r="B1090" s="24" t="s">
        <v>66</v>
      </c>
      <c r="C1090" s="49">
        <f t="shared" si="2064"/>
        <v>1756</v>
      </c>
      <c r="D1090" s="25">
        <v>80</v>
      </c>
      <c r="E1090" s="25">
        <v>33.75</v>
      </c>
      <c r="F1090" s="25">
        <v>0</v>
      </c>
      <c r="G1090" s="25">
        <v>0</v>
      </c>
      <c r="H1090" s="25">
        <v>0</v>
      </c>
      <c r="I1090" s="25">
        <v>0</v>
      </c>
      <c r="J1090" s="25">
        <v>0</v>
      </c>
      <c r="K1090" s="25">
        <v>0</v>
      </c>
      <c r="L1090" s="46">
        <v>0</v>
      </c>
      <c r="M1090" s="35"/>
      <c r="N1090" s="25">
        <v>80</v>
      </c>
      <c r="O1090" s="25">
        <v>34.25</v>
      </c>
      <c r="P1090" s="25">
        <v>0</v>
      </c>
      <c r="Q1090" s="25">
        <v>0</v>
      </c>
      <c r="R1090" s="35"/>
      <c r="S1090" s="25">
        <f t="shared" si="2071"/>
        <v>113.75</v>
      </c>
      <c r="T1090" s="25">
        <f t="shared" si="2072"/>
        <v>114.25</v>
      </c>
      <c r="U1090" s="25">
        <f t="shared" si="2073"/>
        <v>0</v>
      </c>
      <c r="V1090" s="35"/>
      <c r="W1090" s="46">
        <v>21.95</v>
      </c>
      <c r="X1090" s="26">
        <f t="shared" si="2067"/>
        <v>2867.21875</v>
      </c>
      <c r="Y1090" s="26">
        <f t="shared" si="2054"/>
        <v>0</v>
      </c>
      <c r="Z1090" s="26">
        <f t="shared" si="2068"/>
        <v>0</v>
      </c>
      <c r="AA1090" s="27">
        <f t="shared" si="2056"/>
        <v>0</v>
      </c>
      <c r="AB1090" s="27">
        <f t="shared" si="2069"/>
        <v>2883.6812499999996</v>
      </c>
      <c r="AC1090" s="65">
        <f>0-Y1090-AA1090</f>
        <v>0</v>
      </c>
      <c r="AD1090" s="210"/>
      <c r="AE1090" s="65">
        <f t="shared" si="2063"/>
        <v>16.462499999999636</v>
      </c>
      <c r="AF1090" s="210"/>
      <c r="AG1090" s="8"/>
      <c r="AH1090">
        <f>SUM(AH1086:AH1089)</f>
        <v>19788.5</v>
      </c>
    </row>
    <row r="1091" spans="1:34" x14ac:dyDescent="0.45">
      <c r="A1091" s="16">
        <f>A1090+14</f>
        <v>45382</v>
      </c>
      <c r="B1091" s="17" t="s">
        <v>30</v>
      </c>
      <c r="C1091" s="47">
        <f>120*W1091</f>
        <v>4303.2</v>
      </c>
      <c r="D1091" s="18">
        <v>72</v>
      </c>
      <c r="E1091" s="18">
        <v>10</v>
      </c>
      <c r="F1091" s="18">
        <v>0</v>
      </c>
      <c r="G1091" s="18">
        <v>0</v>
      </c>
      <c r="H1091" s="18">
        <v>0</v>
      </c>
      <c r="I1091" s="18">
        <v>0</v>
      </c>
      <c r="J1091" s="18">
        <v>8</v>
      </c>
      <c r="K1091" s="18">
        <v>0</v>
      </c>
      <c r="L1091" s="44">
        <v>0</v>
      </c>
      <c r="M1091" s="33"/>
      <c r="N1091" s="18">
        <v>72</v>
      </c>
      <c r="O1091" s="18">
        <v>10</v>
      </c>
      <c r="P1091" s="18">
        <v>0</v>
      </c>
      <c r="Q1091" s="18">
        <v>0</v>
      </c>
      <c r="R1091" s="33"/>
      <c r="S1091" s="18">
        <f>SUM(D1091:G1091)</f>
        <v>82</v>
      </c>
      <c r="T1091" s="18">
        <f>SUM(N1091:Q1091)</f>
        <v>82</v>
      </c>
      <c r="U1091" s="18">
        <f>SUM(H1091:K1091)</f>
        <v>8</v>
      </c>
      <c r="V1091" s="33"/>
      <c r="W1091" s="44">
        <v>35.86</v>
      </c>
      <c r="X1091" s="19">
        <f>(W1091*1*D1091)+(W1091*1.5*E1091)+(W1091*2*F1091)+(W1091*1*G1091)</f>
        <v>3119.82</v>
      </c>
      <c r="Y1091" s="19">
        <f>(W1091*0*H1091)+(W1091*1*I1091)</f>
        <v>0</v>
      </c>
      <c r="Z1091" s="19">
        <f>(W1091*1*J1091)+L1091</f>
        <v>286.88</v>
      </c>
      <c r="AA1091" s="20">
        <f>(W1091*1*K1091)</f>
        <v>0</v>
      </c>
      <c r="AB1091" s="20">
        <f>(W1091*1*N1091)+(W1091*1.5*O1091)+(W1091*2*P1091)+(W1091*1*Q1091)</f>
        <v>3119.82</v>
      </c>
      <c r="AC1091" s="66">
        <f t="shared" ref="AC1091:AC1096" si="2074">0-Y1091-AA1091</f>
        <v>0</v>
      </c>
      <c r="AD1091" s="208"/>
      <c r="AE1091" s="66">
        <f t="shared" si="2063"/>
        <v>-286.88000000000011</v>
      </c>
      <c r="AF1091" s="208">
        <f>SUM(AE1091:AE1099)</f>
        <v>-4122.4774999999991</v>
      </c>
      <c r="AG1091" s="8"/>
    </row>
    <row r="1092" spans="1:34" x14ac:dyDescent="0.45">
      <c r="A1092" s="22">
        <f>A1091</f>
        <v>45382</v>
      </c>
      <c r="B1092" s="15" t="s">
        <v>4</v>
      </c>
      <c r="C1092" s="48">
        <f>120*W1092</f>
        <v>3969.6</v>
      </c>
      <c r="D1092" s="43">
        <v>27.75</v>
      </c>
      <c r="E1092" s="43">
        <v>25.25</v>
      </c>
      <c r="F1092" s="43">
        <v>12</v>
      </c>
      <c r="G1092" s="43">
        <v>18.5</v>
      </c>
      <c r="H1092" s="13">
        <v>0</v>
      </c>
      <c r="I1092" s="13">
        <v>0</v>
      </c>
      <c r="J1092" s="13">
        <v>0</v>
      </c>
      <c r="K1092" s="13">
        <v>0</v>
      </c>
      <c r="L1092" s="45">
        <v>0</v>
      </c>
      <c r="M1092" s="34"/>
      <c r="N1092" s="13">
        <v>27.75</v>
      </c>
      <c r="O1092" s="13">
        <v>0</v>
      </c>
      <c r="P1092" s="13">
        <v>0</v>
      </c>
      <c r="Q1092" s="13">
        <v>9.5</v>
      </c>
      <c r="R1092" s="34"/>
      <c r="S1092" s="13">
        <f t="shared" ref="S1092:S1094" si="2075">SUM(D1092:G1092)</f>
        <v>83.5</v>
      </c>
      <c r="T1092" s="13">
        <f t="shared" ref="T1092" si="2076">SUM(N1092:Q1092)</f>
        <v>37.25</v>
      </c>
      <c r="U1092" s="13">
        <f>SUM(H1092:K1092)</f>
        <v>0</v>
      </c>
      <c r="V1092" s="34"/>
      <c r="W1092" s="45">
        <v>33.08</v>
      </c>
      <c r="X1092" s="10">
        <f t="shared" ref="X1092:X1093" si="2077">(W1092*1*D1092)+(W1092*1.5*E1092)+(W1092*2*F1092)+(W1092*1*G1092)</f>
        <v>3576.7750000000001</v>
      </c>
      <c r="Y1092" s="10">
        <f t="shared" ref="Y1092:Y1099" si="2078">(W1092*0*H1092)+(W1092*1*I1092)</f>
        <v>0</v>
      </c>
      <c r="Z1092" s="10">
        <f t="shared" ref="Z1092:Z1094" si="2079">(W1092*1*J1092)+L1092</f>
        <v>0</v>
      </c>
      <c r="AA1092" s="14">
        <f t="shared" ref="AA1092:AA1099" si="2080">(W1092*1*K1092)</f>
        <v>0</v>
      </c>
      <c r="AB1092" s="14">
        <f t="shared" ref="AB1092:AB1094" si="2081">(W1092*1*N1092)+(W1092*1.5*O1092)+(W1092*2*P1092)+(W1092*1*Q1092)</f>
        <v>1232.23</v>
      </c>
      <c r="AC1092" s="63">
        <f t="shared" si="2074"/>
        <v>0</v>
      </c>
      <c r="AD1092" s="209"/>
      <c r="AE1092" s="63">
        <f t="shared" si="2063"/>
        <v>-2344.5450000000001</v>
      </c>
      <c r="AF1092" s="209"/>
      <c r="AG1092" s="8"/>
    </row>
    <row r="1093" spans="1:34" x14ac:dyDescent="0.45">
      <c r="A1093" s="22">
        <f t="shared" ref="A1093:A1099" si="2082">A1092</f>
        <v>45382</v>
      </c>
      <c r="B1093" s="15" t="s">
        <v>5</v>
      </c>
      <c r="C1093" s="48">
        <f>120*W1093</f>
        <v>3836.3999999999996</v>
      </c>
      <c r="D1093" s="13">
        <v>60.5</v>
      </c>
      <c r="E1093" s="13">
        <v>0</v>
      </c>
      <c r="F1093" s="13">
        <v>0</v>
      </c>
      <c r="G1093" s="13">
        <v>9.5</v>
      </c>
      <c r="H1093" s="13">
        <v>0</v>
      </c>
      <c r="I1093" s="13">
        <v>11.5</v>
      </c>
      <c r="J1093" s="13">
        <v>8</v>
      </c>
      <c r="K1093" s="13">
        <v>0</v>
      </c>
      <c r="L1093" s="45">
        <v>0</v>
      </c>
      <c r="M1093" s="34"/>
      <c r="N1093" s="13">
        <v>61</v>
      </c>
      <c r="O1093" s="13">
        <v>0.5</v>
      </c>
      <c r="P1093" s="13">
        <v>0</v>
      </c>
      <c r="Q1093" s="13">
        <v>9.5</v>
      </c>
      <c r="R1093" s="34"/>
      <c r="S1093" s="13">
        <f t="shared" si="2075"/>
        <v>70</v>
      </c>
      <c r="T1093" s="13">
        <f>SUM(N1093:Q1093)</f>
        <v>71</v>
      </c>
      <c r="U1093" s="13">
        <f t="shared" ref="U1093:U1094" si="2083">SUM(H1093:K1093)</f>
        <v>19.5</v>
      </c>
      <c r="V1093" s="34"/>
      <c r="W1093" s="45">
        <v>31.97</v>
      </c>
      <c r="X1093" s="45">
        <f t="shared" si="2077"/>
        <v>2237.9</v>
      </c>
      <c r="Y1093" s="45">
        <f t="shared" si="2078"/>
        <v>367.65499999999997</v>
      </c>
      <c r="Z1093" s="45">
        <f t="shared" si="2079"/>
        <v>255.76</v>
      </c>
      <c r="AA1093" s="79">
        <f t="shared" si="2080"/>
        <v>0</v>
      </c>
      <c r="AB1093" s="79">
        <f t="shared" si="2081"/>
        <v>2277.8624999999997</v>
      </c>
      <c r="AC1093" s="80">
        <f t="shared" si="2074"/>
        <v>-367.65499999999997</v>
      </c>
      <c r="AD1093" s="209"/>
      <c r="AE1093" s="80">
        <f t="shared" si="2063"/>
        <v>-215.79750000000013</v>
      </c>
      <c r="AF1093" s="209"/>
      <c r="AG1093" s="8"/>
    </row>
    <row r="1094" spans="1:34" x14ac:dyDescent="0.45">
      <c r="A1094" s="22">
        <f t="shared" si="2082"/>
        <v>45382</v>
      </c>
      <c r="B1094" s="15" t="s">
        <v>6</v>
      </c>
      <c r="C1094" s="48">
        <f>120*W1094</f>
        <v>3969.6</v>
      </c>
      <c r="D1094" s="13">
        <v>72</v>
      </c>
      <c r="E1094" s="13">
        <v>14</v>
      </c>
      <c r="F1094" s="13">
        <v>0</v>
      </c>
      <c r="G1094" s="13">
        <v>0</v>
      </c>
      <c r="H1094" s="13">
        <v>0</v>
      </c>
      <c r="I1094" s="13">
        <v>0</v>
      </c>
      <c r="J1094" s="13">
        <v>8</v>
      </c>
      <c r="K1094" s="13">
        <v>0</v>
      </c>
      <c r="L1094" s="45">
        <v>0</v>
      </c>
      <c r="M1094" s="34"/>
      <c r="N1094" s="13">
        <v>72</v>
      </c>
      <c r="O1094" s="13">
        <v>14.5</v>
      </c>
      <c r="P1094" s="13">
        <v>0</v>
      </c>
      <c r="Q1094" s="13">
        <v>0</v>
      </c>
      <c r="R1094" s="34"/>
      <c r="S1094" s="13">
        <f t="shared" si="2075"/>
        <v>86</v>
      </c>
      <c r="T1094" s="13">
        <f t="shared" ref="T1094" si="2084">SUM(N1094:Q1094)</f>
        <v>86.5</v>
      </c>
      <c r="U1094" s="13">
        <f t="shared" si="2083"/>
        <v>8</v>
      </c>
      <c r="V1094" s="34"/>
      <c r="W1094" s="45">
        <v>33.08</v>
      </c>
      <c r="X1094" s="45">
        <f>(W1094*1*D1094)+(W1094*1.5*E1094)+(W1094*2*F1094)+(W1094*1*G1094)</f>
        <v>3076.4399999999996</v>
      </c>
      <c r="Y1094" s="45">
        <f t="shared" si="2078"/>
        <v>0</v>
      </c>
      <c r="Z1094" s="45">
        <f t="shared" si="2079"/>
        <v>264.64</v>
      </c>
      <c r="AA1094" s="79">
        <f t="shared" si="2080"/>
        <v>0</v>
      </c>
      <c r="AB1094" s="79">
        <f t="shared" si="2081"/>
        <v>3101.25</v>
      </c>
      <c r="AC1094" s="80">
        <f t="shared" si="2074"/>
        <v>0</v>
      </c>
      <c r="AD1094" s="209"/>
      <c r="AE1094" s="80">
        <f t="shared" si="2063"/>
        <v>-239.82999999999947</v>
      </c>
      <c r="AF1094" s="209"/>
      <c r="AG1094" s="8"/>
    </row>
    <row r="1095" spans="1:34" x14ac:dyDescent="0.45">
      <c r="A1095" s="22">
        <f t="shared" si="2082"/>
        <v>45382</v>
      </c>
      <c r="B1095" s="50" t="s">
        <v>31</v>
      </c>
      <c r="C1095" s="48">
        <f>120*W1095</f>
        <v>3969.6</v>
      </c>
      <c r="D1095" s="13">
        <v>72</v>
      </c>
      <c r="E1095" s="13">
        <v>5.5</v>
      </c>
      <c r="F1095" s="13">
        <v>0</v>
      </c>
      <c r="G1095" s="13">
        <v>16</v>
      </c>
      <c r="H1095" s="13">
        <v>0</v>
      </c>
      <c r="I1095" s="13">
        <v>0</v>
      </c>
      <c r="J1095" s="13">
        <v>8</v>
      </c>
      <c r="K1095" s="13">
        <v>0</v>
      </c>
      <c r="L1095" s="45">
        <v>0</v>
      </c>
      <c r="M1095" s="34"/>
      <c r="N1095" s="13">
        <v>72</v>
      </c>
      <c r="O1095" s="13">
        <v>5.5</v>
      </c>
      <c r="P1095" s="13">
        <v>0</v>
      </c>
      <c r="Q1095" s="13">
        <v>16</v>
      </c>
      <c r="R1095" s="34"/>
      <c r="S1095" s="13">
        <f t="shared" ref="S1095" si="2085">SUM(D1095:G1095)</f>
        <v>93.5</v>
      </c>
      <c r="T1095" s="13">
        <f>SUM(N1095:Q1095)</f>
        <v>93.5</v>
      </c>
      <c r="U1095" s="13">
        <f t="shared" ref="U1095" si="2086">SUM(H1095:K1095)</f>
        <v>8</v>
      </c>
      <c r="V1095" s="34"/>
      <c r="W1095" s="45">
        <v>33.08</v>
      </c>
      <c r="X1095" s="52">
        <f>(W1095*1*D1095)+(W1095*1.5*E1095)+(W1095*2*F1095)+(W1095*1*G1095)</f>
        <v>3183.95</v>
      </c>
      <c r="Y1095" s="52">
        <f t="shared" si="2078"/>
        <v>0</v>
      </c>
      <c r="Z1095" s="52">
        <f>(W1095*1*J1095)+L1095</f>
        <v>264.64</v>
      </c>
      <c r="AA1095" s="96">
        <f t="shared" si="2080"/>
        <v>0</v>
      </c>
      <c r="AB1095" s="96">
        <f>(W1095*1*N1095)+(W1095*1.5*O1095)+(W1095*2*P1095)+(W1095*1*Q1095)</f>
        <v>3183.95</v>
      </c>
      <c r="AC1095" s="97">
        <f t="shared" si="2074"/>
        <v>0</v>
      </c>
      <c r="AD1095" s="209"/>
      <c r="AE1095" s="97">
        <f t="shared" ref="AE1095:AE1097" si="2087">AB1095-(X1095+Z1095)</f>
        <v>-264.63999999999987</v>
      </c>
      <c r="AF1095" s="209"/>
      <c r="AG1095" s="8"/>
      <c r="AH1095">
        <v>26848.3</v>
      </c>
    </row>
    <row r="1096" spans="1:34" x14ac:dyDescent="0.45">
      <c r="A1096" s="22">
        <f t="shared" si="2082"/>
        <v>45382</v>
      </c>
      <c r="B1096" s="50" t="s">
        <v>64</v>
      </c>
      <c r="C1096" s="48">
        <f t="shared" ref="C1096:C1099" si="2088">80*W1096</f>
        <v>2000</v>
      </c>
      <c r="D1096" s="13">
        <v>72</v>
      </c>
      <c r="E1096" s="13">
        <v>21</v>
      </c>
      <c r="F1096" s="13">
        <v>0</v>
      </c>
      <c r="G1096" s="13">
        <v>0</v>
      </c>
      <c r="H1096" s="13">
        <v>0</v>
      </c>
      <c r="I1096" s="13">
        <v>0</v>
      </c>
      <c r="J1096" s="13">
        <v>8</v>
      </c>
      <c r="K1096" s="13">
        <v>0</v>
      </c>
      <c r="L1096" s="45">
        <v>0</v>
      </c>
      <c r="M1096" s="34"/>
      <c r="N1096" s="13">
        <v>72</v>
      </c>
      <c r="O1096" s="13">
        <v>21.25</v>
      </c>
      <c r="P1096" s="13">
        <v>0</v>
      </c>
      <c r="Q1096" s="13">
        <v>0</v>
      </c>
      <c r="R1096" s="34"/>
      <c r="S1096" s="13">
        <f t="shared" ref="S1096:S1097" si="2089">SUM(D1096:G1096)</f>
        <v>93</v>
      </c>
      <c r="T1096" s="13">
        <f>SUM(N1096:Q1096)</f>
        <v>93.25</v>
      </c>
      <c r="U1096" s="13">
        <f t="shared" ref="U1096:U1097" si="2090">SUM(H1096:K1096)</f>
        <v>8</v>
      </c>
      <c r="V1096" s="34"/>
      <c r="W1096" s="52">
        <v>25</v>
      </c>
      <c r="X1096" s="52">
        <f t="shared" ref="X1096:X1097" si="2091">(W1096*1*D1096)+(W1096*1.5*E1096)+(W1096*2*F1096)+(W1096*1*G1096)</f>
        <v>2587.5</v>
      </c>
      <c r="Y1096" s="52">
        <f t="shared" si="2078"/>
        <v>0</v>
      </c>
      <c r="Z1096" s="52">
        <f t="shared" ref="Z1096:Z1099" si="2092">(W1096*1*J1096)+L1096</f>
        <v>200</v>
      </c>
      <c r="AA1096" s="96">
        <f t="shared" si="2080"/>
        <v>0</v>
      </c>
      <c r="AB1096" s="96">
        <f t="shared" ref="AB1096:AB1099" si="2093">(W1096*1*N1096)+(W1096*1.5*O1096)+(W1096*2*P1096)+(W1096*1*Q1096)</f>
        <v>2596.875</v>
      </c>
      <c r="AC1096" s="97">
        <f t="shared" si="2074"/>
        <v>0</v>
      </c>
      <c r="AD1096" s="209"/>
      <c r="AE1096" s="97">
        <f t="shared" si="2087"/>
        <v>-190.625</v>
      </c>
      <c r="AF1096" s="209"/>
      <c r="AG1096" s="8"/>
      <c r="AH1096">
        <v>-3024.03</v>
      </c>
    </row>
    <row r="1097" spans="1:34" x14ac:dyDescent="0.45">
      <c r="A1097" s="22">
        <f t="shared" si="2082"/>
        <v>45382</v>
      </c>
      <c r="B1097" s="50" t="s">
        <v>54</v>
      </c>
      <c r="C1097" s="48">
        <f t="shared" si="2088"/>
        <v>2125.6</v>
      </c>
      <c r="D1097" s="13">
        <v>72</v>
      </c>
      <c r="E1097" s="13">
        <v>15.75</v>
      </c>
      <c r="F1097" s="13">
        <v>0</v>
      </c>
      <c r="G1097" s="13">
        <v>0</v>
      </c>
      <c r="H1097" s="13">
        <v>0</v>
      </c>
      <c r="I1097" s="13">
        <v>0</v>
      </c>
      <c r="J1097" s="13">
        <v>8</v>
      </c>
      <c r="K1097" s="13">
        <v>0</v>
      </c>
      <c r="L1097" s="45">
        <v>0</v>
      </c>
      <c r="M1097" s="34"/>
      <c r="N1097" s="13">
        <v>72</v>
      </c>
      <c r="O1097" s="13">
        <v>15.75</v>
      </c>
      <c r="P1097" s="13">
        <v>0</v>
      </c>
      <c r="Q1097" s="13">
        <v>0</v>
      </c>
      <c r="R1097" s="34"/>
      <c r="S1097" s="13">
        <f t="shared" si="2089"/>
        <v>87.75</v>
      </c>
      <c r="T1097" s="13">
        <f t="shared" ref="T1097" si="2094">SUM(N1097:Q1097)</f>
        <v>87.75</v>
      </c>
      <c r="U1097" s="13">
        <f t="shared" si="2090"/>
        <v>8</v>
      </c>
      <c r="V1097" s="34"/>
      <c r="W1097" s="52">
        <v>26.57</v>
      </c>
      <c r="X1097" s="52">
        <f t="shared" si="2091"/>
        <v>2540.7562499999999</v>
      </c>
      <c r="Y1097" s="52">
        <f t="shared" si="2078"/>
        <v>0</v>
      </c>
      <c r="Z1097" s="52">
        <f t="shared" si="2092"/>
        <v>212.56</v>
      </c>
      <c r="AA1097" s="96">
        <f t="shared" si="2080"/>
        <v>0</v>
      </c>
      <c r="AB1097" s="96">
        <f t="shared" si="2093"/>
        <v>2540.7562499999999</v>
      </c>
      <c r="AC1097" s="97">
        <f>0-Y1097-AA1097</f>
        <v>0</v>
      </c>
      <c r="AD1097" s="209"/>
      <c r="AE1097" s="97">
        <f t="shared" si="2087"/>
        <v>-212.55999999999995</v>
      </c>
      <c r="AF1097" s="209"/>
      <c r="AG1097" s="8"/>
      <c r="AH1097">
        <v>-2036.67</v>
      </c>
    </row>
    <row r="1098" spans="1:34" x14ac:dyDescent="0.45">
      <c r="A1098" s="22">
        <f t="shared" si="2082"/>
        <v>45382</v>
      </c>
      <c r="B1098" s="50" t="s">
        <v>65</v>
      </c>
      <c r="C1098" s="48">
        <f t="shared" si="2088"/>
        <v>1920</v>
      </c>
      <c r="D1098" s="51">
        <v>72</v>
      </c>
      <c r="E1098" s="51">
        <v>22</v>
      </c>
      <c r="F1098" s="51">
        <v>0</v>
      </c>
      <c r="G1098" s="51">
        <v>0</v>
      </c>
      <c r="H1098" s="51">
        <v>0</v>
      </c>
      <c r="I1098" s="51">
        <v>0</v>
      </c>
      <c r="J1098" s="51">
        <v>8</v>
      </c>
      <c r="K1098" s="51">
        <v>0</v>
      </c>
      <c r="L1098" s="52">
        <v>0</v>
      </c>
      <c r="M1098" s="34"/>
      <c r="N1098" s="51">
        <v>72</v>
      </c>
      <c r="O1098" s="51">
        <v>22</v>
      </c>
      <c r="P1098" s="51">
        <v>0</v>
      </c>
      <c r="Q1098" s="51">
        <v>0</v>
      </c>
      <c r="R1098" s="34"/>
      <c r="S1098" s="51">
        <f t="shared" ref="S1098:S1099" si="2095">SUM(D1098:G1098)</f>
        <v>94</v>
      </c>
      <c r="T1098" s="51">
        <f t="shared" ref="T1098:T1099" si="2096">SUM(N1098:Q1098)</f>
        <v>94</v>
      </c>
      <c r="U1098" s="51">
        <f t="shared" ref="U1098:U1099" si="2097">SUM(H1098:K1098)</f>
        <v>8</v>
      </c>
      <c r="V1098" s="34"/>
      <c r="W1098" s="52">
        <v>24</v>
      </c>
      <c r="X1098" s="53">
        <f>(W1098*1*D1098)+(W1098*1.5*E1098)+(W1098*2*F1098)+(W1098*1*G1098)</f>
        <v>2520</v>
      </c>
      <c r="Y1098" s="53">
        <f t="shared" si="2078"/>
        <v>0</v>
      </c>
      <c r="Z1098" s="53">
        <f t="shared" si="2092"/>
        <v>192</v>
      </c>
      <c r="AA1098" s="54">
        <f t="shared" si="2080"/>
        <v>0</v>
      </c>
      <c r="AB1098" s="54">
        <f t="shared" si="2093"/>
        <v>2520</v>
      </c>
      <c r="AC1098" s="64">
        <f>0-Y1098-AA1098</f>
        <v>0</v>
      </c>
      <c r="AD1098" s="209"/>
      <c r="AE1098" s="64">
        <f>AB1098-(X1098+Z1098)</f>
        <v>-192</v>
      </c>
      <c r="AF1098" s="209"/>
      <c r="AG1098" s="8"/>
      <c r="AH1098">
        <v>-1910.48</v>
      </c>
    </row>
    <row r="1099" spans="1:34" ht="14.65" thickBot="1" x14ac:dyDescent="0.5">
      <c r="A1099" s="23">
        <f t="shared" si="2082"/>
        <v>45382</v>
      </c>
      <c r="B1099" s="24" t="s">
        <v>66</v>
      </c>
      <c r="C1099" s="49">
        <f t="shared" si="2088"/>
        <v>1756</v>
      </c>
      <c r="D1099" s="25">
        <v>72</v>
      </c>
      <c r="E1099" s="25">
        <v>23</v>
      </c>
      <c r="F1099" s="25">
        <v>0</v>
      </c>
      <c r="G1099" s="25">
        <v>0</v>
      </c>
      <c r="H1099" s="25">
        <v>0</v>
      </c>
      <c r="I1099" s="25">
        <v>0</v>
      </c>
      <c r="J1099" s="25">
        <v>8</v>
      </c>
      <c r="K1099" s="25">
        <v>0</v>
      </c>
      <c r="L1099" s="46">
        <v>0</v>
      </c>
      <c r="M1099" s="35"/>
      <c r="N1099" s="25">
        <v>72</v>
      </c>
      <c r="O1099" s="25">
        <v>23</v>
      </c>
      <c r="P1099" s="25">
        <v>0</v>
      </c>
      <c r="Q1099" s="25">
        <v>0</v>
      </c>
      <c r="R1099" s="35"/>
      <c r="S1099" s="25">
        <f t="shared" si="2095"/>
        <v>95</v>
      </c>
      <c r="T1099" s="25">
        <f t="shared" si="2096"/>
        <v>95</v>
      </c>
      <c r="U1099" s="25">
        <f t="shared" si="2097"/>
        <v>8</v>
      </c>
      <c r="V1099" s="35"/>
      <c r="W1099" s="46">
        <v>21.95</v>
      </c>
      <c r="X1099" s="26">
        <f t="shared" ref="X1099" si="2098">(W1099*1*D1099)+(W1099*1.5*E1099)+(W1099*2*F1099)+(W1099*1*G1099)</f>
        <v>2337.6749999999997</v>
      </c>
      <c r="Y1099" s="26">
        <f t="shared" si="2078"/>
        <v>0</v>
      </c>
      <c r="Z1099" s="26">
        <f t="shared" si="2092"/>
        <v>175.6</v>
      </c>
      <c r="AA1099" s="27">
        <f t="shared" si="2080"/>
        <v>0</v>
      </c>
      <c r="AB1099" s="27">
        <f t="shared" si="2093"/>
        <v>2337.6749999999997</v>
      </c>
      <c r="AC1099" s="65">
        <f>0-Y1099-AA1099</f>
        <v>0</v>
      </c>
      <c r="AD1099" s="210"/>
      <c r="AE1099" s="65">
        <f t="shared" ref="AE1099:AE1106" si="2099">AB1099-(X1099+Z1099)</f>
        <v>-175.59999999999991</v>
      </c>
      <c r="AF1099" s="210"/>
      <c r="AG1099" s="8"/>
      <c r="AH1099">
        <f>SUM(AH1095:AH1098)</f>
        <v>19877.12</v>
      </c>
    </row>
    <row r="1100" spans="1:34" x14ac:dyDescent="0.45">
      <c r="A1100" s="16">
        <f>A1099+14</f>
        <v>45396</v>
      </c>
      <c r="B1100" s="17" t="s">
        <v>30</v>
      </c>
      <c r="C1100" s="47">
        <f>120*W1100</f>
        <v>4303.2</v>
      </c>
      <c r="D1100" s="18">
        <v>80</v>
      </c>
      <c r="E1100" s="18">
        <v>5</v>
      </c>
      <c r="F1100" s="18">
        <v>0</v>
      </c>
      <c r="G1100" s="18">
        <v>0</v>
      </c>
      <c r="H1100" s="18">
        <v>0</v>
      </c>
      <c r="I1100" s="18">
        <v>0</v>
      </c>
      <c r="J1100" s="18">
        <v>0</v>
      </c>
      <c r="K1100" s="18">
        <v>0</v>
      </c>
      <c r="L1100" s="44">
        <v>0</v>
      </c>
      <c r="M1100" s="33"/>
      <c r="N1100" s="18">
        <v>80</v>
      </c>
      <c r="O1100" s="18">
        <v>5</v>
      </c>
      <c r="P1100" s="18">
        <v>0</v>
      </c>
      <c r="Q1100" s="18">
        <v>0</v>
      </c>
      <c r="R1100" s="33"/>
      <c r="S1100" s="18">
        <f>SUM(D1100:G1100)</f>
        <v>85</v>
      </c>
      <c r="T1100" s="18">
        <f>SUM(N1100:Q1100)</f>
        <v>85</v>
      </c>
      <c r="U1100" s="18">
        <f>SUM(H1100:K1100)</f>
        <v>0</v>
      </c>
      <c r="V1100" s="33"/>
      <c r="W1100" s="44">
        <v>35.86</v>
      </c>
      <c r="X1100" s="19">
        <f>(W1100*1*D1100)+(W1100*1.5*E1100)+(W1100*2*F1100)+(W1100*1*G1100)</f>
        <v>3137.75</v>
      </c>
      <c r="Y1100" s="19">
        <f>(W1100*0*H1100)+(W1100*1*I1100)</f>
        <v>0</v>
      </c>
      <c r="Z1100" s="19">
        <f>(W1100*1*J1100)+L1100</f>
        <v>0</v>
      </c>
      <c r="AA1100" s="20">
        <f>(W1100*1*K1100)</f>
        <v>0</v>
      </c>
      <c r="AB1100" s="20">
        <f>(W1100*1*N1100)+(W1100*1.5*O1100)+(W1100*2*P1100)+(W1100*1*Q1100)</f>
        <v>3137.75</v>
      </c>
      <c r="AC1100" s="66">
        <f t="shared" ref="AC1100:AC1105" si="2100">0-Y1100-AA1100</f>
        <v>0</v>
      </c>
      <c r="AD1100" s="208"/>
      <c r="AE1100" s="66">
        <f t="shared" si="2099"/>
        <v>0</v>
      </c>
      <c r="AF1100" s="208">
        <f>SUM(AE1100:AE1108)</f>
        <v>-65.8149999999996</v>
      </c>
      <c r="AG1100" s="8"/>
    </row>
    <row r="1101" spans="1:34" x14ac:dyDescent="0.45">
      <c r="A1101" s="22">
        <f>A1100</f>
        <v>45396</v>
      </c>
      <c r="B1101" s="15" t="s">
        <v>4</v>
      </c>
      <c r="C1101" s="48">
        <f>120*W1101</f>
        <v>3969.6</v>
      </c>
      <c r="D1101" s="13">
        <v>0</v>
      </c>
      <c r="E1101" s="13">
        <v>0</v>
      </c>
      <c r="F1101" s="13">
        <v>0</v>
      </c>
      <c r="G1101" s="13">
        <v>0</v>
      </c>
      <c r="H1101" s="13">
        <v>0</v>
      </c>
      <c r="I1101" s="13">
        <v>0</v>
      </c>
      <c r="J1101" s="13">
        <v>0</v>
      </c>
      <c r="K1101" s="13">
        <v>0</v>
      </c>
      <c r="L1101" s="45">
        <v>0</v>
      </c>
      <c r="M1101" s="34"/>
      <c r="N1101" s="13">
        <v>0</v>
      </c>
      <c r="O1101" s="13">
        <v>0</v>
      </c>
      <c r="P1101" s="13">
        <v>0</v>
      </c>
      <c r="Q1101" s="13">
        <v>0</v>
      </c>
      <c r="R1101" s="34"/>
      <c r="S1101" s="13">
        <f t="shared" ref="S1101" si="2101">SUM(D1101:G1101)</f>
        <v>0</v>
      </c>
      <c r="T1101" s="13">
        <f t="shared" ref="T1101" si="2102">SUM(N1101:Q1101)</f>
        <v>0</v>
      </c>
      <c r="U1101" s="13">
        <f>SUM(H1101:K1101)</f>
        <v>0</v>
      </c>
      <c r="V1101" s="34"/>
      <c r="W1101" s="45">
        <v>33.08</v>
      </c>
      <c r="X1101" s="10">
        <f t="shared" ref="X1101" si="2103">(W1101*1*D1101)+(W1101*1.5*E1101)+(W1101*2*F1101)+(W1101*1*G1101)</f>
        <v>0</v>
      </c>
      <c r="Y1101" s="10">
        <f t="shared" ref="Y1101" si="2104">(W1101*0*H1101)+(W1101*1*I1101)</f>
        <v>0</v>
      </c>
      <c r="Z1101" s="10">
        <f t="shared" ref="Z1101" si="2105">(W1101*1*J1101)+L1101</f>
        <v>0</v>
      </c>
      <c r="AA1101" s="14">
        <f t="shared" ref="AA1101" si="2106">(W1101*1*K1101)</f>
        <v>0</v>
      </c>
      <c r="AB1101" s="14">
        <f t="shared" ref="AB1101" si="2107">(W1101*1*N1101)+(W1101*1.5*O1101)+(W1101*2*P1101)+(W1101*1*Q1101)</f>
        <v>0</v>
      </c>
      <c r="AC1101" s="63">
        <f t="shared" si="2100"/>
        <v>0</v>
      </c>
      <c r="AD1101" s="209"/>
      <c r="AE1101" s="63">
        <f t="shared" si="2099"/>
        <v>0</v>
      </c>
      <c r="AF1101" s="209"/>
      <c r="AG1101" s="8"/>
    </row>
    <row r="1102" spans="1:34" x14ac:dyDescent="0.45">
      <c r="A1102" s="22">
        <f>A1100</f>
        <v>45396</v>
      </c>
      <c r="B1102" s="15" t="s">
        <v>5</v>
      </c>
      <c r="C1102" s="48">
        <f>120*W1102</f>
        <v>3836.3999999999996</v>
      </c>
      <c r="D1102" s="13">
        <v>72</v>
      </c>
      <c r="E1102" s="13">
        <v>0</v>
      </c>
      <c r="F1102" s="13">
        <v>0</v>
      </c>
      <c r="G1102" s="13">
        <v>0</v>
      </c>
      <c r="H1102" s="13">
        <v>0</v>
      </c>
      <c r="I1102" s="13">
        <v>8</v>
      </c>
      <c r="J1102" s="13">
        <v>0</v>
      </c>
      <c r="K1102" s="13">
        <v>0</v>
      </c>
      <c r="L1102" s="45">
        <v>0</v>
      </c>
      <c r="M1102" s="34"/>
      <c r="N1102" s="13">
        <v>72</v>
      </c>
      <c r="O1102" s="13">
        <v>0</v>
      </c>
      <c r="P1102" s="13">
        <v>0</v>
      </c>
      <c r="Q1102" s="13">
        <v>0</v>
      </c>
      <c r="R1102" s="34"/>
      <c r="S1102" s="13">
        <f t="shared" ref="S1102:S1103" si="2108">SUM(D1102:G1102)</f>
        <v>72</v>
      </c>
      <c r="T1102" s="13">
        <f>SUM(N1102:Q1102)</f>
        <v>72</v>
      </c>
      <c r="U1102" s="13">
        <f t="shared" ref="U1102:U1103" si="2109">SUM(H1102:K1102)</f>
        <v>8</v>
      </c>
      <c r="V1102" s="34"/>
      <c r="W1102" s="45">
        <v>31.97</v>
      </c>
      <c r="X1102" s="45">
        <f t="shared" ref="X1102" si="2110">(W1102*1*D1102)+(W1102*1.5*E1102)+(W1102*2*F1102)+(W1102*1*G1102)</f>
        <v>2301.84</v>
      </c>
      <c r="Y1102" s="45">
        <f t="shared" ref="Y1102:Y1108" si="2111">(W1102*0*H1102)+(W1102*1*I1102)</f>
        <v>255.76</v>
      </c>
      <c r="Z1102" s="45">
        <f t="shared" ref="Z1102:Z1103" si="2112">(W1102*1*J1102)+L1102</f>
        <v>0</v>
      </c>
      <c r="AA1102" s="79">
        <f t="shared" ref="AA1102:AA1108" si="2113">(W1102*1*K1102)</f>
        <v>0</v>
      </c>
      <c r="AB1102" s="79">
        <f t="shared" ref="AB1102:AB1103" si="2114">(W1102*1*N1102)+(W1102*1.5*O1102)+(W1102*2*P1102)+(W1102*1*Q1102)</f>
        <v>2301.84</v>
      </c>
      <c r="AC1102" s="80">
        <f t="shared" si="2100"/>
        <v>-255.76</v>
      </c>
      <c r="AD1102" s="209"/>
      <c r="AE1102" s="80">
        <f t="shared" si="2099"/>
        <v>0</v>
      </c>
      <c r="AF1102" s="209"/>
      <c r="AG1102" s="8"/>
    </row>
    <row r="1103" spans="1:34" x14ac:dyDescent="0.45">
      <c r="A1103" s="22">
        <f>A1100</f>
        <v>45396</v>
      </c>
      <c r="B1103" s="15" t="s">
        <v>6</v>
      </c>
      <c r="C1103" s="48">
        <f>120*W1103</f>
        <v>3969.6</v>
      </c>
      <c r="D1103" s="13">
        <v>80</v>
      </c>
      <c r="E1103" s="13">
        <v>28</v>
      </c>
      <c r="F1103" s="13">
        <v>12</v>
      </c>
      <c r="G1103" s="13">
        <v>23</v>
      </c>
      <c r="H1103" s="13">
        <v>0</v>
      </c>
      <c r="I1103" s="13">
        <v>0</v>
      </c>
      <c r="J1103" s="13">
        <v>0</v>
      </c>
      <c r="K1103" s="13">
        <v>0</v>
      </c>
      <c r="L1103" s="45">
        <v>0</v>
      </c>
      <c r="M1103" s="34"/>
      <c r="N1103" s="13">
        <v>80</v>
      </c>
      <c r="O1103" s="13">
        <v>27.5</v>
      </c>
      <c r="P1103" s="13">
        <v>12.5</v>
      </c>
      <c r="Q1103" s="13">
        <v>23</v>
      </c>
      <c r="R1103" s="34"/>
      <c r="S1103" s="13">
        <f t="shared" si="2108"/>
        <v>143</v>
      </c>
      <c r="T1103" s="13">
        <f t="shared" ref="T1103" si="2115">SUM(N1103:Q1103)</f>
        <v>143</v>
      </c>
      <c r="U1103" s="13">
        <f t="shared" si="2109"/>
        <v>0</v>
      </c>
      <c r="V1103" s="34"/>
      <c r="W1103" s="45">
        <v>33.08</v>
      </c>
      <c r="X1103" s="45">
        <f>(W1103*1*D1103)+(W1103*1.5*E1103)+(W1103*2*F1103)+(W1103*1*G1103)</f>
        <v>5590.5199999999995</v>
      </c>
      <c r="Y1103" s="45">
        <f t="shared" si="2111"/>
        <v>0</v>
      </c>
      <c r="Z1103" s="45">
        <f t="shared" si="2112"/>
        <v>0</v>
      </c>
      <c r="AA1103" s="79">
        <f t="shared" si="2113"/>
        <v>0</v>
      </c>
      <c r="AB1103" s="79">
        <f t="shared" si="2114"/>
        <v>5598.79</v>
      </c>
      <c r="AC1103" s="80">
        <f t="shared" si="2100"/>
        <v>0</v>
      </c>
      <c r="AD1103" s="209"/>
      <c r="AE1103" s="80">
        <f t="shared" si="2099"/>
        <v>8.2700000000004366</v>
      </c>
      <c r="AF1103" s="209"/>
      <c r="AG1103" s="8"/>
    </row>
    <row r="1104" spans="1:34" x14ac:dyDescent="0.45">
      <c r="A1104" s="22">
        <f>A1100</f>
        <v>45396</v>
      </c>
      <c r="B1104" s="50" t="s">
        <v>31</v>
      </c>
      <c r="C1104" s="48">
        <f>120*W1104</f>
        <v>3969.6</v>
      </c>
      <c r="D1104" s="13">
        <v>80</v>
      </c>
      <c r="E1104" s="13">
        <v>35</v>
      </c>
      <c r="F1104" s="13">
        <v>12</v>
      </c>
      <c r="G1104" s="13">
        <v>11</v>
      </c>
      <c r="H1104" s="13">
        <v>0</v>
      </c>
      <c r="I1104" s="13">
        <v>0</v>
      </c>
      <c r="J1104" s="13">
        <v>0</v>
      </c>
      <c r="K1104" s="13">
        <v>0</v>
      </c>
      <c r="L1104" s="45">
        <v>0</v>
      </c>
      <c r="M1104" s="34"/>
      <c r="N1104" s="13">
        <v>80</v>
      </c>
      <c r="O1104" s="13">
        <v>34</v>
      </c>
      <c r="P1104" s="13">
        <v>13</v>
      </c>
      <c r="Q1104" s="13">
        <v>11</v>
      </c>
      <c r="R1104" s="34"/>
      <c r="S1104" s="13">
        <f t="shared" ref="S1104" si="2116">SUM(D1104:G1104)</f>
        <v>138</v>
      </c>
      <c r="T1104" s="13">
        <f>SUM(N1104:Q1104)</f>
        <v>138</v>
      </c>
      <c r="U1104" s="13">
        <f t="shared" ref="U1104" si="2117">SUM(H1104:K1104)</f>
        <v>0</v>
      </c>
      <c r="V1104" s="34"/>
      <c r="W1104" s="45">
        <v>33.08</v>
      </c>
      <c r="X1104" s="52">
        <f>(W1104*1*D1104)+(W1104*1.5*E1104)+(W1104*2*F1104)+(W1104*1*G1104)</f>
        <v>5540.9</v>
      </c>
      <c r="Y1104" s="52">
        <f t="shared" si="2111"/>
        <v>0</v>
      </c>
      <c r="Z1104" s="52">
        <f>(W1104*1*J1104)+L1104</f>
        <v>0</v>
      </c>
      <c r="AA1104" s="96">
        <f t="shared" si="2113"/>
        <v>0</v>
      </c>
      <c r="AB1104" s="96">
        <f>(W1104*1*N1104)+(W1104*1.5*O1104)+(W1104*2*P1104)+(W1104*1*Q1104)</f>
        <v>5557.44</v>
      </c>
      <c r="AC1104" s="97">
        <f t="shared" si="2100"/>
        <v>0</v>
      </c>
      <c r="AD1104" s="209"/>
      <c r="AE1104" s="97">
        <f t="shared" si="2099"/>
        <v>16.539999999999964</v>
      </c>
      <c r="AF1104" s="209"/>
      <c r="AG1104" s="8"/>
      <c r="AH1104">
        <v>25074.43</v>
      </c>
    </row>
    <row r="1105" spans="1:34" x14ac:dyDescent="0.45">
      <c r="A1105" s="22">
        <f>A1100</f>
        <v>45396</v>
      </c>
      <c r="B1105" s="50" t="s">
        <v>64</v>
      </c>
      <c r="C1105" s="48">
        <f t="shared" ref="C1105:C1108" si="2118">80*W1105</f>
        <v>2000</v>
      </c>
      <c r="D1105" s="13">
        <v>72.75</v>
      </c>
      <c r="E1105" s="13">
        <v>18.75</v>
      </c>
      <c r="F1105" s="13">
        <v>0</v>
      </c>
      <c r="G1105" s="13">
        <v>0</v>
      </c>
      <c r="H1105" s="13">
        <v>0</v>
      </c>
      <c r="I1105" s="13">
        <v>0</v>
      </c>
      <c r="J1105" s="13">
        <v>0</v>
      </c>
      <c r="K1105" s="13">
        <v>7.25</v>
      </c>
      <c r="L1105" s="45">
        <v>0</v>
      </c>
      <c r="M1105" s="34"/>
      <c r="N1105" s="13">
        <v>80</v>
      </c>
      <c r="O1105" s="13">
        <v>11.5</v>
      </c>
      <c r="P1105" s="13">
        <v>0</v>
      </c>
      <c r="Q1105" s="13">
        <v>0</v>
      </c>
      <c r="R1105" s="34"/>
      <c r="S1105" s="13">
        <f t="shared" ref="S1105:S1106" si="2119">SUM(D1105:G1105)</f>
        <v>91.5</v>
      </c>
      <c r="T1105" s="13">
        <f>SUM(N1105:Q1105)</f>
        <v>91.5</v>
      </c>
      <c r="U1105" s="13">
        <f t="shared" ref="U1105:U1106" si="2120">SUM(H1105:K1105)</f>
        <v>7.25</v>
      </c>
      <c r="V1105" s="34"/>
      <c r="W1105" s="52">
        <v>25</v>
      </c>
      <c r="X1105" s="52">
        <f t="shared" ref="X1105:X1106" si="2121">(W1105*1*D1105)+(W1105*1.5*E1105)+(W1105*2*F1105)+(W1105*1*G1105)</f>
        <v>2521.875</v>
      </c>
      <c r="Y1105" s="52">
        <f t="shared" si="2111"/>
        <v>0</v>
      </c>
      <c r="Z1105" s="52">
        <f t="shared" ref="Z1105:Z1108" si="2122">(W1105*1*J1105)+L1105</f>
        <v>0</v>
      </c>
      <c r="AA1105" s="96">
        <f t="shared" si="2113"/>
        <v>181.25</v>
      </c>
      <c r="AB1105" s="96">
        <f t="shared" ref="AB1105:AB1108" si="2123">(W1105*1*N1105)+(W1105*1.5*O1105)+(W1105*2*P1105)+(W1105*1*Q1105)</f>
        <v>2431.25</v>
      </c>
      <c r="AC1105" s="97">
        <f t="shared" si="2100"/>
        <v>-181.25</v>
      </c>
      <c r="AD1105" s="209"/>
      <c r="AE1105" s="97">
        <f t="shared" si="2099"/>
        <v>-90.625</v>
      </c>
      <c r="AF1105" s="209"/>
      <c r="AG1105" s="8"/>
      <c r="AH1105">
        <v>-3024.03</v>
      </c>
    </row>
    <row r="1106" spans="1:34" x14ac:dyDescent="0.45">
      <c r="A1106" s="22">
        <f>A1100</f>
        <v>45396</v>
      </c>
      <c r="B1106" s="50" t="s">
        <v>54</v>
      </c>
      <c r="C1106" s="48">
        <f t="shared" si="2118"/>
        <v>2125.6</v>
      </c>
      <c r="D1106" s="13">
        <v>77.25</v>
      </c>
      <c r="E1106" s="13">
        <v>10</v>
      </c>
      <c r="F1106" s="13">
        <v>0</v>
      </c>
      <c r="G1106" s="13">
        <v>0</v>
      </c>
      <c r="H1106" s="13">
        <v>0</v>
      </c>
      <c r="I1106" s="13">
        <v>10</v>
      </c>
      <c r="J1106" s="13">
        <v>0</v>
      </c>
      <c r="K1106" s="13">
        <v>0</v>
      </c>
      <c r="L1106" s="45">
        <v>0</v>
      </c>
      <c r="M1106" s="34"/>
      <c r="N1106" s="13">
        <v>77.25</v>
      </c>
      <c r="O1106" s="13">
        <v>10</v>
      </c>
      <c r="P1106" s="13">
        <v>0</v>
      </c>
      <c r="Q1106" s="13">
        <v>0</v>
      </c>
      <c r="R1106" s="34"/>
      <c r="S1106" s="13">
        <f t="shared" si="2119"/>
        <v>87.25</v>
      </c>
      <c r="T1106" s="13">
        <f t="shared" ref="T1106" si="2124">SUM(N1106:Q1106)</f>
        <v>87.25</v>
      </c>
      <c r="U1106" s="13">
        <f t="shared" si="2120"/>
        <v>10</v>
      </c>
      <c r="V1106" s="34"/>
      <c r="W1106" s="52">
        <v>26.57</v>
      </c>
      <c r="X1106" s="52">
        <f t="shared" si="2121"/>
        <v>2451.0825</v>
      </c>
      <c r="Y1106" s="52">
        <f t="shared" si="2111"/>
        <v>265.7</v>
      </c>
      <c r="Z1106" s="52">
        <f t="shared" si="2122"/>
        <v>0</v>
      </c>
      <c r="AA1106" s="96">
        <f t="shared" si="2113"/>
        <v>0</v>
      </c>
      <c r="AB1106" s="96">
        <f t="shared" si="2123"/>
        <v>2451.0825</v>
      </c>
      <c r="AC1106" s="97">
        <f>0-Y1106-AA1106</f>
        <v>-265.7</v>
      </c>
      <c r="AD1106" s="209"/>
      <c r="AE1106" s="97">
        <f t="shared" si="2099"/>
        <v>0</v>
      </c>
      <c r="AF1106" s="209"/>
      <c r="AG1106" s="8"/>
      <c r="AH1106">
        <v>-1807.04</v>
      </c>
    </row>
    <row r="1107" spans="1:34" x14ac:dyDescent="0.45">
      <c r="A1107" s="22">
        <f>A1100</f>
        <v>45396</v>
      </c>
      <c r="B1107" s="50" t="s">
        <v>65</v>
      </c>
      <c r="C1107" s="48">
        <f t="shared" si="2118"/>
        <v>1920</v>
      </c>
      <c r="D1107" s="51">
        <v>80</v>
      </c>
      <c r="E1107" s="51">
        <v>12</v>
      </c>
      <c r="F1107" s="51">
        <v>0</v>
      </c>
      <c r="G1107" s="51">
        <v>0</v>
      </c>
      <c r="H1107" s="51">
        <v>0</v>
      </c>
      <c r="I1107" s="51">
        <v>0</v>
      </c>
      <c r="J1107" s="51">
        <v>0</v>
      </c>
      <c r="K1107" s="51">
        <v>0</v>
      </c>
      <c r="L1107" s="52">
        <v>0</v>
      </c>
      <c r="M1107" s="34"/>
      <c r="N1107" s="51">
        <v>80</v>
      </c>
      <c r="O1107" s="51">
        <v>12</v>
      </c>
      <c r="P1107" s="51">
        <v>0</v>
      </c>
      <c r="Q1107" s="51">
        <v>0</v>
      </c>
      <c r="R1107" s="34"/>
      <c r="S1107" s="51">
        <f t="shared" ref="S1107:S1108" si="2125">SUM(D1107:G1107)</f>
        <v>92</v>
      </c>
      <c r="T1107" s="51">
        <f t="shared" ref="T1107:T1108" si="2126">SUM(N1107:Q1107)</f>
        <v>92</v>
      </c>
      <c r="U1107" s="51">
        <f t="shared" ref="U1107:U1108" si="2127">SUM(H1107:K1107)</f>
        <v>0</v>
      </c>
      <c r="V1107" s="34"/>
      <c r="W1107" s="52">
        <v>24</v>
      </c>
      <c r="X1107" s="53">
        <f>(W1107*1*D1107)+(W1107*1.5*E1107)+(W1107*2*F1107)+(W1107*1*G1107)</f>
        <v>2352</v>
      </c>
      <c r="Y1107" s="53">
        <f t="shared" si="2111"/>
        <v>0</v>
      </c>
      <c r="Z1107" s="53">
        <f t="shared" si="2122"/>
        <v>0</v>
      </c>
      <c r="AA1107" s="54">
        <f t="shared" si="2113"/>
        <v>0</v>
      </c>
      <c r="AB1107" s="54">
        <f t="shared" si="2123"/>
        <v>2352</v>
      </c>
      <c r="AC1107" s="64">
        <f>0-Y1107-AA1107</f>
        <v>0</v>
      </c>
      <c r="AD1107" s="209"/>
      <c r="AE1107" s="64">
        <f>AB1107-(X1107+Z1107)</f>
        <v>0</v>
      </c>
      <c r="AF1107" s="209"/>
      <c r="AG1107" s="8"/>
      <c r="AH1107">
        <v>-1698.88</v>
      </c>
    </row>
    <row r="1108" spans="1:34" ht="14.65" thickBot="1" x14ac:dyDescent="0.5">
      <c r="A1108" s="23">
        <f>A1100</f>
        <v>45396</v>
      </c>
      <c r="B1108" s="24" t="s">
        <v>66</v>
      </c>
      <c r="C1108" s="49">
        <f t="shared" si="2118"/>
        <v>1756</v>
      </c>
      <c r="D1108" s="25">
        <v>80</v>
      </c>
      <c r="E1108" s="25">
        <v>13</v>
      </c>
      <c r="F1108" s="25">
        <v>0</v>
      </c>
      <c r="G1108" s="25">
        <v>0</v>
      </c>
      <c r="H1108" s="25">
        <v>0</v>
      </c>
      <c r="I1108" s="25">
        <v>0</v>
      </c>
      <c r="J1108" s="25">
        <v>0</v>
      </c>
      <c r="K1108" s="25">
        <v>0</v>
      </c>
      <c r="L1108" s="46">
        <v>0</v>
      </c>
      <c r="M1108" s="35"/>
      <c r="N1108" s="25">
        <v>80</v>
      </c>
      <c r="O1108" s="25">
        <v>13</v>
      </c>
      <c r="P1108" s="25">
        <v>0</v>
      </c>
      <c r="Q1108" s="25">
        <v>0</v>
      </c>
      <c r="R1108" s="35"/>
      <c r="S1108" s="25">
        <f t="shared" si="2125"/>
        <v>93</v>
      </c>
      <c r="T1108" s="25">
        <f t="shared" si="2126"/>
        <v>93</v>
      </c>
      <c r="U1108" s="25">
        <f t="shared" si="2127"/>
        <v>0</v>
      </c>
      <c r="V1108" s="35"/>
      <c r="W1108" s="46">
        <v>21.95</v>
      </c>
      <c r="X1108" s="26">
        <f t="shared" ref="X1108" si="2128">(W1108*1*D1108)+(W1108*1.5*E1108)+(W1108*2*F1108)+(W1108*1*G1108)</f>
        <v>2184.0250000000001</v>
      </c>
      <c r="Y1108" s="26">
        <f t="shared" si="2111"/>
        <v>0</v>
      </c>
      <c r="Z1108" s="26">
        <f t="shared" si="2122"/>
        <v>0</v>
      </c>
      <c r="AA1108" s="27">
        <f t="shared" si="2113"/>
        <v>0</v>
      </c>
      <c r="AB1108" s="27">
        <f t="shared" si="2123"/>
        <v>2184.0250000000001</v>
      </c>
      <c r="AC1108" s="65">
        <f>0-Y1108-AA1108</f>
        <v>0</v>
      </c>
      <c r="AD1108" s="210"/>
      <c r="AE1108" s="65">
        <f t="shared" ref="AE1108:AE1115" si="2129">AB1108-(X1108+Z1108)</f>
        <v>0</v>
      </c>
      <c r="AF1108" s="210"/>
      <c r="AG1108" s="8"/>
      <c r="AH1108">
        <f>SUM(AH1104:AH1107)</f>
        <v>18544.48</v>
      </c>
    </row>
    <row r="1109" spans="1:34" x14ac:dyDescent="0.45">
      <c r="A1109" s="16">
        <f>A1108+14</f>
        <v>45410</v>
      </c>
      <c r="B1109" s="17" t="s">
        <v>30</v>
      </c>
      <c r="C1109" s="47">
        <f>120*W1109</f>
        <v>4303.2</v>
      </c>
      <c r="D1109" s="18">
        <v>72</v>
      </c>
      <c r="E1109" s="18">
        <v>0</v>
      </c>
      <c r="F1109" s="18">
        <v>0</v>
      </c>
      <c r="G1109" s="18">
        <v>0</v>
      </c>
      <c r="H1109" s="18">
        <v>0</v>
      </c>
      <c r="I1109" s="18">
        <v>8</v>
      </c>
      <c r="J1109" s="18">
        <v>0</v>
      </c>
      <c r="K1109" s="18">
        <v>0</v>
      </c>
      <c r="L1109" s="44">
        <v>0</v>
      </c>
      <c r="M1109" s="33"/>
      <c r="N1109" s="18">
        <v>72</v>
      </c>
      <c r="O1109" s="18">
        <v>0</v>
      </c>
      <c r="P1109" s="18">
        <v>0</v>
      </c>
      <c r="Q1109" s="18">
        <v>0</v>
      </c>
      <c r="R1109" s="33"/>
      <c r="S1109" s="18">
        <f>SUM(D1109:G1109)</f>
        <v>72</v>
      </c>
      <c r="T1109" s="18">
        <f>SUM(N1109:Q1109)</f>
        <v>72</v>
      </c>
      <c r="U1109" s="18">
        <f>SUM(H1109:K1109)</f>
        <v>8</v>
      </c>
      <c r="V1109" s="33"/>
      <c r="W1109" s="44">
        <v>35.86</v>
      </c>
      <c r="X1109" s="19">
        <f>(W1109*1*D1109)+(W1109*1.5*E1109)+(W1109*2*F1109)+(W1109*1*G1109)</f>
        <v>2581.92</v>
      </c>
      <c r="Y1109" s="19">
        <f>(W1109*0*H1109)+(W1109*1*I1109)</f>
        <v>286.88</v>
      </c>
      <c r="Z1109" s="19">
        <f>(W1109*1*J1109)+L1109</f>
        <v>0</v>
      </c>
      <c r="AA1109" s="20">
        <f>(W1109*1*K1109)</f>
        <v>0</v>
      </c>
      <c r="AB1109" s="20">
        <f>(W1109*1*N1109)+(W1109*1.5*O1109)+(W1109*2*P1109)+(W1109*1*Q1109)</f>
        <v>2581.92</v>
      </c>
      <c r="AC1109" s="66">
        <f t="shared" ref="AC1109:AC1114" si="2130">0-Y1109-AA1109</f>
        <v>-286.88</v>
      </c>
      <c r="AD1109" s="208"/>
      <c r="AE1109" s="66">
        <f t="shared" si="2129"/>
        <v>0</v>
      </c>
      <c r="AF1109" s="208">
        <f>SUM(AE1109:AE1117)</f>
        <v>33.079999999999018</v>
      </c>
      <c r="AG1109" s="8"/>
    </row>
    <row r="1110" spans="1:34" x14ac:dyDescent="0.45">
      <c r="A1110" s="22">
        <f>A1109</f>
        <v>45410</v>
      </c>
      <c r="B1110" s="15" t="s">
        <v>4</v>
      </c>
      <c r="C1110" s="48">
        <f>120*W1110</f>
        <v>3969.6</v>
      </c>
      <c r="D1110" s="13">
        <v>0</v>
      </c>
      <c r="E1110" s="13">
        <v>0</v>
      </c>
      <c r="F1110" s="13">
        <v>0</v>
      </c>
      <c r="G1110" s="13">
        <v>0</v>
      </c>
      <c r="H1110" s="13">
        <v>0</v>
      </c>
      <c r="I1110" s="13">
        <v>0</v>
      </c>
      <c r="J1110" s="13">
        <v>0</v>
      </c>
      <c r="K1110" s="13">
        <v>0</v>
      </c>
      <c r="L1110" s="45">
        <v>0</v>
      </c>
      <c r="M1110" s="34"/>
      <c r="N1110" s="13">
        <v>0</v>
      </c>
      <c r="O1110" s="13">
        <v>0</v>
      </c>
      <c r="P1110" s="13">
        <v>0</v>
      </c>
      <c r="Q1110" s="13">
        <v>0</v>
      </c>
      <c r="R1110" s="34"/>
      <c r="S1110" s="13">
        <f t="shared" ref="S1110" si="2131">SUM(D1110:G1110)</f>
        <v>0</v>
      </c>
      <c r="T1110" s="13">
        <f t="shared" ref="T1110" si="2132">SUM(N1110:Q1110)</f>
        <v>0</v>
      </c>
      <c r="U1110" s="13">
        <f>SUM(H1110:K1110)</f>
        <v>0</v>
      </c>
      <c r="V1110" s="34"/>
      <c r="W1110" s="45">
        <v>33.08</v>
      </c>
      <c r="X1110" s="10">
        <f t="shared" ref="X1110:X1111" si="2133">(W1110*1*D1110)+(W1110*1.5*E1110)+(W1110*2*F1110)+(W1110*1*G1110)</f>
        <v>0</v>
      </c>
      <c r="Y1110" s="10">
        <f t="shared" ref="Y1110:Y1117" si="2134">(W1110*0*H1110)+(W1110*1*I1110)</f>
        <v>0</v>
      </c>
      <c r="Z1110" s="10">
        <f t="shared" ref="Z1110:Z1112" si="2135">(W1110*1*J1110)+L1110</f>
        <v>0</v>
      </c>
      <c r="AA1110" s="14">
        <f t="shared" ref="AA1110:AA1117" si="2136">(W1110*1*K1110)</f>
        <v>0</v>
      </c>
      <c r="AB1110" s="14">
        <f t="shared" ref="AB1110:AB1112" si="2137">(W1110*1*N1110)+(W1110*1.5*O1110)+(W1110*2*P1110)+(W1110*1*Q1110)</f>
        <v>0</v>
      </c>
      <c r="AC1110" s="63">
        <f t="shared" si="2130"/>
        <v>0</v>
      </c>
      <c r="AD1110" s="209"/>
      <c r="AE1110" s="63">
        <f t="shared" si="2129"/>
        <v>0</v>
      </c>
      <c r="AF1110" s="209"/>
      <c r="AG1110" s="8"/>
    </row>
    <row r="1111" spans="1:34" x14ac:dyDescent="0.45">
      <c r="A1111" s="22">
        <f>A1109</f>
        <v>45410</v>
      </c>
      <c r="B1111" s="15" t="s">
        <v>5</v>
      </c>
      <c r="C1111" s="48">
        <f>120*W1111</f>
        <v>3836.3999999999996</v>
      </c>
      <c r="D1111" s="13">
        <v>80</v>
      </c>
      <c r="E1111" s="13">
        <v>25</v>
      </c>
      <c r="F1111" s="13">
        <v>12</v>
      </c>
      <c r="G1111" s="13">
        <v>7</v>
      </c>
      <c r="H1111" s="13">
        <v>0</v>
      </c>
      <c r="I1111" s="13">
        <v>0</v>
      </c>
      <c r="J1111" s="13">
        <v>0</v>
      </c>
      <c r="K1111" s="13">
        <v>0</v>
      </c>
      <c r="L1111" s="45">
        <v>0</v>
      </c>
      <c r="M1111" s="34"/>
      <c r="N1111" s="13">
        <v>80</v>
      </c>
      <c r="O1111" s="13">
        <v>25</v>
      </c>
      <c r="P1111" s="13">
        <v>12</v>
      </c>
      <c r="Q1111" s="13">
        <v>7</v>
      </c>
      <c r="R1111" s="34"/>
      <c r="S1111" s="13">
        <f t="shared" ref="S1111:S1112" si="2138">SUM(D1111:G1111)</f>
        <v>124</v>
      </c>
      <c r="T1111" s="13">
        <f>SUM(N1111:Q1111)</f>
        <v>124</v>
      </c>
      <c r="U1111" s="13">
        <f t="shared" ref="U1111:U1112" si="2139">SUM(H1111:K1111)</f>
        <v>0</v>
      </c>
      <c r="V1111" s="34"/>
      <c r="W1111" s="45">
        <v>31.97</v>
      </c>
      <c r="X1111" s="45">
        <f t="shared" si="2133"/>
        <v>4747.5450000000001</v>
      </c>
      <c r="Y1111" s="45">
        <f t="shared" si="2134"/>
        <v>0</v>
      </c>
      <c r="Z1111" s="45">
        <f t="shared" si="2135"/>
        <v>0</v>
      </c>
      <c r="AA1111" s="79">
        <f t="shared" si="2136"/>
        <v>0</v>
      </c>
      <c r="AB1111" s="79">
        <f t="shared" si="2137"/>
        <v>4747.5450000000001</v>
      </c>
      <c r="AC1111" s="80">
        <f t="shared" si="2130"/>
        <v>0</v>
      </c>
      <c r="AD1111" s="209"/>
      <c r="AE1111" s="80">
        <f t="shared" si="2129"/>
        <v>0</v>
      </c>
      <c r="AF1111" s="209"/>
      <c r="AG1111" s="8"/>
    </row>
    <row r="1112" spans="1:34" x14ac:dyDescent="0.45">
      <c r="A1112" s="22">
        <f>A1109</f>
        <v>45410</v>
      </c>
      <c r="B1112" s="15" t="s">
        <v>6</v>
      </c>
      <c r="C1112" s="48">
        <f>120*W1112</f>
        <v>3969.6</v>
      </c>
      <c r="D1112" s="13">
        <v>80</v>
      </c>
      <c r="E1112" s="13">
        <v>28.5</v>
      </c>
      <c r="F1112" s="13">
        <v>9.5</v>
      </c>
      <c r="G1112" s="13">
        <v>25.5</v>
      </c>
      <c r="H1112" s="13">
        <v>0</v>
      </c>
      <c r="I1112" s="13">
        <v>0</v>
      </c>
      <c r="J1112" s="13">
        <v>0</v>
      </c>
      <c r="K1112" s="13">
        <v>0</v>
      </c>
      <c r="L1112" s="45">
        <v>0</v>
      </c>
      <c r="M1112" s="34"/>
      <c r="N1112" s="13">
        <v>80</v>
      </c>
      <c r="O1112" s="13">
        <v>26.5</v>
      </c>
      <c r="P1112" s="13">
        <v>11.5</v>
      </c>
      <c r="Q1112" s="13">
        <v>25.5</v>
      </c>
      <c r="R1112" s="34"/>
      <c r="S1112" s="13">
        <f t="shared" si="2138"/>
        <v>143.5</v>
      </c>
      <c r="T1112" s="13">
        <f t="shared" ref="T1112" si="2140">SUM(N1112:Q1112)</f>
        <v>143.5</v>
      </c>
      <c r="U1112" s="13">
        <f t="shared" si="2139"/>
        <v>0</v>
      </c>
      <c r="V1112" s="34"/>
      <c r="W1112" s="45">
        <v>33.08</v>
      </c>
      <c r="X1112" s="45">
        <f>(W1112*1*D1112)+(W1112*1.5*E1112)+(W1112*2*F1112)+(W1112*1*G1112)</f>
        <v>5532.63</v>
      </c>
      <c r="Y1112" s="45">
        <f t="shared" si="2134"/>
        <v>0</v>
      </c>
      <c r="Z1112" s="45">
        <f t="shared" si="2135"/>
        <v>0</v>
      </c>
      <c r="AA1112" s="79">
        <f t="shared" si="2136"/>
        <v>0</v>
      </c>
      <c r="AB1112" s="79">
        <f t="shared" si="2137"/>
        <v>5565.7099999999991</v>
      </c>
      <c r="AC1112" s="80">
        <f t="shared" si="2130"/>
        <v>0</v>
      </c>
      <c r="AD1112" s="209"/>
      <c r="AE1112" s="80">
        <f t="shared" si="2129"/>
        <v>33.079999999999018</v>
      </c>
      <c r="AF1112" s="209"/>
      <c r="AG1112" s="8"/>
    </row>
    <row r="1113" spans="1:34" x14ac:dyDescent="0.45">
      <c r="A1113" s="22">
        <f>A1109</f>
        <v>45410</v>
      </c>
      <c r="B1113" s="50" t="s">
        <v>31</v>
      </c>
      <c r="C1113" s="48">
        <f>120*W1113</f>
        <v>3969.6</v>
      </c>
      <c r="D1113" s="13">
        <v>80</v>
      </c>
      <c r="E1113" s="13">
        <v>12.25</v>
      </c>
      <c r="F1113" s="13">
        <v>0</v>
      </c>
      <c r="G1113" s="13">
        <v>11</v>
      </c>
      <c r="H1113" s="13">
        <v>0</v>
      </c>
      <c r="I1113" s="13">
        <v>0</v>
      </c>
      <c r="J1113" s="13">
        <v>0</v>
      </c>
      <c r="K1113" s="13">
        <v>0</v>
      </c>
      <c r="L1113" s="45">
        <v>0</v>
      </c>
      <c r="M1113" s="34"/>
      <c r="N1113" s="13">
        <v>80</v>
      </c>
      <c r="O1113" s="13">
        <v>12.25</v>
      </c>
      <c r="P1113" s="13">
        <v>0</v>
      </c>
      <c r="Q1113" s="13">
        <v>11</v>
      </c>
      <c r="R1113" s="34"/>
      <c r="S1113" s="13">
        <f t="shared" ref="S1113" si="2141">SUM(D1113:G1113)</f>
        <v>103.25</v>
      </c>
      <c r="T1113" s="13">
        <f>SUM(N1113:Q1113)</f>
        <v>103.25</v>
      </c>
      <c r="U1113" s="13">
        <f t="shared" ref="U1113:U1117" si="2142">SUM(H1113:K1113)</f>
        <v>0</v>
      </c>
      <c r="V1113" s="34"/>
      <c r="W1113" s="45">
        <v>33.08</v>
      </c>
      <c r="X1113" s="52">
        <f>(W1113*1*D1113)+(W1113*1.5*E1113)+(W1113*2*F1113)+(W1113*1*G1113)</f>
        <v>3618.1249999999995</v>
      </c>
      <c r="Y1113" s="52">
        <f t="shared" si="2134"/>
        <v>0</v>
      </c>
      <c r="Z1113" s="52">
        <f>(W1113*1*J1113)+L1113</f>
        <v>0</v>
      </c>
      <c r="AA1113" s="96">
        <f t="shared" si="2136"/>
        <v>0</v>
      </c>
      <c r="AB1113" s="96">
        <f>(W1113*1*N1113)+(W1113*1.5*O1113)+(W1113*2*P1113)+(W1113*1*Q1113)</f>
        <v>3618.1249999999995</v>
      </c>
      <c r="AC1113" s="97">
        <f t="shared" si="2130"/>
        <v>0</v>
      </c>
      <c r="AD1113" s="209"/>
      <c r="AE1113" s="97">
        <f t="shared" si="2129"/>
        <v>0</v>
      </c>
      <c r="AF1113" s="209"/>
      <c r="AG1113" s="8"/>
      <c r="AH1113">
        <v>24338.54</v>
      </c>
    </row>
    <row r="1114" spans="1:34" x14ac:dyDescent="0.45">
      <c r="A1114" s="22">
        <f>A1109</f>
        <v>45410</v>
      </c>
      <c r="B1114" s="50" t="s">
        <v>64</v>
      </c>
      <c r="C1114" s="48">
        <f t="shared" ref="C1114:C1117" si="2143">80*W1114</f>
        <v>2000</v>
      </c>
      <c r="D1114" s="13">
        <v>80</v>
      </c>
      <c r="E1114" s="13">
        <v>7.75</v>
      </c>
      <c r="F1114" s="13">
        <v>0</v>
      </c>
      <c r="G1114" s="13">
        <v>0</v>
      </c>
      <c r="H1114" s="13">
        <v>0</v>
      </c>
      <c r="I1114" s="13">
        <v>0</v>
      </c>
      <c r="J1114" s="13">
        <v>0</v>
      </c>
      <c r="K1114" s="13">
        <v>0</v>
      </c>
      <c r="L1114" s="45">
        <v>0</v>
      </c>
      <c r="M1114" s="34"/>
      <c r="N1114" s="13">
        <v>80</v>
      </c>
      <c r="O1114" s="13">
        <v>7.75</v>
      </c>
      <c r="P1114" s="13">
        <v>0</v>
      </c>
      <c r="Q1114" s="13">
        <v>0</v>
      </c>
      <c r="R1114" s="34"/>
      <c r="S1114" s="13">
        <f t="shared" ref="S1114:S1115" si="2144">SUM(D1114:G1114)</f>
        <v>87.75</v>
      </c>
      <c r="T1114" s="13">
        <f>SUM(N1114:Q1114)</f>
        <v>87.75</v>
      </c>
      <c r="U1114" s="13">
        <f t="shared" si="2142"/>
        <v>0</v>
      </c>
      <c r="V1114" s="34"/>
      <c r="W1114" s="52">
        <v>25</v>
      </c>
      <c r="X1114" s="52">
        <f t="shared" ref="X1114:X1115" si="2145">(W1114*1*D1114)+(W1114*1.5*E1114)+(W1114*2*F1114)+(W1114*1*G1114)</f>
        <v>2290.625</v>
      </c>
      <c r="Y1114" s="52">
        <f t="shared" si="2134"/>
        <v>0</v>
      </c>
      <c r="Z1114" s="52">
        <f t="shared" ref="Z1114:Z1117" si="2146">(W1114*1*J1114)+L1114</f>
        <v>0</v>
      </c>
      <c r="AA1114" s="96">
        <f t="shared" si="2136"/>
        <v>0</v>
      </c>
      <c r="AB1114" s="96">
        <f t="shared" ref="AB1114:AB1117" si="2147">(W1114*1*N1114)+(W1114*1.5*O1114)+(W1114*2*P1114)+(W1114*1*Q1114)</f>
        <v>2290.625</v>
      </c>
      <c r="AC1114" s="97">
        <f t="shared" si="2130"/>
        <v>0</v>
      </c>
      <c r="AD1114" s="209"/>
      <c r="AE1114" s="97">
        <f t="shared" si="2129"/>
        <v>0</v>
      </c>
      <c r="AF1114" s="209"/>
      <c r="AG1114" s="8"/>
      <c r="AH1114">
        <v>-3024.03</v>
      </c>
    </row>
    <row r="1115" spans="1:34" x14ac:dyDescent="0.45">
      <c r="A1115" s="22">
        <f>A1109</f>
        <v>45410</v>
      </c>
      <c r="B1115" s="50" t="s">
        <v>54</v>
      </c>
      <c r="C1115" s="48">
        <f t="shared" si="2143"/>
        <v>2125.6</v>
      </c>
      <c r="D1115" s="13">
        <v>80</v>
      </c>
      <c r="E1115" s="13">
        <v>10</v>
      </c>
      <c r="F1115" s="13">
        <v>0</v>
      </c>
      <c r="G1115" s="13">
        <v>0</v>
      </c>
      <c r="H1115" s="13">
        <v>0</v>
      </c>
      <c r="I1115" s="13">
        <v>0</v>
      </c>
      <c r="J1115" s="13">
        <v>0</v>
      </c>
      <c r="K1115" s="13">
        <v>0</v>
      </c>
      <c r="L1115" s="45">
        <v>0</v>
      </c>
      <c r="M1115" s="34"/>
      <c r="N1115" s="13">
        <v>80</v>
      </c>
      <c r="O1115" s="13">
        <v>10</v>
      </c>
      <c r="P1115" s="13">
        <v>0</v>
      </c>
      <c r="Q1115" s="13">
        <v>0</v>
      </c>
      <c r="R1115" s="34"/>
      <c r="S1115" s="13">
        <f t="shared" si="2144"/>
        <v>90</v>
      </c>
      <c r="T1115" s="13">
        <f t="shared" ref="T1115" si="2148">SUM(N1115:Q1115)</f>
        <v>90</v>
      </c>
      <c r="U1115" s="13">
        <f t="shared" si="2142"/>
        <v>0</v>
      </c>
      <c r="V1115" s="34"/>
      <c r="W1115" s="52">
        <v>26.57</v>
      </c>
      <c r="X1115" s="52">
        <f t="shared" si="2145"/>
        <v>2524.15</v>
      </c>
      <c r="Y1115" s="52">
        <f t="shared" si="2134"/>
        <v>0</v>
      </c>
      <c r="Z1115" s="52">
        <f t="shared" si="2146"/>
        <v>0</v>
      </c>
      <c r="AA1115" s="96">
        <f t="shared" si="2136"/>
        <v>0</v>
      </c>
      <c r="AB1115" s="96">
        <f t="shared" si="2147"/>
        <v>2524.15</v>
      </c>
      <c r="AC1115" s="97">
        <f>0-Y1115-AA1115</f>
        <v>0</v>
      </c>
      <c r="AD1115" s="209"/>
      <c r="AE1115" s="97">
        <f t="shared" si="2129"/>
        <v>0</v>
      </c>
      <c r="AF1115" s="209"/>
      <c r="AG1115" s="8"/>
      <c r="AH1115">
        <v>-1643.05</v>
      </c>
    </row>
    <row r="1116" spans="1:34" x14ac:dyDescent="0.45">
      <c r="A1116" s="22">
        <f>A1109</f>
        <v>45410</v>
      </c>
      <c r="B1116" s="50" t="s">
        <v>65</v>
      </c>
      <c r="C1116" s="48">
        <f t="shared" si="2143"/>
        <v>1920</v>
      </c>
      <c r="D1116" s="51">
        <v>80</v>
      </c>
      <c r="E1116" s="51">
        <v>5</v>
      </c>
      <c r="F1116" s="51">
        <v>0</v>
      </c>
      <c r="G1116" s="51">
        <v>0</v>
      </c>
      <c r="H1116" s="51">
        <v>0</v>
      </c>
      <c r="I1116" s="51">
        <v>0</v>
      </c>
      <c r="J1116" s="51">
        <v>0</v>
      </c>
      <c r="K1116" s="51">
        <v>0</v>
      </c>
      <c r="L1116" s="52">
        <v>0</v>
      </c>
      <c r="M1116" s="34"/>
      <c r="N1116" s="51">
        <v>80</v>
      </c>
      <c r="O1116" s="51">
        <v>5</v>
      </c>
      <c r="P1116" s="51">
        <v>0</v>
      </c>
      <c r="Q1116" s="51">
        <v>0</v>
      </c>
      <c r="R1116" s="34"/>
      <c r="S1116" s="51">
        <f t="shared" ref="S1116:S1117" si="2149">SUM(D1116:G1116)</f>
        <v>85</v>
      </c>
      <c r="T1116" s="51">
        <f t="shared" ref="T1116:T1117" si="2150">SUM(N1116:Q1116)</f>
        <v>85</v>
      </c>
      <c r="U1116" s="51">
        <f t="shared" si="2142"/>
        <v>0</v>
      </c>
      <c r="V1116" s="34"/>
      <c r="W1116" s="52">
        <v>24</v>
      </c>
      <c r="X1116" s="53">
        <f>(W1116*1*D1116)+(W1116*1.5*E1116)+(W1116*2*F1116)+(W1116*1*G1116)</f>
        <v>2100</v>
      </c>
      <c r="Y1116" s="53">
        <f t="shared" si="2134"/>
        <v>0</v>
      </c>
      <c r="Z1116" s="53">
        <f t="shared" si="2146"/>
        <v>0</v>
      </c>
      <c r="AA1116" s="54">
        <f t="shared" si="2136"/>
        <v>0</v>
      </c>
      <c r="AB1116" s="54">
        <f t="shared" si="2147"/>
        <v>2100</v>
      </c>
      <c r="AC1116" s="64">
        <f>0-Y1116-AA1116</f>
        <v>0</v>
      </c>
      <c r="AD1116" s="209"/>
      <c r="AE1116" s="64">
        <f>AB1116-(X1116+Z1116)</f>
        <v>0</v>
      </c>
      <c r="AF1116" s="209"/>
      <c r="AG1116" s="8"/>
      <c r="AH1116">
        <v>-1454.35</v>
      </c>
    </row>
    <row r="1117" spans="1:34" ht="14.65" thickBot="1" x14ac:dyDescent="0.5">
      <c r="A1117" s="23">
        <f>A1109</f>
        <v>45410</v>
      </c>
      <c r="B1117" s="24" t="s">
        <v>66</v>
      </c>
      <c r="C1117" s="49">
        <f t="shared" si="2143"/>
        <v>1756</v>
      </c>
      <c r="D1117" s="25">
        <v>78.5</v>
      </c>
      <c r="E1117" s="25">
        <v>3.25</v>
      </c>
      <c r="F1117" s="25">
        <v>0</v>
      </c>
      <c r="G1117" s="25">
        <v>0</v>
      </c>
      <c r="H1117" s="25">
        <v>0</v>
      </c>
      <c r="I1117" s="25">
        <v>0</v>
      </c>
      <c r="J1117" s="25">
        <v>0</v>
      </c>
      <c r="K1117" s="25">
        <v>0</v>
      </c>
      <c r="L1117" s="46">
        <v>0</v>
      </c>
      <c r="M1117" s="35"/>
      <c r="N1117" s="25">
        <v>78.5</v>
      </c>
      <c r="O1117" s="25">
        <v>3.25</v>
      </c>
      <c r="P1117" s="25">
        <v>0</v>
      </c>
      <c r="Q1117" s="25">
        <v>0</v>
      </c>
      <c r="R1117" s="35"/>
      <c r="S1117" s="25">
        <f t="shared" si="2149"/>
        <v>81.75</v>
      </c>
      <c r="T1117" s="25">
        <f t="shared" si="2150"/>
        <v>81.75</v>
      </c>
      <c r="U1117" s="25">
        <f t="shared" si="2142"/>
        <v>0</v>
      </c>
      <c r="V1117" s="35"/>
      <c r="W1117" s="46">
        <v>21.95</v>
      </c>
      <c r="X1117" s="26">
        <f t="shared" ref="X1117" si="2151">(W1117*1*D1117)+(W1117*1.5*E1117)+(W1117*2*F1117)+(W1117*1*G1117)</f>
        <v>1830.08125</v>
      </c>
      <c r="Y1117" s="26">
        <f t="shared" si="2134"/>
        <v>0</v>
      </c>
      <c r="Z1117" s="26">
        <f t="shared" si="2146"/>
        <v>0</v>
      </c>
      <c r="AA1117" s="27">
        <f t="shared" si="2136"/>
        <v>0</v>
      </c>
      <c r="AB1117" s="27">
        <f t="shared" si="2147"/>
        <v>1830.08125</v>
      </c>
      <c r="AC1117" s="65">
        <f>0-Y1117-AA1117</f>
        <v>0</v>
      </c>
      <c r="AD1117" s="210"/>
      <c r="AE1117" s="65">
        <f t="shared" ref="AE1117:AE1124" si="2152">AB1117-(X1117+Z1117)</f>
        <v>0</v>
      </c>
      <c r="AF1117" s="210"/>
      <c r="AG1117" s="8"/>
      <c r="AH1117">
        <f>SUM(AH1113:AH1116)</f>
        <v>18217.110000000004</v>
      </c>
    </row>
    <row r="1118" spans="1:34" x14ac:dyDescent="0.45">
      <c r="A1118" s="16">
        <f>A1117+14</f>
        <v>45424</v>
      </c>
      <c r="B1118" s="17" t="s">
        <v>30</v>
      </c>
      <c r="C1118" s="47">
        <f>120*W1118</f>
        <v>4303.2</v>
      </c>
      <c r="D1118" s="18">
        <v>80</v>
      </c>
      <c r="E1118" s="18">
        <v>0</v>
      </c>
      <c r="F1118" s="18">
        <v>0</v>
      </c>
      <c r="G1118" s="18">
        <v>0</v>
      </c>
      <c r="H1118" s="18">
        <v>0</v>
      </c>
      <c r="I1118" s="18">
        <v>0</v>
      </c>
      <c r="J1118" s="18">
        <v>0</v>
      </c>
      <c r="K1118" s="18">
        <v>0</v>
      </c>
      <c r="L1118" s="44">
        <v>0</v>
      </c>
      <c r="M1118" s="33"/>
      <c r="N1118" s="18">
        <v>80</v>
      </c>
      <c r="O1118" s="18">
        <v>0</v>
      </c>
      <c r="P1118" s="18">
        <v>0</v>
      </c>
      <c r="Q1118" s="18">
        <v>0</v>
      </c>
      <c r="R1118" s="33"/>
      <c r="S1118" s="18">
        <f>SUM(D1118:G1118)</f>
        <v>80</v>
      </c>
      <c r="T1118" s="18">
        <f>SUM(N1118:Q1118)</f>
        <v>80</v>
      </c>
      <c r="U1118" s="18">
        <f>SUM(H1118:K1118)</f>
        <v>0</v>
      </c>
      <c r="V1118" s="33"/>
      <c r="W1118" s="44">
        <v>35.86</v>
      </c>
      <c r="X1118" s="19">
        <f>(W1118*1*D1118)+(W1118*1.5*E1118)+(W1118*2*F1118)+(W1118*1*G1118)</f>
        <v>2868.8</v>
      </c>
      <c r="Y1118" s="19">
        <f>(W1118*0*H1118)+(W1118*1*I1118)</f>
        <v>0</v>
      </c>
      <c r="Z1118" s="19">
        <f>(W1118*1*J1118)+L1118</f>
        <v>0</v>
      </c>
      <c r="AA1118" s="20">
        <f>(W1118*1*K1118)</f>
        <v>0</v>
      </c>
      <c r="AB1118" s="20">
        <f>(W1118*1*N1118)+(W1118*1.5*O1118)+(W1118*2*P1118)+(W1118*1*Q1118)</f>
        <v>2868.8</v>
      </c>
      <c r="AC1118" s="66">
        <f t="shared" ref="AC1118:AC1123" si="2153">0-Y1118-AA1118</f>
        <v>0</v>
      </c>
      <c r="AD1118" s="208"/>
      <c r="AE1118" s="66">
        <f t="shared" si="2152"/>
        <v>0</v>
      </c>
      <c r="AF1118" s="208">
        <f>SUM(AE1118:AE1126)</f>
        <v>129.54500000000098</v>
      </c>
      <c r="AG1118" s="8"/>
    </row>
    <row r="1119" spans="1:34" x14ac:dyDescent="0.45">
      <c r="A1119" s="22">
        <f>A1118</f>
        <v>45424</v>
      </c>
      <c r="B1119" s="15" t="s">
        <v>4</v>
      </c>
      <c r="C1119" s="48">
        <f>120*W1119</f>
        <v>3969.6</v>
      </c>
      <c r="D1119" s="13">
        <v>0</v>
      </c>
      <c r="E1119" s="13">
        <v>0</v>
      </c>
      <c r="F1119" s="13">
        <v>0</v>
      </c>
      <c r="G1119" s="13">
        <v>0</v>
      </c>
      <c r="H1119" s="13">
        <v>0</v>
      </c>
      <c r="I1119" s="13">
        <v>0</v>
      </c>
      <c r="J1119" s="13">
        <v>0</v>
      </c>
      <c r="K1119" s="13">
        <v>0</v>
      </c>
      <c r="L1119" s="45">
        <v>0</v>
      </c>
      <c r="M1119" s="34"/>
      <c r="N1119" s="13">
        <v>0</v>
      </c>
      <c r="O1119" s="13">
        <v>0</v>
      </c>
      <c r="P1119" s="13">
        <v>0</v>
      </c>
      <c r="Q1119" s="13">
        <v>0</v>
      </c>
      <c r="R1119" s="34"/>
      <c r="S1119" s="13">
        <f t="shared" ref="S1119" si="2154">SUM(D1119:G1119)</f>
        <v>0</v>
      </c>
      <c r="T1119" s="13">
        <f t="shared" ref="T1119" si="2155">SUM(N1119:Q1119)</f>
        <v>0</v>
      </c>
      <c r="U1119" s="13">
        <f>SUM(H1119:K1119)</f>
        <v>0</v>
      </c>
      <c r="V1119" s="34"/>
      <c r="W1119" s="45">
        <v>33.08</v>
      </c>
      <c r="X1119" s="10">
        <f t="shared" ref="X1119:X1120" si="2156">(W1119*1*D1119)+(W1119*1.5*E1119)+(W1119*2*F1119)+(W1119*1*G1119)</f>
        <v>0</v>
      </c>
      <c r="Y1119" s="10">
        <f t="shared" ref="Y1119:Y1126" si="2157">(W1119*0*H1119)+(W1119*1*I1119)</f>
        <v>0</v>
      </c>
      <c r="Z1119" s="10">
        <f t="shared" ref="Z1119:Z1121" si="2158">(W1119*1*J1119)+L1119</f>
        <v>0</v>
      </c>
      <c r="AA1119" s="14">
        <f t="shared" ref="AA1119:AA1126" si="2159">(W1119*1*K1119)</f>
        <v>0</v>
      </c>
      <c r="AB1119" s="14">
        <f t="shared" ref="AB1119:AB1121" si="2160">(W1119*1*N1119)+(W1119*1.5*O1119)+(W1119*2*P1119)+(W1119*1*Q1119)</f>
        <v>0</v>
      </c>
      <c r="AC1119" s="63">
        <f t="shared" si="2153"/>
        <v>0</v>
      </c>
      <c r="AD1119" s="209"/>
      <c r="AE1119" s="63">
        <f t="shared" si="2152"/>
        <v>0</v>
      </c>
      <c r="AF1119" s="209"/>
      <c r="AG1119" s="8"/>
    </row>
    <row r="1120" spans="1:34" x14ac:dyDescent="0.45">
      <c r="A1120" s="22">
        <f>A1118</f>
        <v>45424</v>
      </c>
      <c r="B1120" s="15" t="s">
        <v>5</v>
      </c>
      <c r="C1120" s="48">
        <f>120*W1120</f>
        <v>3836.3999999999996</v>
      </c>
      <c r="D1120" s="13">
        <v>80</v>
      </c>
      <c r="E1120" s="13">
        <v>37</v>
      </c>
      <c r="F1120" s="13">
        <v>10</v>
      </c>
      <c r="G1120" s="13">
        <v>18</v>
      </c>
      <c r="H1120" s="13">
        <v>0</v>
      </c>
      <c r="I1120" s="13">
        <v>0</v>
      </c>
      <c r="J1120" s="13">
        <v>0</v>
      </c>
      <c r="K1120" s="13">
        <v>0</v>
      </c>
      <c r="L1120" s="45">
        <v>0</v>
      </c>
      <c r="M1120" s="34"/>
      <c r="N1120" s="13">
        <v>80</v>
      </c>
      <c r="O1120" s="13">
        <v>32</v>
      </c>
      <c r="P1120" s="13">
        <v>15</v>
      </c>
      <c r="Q1120" s="13">
        <v>18</v>
      </c>
      <c r="R1120" s="34"/>
      <c r="S1120" s="13">
        <f t="shared" ref="S1120:S1121" si="2161">SUM(D1120:G1120)</f>
        <v>145</v>
      </c>
      <c r="T1120" s="13">
        <f>SUM(N1120:Q1120)</f>
        <v>145</v>
      </c>
      <c r="U1120" s="13">
        <f t="shared" ref="U1120:U1121" si="2162">SUM(H1120:K1120)</f>
        <v>0</v>
      </c>
      <c r="V1120" s="34"/>
      <c r="W1120" s="45">
        <v>31.97</v>
      </c>
      <c r="X1120" s="45">
        <f t="shared" si="2156"/>
        <v>5546.7949999999992</v>
      </c>
      <c r="Y1120" s="45">
        <f t="shared" si="2157"/>
        <v>0</v>
      </c>
      <c r="Z1120" s="45">
        <f t="shared" si="2158"/>
        <v>0</v>
      </c>
      <c r="AA1120" s="79">
        <f t="shared" si="2159"/>
        <v>0</v>
      </c>
      <c r="AB1120" s="79">
        <f t="shared" si="2160"/>
        <v>5626.72</v>
      </c>
      <c r="AC1120" s="80">
        <f t="shared" si="2153"/>
        <v>0</v>
      </c>
      <c r="AD1120" s="209"/>
      <c r="AE1120" s="80">
        <f t="shared" si="2152"/>
        <v>79.925000000001091</v>
      </c>
      <c r="AF1120" s="209"/>
      <c r="AG1120" s="8"/>
    </row>
    <row r="1121" spans="1:34" x14ac:dyDescent="0.45">
      <c r="A1121" s="22">
        <f>A1118</f>
        <v>45424</v>
      </c>
      <c r="B1121" s="15" t="s">
        <v>6</v>
      </c>
      <c r="C1121" s="48">
        <f>120*W1121</f>
        <v>3969.6</v>
      </c>
      <c r="D1121" s="13">
        <v>64</v>
      </c>
      <c r="E1121" s="13">
        <v>18</v>
      </c>
      <c r="F1121" s="13">
        <v>12</v>
      </c>
      <c r="G1121" s="13">
        <v>24.5</v>
      </c>
      <c r="H1121" s="13">
        <v>0</v>
      </c>
      <c r="I1121" s="13">
        <v>0</v>
      </c>
      <c r="J1121" s="13">
        <v>0</v>
      </c>
      <c r="K1121" s="13">
        <v>0</v>
      </c>
      <c r="L1121" s="45">
        <v>0</v>
      </c>
      <c r="M1121" s="34"/>
      <c r="N1121" s="13">
        <v>64</v>
      </c>
      <c r="O1121" s="13">
        <v>18</v>
      </c>
      <c r="P1121" s="13">
        <v>12</v>
      </c>
      <c r="Q1121" s="13">
        <v>24.5</v>
      </c>
      <c r="R1121" s="34"/>
      <c r="S1121" s="13">
        <f t="shared" si="2161"/>
        <v>118.5</v>
      </c>
      <c r="T1121" s="13">
        <f t="shared" ref="T1121" si="2163">SUM(N1121:Q1121)</f>
        <v>118.5</v>
      </c>
      <c r="U1121" s="13">
        <f t="shared" si="2162"/>
        <v>0</v>
      </c>
      <c r="V1121" s="34"/>
      <c r="W1121" s="45">
        <v>33.08</v>
      </c>
      <c r="X1121" s="45">
        <f>(W1121*1*D1121)+(W1121*1.5*E1121)+(W1121*2*F1121)+(W1121*1*G1121)</f>
        <v>4614.66</v>
      </c>
      <c r="Y1121" s="45">
        <f t="shared" si="2157"/>
        <v>0</v>
      </c>
      <c r="Z1121" s="45">
        <f t="shared" si="2158"/>
        <v>0</v>
      </c>
      <c r="AA1121" s="79">
        <f t="shared" si="2159"/>
        <v>0</v>
      </c>
      <c r="AB1121" s="79">
        <f t="shared" si="2160"/>
        <v>4614.66</v>
      </c>
      <c r="AC1121" s="80">
        <f t="shared" si="2153"/>
        <v>0</v>
      </c>
      <c r="AD1121" s="209"/>
      <c r="AE1121" s="80">
        <f t="shared" si="2152"/>
        <v>0</v>
      </c>
      <c r="AF1121" s="209"/>
      <c r="AG1121" s="8"/>
    </row>
    <row r="1122" spans="1:34" x14ac:dyDescent="0.45">
      <c r="A1122" s="22">
        <f>A1118</f>
        <v>45424</v>
      </c>
      <c r="B1122" s="50" t="s">
        <v>31</v>
      </c>
      <c r="C1122" s="48">
        <f>120*W1122</f>
        <v>3969.6</v>
      </c>
      <c r="D1122" s="13">
        <v>80</v>
      </c>
      <c r="E1122" s="13">
        <v>5.75</v>
      </c>
      <c r="F1122" s="13">
        <v>0</v>
      </c>
      <c r="G1122" s="13">
        <v>5</v>
      </c>
      <c r="H1122" s="13">
        <v>0</v>
      </c>
      <c r="I1122" s="13">
        <v>0</v>
      </c>
      <c r="J1122" s="13">
        <v>0</v>
      </c>
      <c r="K1122" s="13">
        <v>0</v>
      </c>
      <c r="L1122" s="45">
        <v>0</v>
      </c>
      <c r="M1122" s="34"/>
      <c r="N1122" s="13">
        <v>80</v>
      </c>
      <c r="O1122" s="13">
        <v>6.75</v>
      </c>
      <c r="P1122" s="13">
        <v>0</v>
      </c>
      <c r="Q1122" s="13">
        <v>5</v>
      </c>
      <c r="R1122" s="34"/>
      <c r="S1122" s="13">
        <f t="shared" ref="S1122" si="2164">SUM(D1122:G1122)</f>
        <v>90.75</v>
      </c>
      <c r="T1122" s="13">
        <f>SUM(N1122:Q1122)</f>
        <v>91.75</v>
      </c>
      <c r="U1122" s="13">
        <f t="shared" ref="U1122:U1126" si="2165">SUM(H1122:K1122)</f>
        <v>0</v>
      </c>
      <c r="V1122" s="34"/>
      <c r="W1122" s="45">
        <v>33.08</v>
      </c>
      <c r="X1122" s="52">
        <f>(W1122*1*D1122)+(W1122*1.5*E1122)+(W1122*2*F1122)+(W1122*1*G1122)</f>
        <v>3097.1149999999998</v>
      </c>
      <c r="Y1122" s="52">
        <f t="shared" si="2157"/>
        <v>0</v>
      </c>
      <c r="Z1122" s="52">
        <f>(W1122*1*J1122)+L1122</f>
        <v>0</v>
      </c>
      <c r="AA1122" s="96">
        <f t="shared" si="2159"/>
        <v>0</v>
      </c>
      <c r="AB1122" s="96">
        <f>(W1122*1*N1122)+(W1122*1.5*O1122)+(W1122*2*P1122)+(W1122*1*Q1122)</f>
        <v>3146.7349999999997</v>
      </c>
      <c r="AC1122" s="97">
        <f t="shared" si="2153"/>
        <v>0</v>
      </c>
      <c r="AD1122" s="209"/>
      <c r="AE1122" s="97">
        <f t="shared" si="2152"/>
        <v>49.619999999999891</v>
      </c>
      <c r="AF1122" s="209"/>
      <c r="AG1122" s="8"/>
      <c r="AH1122">
        <v>23128.78</v>
      </c>
    </row>
    <row r="1123" spans="1:34" x14ac:dyDescent="0.45">
      <c r="A1123" s="22">
        <f>A1118</f>
        <v>45424</v>
      </c>
      <c r="B1123" s="50" t="s">
        <v>64</v>
      </c>
      <c r="C1123" s="48">
        <f t="shared" ref="C1123:C1126" si="2166">80*W1123</f>
        <v>2000</v>
      </c>
      <c r="D1123" s="13">
        <v>80</v>
      </c>
      <c r="E1123" s="13">
        <v>1</v>
      </c>
      <c r="F1123" s="13">
        <v>0</v>
      </c>
      <c r="G1123" s="13">
        <v>0</v>
      </c>
      <c r="H1123" s="13">
        <v>0</v>
      </c>
      <c r="I1123" s="13">
        <v>0</v>
      </c>
      <c r="J1123" s="13">
        <v>0</v>
      </c>
      <c r="K1123" s="13">
        <v>0</v>
      </c>
      <c r="L1123" s="45">
        <v>0</v>
      </c>
      <c r="M1123" s="34"/>
      <c r="N1123" s="13">
        <v>80</v>
      </c>
      <c r="O1123" s="13">
        <v>1</v>
      </c>
      <c r="P1123" s="13">
        <v>0</v>
      </c>
      <c r="Q1123" s="13">
        <v>0</v>
      </c>
      <c r="R1123" s="34"/>
      <c r="S1123" s="13">
        <f t="shared" ref="S1123:S1124" si="2167">SUM(D1123:G1123)</f>
        <v>81</v>
      </c>
      <c r="T1123" s="13">
        <f>SUM(N1123:Q1123)</f>
        <v>81</v>
      </c>
      <c r="U1123" s="13">
        <f t="shared" si="2165"/>
        <v>0</v>
      </c>
      <c r="V1123" s="34"/>
      <c r="W1123" s="52">
        <v>25</v>
      </c>
      <c r="X1123" s="52">
        <f t="shared" ref="X1123:X1124" si="2168">(W1123*1*D1123)+(W1123*1.5*E1123)+(W1123*2*F1123)+(W1123*1*G1123)</f>
        <v>2037.5</v>
      </c>
      <c r="Y1123" s="52">
        <f t="shared" si="2157"/>
        <v>0</v>
      </c>
      <c r="Z1123" s="52">
        <f t="shared" ref="Z1123:Z1126" si="2169">(W1123*1*J1123)+L1123</f>
        <v>0</v>
      </c>
      <c r="AA1123" s="96">
        <f t="shared" si="2159"/>
        <v>0</v>
      </c>
      <c r="AB1123" s="96">
        <f t="shared" ref="AB1123:AB1126" si="2170">(W1123*1*N1123)+(W1123*1.5*O1123)+(W1123*2*P1123)+(W1123*1*Q1123)</f>
        <v>2037.5</v>
      </c>
      <c r="AC1123" s="97">
        <f t="shared" si="2153"/>
        <v>0</v>
      </c>
      <c r="AD1123" s="209"/>
      <c r="AE1123" s="97">
        <f t="shared" si="2152"/>
        <v>0</v>
      </c>
      <c r="AF1123" s="209"/>
      <c r="AG1123" s="8"/>
      <c r="AH1123">
        <v>-3024.03</v>
      </c>
    </row>
    <row r="1124" spans="1:34" x14ac:dyDescent="0.45">
      <c r="A1124" s="22">
        <f>A1118</f>
        <v>45424</v>
      </c>
      <c r="B1124" s="50" t="s">
        <v>54</v>
      </c>
      <c r="C1124" s="48">
        <f t="shared" si="2166"/>
        <v>2125.6</v>
      </c>
      <c r="D1124" s="13">
        <v>80</v>
      </c>
      <c r="E1124" s="13">
        <v>0</v>
      </c>
      <c r="F1124" s="13">
        <v>0</v>
      </c>
      <c r="G1124" s="13">
        <v>0</v>
      </c>
      <c r="H1124" s="13">
        <v>0</v>
      </c>
      <c r="I1124" s="13">
        <v>0</v>
      </c>
      <c r="J1124" s="13">
        <v>0</v>
      </c>
      <c r="K1124" s="13">
        <v>0</v>
      </c>
      <c r="L1124" s="45">
        <v>0</v>
      </c>
      <c r="M1124" s="34"/>
      <c r="N1124" s="13">
        <v>80</v>
      </c>
      <c r="O1124" s="13">
        <v>0</v>
      </c>
      <c r="P1124" s="13">
        <v>0</v>
      </c>
      <c r="Q1124" s="13">
        <v>0</v>
      </c>
      <c r="R1124" s="34"/>
      <c r="S1124" s="13">
        <f t="shared" si="2167"/>
        <v>80</v>
      </c>
      <c r="T1124" s="13">
        <f t="shared" ref="T1124" si="2171">SUM(N1124:Q1124)</f>
        <v>80</v>
      </c>
      <c r="U1124" s="13">
        <f t="shared" si="2165"/>
        <v>0</v>
      </c>
      <c r="V1124" s="34"/>
      <c r="W1124" s="52">
        <v>26.57</v>
      </c>
      <c r="X1124" s="52">
        <f t="shared" si="2168"/>
        <v>2125.6</v>
      </c>
      <c r="Y1124" s="52">
        <f t="shared" si="2157"/>
        <v>0</v>
      </c>
      <c r="Z1124" s="52">
        <f t="shared" si="2169"/>
        <v>0</v>
      </c>
      <c r="AA1124" s="96">
        <f t="shared" si="2159"/>
        <v>0</v>
      </c>
      <c r="AB1124" s="96">
        <f t="shared" si="2170"/>
        <v>2125.6</v>
      </c>
      <c r="AC1124" s="97">
        <f>0-Y1124-AA1124</f>
        <v>0</v>
      </c>
      <c r="AD1124" s="209"/>
      <c r="AE1124" s="97">
        <f t="shared" si="2152"/>
        <v>0</v>
      </c>
      <c r="AF1124" s="209"/>
      <c r="AG1124" s="8"/>
      <c r="AH1124">
        <v>-1379.7</v>
      </c>
    </row>
    <row r="1125" spans="1:34" x14ac:dyDescent="0.45">
      <c r="A1125" s="22">
        <f>A1118</f>
        <v>45424</v>
      </c>
      <c r="B1125" s="50" t="s">
        <v>65</v>
      </c>
      <c r="C1125" s="48">
        <f t="shared" si="2166"/>
        <v>1920</v>
      </c>
      <c r="D1125" s="51">
        <v>72</v>
      </c>
      <c r="E1125" s="51">
        <v>0</v>
      </c>
      <c r="F1125" s="51">
        <v>0</v>
      </c>
      <c r="G1125" s="51">
        <v>0</v>
      </c>
      <c r="H1125" s="51">
        <v>0</v>
      </c>
      <c r="I1125" s="51">
        <v>0</v>
      </c>
      <c r="J1125" s="51">
        <v>0</v>
      </c>
      <c r="K1125" s="51">
        <v>0</v>
      </c>
      <c r="L1125" s="52">
        <v>0</v>
      </c>
      <c r="M1125" s="34"/>
      <c r="N1125" s="51">
        <v>72</v>
      </c>
      <c r="O1125" s="51">
        <v>0</v>
      </c>
      <c r="P1125" s="51">
        <v>0</v>
      </c>
      <c r="Q1125" s="51">
        <v>0</v>
      </c>
      <c r="R1125" s="34"/>
      <c r="S1125" s="51">
        <f t="shared" ref="S1125:S1126" si="2172">SUM(D1125:G1125)</f>
        <v>72</v>
      </c>
      <c r="T1125" s="51">
        <f t="shared" ref="T1125:T1126" si="2173">SUM(N1125:Q1125)</f>
        <v>72</v>
      </c>
      <c r="U1125" s="51">
        <f t="shared" si="2165"/>
        <v>0</v>
      </c>
      <c r="V1125" s="34"/>
      <c r="W1125" s="52">
        <v>24</v>
      </c>
      <c r="X1125" s="53">
        <f>(W1125*1*D1125)+(W1125*1.5*E1125)+(W1125*2*F1125)+(W1125*1*G1125)</f>
        <v>1728</v>
      </c>
      <c r="Y1125" s="53">
        <f t="shared" si="2157"/>
        <v>0</v>
      </c>
      <c r="Z1125" s="53">
        <f t="shared" si="2169"/>
        <v>0</v>
      </c>
      <c r="AA1125" s="54">
        <f t="shared" si="2159"/>
        <v>0</v>
      </c>
      <c r="AB1125" s="54">
        <f t="shared" si="2170"/>
        <v>1728</v>
      </c>
      <c r="AC1125" s="64">
        <f>0-Y1125-AA1125</f>
        <v>0</v>
      </c>
      <c r="AD1125" s="209"/>
      <c r="AE1125" s="64">
        <f>AB1125-(X1125+Z1125)</f>
        <v>0</v>
      </c>
      <c r="AF1125" s="209"/>
      <c r="AG1125" s="8"/>
      <c r="AH1125">
        <v>-1363.89</v>
      </c>
    </row>
    <row r="1126" spans="1:34" ht="14.65" thickBot="1" x14ac:dyDescent="0.5">
      <c r="A1126" s="23">
        <f>A1118</f>
        <v>45424</v>
      </c>
      <c r="B1126" s="24" t="s">
        <v>66</v>
      </c>
      <c r="C1126" s="49">
        <f t="shared" si="2166"/>
        <v>1756</v>
      </c>
      <c r="D1126" s="25">
        <v>77.75</v>
      </c>
      <c r="E1126" s="25">
        <v>0</v>
      </c>
      <c r="F1126" s="25">
        <v>0</v>
      </c>
      <c r="G1126" s="25">
        <v>0</v>
      </c>
      <c r="H1126" s="25">
        <v>0</v>
      </c>
      <c r="I1126" s="25">
        <v>0</v>
      </c>
      <c r="J1126" s="25">
        <v>0</v>
      </c>
      <c r="K1126" s="25">
        <v>0</v>
      </c>
      <c r="L1126" s="46">
        <v>0</v>
      </c>
      <c r="M1126" s="35"/>
      <c r="N1126" s="25">
        <v>77.75</v>
      </c>
      <c r="O1126" s="25">
        <v>0</v>
      </c>
      <c r="P1126" s="25">
        <v>0</v>
      </c>
      <c r="Q1126" s="25">
        <v>0</v>
      </c>
      <c r="R1126" s="35"/>
      <c r="S1126" s="25">
        <f t="shared" si="2172"/>
        <v>77.75</v>
      </c>
      <c r="T1126" s="25">
        <f t="shared" si="2173"/>
        <v>77.75</v>
      </c>
      <c r="U1126" s="25">
        <f t="shared" si="2165"/>
        <v>0</v>
      </c>
      <c r="V1126" s="35"/>
      <c r="W1126" s="46">
        <v>21.95</v>
      </c>
      <c r="X1126" s="26">
        <f t="shared" ref="X1126" si="2174">(W1126*1*D1126)+(W1126*1.5*E1126)+(W1126*2*F1126)+(W1126*1*G1126)</f>
        <v>1706.6125</v>
      </c>
      <c r="Y1126" s="26">
        <f t="shared" si="2157"/>
        <v>0</v>
      </c>
      <c r="Z1126" s="26">
        <f t="shared" si="2169"/>
        <v>0</v>
      </c>
      <c r="AA1126" s="27">
        <f t="shared" si="2159"/>
        <v>0</v>
      </c>
      <c r="AB1126" s="27">
        <f t="shared" si="2170"/>
        <v>1706.6125</v>
      </c>
      <c r="AC1126" s="65">
        <f>0-Y1126-AA1126</f>
        <v>0</v>
      </c>
      <c r="AD1126" s="210"/>
      <c r="AE1126" s="65">
        <f t="shared" ref="AE1126:AE1133" si="2175">AB1126-(X1126+Z1126)</f>
        <v>0</v>
      </c>
      <c r="AF1126" s="210"/>
      <c r="AG1126" s="8"/>
      <c r="AH1126">
        <f>SUM(AH1122:AH1125)</f>
        <v>17361.16</v>
      </c>
    </row>
    <row r="1127" spans="1:34" x14ac:dyDescent="0.45">
      <c r="A1127" s="16">
        <f>A1126+14</f>
        <v>45438</v>
      </c>
      <c r="B1127" s="17" t="s">
        <v>30</v>
      </c>
      <c r="C1127" s="47">
        <f>120*W1127</f>
        <v>4303.2</v>
      </c>
      <c r="D1127" s="18">
        <v>64</v>
      </c>
      <c r="E1127" s="18">
        <v>0</v>
      </c>
      <c r="F1127" s="18">
        <v>0</v>
      </c>
      <c r="G1127" s="18">
        <v>0</v>
      </c>
      <c r="H1127" s="18">
        <v>0</v>
      </c>
      <c r="I1127" s="18">
        <v>8</v>
      </c>
      <c r="J1127" s="18">
        <v>8</v>
      </c>
      <c r="K1127" s="18">
        <v>0</v>
      </c>
      <c r="L1127" s="44">
        <v>0</v>
      </c>
      <c r="M1127" s="33"/>
      <c r="N1127" s="18">
        <v>64</v>
      </c>
      <c r="O1127" s="18">
        <v>0</v>
      </c>
      <c r="P1127" s="18">
        <v>0</v>
      </c>
      <c r="Q1127" s="18">
        <v>0</v>
      </c>
      <c r="R1127" s="33"/>
      <c r="S1127" s="18">
        <f>SUM(D1127:G1127)</f>
        <v>64</v>
      </c>
      <c r="T1127" s="18">
        <f>SUM(N1127:Q1127)</f>
        <v>64</v>
      </c>
      <c r="U1127" s="18">
        <f>SUM(H1127:K1127)</f>
        <v>16</v>
      </c>
      <c r="V1127" s="33"/>
      <c r="W1127" s="44">
        <v>35.86</v>
      </c>
      <c r="X1127" s="19">
        <f>(W1127*1*D1127)+(W1127*1.5*E1127)+(W1127*2*F1127)+(W1127*1*G1127)</f>
        <v>2295.04</v>
      </c>
      <c r="Y1127" s="19">
        <f>(W1127*0*H1127)+(W1127*1*I1127)</f>
        <v>286.88</v>
      </c>
      <c r="Z1127" s="19">
        <f>(W1127*1*J1127)+L1127</f>
        <v>286.88</v>
      </c>
      <c r="AA1127" s="20">
        <f>(W1127*1*K1127)</f>
        <v>0</v>
      </c>
      <c r="AB1127" s="20">
        <f>(W1127*1*N1127)+(W1127*1.5*O1127)+(W1127*2*P1127)+(W1127*1*Q1127)</f>
        <v>2295.04</v>
      </c>
      <c r="AC1127" s="66">
        <f t="shared" ref="AC1127:AC1132" si="2176">0-Y1127-AA1127</f>
        <v>-286.88</v>
      </c>
      <c r="AD1127" s="208"/>
      <c r="AE1127" s="66">
        <f t="shared" si="2175"/>
        <v>-286.88000000000011</v>
      </c>
      <c r="AF1127" s="208">
        <f>SUM(AE1127:AE1135)</f>
        <v>-1775.4575000000018</v>
      </c>
      <c r="AG1127" s="8"/>
    </row>
    <row r="1128" spans="1:34" x14ac:dyDescent="0.45">
      <c r="A1128" s="22">
        <f>A1127</f>
        <v>45438</v>
      </c>
      <c r="B1128" s="15" t="s">
        <v>4</v>
      </c>
      <c r="C1128" s="48">
        <f>120*W1128</f>
        <v>3969.6</v>
      </c>
      <c r="D1128" s="13">
        <v>0</v>
      </c>
      <c r="E1128" s="13">
        <v>0</v>
      </c>
      <c r="F1128" s="13">
        <v>0</v>
      </c>
      <c r="G1128" s="13">
        <v>0</v>
      </c>
      <c r="H1128" s="13">
        <v>0</v>
      </c>
      <c r="I1128" s="13">
        <v>0</v>
      </c>
      <c r="J1128" s="13">
        <v>0</v>
      </c>
      <c r="K1128" s="13">
        <v>0</v>
      </c>
      <c r="L1128" s="45">
        <v>0</v>
      </c>
      <c r="M1128" s="34"/>
      <c r="N1128" s="13">
        <v>0</v>
      </c>
      <c r="O1128" s="13">
        <v>0</v>
      </c>
      <c r="P1128" s="13">
        <v>0</v>
      </c>
      <c r="Q1128" s="13">
        <v>0</v>
      </c>
      <c r="R1128" s="34"/>
      <c r="S1128" s="13">
        <f t="shared" ref="S1128" si="2177">SUM(D1128:G1128)</f>
        <v>0</v>
      </c>
      <c r="T1128" s="13">
        <f t="shared" ref="T1128" si="2178">SUM(N1128:Q1128)</f>
        <v>0</v>
      </c>
      <c r="U1128" s="13">
        <f>SUM(H1128:K1128)</f>
        <v>0</v>
      </c>
      <c r="V1128" s="34"/>
      <c r="W1128" s="45">
        <v>33.08</v>
      </c>
      <c r="X1128" s="10">
        <f t="shared" ref="X1128:X1129" si="2179">(W1128*1*D1128)+(W1128*1.5*E1128)+(W1128*2*F1128)+(W1128*1*G1128)</f>
        <v>0</v>
      </c>
      <c r="Y1128" s="10">
        <f t="shared" ref="Y1128:Y1135" si="2180">(W1128*0*H1128)+(W1128*1*I1128)</f>
        <v>0</v>
      </c>
      <c r="Z1128" s="10">
        <f t="shared" ref="Z1128:Z1130" si="2181">(W1128*1*J1128)+L1128</f>
        <v>0</v>
      </c>
      <c r="AA1128" s="14">
        <f t="shared" ref="AA1128:AA1135" si="2182">(W1128*1*K1128)</f>
        <v>0</v>
      </c>
      <c r="AB1128" s="14">
        <f t="shared" ref="AB1128:AB1130" si="2183">(W1128*1*N1128)+(W1128*1.5*O1128)+(W1128*2*P1128)+(W1128*1*Q1128)</f>
        <v>0</v>
      </c>
      <c r="AC1128" s="63">
        <f t="shared" si="2176"/>
        <v>0</v>
      </c>
      <c r="AD1128" s="209"/>
      <c r="AE1128" s="63">
        <f t="shared" si="2175"/>
        <v>0</v>
      </c>
      <c r="AF1128" s="209"/>
      <c r="AG1128" s="8"/>
    </row>
    <row r="1129" spans="1:34" x14ac:dyDescent="0.45">
      <c r="A1129" s="22">
        <f>A1127</f>
        <v>45438</v>
      </c>
      <c r="B1129" s="15" t="s">
        <v>5</v>
      </c>
      <c r="C1129" s="48">
        <f>120*W1129</f>
        <v>3836.3999999999996</v>
      </c>
      <c r="D1129" s="13">
        <v>72</v>
      </c>
      <c r="E1129" s="13">
        <v>16</v>
      </c>
      <c r="F1129" s="13">
        <v>12</v>
      </c>
      <c r="G1129" s="13">
        <v>16</v>
      </c>
      <c r="H1129" s="13">
        <v>0</v>
      </c>
      <c r="I1129" s="13">
        <v>0</v>
      </c>
      <c r="J1129" s="13">
        <v>8</v>
      </c>
      <c r="K1129" s="13">
        <v>0</v>
      </c>
      <c r="L1129" s="45">
        <v>0</v>
      </c>
      <c r="M1129" s="34"/>
      <c r="N1129" s="13">
        <v>72</v>
      </c>
      <c r="O1129" s="13">
        <v>16.5</v>
      </c>
      <c r="P1129" s="13">
        <v>12</v>
      </c>
      <c r="Q1129" s="13">
        <v>17</v>
      </c>
      <c r="R1129" s="34"/>
      <c r="S1129" s="13">
        <f t="shared" ref="S1129:S1130" si="2184">SUM(D1129:G1129)</f>
        <v>116</v>
      </c>
      <c r="T1129" s="13">
        <f>SUM(N1129:Q1129)</f>
        <v>117.5</v>
      </c>
      <c r="U1129" s="13">
        <f t="shared" ref="U1129:U1130" si="2185">SUM(H1129:K1129)</f>
        <v>8</v>
      </c>
      <c r="V1129" s="34"/>
      <c r="W1129" s="45">
        <v>31.97</v>
      </c>
      <c r="X1129" s="45">
        <f t="shared" si="2179"/>
        <v>4347.92</v>
      </c>
      <c r="Y1129" s="45">
        <f t="shared" si="2180"/>
        <v>0</v>
      </c>
      <c r="Z1129" s="45">
        <f t="shared" si="2181"/>
        <v>255.76</v>
      </c>
      <c r="AA1129" s="79">
        <f t="shared" si="2182"/>
        <v>0</v>
      </c>
      <c r="AB1129" s="79">
        <f t="shared" si="2183"/>
        <v>4403.8674999999994</v>
      </c>
      <c r="AC1129" s="80">
        <f t="shared" si="2176"/>
        <v>0</v>
      </c>
      <c r="AD1129" s="209"/>
      <c r="AE1129" s="80">
        <f t="shared" si="2175"/>
        <v>-199.81250000000091</v>
      </c>
      <c r="AF1129" s="209"/>
      <c r="AG1129" s="8"/>
    </row>
    <row r="1130" spans="1:34" x14ac:dyDescent="0.45">
      <c r="A1130" s="22">
        <f>A1127</f>
        <v>45438</v>
      </c>
      <c r="B1130" s="15" t="s">
        <v>6</v>
      </c>
      <c r="C1130" s="48">
        <f>120*W1130</f>
        <v>3969.6</v>
      </c>
      <c r="D1130" s="13">
        <v>72</v>
      </c>
      <c r="E1130" s="13">
        <v>2</v>
      </c>
      <c r="F1130" s="13">
        <v>0</v>
      </c>
      <c r="G1130" s="13">
        <v>0</v>
      </c>
      <c r="H1130" s="13">
        <v>0</v>
      </c>
      <c r="I1130" s="13">
        <v>0</v>
      </c>
      <c r="J1130" s="13">
        <v>8</v>
      </c>
      <c r="K1130" s="13">
        <v>0</v>
      </c>
      <c r="L1130" s="45">
        <v>0</v>
      </c>
      <c r="M1130" s="34"/>
      <c r="N1130" s="13">
        <v>72</v>
      </c>
      <c r="O1130" s="13">
        <v>2.25</v>
      </c>
      <c r="P1130" s="13">
        <v>0</v>
      </c>
      <c r="Q1130" s="13">
        <v>0</v>
      </c>
      <c r="R1130" s="34"/>
      <c r="S1130" s="13">
        <f t="shared" si="2184"/>
        <v>74</v>
      </c>
      <c r="T1130" s="13">
        <f t="shared" ref="T1130" si="2186">SUM(N1130:Q1130)</f>
        <v>74.25</v>
      </c>
      <c r="U1130" s="13">
        <f t="shared" si="2185"/>
        <v>8</v>
      </c>
      <c r="V1130" s="34"/>
      <c r="W1130" s="45">
        <v>33.08</v>
      </c>
      <c r="X1130" s="45">
        <f>(W1130*1*D1130)+(W1130*1.5*E1130)+(W1130*2*F1130)+(W1130*1*G1130)</f>
        <v>2480.9999999999995</v>
      </c>
      <c r="Y1130" s="45">
        <f t="shared" si="2180"/>
        <v>0</v>
      </c>
      <c r="Z1130" s="45">
        <f t="shared" si="2181"/>
        <v>264.64</v>
      </c>
      <c r="AA1130" s="79">
        <f t="shared" si="2182"/>
        <v>0</v>
      </c>
      <c r="AB1130" s="79">
        <f t="shared" si="2183"/>
        <v>2493.4049999999997</v>
      </c>
      <c r="AC1130" s="80">
        <f t="shared" si="2176"/>
        <v>0</v>
      </c>
      <c r="AD1130" s="209"/>
      <c r="AE1130" s="80">
        <f t="shared" si="2175"/>
        <v>-252.23499999999967</v>
      </c>
      <c r="AF1130" s="209"/>
      <c r="AG1130" s="8"/>
    </row>
    <row r="1131" spans="1:34" x14ac:dyDescent="0.45">
      <c r="A1131" s="22">
        <f>A1127</f>
        <v>45438</v>
      </c>
      <c r="B1131" s="50" t="s">
        <v>31</v>
      </c>
      <c r="C1131" s="48">
        <f>120*W1131</f>
        <v>3969.6</v>
      </c>
      <c r="D1131" s="13">
        <v>72</v>
      </c>
      <c r="E1131" s="13">
        <v>15.5</v>
      </c>
      <c r="F1131" s="13">
        <v>12</v>
      </c>
      <c r="G1131" s="13">
        <v>11.5</v>
      </c>
      <c r="H1131" s="13">
        <v>0</v>
      </c>
      <c r="I1131" s="13">
        <v>0</v>
      </c>
      <c r="J1131" s="13">
        <v>8</v>
      </c>
      <c r="K1131" s="13">
        <v>0</v>
      </c>
      <c r="L1131" s="45">
        <v>0</v>
      </c>
      <c r="M1131" s="34"/>
      <c r="N1131" s="13">
        <v>72</v>
      </c>
      <c r="O1131" s="13">
        <v>16</v>
      </c>
      <c r="P1131" s="13">
        <v>12</v>
      </c>
      <c r="Q1131" s="13">
        <v>11</v>
      </c>
      <c r="R1131" s="34"/>
      <c r="S1131" s="13">
        <f t="shared" ref="S1131" si="2187">SUM(D1131:G1131)</f>
        <v>111</v>
      </c>
      <c r="T1131" s="13">
        <f>SUM(N1131:Q1131)</f>
        <v>111</v>
      </c>
      <c r="U1131" s="13">
        <f t="shared" ref="U1131:U1135" si="2188">SUM(H1131:K1131)</f>
        <v>8</v>
      </c>
      <c r="V1131" s="34"/>
      <c r="W1131" s="45">
        <v>33.08</v>
      </c>
      <c r="X1131" s="52">
        <f>(W1131*1*D1131)+(W1131*1.5*E1131)+(W1131*2*F1131)+(W1131*1*G1131)</f>
        <v>4325.21</v>
      </c>
      <c r="Y1131" s="52">
        <f t="shared" si="2180"/>
        <v>0</v>
      </c>
      <c r="Z1131" s="52">
        <f>(W1131*1*J1131)+L1131</f>
        <v>264.64</v>
      </c>
      <c r="AA1131" s="96">
        <f t="shared" si="2182"/>
        <v>0</v>
      </c>
      <c r="AB1131" s="96">
        <f>(W1131*1*N1131)+(W1131*1.5*O1131)+(W1131*2*P1131)+(W1131*1*Q1131)</f>
        <v>4333.4799999999996</v>
      </c>
      <c r="AC1131" s="97">
        <f t="shared" si="2176"/>
        <v>0</v>
      </c>
      <c r="AD1131" s="209"/>
      <c r="AE1131" s="97">
        <f t="shared" si="2175"/>
        <v>-256.3700000000008</v>
      </c>
      <c r="AF1131" s="209"/>
      <c r="AG1131" s="8"/>
      <c r="AH1131">
        <v>22641.56</v>
      </c>
    </row>
    <row r="1132" spans="1:34" x14ac:dyDescent="0.45">
      <c r="A1132" s="22">
        <f>A1127</f>
        <v>45438</v>
      </c>
      <c r="B1132" s="50" t="s">
        <v>64</v>
      </c>
      <c r="C1132" s="48">
        <f t="shared" ref="C1132:C1135" si="2189">80*W1132</f>
        <v>2000</v>
      </c>
      <c r="D1132" s="13">
        <v>66.5</v>
      </c>
      <c r="E1132" s="13">
        <v>0</v>
      </c>
      <c r="F1132" s="13">
        <v>0</v>
      </c>
      <c r="G1132" s="13">
        <v>0</v>
      </c>
      <c r="H1132" s="13">
        <v>0</v>
      </c>
      <c r="I1132" s="13">
        <v>8</v>
      </c>
      <c r="J1132" s="13">
        <v>8</v>
      </c>
      <c r="K1132" s="13">
        <v>0</v>
      </c>
      <c r="L1132" s="45">
        <v>0</v>
      </c>
      <c r="M1132" s="34"/>
      <c r="N1132" s="13">
        <v>66.5</v>
      </c>
      <c r="O1132" s="13">
        <v>0</v>
      </c>
      <c r="P1132" s="13">
        <v>0</v>
      </c>
      <c r="Q1132" s="13">
        <v>0</v>
      </c>
      <c r="R1132" s="34"/>
      <c r="S1132" s="13">
        <f t="shared" ref="S1132:S1133" si="2190">SUM(D1132:G1132)</f>
        <v>66.5</v>
      </c>
      <c r="T1132" s="13">
        <f>SUM(N1132:Q1132)</f>
        <v>66.5</v>
      </c>
      <c r="U1132" s="13">
        <f t="shared" si="2188"/>
        <v>16</v>
      </c>
      <c r="V1132" s="34"/>
      <c r="W1132" s="52">
        <v>25</v>
      </c>
      <c r="X1132" s="52">
        <f t="shared" ref="X1132:X1133" si="2191">(W1132*1*D1132)+(W1132*1.5*E1132)+(W1132*2*F1132)+(W1132*1*G1132)</f>
        <v>1662.5</v>
      </c>
      <c r="Y1132" s="52">
        <f t="shared" si="2180"/>
        <v>200</v>
      </c>
      <c r="Z1132" s="52">
        <f t="shared" ref="Z1132:Z1135" si="2192">(W1132*1*J1132)+L1132</f>
        <v>200</v>
      </c>
      <c r="AA1132" s="96">
        <f t="shared" si="2182"/>
        <v>0</v>
      </c>
      <c r="AB1132" s="96">
        <f t="shared" ref="AB1132:AB1135" si="2193">(W1132*1*N1132)+(W1132*1.5*O1132)+(W1132*2*P1132)+(W1132*1*Q1132)</f>
        <v>1662.5</v>
      </c>
      <c r="AC1132" s="97">
        <f t="shared" si="2176"/>
        <v>-200</v>
      </c>
      <c r="AD1132" s="209"/>
      <c r="AE1132" s="97">
        <f t="shared" si="2175"/>
        <v>-200</v>
      </c>
      <c r="AF1132" s="209"/>
      <c r="AG1132" s="8"/>
      <c r="AH1132">
        <v>-3024.03</v>
      </c>
    </row>
    <row r="1133" spans="1:34" x14ac:dyDescent="0.45">
      <c r="A1133" s="22">
        <f>A1127</f>
        <v>45438</v>
      </c>
      <c r="B1133" s="50" t="s">
        <v>54</v>
      </c>
      <c r="C1133" s="48">
        <f t="shared" si="2189"/>
        <v>2125.6</v>
      </c>
      <c r="D1133" s="13">
        <v>72</v>
      </c>
      <c r="E1133" s="13">
        <v>2.5</v>
      </c>
      <c r="F1133" s="13">
        <v>0</v>
      </c>
      <c r="G1133" s="13">
        <v>0</v>
      </c>
      <c r="H1133" s="13">
        <v>0</v>
      </c>
      <c r="I1133" s="13">
        <v>0</v>
      </c>
      <c r="J1133" s="13">
        <v>8</v>
      </c>
      <c r="K1133" s="13">
        <v>0</v>
      </c>
      <c r="L1133" s="45">
        <v>0</v>
      </c>
      <c r="M1133" s="34"/>
      <c r="N1133" s="13">
        <v>72</v>
      </c>
      <c r="O1133" s="13">
        <v>2.5</v>
      </c>
      <c r="P1133" s="13">
        <v>0</v>
      </c>
      <c r="Q1133" s="13">
        <v>0</v>
      </c>
      <c r="R1133" s="34"/>
      <c r="S1133" s="13">
        <f t="shared" si="2190"/>
        <v>74.5</v>
      </c>
      <c r="T1133" s="13">
        <f t="shared" ref="T1133" si="2194">SUM(N1133:Q1133)</f>
        <v>74.5</v>
      </c>
      <c r="U1133" s="13">
        <f t="shared" si="2188"/>
        <v>8</v>
      </c>
      <c r="V1133" s="34"/>
      <c r="W1133" s="52">
        <v>26.57</v>
      </c>
      <c r="X1133" s="52">
        <f t="shared" si="2191"/>
        <v>2012.6775</v>
      </c>
      <c r="Y1133" s="52">
        <f t="shared" si="2180"/>
        <v>0</v>
      </c>
      <c r="Z1133" s="52">
        <f t="shared" si="2192"/>
        <v>212.56</v>
      </c>
      <c r="AA1133" s="96">
        <f t="shared" si="2182"/>
        <v>0</v>
      </c>
      <c r="AB1133" s="96">
        <f t="shared" si="2193"/>
        <v>2012.6775</v>
      </c>
      <c r="AC1133" s="97">
        <f>0-Y1133-AA1133</f>
        <v>0</v>
      </c>
      <c r="AD1133" s="209"/>
      <c r="AE1133" s="97">
        <f t="shared" si="2175"/>
        <v>-212.56000000000017</v>
      </c>
      <c r="AF1133" s="209"/>
      <c r="AG1133" s="8"/>
      <c r="AH1133">
        <v>-1515.75</v>
      </c>
    </row>
    <row r="1134" spans="1:34" x14ac:dyDescent="0.45">
      <c r="A1134" s="22">
        <f>A1127</f>
        <v>45438</v>
      </c>
      <c r="B1134" s="50" t="s">
        <v>65</v>
      </c>
      <c r="C1134" s="48">
        <f t="shared" si="2189"/>
        <v>1920</v>
      </c>
      <c r="D1134" s="51">
        <v>40</v>
      </c>
      <c r="E1134" s="51">
        <v>0</v>
      </c>
      <c r="F1134" s="51">
        <v>0</v>
      </c>
      <c r="G1134" s="51">
        <v>0</v>
      </c>
      <c r="H1134" s="51">
        <v>0</v>
      </c>
      <c r="I1134" s="51">
        <v>32</v>
      </c>
      <c r="J1134" s="51">
        <v>8</v>
      </c>
      <c r="K1134" s="51">
        <v>0</v>
      </c>
      <c r="L1134" s="52">
        <v>0</v>
      </c>
      <c r="M1134" s="34"/>
      <c r="N1134" s="51">
        <v>40</v>
      </c>
      <c r="O1134" s="51">
        <v>0</v>
      </c>
      <c r="P1134" s="51">
        <v>0</v>
      </c>
      <c r="Q1134" s="51">
        <v>0</v>
      </c>
      <c r="R1134" s="34"/>
      <c r="S1134" s="51">
        <f t="shared" ref="S1134:S1135" si="2195">SUM(D1134:G1134)</f>
        <v>40</v>
      </c>
      <c r="T1134" s="51">
        <f t="shared" ref="T1134:T1135" si="2196">SUM(N1134:Q1134)</f>
        <v>40</v>
      </c>
      <c r="U1134" s="51">
        <f t="shared" si="2188"/>
        <v>40</v>
      </c>
      <c r="V1134" s="34"/>
      <c r="W1134" s="52">
        <v>24</v>
      </c>
      <c r="X1134" s="53">
        <f>(W1134*1*D1134)+(W1134*1.5*E1134)+(W1134*2*F1134)+(W1134*1*G1134)</f>
        <v>960</v>
      </c>
      <c r="Y1134" s="53">
        <f t="shared" si="2180"/>
        <v>768</v>
      </c>
      <c r="Z1134" s="53">
        <f t="shared" si="2192"/>
        <v>192</v>
      </c>
      <c r="AA1134" s="54">
        <f t="shared" si="2182"/>
        <v>0</v>
      </c>
      <c r="AB1134" s="54">
        <f t="shared" si="2193"/>
        <v>960</v>
      </c>
      <c r="AC1134" s="64">
        <f>0-Y1134-AA1134</f>
        <v>-768</v>
      </c>
      <c r="AD1134" s="209"/>
      <c r="AE1134" s="64">
        <f>AB1134-(X1134+Z1134)</f>
        <v>-192</v>
      </c>
      <c r="AF1134" s="209"/>
      <c r="AG1134" s="8"/>
      <c r="AH1134">
        <v>-1376.06</v>
      </c>
    </row>
    <row r="1135" spans="1:34" ht="14.65" thickBot="1" x14ac:dyDescent="0.5">
      <c r="A1135" s="23">
        <f>A1127</f>
        <v>45438</v>
      </c>
      <c r="B1135" s="24" t="s">
        <v>66</v>
      </c>
      <c r="C1135" s="49">
        <f t="shared" si="2189"/>
        <v>1756</v>
      </c>
      <c r="D1135" s="25">
        <v>38.5</v>
      </c>
      <c r="E1135" s="25">
        <v>0</v>
      </c>
      <c r="F1135" s="25">
        <v>0</v>
      </c>
      <c r="G1135" s="25">
        <v>0</v>
      </c>
      <c r="H1135" s="25">
        <v>0</v>
      </c>
      <c r="I1135" s="25">
        <v>32</v>
      </c>
      <c r="J1135" s="25">
        <v>8</v>
      </c>
      <c r="K1135" s="25">
        <v>0</v>
      </c>
      <c r="L1135" s="46">
        <v>0</v>
      </c>
      <c r="M1135" s="35"/>
      <c r="N1135" s="25">
        <v>38.5</v>
      </c>
      <c r="O1135" s="25">
        <v>0</v>
      </c>
      <c r="P1135" s="25">
        <v>0</v>
      </c>
      <c r="Q1135" s="25">
        <v>0</v>
      </c>
      <c r="R1135" s="35"/>
      <c r="S1135" s="25">
        <f t="shared" si="2195"/>
        <v>38.5</v>
      </c>
      <c r="T1135" s="25">
        <f t="shared" si="2196"/>
        <v>38.5</v>
      </c>
      <c r="U1135" s="25">
        <f t="shared" si="2188"/>
        <v>40</v>
      </c>
      <c r="V1135" s="35"/>
      <c r="W1135" s="46">
        <v>21.95</v>
      </c>
      <c r="X1135" s="26">
        <f t="shared" ref="X1135" si="2197">(W1135*1*D1135)+(W1135*1.5*E1135)+(W1135*2*F1135)+(W1135*1*G1135)</f>
        <v>845.07499999999993</v>
      </c>
      <c r="Y1135" s="26">
        <f t="shared" si="2180"/>
        <v>702.4</v>
      </c>
      <c r="Z1135" s="26">
        <f t="shared" si="2192"/>
        <v>175.6</v>
      </c>
      <c r="AA1135" s="27">
        <f t="shared" si="2182"/>
        <v>0</v>
      </c>
      <c r="AB1135" s="27">
        <f t="shared" si="2193"/>
        <v>845.07499999999993</v>
      </c>
      <c r="AC1135" s="65">
        <f>0-Y1135-AA1135</f>
        <v>-702.4</v>
      </c>
      <c r="AD1135" s="210"/>
      <c r="AE1135" s="65">
        <f t="shared" ref="AE1135:AE1142" si="2198">AB1135-(X1135+Z1135)</f>
        <v>-175.60000000000002</v>
      </c>
      <c r="AF1135" s="210"/>
      <c r="AG1135" s="8"/>
      <c r="AH1135">
        <f>SUM(AH1131:AH1134)</f>
        <v>16725.72</v>
      </c>
    </row>
    <row r="1136" spans="1:34" x14ac:dyDescent="0.45">
      <c r="A1136" s="16">
        <f>A1135+14</f>
        <v>45452</v>
      </c>
      <c r="B1136" s="17" t="s">
        <v>30</v>
      </c>
      <c r="C1136" s="47">
        <f>120*W1136</f>
        <v>4303.2</v>
      </c>
      <c r="D1136" s="18">
        <v>65</v>
      </c>
      <c r="E1136" s="18">
        <v>0.5</v>
      </c>
      <c r="F1136" s="18">
        <v>0</v>
      </c>
      <c r="G1136" s="18">
        <v>0</v>
      </c>
      <c r="H1136" s="18">
        <v>0</v>
      </c>
      <c r="I1136" s="18">
        <v>15</v>
      </c>
      <c r="J1136" s="18">
        <v>0</v>
      </c>
      <c r="K1136" s="18">
        <v>0</v>
      </c>
      <c r="L1136" s="44">
        <v>0</v>
      </c>
      <c r="M1136" s="33"/>
      <c r="N1136" s="18">
        <v>65</v>
      </c>
      <c r="O1136" s="18">
        <v>0.5</v>
      </c>
      <c r="P1136" s="18">
        <v>0</v>
      </c>
      <c r="Q1136" s="18">
        <v>0</v>
      </c>
      <c r="R1136" s="33"/>
      <c r="S1136" s="18">
        <f>SUM(D1136:G1136)</f>
        <v>65.5</v>
      </c>
      <c r="T1136" s="18">
        <f>SUM(N1136:Q1136)</f>
        <v>65.5</v>
      </c>
      <c r="U1136" s="18">
        <f>SUM(H1136:K1136)</f>
        <v>15</v>
      </c>
      <c r="V1136" s="33"/>
      <c r="W1136" s="44">
        <v>35.86</v>
      </c>
      <c r="X1136" s="19">
        <f>(W1136*1*D1136)+(W1136*1.5*E1136)+(W1136*2*F1136)+(W1136*1*G1136)</f>
        <v>2357.7950000000001</v>
      </c>
      <c r="Y1136" s="19">
        <f>(W1136*0*H1136)+(W1136*1*I1136)</f>
        <v>537.9</v>
      </c>
      <c r="Z1136" s="19">
        <f>(W1136*1*J1136)+L1136</f>
        <v>0</v>
      </c>
      <c r="AA1136" s="20">
        <f>(W1136*1*K1136)</f>
        <v>0</v>
      </c>
      <c r="AB1136" s="20">
        <f>(W1136*1*N1136)+(W1136*1.5*O1136)+(W1136*2*P1136)+(W1136*1*Q1136)</f>
        <v>2357.7950000000001</v>
      </c>
      <c r="AC1136" s="66">
        <f t="shared" ref="AC1136:AC1141" si="2199">0-Y1136-AA1136</f>
        <v>-537.9</v>
      </c>
      <c r="AD1136" s="208"/>
      <c r="AE1136" s="66">
        <f t="shared" si="2198"/>
        <v>0</v>
      </c>
      <c r="AF1136" s="208">
        <f>SUM(AE1136:AE1144)</f>
        <v>0</v>
      </c>
      <c r="AG1136" s="8"/>
    </row>
    <row r="1137" spans="1:34" x14ac:dyDescent="0.45">
      <c r="A1137" s="22">
        <f>A1136</f>
        <v>45452</v>
      </c>
      <c r="B1137" s="15" t="s">
        <v>4</v>
      </c>
      <c r="C1137" s="48">
        <f>120*W1137</f>
        <v>3969.6</v>
      </c>
      <c r="D1137" s="13">
        <v>0</v>
      </c>
      <c r="E1137" s="13">
        <v>0</v>
      </c>
      <c r="F1137" s="13">
        <v>0</v>
      </c>
      <c r="G1137" s="13">
        <v>0</v>
      </c>
      <c r="H1137" s="13">
        <v>0</v>
      </c>
      <c r="I1137" s="13">
        <v>0</v>
      </c>
      <c r="J1137" s="13">
        <v>0</v>
      </c>
      <c r="K1137" s="13">
        <v>0</v>
      </c>
      <c r="L1137" s="45">
        <v>0</v>
      </c>
      <c r="M1137" s="34"/>
      <c r="N1137" s="13">
        <v>0</v>
      </c>
      <c r="O1137" s="13">
        <v>0</v>
      </c>
      <c r="P1137" s="13">
        <v>0</v>
      </c>
      <c r="Q1137" s="13">
        <v>0</v>
      </c>
      <c r="R1137" s="34"/>
      <c r="S1137" s="13">
        <f t="shared" ref="S1137" si="2200">SUM(D1137:G1137)</f>
        <v>0</v>
      </c>
      <c r="T1137" s="13">
        <f t="shared" ref="T1137" si="2201">SUM(N1137:Q1137)</f>
        <v>0</v>
      </c>
      <c r="U1137" s="13">
        <f>SUM(H1137:K1137)</f>
        <v>0</v>
      </c>
      <c r="V1137" s="34"/>
      <c r="W1137" s="45">
        <v>33.08</v>
      </c>
      <c r="X1137" s="10">
        <f t="shared" ref="X1137:X1138" si="2202">(W1137*1*D1137)+(W1137*1.5*E1137)+(W1137*2*F1137)+(W1137*1*G1137)</f>
        <v>0</v>
      </c>
      <c r="Y1137" s="10">
        <f t="shared" ref="Y1137:Y1144" si="2203">(W1137*0*H1137)+(W1137*1*I1137)</f>
        <v>0</v>
      </c>
      <c r="Z1137" s="10">
        <f t="shared" ref="Z1137:Z1139" si="2204">(W1137*1*J1137)+L1137</f>
        <v>0</v>
      </c>
      <c r="AA1137" s="14">
        <f t="shared" ref="AA1137:AA1144" si="2205">(W1137*1*K1137)</f>
        <v>0</v>
      </c>
      <c r="AB1137" s="14">
        <f t="shared" ref="AB1137:AB1139" si="2206">(W1137*1*N1137)+(W1137*1.5*O1137)+(W1137*2*P1137)+(W1137*1*Q1137)</f>
        <v>0</v>
      </c>
      <c r="AC1137" s="63">
        <f t="shared" si="2199"/>
        <v>0</v>
      </c>
      <c r="AD1137" s="209"/>
      <c r="AE1137" s="63">
        <f t="shared" si="2198"/>
        <v>0</v>
      </c>
      <c r="AF1137" s="209"/>
      <c r="AG1137" s="8"/>
    </row>
    <row r="1138" spans="1:34" x14ac:dyDescent="0.45">
      <c r="A1138" s="22">
        <f>A1136</f>
        <v>45452</v>
      </c>
      <c r="B1138" s="15" t="s">
        <v>5</v>
      </c>
      <c r="C1138" s="48">
        <f>120*W1138</f>
        <v>3836.3999999999996</v>
      </c>
      <c r="D1138" s="13">
        <v>64</v>
      </c>
      <c r="E1138" s="13">
        <v>0</v>
      </c>
      <c r="F1138" s="13">
        <v>0</v>
      </c>
      <c r="G1138" s="13">
        <v>4.5</v>
      </c>
      <c r="H1138" s="13">
        <v>0</v>
      </c>
      <c r="I1138" s="13">
        <v>0</v>
      </c>
      <c r="J1138" s="13">
        <v>0</v>
      </c>
      <c r="K1138" s="13">
        <v>16</v>
      </c>
      <c r="L1138" s="45">
        <v>0</v>
      </c>
      <c r="M1138" s="34"/>
      <c r="N1138" s="13">
        <v>64</v>
      </c>
      <c r="O1138" s="13">
        <v>0</v>
      </c>
      <c r="P1138" s="13">
        <v>0</v>
      </c>
      <c r="Q1138" s="13">
        <v>4.5</v>
      </c>
      <c r="R1138" s="34"/>
      <c r="S1138" s="13">
        <f t="shared" ref="S1138:S1139" si="2207">SUM(D1138:G1138)</f>
        <v>68.5</v>
      </c>
      <c r="T1138" s="13">
        <f>SUM(N1138:Q1138)</f>
        <v>68.5</v>
      </c>
      <c r="U1138" s="13">
        <f t="shared" ref="U1138:U1139" si="2208">SUM(H1138:K1138)</f>
        <v>16</v>
      </c>
      <c r="V1138" s="34"/>
      <c r="W1138" s="45">
        <v>31.97</v>
      </c>
      <c r="X1138" s="45">
        <f t="shared" si="2202"/>
        <v>2189.9449999999997</v>
      </c>
      <c r="Y1138" s="45">
        <f t="shared" si="2203"/>
        <v>0</v>
      </c>
      <c r="Z1138" s="45">
        <f t="shared" si="2204"/>
        <v>0</v>
      </c>
      <c r="AA1138" s="79">
        <f t="shared" si="2205"/>
        <v>511.52</v>
      </c>
      <c r="AB1138" s="79">
        <f t="shared" si="2206"/>
        <v>2189.9449999999997</v>
      </c>
      <c r="AC1138" s="80">
        <f t="shared" si="2199"/>
        <v>-511.52</v>
      </c>
      <c r="AD1138" s="209"/>
      <c r="AE1138" s="80">
        <f t="shared" si="2198"/>
        <v>0</v>
      </c>
      <c r="AF1138" s="209"/>
      <c r="AG1138" s="8"/>
    </row>
    <row r="1139" spans="1:34" x14ac:dyDescent="0.45">
      <c r="A1139" s="22">
        <f>A1136</f>
        <v>45452</v>
      </c>
      <c r="B1139" s="15" t="s">
        <v>6</v>
      </c>
      <c r="C1139" s="48">
        <f>120*W1139</f>
        <v>3969.6</v>
      </c>
      <c r="D1139" s="13">
        <v>80</v>
      </c>
      <c r="E1139" s="13">
        <v>54.5</v>
      </c>
      <c r="F1139" s="13">
        <v>24</v>
      </c>
      <c r="G1139" s="13">
        <v>1.5</v>
      </c>
      <c r="H1139" s="13">
        <v>0</v>
      </c>
      <c r="I1139" s="13">
        <v>0</v>
      </c>
      <c r="J1139" s="13">
        <v>0</v>
      </c>
      <c r="K1139" s="13">
        <v>0</v>
      </c>
      <c r="L1139" s="45">
        <v>0</v>
      </c>
      <c r="M1139" s="34"/>
      <c r="N1139" s="13">
        <v>80</v>
      </c>
      <c r="O1139" s="13">
        <v>54.5</v>
      </c>
      <c r="P1139" s="13">
        <v>24</v>
      </c>
      <c r="Q1139" s="13">
        <v>1.5</v>
      </c>
      <c r="R1139" s="34"/>
      <c r="S1139" s="13">
        <f t="shared" si="2207"/>
        <v>160</v>
      </c>
      <c r="T1139" s="13">
        <f t="shared" ref="T1139" si="2209">SUM(N1139:Q1139)</f>
        <v>160</v>
      </c>
      <c r="U1139" s="13">
        <f t="shared" si="2208"/>
        <v>0</v>
      </c>
      <c r="V1139" s="34"/>
      <c r="W1139" s="45">
        <v>33.08</v>
      </c>
      <c r="X1139" s="45">
        <f>(W1139*1*D1139)+(W1139*1.5*E1139)+(W1139*2*F1139)+(W1139*1*G1139)</f>
        <v>6988.15</v>
      </c>
      <c r="Y1139" s="45">
        <f t="shared" si="2203"/>
        <v>0</v>
      </c>
      <c r="Z1139" s="45">
        <f t="shared" si="2204"/>
        <v>0</v>
      </c>
      <c r="AA1139" s="79">
        <f t="shared" si="2205"/>
        <v>0</v>
      </c>
      <c r="AB1139" s="79">
        <f t="shared" si="2206"/>
        <v>6988.15</v>
      </c>
      <c r="AC1139" s="80">
        <f t="shared" si="2199"/>
        <v>0</v>
      </c>
      <c r="AD1139" s="209"/>
      <c r="AE1139" s="80">
        <f t="shared" si="2198"/>
        <v>0</v>
      </c>
      <c r="AF1139" s="209"/>
      <c r="AG1139" s="8"/>
    </row>
    <row r="1140" spans="1:34" x14ac:dyDescent="0.45">
      <c r="A1140" s="22">
        <f>A1136</f>
        <v>45452</v>
      </c>
      <c r="B1140" s="50" t="s">
        <v>31</v>
      </c>
      <c r="C1140" s="48">
        <f>120*W1140</f>
        <v>3969.6</v>
      </c>
      <c r="D1140" s="13">
        <v>77.75</v>
      </c>
      <c r="E1140" s="13">
        <v>0</v>
      </c>
      <c r="F1140" s="13">
        <v>0</v>
      </c>
      <c r="G1140" s="13">
        <v>6.5</v>
      </c>
      <c r="H1140" s="13">
        <v>0</v>
      </c>
      <c r="I1140" s="13">
        <v>0</v>
      </c>
      <c r="J1140" s="13">
        <v>0</v>
      </c>
      <c r="K1140" s="13">
        <v>0</v>
      </c>
      <c r="L1140" s="45">
        <v>0</v>
      </c>
      <c r="M1140" s="34"/>
      <c r="N1140" s="13">
        <v>77.75</v>
      </c>
      <c r="O1140" s="13">
        <v>0</v>
      </c>
      <c r="P1140" s="13">
        <v>0</v>
      </c>
      <c r="Q1140" s="13">
        <v>6.5</v>
      </c>
      <c r="R1140" s="34"/>
      <c r="S1140" s="13">
        <f t="shared" ref="S1140" si="2210">SUM(D1140:G1140)</f>
        <v>84.25</v>
      </c>
      <c r="T1140" s="13">
        <f>SUM(N1140:Q1140)</f>
        <v>84.25</v>
      </c>
      <c r="U1140" s="13">
        <f t="shared" ref="U1140:U1144" si="2211">SUM(H1140:K1140)</f>
        <v>0</v>
      </c>
      <c r="V1140" s="34"/>
      <c r="W1140" s="45">
        <v>33.08</v>
      </c>
      <c r="X1140" s="52">
        <f>(W1140*1*D1140)+(W1140*1.5*E1140)+(W1140*2*F1140)+(W1140*1*G1140)</f>
        <v>2786.99</v>
      </c>
      <c r="Y1140" s="52">
        <f t="shared" si="2203"/>
        <v>0</v>
      </c>
      <c r="Z1140" s="52">
        <f>(W1140*1*J1140)+L1140</f>
        <v>0</v>
      </c>
      <c r="AA1140" s="96">
        <f t="shared" si="2205"/>
        <v>0</v>
      </c>
      <c r="AB1140" s="96">
        <f>(W1140*1*N1140)+(W1140*1.5*O1140)+(W1140*2*P1140)+(W1140*1*Q1140)</f>
        <v>2786.99</v>
      </c>
      <c r="AC1140" s="97">
        <f t="shared" si="2199"/>
        <v>0</v>
      </c>
      <c r="AD1140" s="209"/>
      <c r="AE1140" s="97">
        <f t="shared" si="2198"/>
        <v>0</v>
      </c>
      <c r="AF1140" s="209"/>
      <c r="AG1140" s="8"/>
      <c r="AH1140">
        <v>22095.87</v>
      </c>
    </row>
    <row r="1141" spans="1:34" x14ac:dyDescent="0.45">
      <c r="A1141" s="22">
        <f>A1136</f>
        <v>45452</v>
      </c>
      <c r="B1141" s="50" t="s">
        <v>64</v>
      </c>
      <c r="C1141" s="48">
        <f t="shared" ref="C1141:C1144" si="2212">80*W1141</f>
        <v>2000</v>
      </c>
      <c r="D1141" s="13">
        <v>61.5</v>
      </c>
      <c r="E1141" s="13">
        <v>0</v>
      </c>
      <c r="F1141" s="13">
        <v>0</v>
      </c>
      <c r="G1141" s="13">
        <v>0</v>
      </c>
      <c r="H1141" s="13">
        <v>0</v>
      </c>
      <c r="I1141" s="13">
        <v>0</v>
      </c>
      <c r="J1141" s="13">
        <v>0</v>
      </c>
      <c r="K1141" s="13">
        <v>0</v>
      </c>
      <c r="L1141" s="45">
        <v>0</v>
      </c>
      <c r="M1141" s="34"/>
      <c r="N1141" s="13">
        <v>61.5</v>
      </c>
      <c r="O1141" s="13">
        <v>0</v>
      </c>
      <c r="P1141" s="13">
        <v>0</v>
      </c>
      <c r="Q1141" s="13">
        <v>0</v>
      </c>
      <c r="R1141" s="34"/>
      <c r="S1141" s="13">
        <f t="shared" ref="S1141:S1142" si="2213">SUM(D1141:G1141)</f>
        <v>61.5</v>
      </c>
      <c r="T1141" s="13">
        <f>SUM(N1141:Q1141)</f>
        <v>61.5</v>
      </c>
      <c r="U1141" s="13">
        <f t="shared" si="2211"/>
        <v>0</v>
      </c>
      <c r="V1141" s="34"/>
      <c r="W1141" s="52">
        <v>25</v>
      </c>
      <c r="X1141" s="52">
        <f t="shared" ref="X1141:X1142" si="2214">(W1141*1*D1141)+(W1141*1.5*E1141)+(W1141*2*F1141)+(W1141*1*G1141)</f>
        <v>1537.5</v>
      </c>
      <c r="Y1141" s="52">
        <f t="shared" si="2203"/>
        <v>0</v>
      </c>
      <c r="Z1141" s="52">
        <f t="shared" ref="Z1141:Z1144" si="2215">(W1141*1*J1141)+L1141</f>
        <v>0</v>
      </c>
      <c r="AA1141" s="96">
        <f t="shared" si="2205"/>
        <v>0</v>
      </c>
      <c r="AB1141" s="96">
        <f t="shared" ref="AB1141:AB1144" si="2216">(W1141*1*N1141)+(W1141*1.5*O1141)+(W1141*2*P1141)+(W1141*1*Q1141)</f>
        <v>1537.5</v>
      </c>
      <c r="AC1141" s="97">
        <f t="shared" si="2199"/>
        <v>0</v>
      </c>
      <c r="AD1141" s="209"/>
      <c r="AE1141" s="97">
        <f t="shared" si="2198"/>
        <v>0</v>
      </c>
      <c r="AF1141" s="209"/>
      <c r="AG1141" s="8"/>
      <c r="AH1141">
        <v>-3024.03</v>
      </c>
    </row>
    <row r="1142" spans="1:34" x14ac:dyDescent="0.45">
      <c r="A1142" s="22">
        <f>A1136</f>
        <v>45452</v>
      </c>
      <c r="B1142" s="50" t="s">
        <v>54</v>
      </c>
      <c r="C1142" s="48">
        <f t="shared" si="2212"/>
        <v>2125.6</v>
      </c>
      <c r="D1142" s="13">
        <v>80</v>
      </c>
      <c r="E1142" s="13">
        <v>12</v>
      </c>
      <c r="F1142" s="13">
        <v>0</v>
      </c>
      <c r="G1142" s="13">
        <v>0</v>
      </c>
      <c r="H1142" s="13">
        <v>0</v>
      </c>
      <c r="I1142" s="13">
        <v>0</v>
      </c>
      <c r="J1142" s="13">
        <v>0</v>
      </c>
      <c r="K1142" s="13">
        <v>0</v>
      </c>
      <c r="L1142" s="45">
        <v>0</v>
      </c>
      <c r="M1142" s="34"/>
      <c r="N1142" s="13">
        <v>80</v>
      </c>
      <c r="O1142" s="13">
        <v>12</v>
      </c>
      <c r="P1142" s="13">
        <v>0</v>
      </c>
      <c r="Q1142" s="13">
        <v>0</v>
      </c>
      <c r="R1142" s="34"/>
      <c r="S1142" s="13">
        <f t="shared" si="2213"/>
        <v>92</v>
      </c>
      <c r="T1142" s="13">
        <f t="shared" ref="T1142" si="2217">SUM(N1142:Q1142)</f>
        <v>92</v>
      </c>
      <c r="U1142" s="13">
        <f t="shared" si="2211"/>
        <v>0</v>
      </c>
      <c r="V1142" s="34"/>
      <c r="W1142" s="52">
        <v>26.57</v>
      </c>
      <c r="X1142" s="52">
        <f t="shared" si="2214"/>
        <v>2603.86</v>
      </c>
      <c r="Y1142" s="52">
        <f t="shared" si="2203"/>
        <v>0</v>
      </c>
      <c r="Z1142" s="52">
        <f t="shared" si="2215"/>
        <v>0</v>
      </c>
      <c r="AA1142" s="96">
        <f t="shared" si="2205"/>
        <v>0</v>
      </c>
      <c r="AB1142" s="96">
        <f t="shared" si="2216"/>
        <v>2603.86</v>
      </c>
      <c r="AC1142" s="97">
        <f>0-Y1142-AA1142</f>
        <v>0</v>
      </c>
      <c r="AD1142" s="209"/>
      <c r="AE1142" s="97">
        <f t="shared" si="2198"/>
        <v>0</v>
      </c>
      <c r="AF1142" s="209"/>
      <c r="AG1142" s="8"/>
      <c r="AH1142">
        <v>-1237.8699999999999</v>
      </c>
    </row>
    <row r="1143" spans="1:34" x14ac:dyDescent="0.45">
      <c r="A1143" s="22">
        <f>A1136</f>
        <v>45452</v>
      </c>
      <c r="B1143" s="50" t="s">
        <v>65</v>
      </c>
      <c r="C1143" s="48">
        <f t="shared" si="2212"/>
        <v>1920</v>
      </c>
      <c r="D1143" s="51">
        <v>0</v>
      </c>
      <c r="E1143" s="51">
        <v>0</v>
      </c>
      <c r="F1143" s="51">
        <v>0</v>
      </c>
      <c r="G1143" s="51">
        <v>0</v>
      </c>
      <c r="H1143" s="51">
        <v>0</v>
      </c>
      <c r="I1143" s="51">
        <v>40</v>
      </c>
      <c r="J1143" s="51">
        <v>0</v>
      </c>
      <c r="K1143" s="51">
        <v>32</v>
      </c>
      <c r="L1143" s="52">
        <v>0</v>
      </c>
      <c r="M1143" s="34"/>
      <c r="N1143" s="51">
        <v>0</v>
      </c>
      <c r="O1143" s="51">
        <v>0</v>
      </c>
      <c r="P1143" s="51">
        <v>0</v>
      </c>
      <c r="Q1143" s="51">
        <v>0</v>
      </c>
      <c r="R1143" s="34"/>
      <c r="S1143" s="51">
        <f t="shared" ref="S1143:S1144" si="2218">SUM(D1143:G1143)</f>
        <v>0</v>
      </c>
      <c r="T1143" s="51">
        <f t="shared" ref="T1143:T1144" si="2219">SUM(N1143:Q1143)</f>
        <v>0</v>
      </c>
      <c r="U1143" s="51">
        <f t="shared" si="2211"/>
        <v>72</v>
      </c>
      <c r="V1143" s="34"/>
      <c r="W1143" s="52">
        <v>24</v>
      </c>
      <c r="X1143" s="53">
        <f>(W1143*1*D1143)+(W1143*1.5*E1143)+(W1143*2*F1143)+(W1143*1*G1143)</f>
        <v>0</v>
      </c>
      <c r="Y1143" s="53">
        <f t="shared" si="2203"/>
        <v>960</v>
      </c>
      <c r="Z1143" s="53">
        <f t="shared" si="2215"/>
        <v>0</v>
      </c>
      <c r="AA1143" s="54">
        <f t="shared" si="2205"/>
        <v>768</v>
      </c>
      <c r="AB1143" s="54">
        <f t="shared" si="2216"/>
        <v>0</v>
      </c>
      <c r="AC1143" s="64">
        <f>0-Y1143-AA1143</f>
        <v>-1728</v>
      </c>
      <c r="AD1143" s="209"/>
      <c r="AE1143" s="64">
        <f>AB1143-(X1143+Z1143)</f>
        <v>0</v>
      </c>
      <c r="AF1143" s="209"/>
      <c r="AG1143" s="8"/>
      <c r="AH1143">
        <v>-1144.1199999999999</v>
      </c>
    </row>
    <row r="1144" spans="1:34" ht="14.65" thickBot="1" x14ac:dyDescent="0.5">
      <c r="A1144" s="23">
        <f>A1136</f>
        <v>45452</v>
      </c>
      <c r="B1144" s="24" t="s">
        <v>66</v>
      </c>
      <c r="C1144" s="49">
        <f t="shared" si="2212"/>
        <v>1756</v>
      </c>
      <c r="D1144" s="25">
        <v>0</v>
      </c>
      <c r="E1144" s="25">
        <v>0</v>
      </c>
      <c r="F1144" s="25">
        <v>0</v>
      </c>
      <c r="G1144" s="25">
        <v>0</v>
      </c>
      <c r="H1144" s="25">
        <v>0</v>
      </c>
      <c r="I1144" s="25">
        <v>40</v>
      </c>
      <c r="J1144" s="25">
        <v>0</v>
      </c>
      <c r="K1144" s="25">
        <v>32</v>
      </c>
      <c r="L1144" s="46">
        <v>0</v>
      </c>
      <c r="M1144" s="35"/>
      <c r="N1144" s="25">
        <v>0</v>
      </c>
      <c r="O1144" s="25">
        <v>0</v>
      </c>
      <c r="P1144" s="25">
        <v>0</v>
      </c>
      <c r="Q1144" s="25">
        <v>0</v>
      </c>
      <c r="R1144" s="35"/>
      <c r="S1144" s="25">
        <f t="shared" si="2218"/>
        <v>0</v>
      </c>
      <c r="T1144" s="25">
        <f t="shared" si="2219"/>
        <v>0</v>
      </c>
      <c r="U1144" s="25">
        <f t="shared" si="2211"/>
        <v>72</v>
      </c>
      <c r="V1144" s="35"/>
      <c r="W1144" s="46">
        <v>21.95</v>
      </c>
      <c r="X1144" s="26">
        <f t="shared" ref="X1144" si="2220">(W1144*1*D1144)+(W1144*1.5*E1144)+(W1144*2*F1144)+(W1144*1*G1144)</f>
        <v>0</v>
      </c>
      <c r="Y1144" s="26">
        <f t="shared" si="2203"/>
        <v>878</v>
      </c>
      <c r="Z1144" s="26">
        <f t="shared" si="2215"/>
        <v>0</v>
      </c>
      <c r="AA1144" s="27">
        <f t="shared" si="2205"/>
        <v>702.4</v>
      </c>
      <c r="AB1144" s="27">
        <f t="shared" si="2216"/>
        <v>0</v>
      </c>
      <c r="AC1144" s="65">
        <f>0-Y1144-AA1144</f>
        <v>-1580.4</v>
      </c>
      <c r="AD1144" s="210"/>
      <c r="AE1144" s="65">
        <f t="shared" ref="AE1144:AE1151" si="2221">AB1144-(X1144+Z1144)</f>
        <v>0</v>
      </c>
      <c r="AF1144" s="210"/>
      <c r="AG1144" s="8"/>
      <c r="AH1144">
        <f>SUM(AH1140:AH1143)</f>
        <v>16689.850000000002</v>
      </c>
    </row>
    <row r="1145" spans="1:34" x14ac:dyDescent="0.45">
      <c r="A1145" s="16">
        <f>A1144+14</f>
        <v>45466</v>
      </c>
      <c r="B1145" s="17" t="s">
        <v>30</v>
      </c>
      <c r="C1145" s="47">
        <f>120*W1145</f>
        <v>4303.2</v>
      </c>
      <c r="D1145" s="18">
        <v>80</v>
      </c>
      <c r="E1145" s="18">
        <v>0</v>
      </c>
      <c r="F1145" s="18">
        <v>0</v>
      </c>
      <c r="G1145" s="18">
        <v>0</v>
      </c>
      <c r="H1145" s="18">
        <v>0</v>
      </c>
      <c r="I1145" s="18">
        <v>0</v>
      </c>
      <c r="J1145" s="18">
        <v>0</v>
      </c>
      <c r="K1145" s="18">
        <v>0</v>
      </c>
      <c r="L1145" s="44">
        <v>0</v>
      </c>
      <c r="M1145" s="33"/>
      <c r="N1145" s="18">
        <v>80</v>
      </c>
      <c r="O1145" s="18">
        <v>0</v>
      </c>
      <c r="P1145" s="18">
        <v>0</v>
      </c>
      <c r="Q1145" s="18">
        <v>0</v>
      </c>
      <c r="R1145" s="33"/>
      <c r="S1145" s="18">
        <f>SUM(D1145:G1145)</f>
        <v>80</v>
      </c>
      <c r="T1145" s="18">
        <f>SUM(N1145:Q1145)</f>
        <v>80</v>
      </c>
      <c r="U1145" s="18">
        <f>SUM(H1145:K1145)</f>
        <v>0</v>
      </c>
      <c r="V1145" s="33"/>
      <c r="W1145" s="44">
        <v>35.86</v>
      </c>
      <c r="X1145" s="19">
        <f>(W1145*1*D1145)+(W1145*1.5*E1145)+(W1145*2*F1145)+(W1145*1*G1145)</f>
        <v>2868.8</v>
      </c>
      <c r="Y1145" s="19">
        <f>(W1145*0*H1145)+(W1145*1*I1145)</f>
        <v>0</v>
      </c>
      <c r="Z1145" s="19">
        <f>(W1145*1*J1145)+L1145</f>
        <v>0</v>
      </c>
      <c r="AA1145" s="20">
        <f>(W1145*1*K1145)</f>
        <v>0</v>
      </c>
      <c r="AB1145" s="20">
        <f>(W1145*1*N1145)+(W1145*1.5*O1145)+(W1145*2*P1145)+(W1145*1*Q1145)</f>
        <v>2868.8</v>
      </c>
      <c r="AC1145" s="66">
        <f t="shared" ref="AC1145:AC1150" si="2222">0-Y1145-AA1145</f>
        <v>0</v>
      </c>
      <c r="AD1145" s="208"/>
      <c r="AE1145" s="66">
        <f t="shared" si="2221"/>
        <v>0</v>
      </c>
      <c r="AF1145" s="208">
        <f>SUM(AE1145:AE1153)</f>
        <v>-2686.2587500000009</v>
      </c>
      <c r="AG1145" s="8"/>
    </row>
    <row r="1146" spans="1:34" x14ac:dyDescent="0.45">
      <c r="A1146" s="22">
        <f>A1145</f>
        <v>45466</v>
      </c>
      <c r="B1146" s="15" t="s">
        <v>4</v>
      </c>
      <c r="C1146" s="48">
        <f>120*W1146</f>
        <v>3969.6</v>
      </c>
      <c r="D1146" s="13">
        <v>0</v>
      </c>
      <c r="E1146" s="13">
        <v>0</v>
      </c>
      <c r="F1146" s="13">
        <v>0</v>
      </c>
      <c r="G1146" s="13">
        <v>0</v>
      </c>
      <c r="H1146" s="13">
        <v>0</v>
      </c>
      <c r="I1146" s="13">
        <v>0</v>
      </c>
      <c r="J1146" s="13">
        <v>0</v>
      </c>
      <c r="K1146" s="13">
        <v>0</v>
      </c>
      <c r="L1146" s="45">
        <v>0</v>
      </c>
      <c r="M1146" s="34"/>
      <c r="N1146" s="13">
        <v>0</v>
      </c>
      <c r="O1146" s="13">
        <v>0</v>
      </c>
      <c r="P1146" s="13">
        <v>0</v>
      </c>
      <c r="Q1146" s="13">
        <v>0</v>
      </c>
      <c r="R1146" s="34"/>
      <c r="S1146" s="13">
        <f t="shared" ref="S1146" si="2223">SUM(D1146:G1146)</f>
        <v>0</v>
      </c>
      <c r="T1146" s="13">
        <f t="shared" ref="T1146" si="2224">SUM(N1146:Q1146)</f>
        <v>0</v>
      </c>
      <c r="U1146" s="13">
        <f>SUM(H1146:K1146)</f>
        <v>0</v>
      </c>
      <c r="V1146" s="34"/>
      <c r="W1146" s="45">
        <v>33.08</v>
      </c>
      <c r="X1146" s="10">
        <f t="shared" ref="X1146:X1147" si="2225">(W1146*1*D1146)+(W1146*1.5*E1146)+(W1146*2*F1146)+(W1146*1*G1146)</f>
        <v>0</v>
      </c>
      <c r="Y1146" s="10">
        <f t="shared" ref="Y1146:Y1153" si="2226">(W1146*0*H1146)+(W1146*1*I1146)</f>
        <v>0</v>
      </c>
      <c r="Z1146" s="10">
        <f t="shared" ref="Z1146:Z1148" si="2227">(W1146*1*J1146)+L1146</f>
        <v>0</v>
      </c>
      <c r="AA1146" s="14">
        <f t="shared" ref="AA1146:AA1153" si="2228">(W1146*1*K1146)</f>
        <v>0</v>
      </c>
      <c r="AB1146" s="14">
        <f t="shared" ref="AB1146:AB1148" si="2229">(W1146*1*N1146)+(W1146*1.5*O1146)+(W1146*2*P1146)+(W1146*1*Q1146)</f>
        <v>0</v>
      </c>
      <c r="AC1146" s="63">
        <f t="shared" si="2222"/>
        <v>0</v>
      </c>
      <c r="AD1146" s="209"/>
      <c r="AE1146" s="63">
        <f t="shared" si="2221"/>
        <v>0</v>
      </c>
      <c r="AF1146" s="209"/>
      <c r="AG1146" s="8"/>
    </row>
    <row r="1147" spans="1:34" x14ac:dyDescent="0.45">
      <c r="A1147" s="22">
        <f>A1145</f>
        <v>45466</v>
      </c>
      <c r="B1147" s="15" t="s">
        <v>5</v>
      </c>
      <c r="C1147" s="48">
        <f>120*W1147</f>
        <v>3836.3999999999996</v>
      </c>
      <c r="D1147" s="13">
        <v>77.5</v>
      </c>
      <c r="E1147" s="13">
        <v>10</v>
      </c>
      <c r="F1147" s="13">
        <v>12</v>
      </c>
      <c r="G1147" s="13">
        <v>14</v>
      </c>
      <c r="H1147" s="13">
        <v>0</v>
      </c>
      <c r="I1147" s="13">
        <v>0</v>
      </c>
      <c r="J1147" s="13">
        <v>0</v>
      </c>
      <c r="K1147" s="13">
        <v>0</v>
      </c>
      <c r="L1147" s="45">
        <v>0</v>
      </c>
      <c r="M1147" s="34"/>
      <c r="N1147" s="13">
        <v>78.5</v>
      </c>
      <c r="O1147" s="13">
        <v>10</v>
      </c>
      <c r="P1147" s="13">
        <v>12</v>
      </c>
      <c r="Q1147" s="13">
        <v>13</v>
      </c>
      <c r="R1147" s="34"/>
      <c r="S1147" s="13">
        <f t="shared" ref="S1147:S1148" si="2230">SUM(D1147:G1147)</f>
        <v>113.5</v>
      </c>
      <c r="T1147" s="13">
        <f>SUM(N1147:Q1147)</f>
        <v>113.5</v>
      </c>
      <c r="U1147" s="13">
        <f t="shared" ref="U1147:U1148" si="2231">SUM(H1147:K1147)</f>
        <v>0</v>
      </c>
      <c r="V1147" s="34"/>
      <c r="W1147" s="45">
        <v>31.97</v>
      </c>
      <c r="X1147" s="45">
        <f t="shared" si="2225"/>
        <v>4172.0849999999991</v>
      </c>
      <c r="Y1147" s="45">
        <f t="shared" si="2226"/>
        <v>0</v>
      </c>
      <c r="Z1147" s="45">
        <f t="shared" si="2227"/>
        <v>0</v>
      </c>
      <c r="AA1147" s="79">
        <f t="shared" si="2228"/>
        <v>0</v>
      </c>
      <c r="AB1147" s="79">
        <f t="shared" si="2229"/>
        <v>4172.0849999999991</v>
      </c>
      <c r="AC1147" s="80">
        <f t="shared" si="2222"/>
        <v>0</v>
      </c>
      <c r="AD1147" s="209"/>
      <c r="AE1147" s="80">
        <f t="shared" si="2221"/>
        <v>0</v>
      </c>
      <c r="AF1147" s="209"/>
      <c r="AG1147" s="8"/>
    </row>
    <row r="1148" spans="1:34" x14ac:dyDescent="0.45">
      <c r="A1148" s="22">
        <f>A1145</f>
        <v>45466</v>
      </c>
      <c r="B1148" s="15" t="s">
        <v>6</v>
      </c>
      <c r="C1148" s="48">
        <f>120*W1148</f>
        <v>3969.6</v>
      </c>
      <c r="D1148" s="13">
        <v>55.75</v>
      </c>
      <c r="E1148" s="13">
        <v>0</v>
      </c>
      <c r="F1148" s="13">
        <v>12</v>
      </c>
      <c r="G1148" s="13">
        <v>16</v>
      </c>
      <c r="H1148" s="13">
        <v>0</v>
      </c>
      <c r="I1148" s="13">
        <v>0</v>
      </c>
      <c r="J1148" s="13">
        <v>0</v>
      </c>
      <c r="K1148" s="13">
        <v>0</v>
      </c>
      <c r="L1148" s="45">
        <v>0</v>
      </c>
      <c r="M1148" s="34"/>
      <c r="N1148" s="13">
        <v>55</v>
      </c>
      <c r="O1148" s="13">
        <v>0</v>
      </c>
      <c r="P1148" s="13">
        <v>12.75</v>
      </c>
      <c r="Q1148" s="13">
        <v>16</v>
      </c>
      <c r="R1148" s="34"/>
      <c r="S1148" s="13">
        <f t="shared" si="2230"/>
        <v>83.75</v>
      </c>
      <c r="T1148" s="13">
        <f t="shared" ref="T1148" si="2232">SUM(N1148:Q1148)</f>
        <v>83.75</v>
      </c>
      <c r="U1148" s="13">
        <f t="shared" si="2231"/>
        <v>0</v>
      </c>
      <c r="V1148" s="34"/>
      <c r="W1148" s="45">
        <v>33.08</v>
      </c>
      <c r="X1148" s="45">
        <f>(W1148*1*D1148)+(W1148*1.5*E1148)+(W1148*2*F1148)+(W1148*1*G1148)</f>
        <v>3167.41</v>
      </c>
      <c r="Y1148" s="45">
        <f t="shared" si="2226"/>
        <v>0</v>
      </c>
      <c r="Z1148" s="45">
        <f t="shared" si="2227"/>
        <v>0</v>
      </c>
      <c r="AA1148" s="79">
        <f t="shared" si="2228"/>
        <v>0</v>
      </c>
      <c r="AB1148" s="79">
        <f t="shared" si="2229"/>
        <v>3192.2199999999993</v>
      </c>
      <c r="AC1148" s="80">
        <f t="shared" si="2222"/>
        <v>0</v>
      </c>
      <c r="AD1148" s="209"/>
      <c r="AE1148" s="80">
        <f t="shared" si="2221"/>
        <v>24.809999999999491</v>
      </c>
      <c r="AF1148" s="209"/>
      <c r="AG1148" s="8"/>
    </row>
    <row r="1149" spans="1:34" x14ac:dyDescent="0.45">
      <c r="A1149" s="22">
        <f>A1145</f>
        <v>45466</v>
      </c>
      <c r="B1149" s="50" t="s">
        <v>31</v>
      </c>
      <c r="C1149" s="48">
        <f>120*W1149</f>
        <v>3969.6</v>
      </c>
      <c r="D1149" s="13">
        <v>80</v>
      </c>
      <c r="E1149" s="13">
        <v>24.25</v>
      </c>
      <c r="F1149" s="13">
        <v>12</v>
      </c>
      <c r="G1149" s="13">
        <v>10</v>
      </c>
      <c r="H1149" s="13">
        <v>0</v>
      </c>
      <c r="I1149" s="13">
        <v>0</v>
      </c>
      <c r="J1149" s="13">
        <v>0</v>
      </c>
      <c r="K1149" s="13">
        <v>0</v>
      </c>
      <c r="L1149" s="45">
        <v>0</v>
      </c>
      <c r="M1149" s="34"/>
      <c r="N1149" s="13">
        <v>80</v>
      </c>
      <c r="O1149" s="13">
        <v>22.25</v>
      </c>
      <c r="P1149" s="13">
        <v>13.5</v>
      </c>
      <c r="Q1149" s="13">
        <v>10.25</v>
      </c>
      <c r="R1149" s="34"/>
      <c r="S1149" s="13">
        <f t="shared" ref="S1149" si="2233">SUM(D1149:G1149)</f>
        <v>126.25</v>
      </c>
      <c r="T1149" s="13">
        <f>SUM(N1149:Q1149)</f>
        <v>126</v>
      </c>
      <c r="U1149" s="13">
        <f t="shared" ref="U1149:U1153" si="2234">SUM(H1149:K1149)</f>
        <v>0</v>
      </c>
      <c r="V1149" s="34"/>
      <c r="W1149" s="45">
        <v>33.08</v>
      </c>
      <c r="X1149" s="52">
        <f>(W1149*1*D1149)+(W1149*1.5*E1149)+(W1149*2*F1149)+(W1149*1*G1149)</f>
        <v>4974.4049999999997</v>
      </c>
      <c r="Y1149" s="52">
        <f t="shared" si="2226"/>
        <v>0</v>
      </c>
      <c r="Z1149" s="52">
        <f>(W1149*1*J1149)+L1149</f>
        <v>0</v>
      </c>
      <c r="AA1149" s="96">
        <f t="shared" si="2228"/>
        <v>0</v>
      </c>
      <c r="AB1149" s="96">
        <f>(W1149*1*N1149)+(W1149*1.5*O1149)+(W1149*2*P1149)+(W1149*1*Q1149)</f>
        <v>4982.6749999999993</v>
      </c>
      <c r="AC1149" s="97">
        <f t="shared" si="2222"/>
        <v>0</v>
      </c>
      <c r="AD1149" s="209"/>
      <c r="AE1149" s="97">
        <f t="shared" si="2221"/>
        <v>8.2699999999995271</v>
      </c>
      <c r="AF1149" s="209"/>
      <c r="AG1149" s="8"/>
      <c r="AH1149">
        <v>24737.97</v>
      </c>
    </row>
    <row r="1150" spans="1:34" x14ac:dyDescent="0.45">
      <c r="A1150" s="22">
        <f>A1145</f>
        <v>45466</v>
      </c>
      <c r="B1150" s="50" t="s">
        <v>64</v>
      </c>
      <c r="C1150" s="48">
        <f t="shared" ref="C1150:C1153" si="2235">80*W1150</f>
        <v>2000</v>
      </c>
      <c r="D1150" s="13">
        <v>54</v>
      </c>
      <c r="E1150" s="13">
        <v>32</v>
      </c>
      <c r="F1150" s="13">
        <v>22.5</v>
      </c>
      <c r="G1150" s="13">
        <v>6</v>
      </c>
      <c r="H1150" s="13">
        <v>0</v>
      </c>
      <c r="I1150" s="13">
        <v>0</v>
      </c>
      <c r="J1150" s="13">
        <v>0</v>
      </c>
      <c r="K1150" s="13">
        <v>0</v>
      </c>
      <c r="L1150" s="45">
        <v>0</v>
      </c>
      <c r="M1150" s="34"/>
      <c r="N1150" s="13">
        <v>53.5</v>
      </c>
      <c r="O1150" s="13">
        <v>32</v>
      </c>
      <c r="P1150" s="13">
        <v>22.5</v>
      </c>
      <c r="Q1150" s="13">
        <v>6.5</v>
      </c>
      <c r="R1150" s="34"/>
      <c r="S1150" s="13">
        <f t="shared" ref="S1150:S1151" si="2236">SUM(D1150:G1150)</f>
        <v>114.5</v>
      </c>
      <c r="T1150" s="13">
        <f>SUM(N1150:Q1150)</f>
        <v>114.5</v>
      </c>
      <c r="U1150" s="13">
        <f t="shared" si="2234"/>
        <v>0</v>
      </c>
      <c r="V1150" s="34"/>
      <c r="W1150" s="52">
        <v>25</v>
      </c>
      <c r="X1150" s="52">
        <f t="shared" ref="X1150:X1151" si="2237">(W1150*1*D1150)+(W1150*1.5*E1150)+(W1150*2*F1150)+(W1150*1*G1150)</f>
        <v>3825</v>
      </c>
      <c r="Y1150" s="52">
        <f t="shared" si="2226"/>
        <v>0</v>
      </c>
      <c r="Z1150" s="52">
        <f t="shared" ref="Z1150:Z1153" si="2238">(W1150*1*J1150)+L1150</f>
        <v>0</v>
      </c>
      <c r="AA1150" s="96">
        <f t="shared" si="2228"/>
        <v>0</v>
      </c>
      <c r="AB1150" s="96">
        <f t="shared" ref="AB1150:AB1153" si="2239">(W1150*1*N1150)+(W1150*1.5*O1150)+(W1150*2*P1150)+(W1150*1*Q1150)</f>
        <v>3825</v>
      </c>
      <c r="AC1150" s="97">
        <f t="shared" si="2222"/>
        <v>0</v>
      </c>
      <c r="AD1150" s="209"/>
      <c r="AE1150" s="97">
        <f t="shared" si="2221"/>
        <v>0</v>
      </c>
      <c r="AF1150" s="209"/>
      <c r="AG1150" s="8"/>
      <c r="AH1150">
        <v>-3024.03</v>
      </c>
    </row>
    <row r="1151" spans="1:34" x14ac:dyDescent="0.45">
      <c r="A1151" s="22">
        <f>A1145</f>
        <v>45466</v>
      </c>
      <c r="B1151" s="50" t="s">
        <v>54</v>
      </c>
      <c r="C1151" s="48">
        <f t="shared" si="2235"/>
        <v>2125.6</v>
      </c>
      <c r="D1151" s="13">
        <v>80</v>
      </c>
      <c r="E1151" s="13">
        <v>8</v>
      </c>
      <c r="F1151" s="13">
        <v>0</v>
      </c>
      <c r="G1151" s="13">
        <v>0</v>
      </c>
      <c r="H1151" s="13">
        <v>0</v>
      </c>
      <c r="I1151" s="13">
        <v>0</v>
      </c>
      <c r="J1151" s="13">
        <v>0</v>
      </c>
      <c r="K1151" s="13">
        <v>0</v>
      </c>
      <c r="L1151" s="45">
        <v>0</v>
      </c>
      <c r="M1151" s="34"/>
      <c r="N1151" s="13">
        <v>80</v>
      </c>
      <c r="O1151" s="13">
        <v>4</v>
      </c>
      <c r="P1151" s="13">
        <v>0</v>
      </c>
      <c r="Q1151" s="13">
        <v>0</v>
      </c>
      <c r="R1151" s="34"/>
      <c r="S1151" s="13">
        <f t="shared" si="2236"/>
        <v>88</v>
      </c>
      <c r="T1151" s="13">
        <f t="shared" ref="T1151" si="2240">SUM(N1151:Q1151)</f>
        <v>84</v>
      </c>
      <c r="U1151" s="13">
        <f t="shared" si="2234"/>
        <v>0</v>
      </c>
      <c r="V1151" s="34"/>
      <c r="W1151" s="52">
        <v>26.57</v>
      </c>
      <c r="X1151" s="52">
        <f t="shared" si="2237"/>
        <v>2444.44</v>
      </c>
      <c r="Y1151" s="52">
        <f t="shared" si="2226"/>
        <v>0</v>
      </c>
      <c r="Z1151" s="52">
        <f t="shared" si="2238"/>
        <v>0</v>
      </c>
      <c r="AA1151" s="96">
        <f t="shared" si="2228"/>
        <v>0</v>
      </c>
      <c r="AB1151" s="96">
        <f t="shared" si="2239"/>
        <v>2285.02</v>
      </c>
      <c r="AC1151" s="97">
        <f>0-Y1151-AA1151</f>
        <v>0</v>
      </c>
      <c r="AD1151" s="209"/>
      <c r="AE1151" s="97">
        <f t="shared" si="2221"/>
        <v>-159.42000000000007</v>
      </c>
      <c r="AF1151" s="209"/>
      <c r="AG1151" s="8"/>
      <c r="AH1151">
        <v>-1181.0899999999999</v>
      </c>
    </row>
    <row r="1152" spans="1:34" x14ac:dyDescent="0.45">
      <c r="A1152" s="22">
        <f>A1145</f>
        <v>45466</v>
      </c>
      <c r="B1152" s="50" t="s">
        <v>65</v>
      </c>
      <c r="C1152" s="48">
        <f t="shared" si="2235"/>
        <v>1920</v>
      </c>
      <c r="D1152" s="51">
        <v>0</v>
      </c>
      <c r="E1152" s="51">
        <v>0</v>
      </c>
      <c r="F1152" s="51">
        <v>0</v>
      </c>
      <c r="G1152" s="51">
        <v>0</v>
      </c>
      <c r="H1152" s="51">
        <v>0</v>
      </c>
      <c r="I1152" s="51">
        <v>40</v>
      </c>
      <c r="J1152" s="51">
        <v>0</v>
      </c>
      <c r="K1152" s="51">
        <v>40</v>
      </c>
      <c r="L1152" s="52">
        <v>0</v>
      </c>
      <c r="M1152" s="34"/>
      <c r="N1152" s="51">
        <v>0</v>
      </c>
      <c r="O1152" s="51">
        <v>0</v>
      </c>
      <c r="P1152" s="51">
        <v>0</v>
      </c>
      <c r="Q1152" s="51">
        <v>0</v>
      </c>
      <c r="R1152" s="34"/>
      <c r="S1152" s="51">
        <f t="shared" ref="S1152:S1153" si="2241">SUM(D1152:G1152)</f>
        <v>0</v>
      </c>
      <c r="T1152" s="51">
        <f t="shared" ref="T1152:T1153" si="2242">SUM(N1152:Q1152)</f>
        <v>0</v>
      </c>
      <c r="U1152" s="51">
        <f t="shared" si="2234"/>
        <v>80</v>
      </c>
      <c r="V1152" s="34"/>
      <c r="W1152" s="52">
        <v>24</v>
      </c>
      <c r="X1152" s="53">
        <f>(W1152*1*D1152)+(W1152*1.5*E1152)+(W1152*2*F1152)+(W1152*1*G1152)</f>
        <v>0</v>
      </c>
      <c r="Y1152" s="53">
        <f t="shared" si="2226"/>
        <v>960</v>
      </c>
      <c r="Z1152" s="53">
        <f t="shared" si="2238"/>
        <v>0</v>
      </c>
      <c r="AA1152" s="54">
        <f t="shared" si="2228"/>
        <v>960</v>
      </c>
      <c r="AB1152" s="54">
        <f t="shared" si="2239"/>
        <v>0</v>
      </c>
      <c r="AC1152" s="64">
        <f>0-Y1152-AA1152</f>
        <v>-1920</v>
      </c>
      <c r="AD1152" s="209"/>
      <c r="AE1152" s="64">
        <f>AB1152-(X1152+Z1152)</f>
        <v>0</v>
      </c>
      <c r="AF1152" s="209"/>
      <c r="AG1152" s="8"/>
      <c r="AH1152">
        <v>-2315.39</v>
      </c>
    </row>
    <row r="1153" spans="1:34" ht="14.65" thickBot="1" x14ac:dyDescent="0.5">
      <c r="A1153" s="23">
        <f>A1145</f>
        <v>45466</v>
      </c>
      <c r="B1153" s="24" t="s">
        <v>66</v>
      </c>
      <c r="C1153" s="49">
        <f t="shared" si="2235"/>
        <v>1756</v>
      </c>
      <c r="D1153" s="25">
        <v>52.5</v>
      </c>
      <c r="E1153" s="25">
        <v>27.75</v>
      </c>
      <c r="F1153" s="25">
        <v>11.25</v>
      </c>
      <c r="G1153" s="25">
        <v>0</v>
      </c>
      <c r="H1153" s="25">
        <v>0</v>
      </c>
      <c r="I1153" s="25">
        <v>0</v>
      </c>
      <c r="J1153" s="25">
        <v>0</v>
      </c>
      <c r="K1153" s="25">
        <v>27.5</v>
      </c>
      <c r="L1153" s="46">
        <v>0</v>
      </c>
      <c r="M1153" s="35"/>
      <c r="N1153" s="25">
        <v>0</v>
      </c>
      <c r="O1153" s="25">
        <v>0</v>
      </c>
      <c r="P1153" s="25">
        <v>0</v>
      </c>
      <c r="Q1153" s="25">
        <v>0</v>
      </c>
      <c r="R1153" s="35"/>
      <c r="S1153" s="25">
        <f t="shared" si="2241"/>
        <v>91.5</v>
      </c>
      <c r="T1153" s="25">
        <f t="shared" si="2242"/>
        <v>0</v>
      </c>
      <c r="U1153" s="25">
        <f t="shared" si="2234"/>
        <v>27.5</v>
      </c>
      <c r="V1153" s="35"/>
      <c r="W1153" s="46">
        <v>21.95</v>
      </c>
      <c r="X1153" s="26">
        <f t="shared" ref="X1153" si="2243">(W1153*1*D1153)+(W1153*1.5*E1153)+(W1153*2*F1153)+(W1153*1*G1153)</f>
        <v>2559.9187499999998</v>
      </c>
      <c r="Y1153" s="26">
        <f t="shared" si="2226"/>
        <v>0</v>
      </c>
      <c r="Z1153" s="26">
        <f t="shared" si="2238"/>
        <v>0</v>
      </c>
      <c r="AA1153" s="27">
        <f t="shared" si="2228"/>
        <v>603.625</v>
      </c>
      <c r="AB1153" s="27">
        <f t="shared" si="2239"/>
        <v>0</v>
      </c>
      <c r="AC1153" s="65">
        <f>0-Y1153-AA1153</f>
        <v>-603.625</v>
      </c>
      <c r="AD1153" s="210"/>
      <c r="AE1153" s="65">
        <f t="shared" ref="AE1153:AE1160" si="2244">AB1153-(X1153+Z1153)</f>
        <v>-2559.9187499999998</v>
      </c>
      <c r="AF1153" s="210"/>
      <c r="AG1153" s="8"/>
      <c r="AH1153">
        <f>SUM(AH1149:AH1152)</f>
        <v>18217.460000000003</v>
      </c>
    </row>
    <row r="1154" spans="1:34" x14ac:dyDescent="0.45">
      <c r="A1154" s="16">
        <f>A1153+14</f>
        <v>45480</v>
      </c>
      <c r="B1154" s="17" t="s">
        <v>30</v>
      </c>
      <c r="C1154" s="47">
        <f>120*W1154</f>
        <v>4303.2</v>
      </c>
      <c r="D1154" s="18">
        <v>72</v>
      </c>
      <c r="E1154" s="18">
        <v>1.25</v>
      </c>
      <c r="F1154" s="18">
        <v>0</v>
      </c>
      <c r="G1154" s="18">
        <v>0</v>
      </c>
      <c r="H1154" s="18">
        <v>0</v>
      </c>
      <c r="I1154" s="18">
        <v>0</v>
      </c>
      <c r="J1154" s="18">
        <v>8</v>
      </c>
      <c r="K1154" s="18">
        <v>0</v>
      </c>
      <c r="L1154" s="44">
        <v>0</v>
      </c>
      <c r="M1154" s="33"/>
      <c r="N1154" s="18">
        <v>72</v>
      </c>
      <c r="O1154" s="18">
        <v>1.25</v>
      </c>
      <c r="P1154" s="18">
        <v>0</v>
      </c>
      <c r="Q1154" s="18">
        <v>0</v>
      </c>
      <c r="R1154" s="33"/>
      <c r="S1154" s="18">
        <f>SUM(D1154:G1154)</f>
        <v>73.25</v>
      </c>
      <c r="T1154" s="18">
        <f>SUM(N1154:Q1154)</f>
        <v>73.25</v>
      </c>
      <c r="U1154" s="18">
        <f>SUM(H1154:K1154)</f>
        <v>8</v>
      </c>
      <c r="V1154" s="33"/>
      <c r="W1154" s="44">
        <v>35.86</v>
      </c>
      <c r="X1154" s="19">
        <f>(W1154*1*D1154)+(W1154*1.5*E1154)+(W1154*2*F1154)+(W1154*1*G1154)</f>
        <v>2649.1575000000003</v>
      </c>
      <c r="Y1154" s="19">
        <f>(W1154*0*H1154)+(W1154*1*I1154)</f>
        <v>0</v>
      </c>
      <c r="Z1154" s="19">
        <f>(W1154*1*J1154)+L1154</f>
        <v>286.88</v>
      </c>
      <c r="AA1154" s="20">
        <f>(W1154*1*K1154)</f>
        <v>0</v>
      </c>
      <c r="AB1154" s="20">
        <f>(W1154*1*N1154)+(W1154*1.5*O1154)+(W1154*2*P1154)+(W1154*1*Q1154)</f>
        <v>2649.1575000000003</v>
      </c>
      <c r="AC1154" s="66">
        <f t="shared" ref="AC1154:AC1159" si="2245">0-Y1154-AA1154</f>
        <v>0</v>
      </c>
      <c r="AD1154" s="208"/>
      <c r="AE1154" s="66">
        <f t="shared" si="2244"/>
        <v>-286.88000000000011</v>
      </c>
      <c r="AF1154" s="208">
        <f>SUM(AE1154:AE1162)</f>
        <v>-1714.1475000000014</v>
      </c>
      <c r="AG1154" s="8"/>
    </row>
    <row r="1155" spans="1:34" x14ac:dyDescent="0.45">
      <c r="A1155" s="101">
        <f>A1154</f>
        <v>45480</v>
      </c>
      <c r="B1155" s="102" t="s">
        <v>4</v>
      </c>
      <c r="C1155" s="103">
        <f>120*W1155</f>
        <v>3969.6</v>
      </c>
      <c r="D1155" s="104">
        <v>0</v>
      </c>
      <c r="E1155" s="104">
        <v>0</v>
      </c>
      <c r="F1155" s="104">
        <v>0</v>
      </c>
      <c r="G1155" s="104">
        <v>0</v>
      </c>
      <c r="H1155" s="104">
        <v>0</v>
      </c>
      <c r="I1155" s="104">
        <v>0</v>
      </c>
      <c r="J1155" s="104">
        <v>0</v>
      </c>
      <c r="K1155" s="104">
        <v>0</v>
      </c>
      <c r="L1155" s="105">
        <v>0</v>
      </c>
      <c r="M1155" s="106"/>
      <c r="N1155" s="104">
        <v>0</v>
      </c>
      <c r="O1155" s="104">
        <v>0</v>
      </c>
      <c r="P1155" s="104">
        <v>0</v>
      </c>
      <c r="Q1155" s="104">
        <v>0</v>
      </c>
      <c r="R1155" s="106"/>
      <c r="S1155" s="104">
        <f t="shared" ref="S1155" si="2246">SUM(D1155:G1155)</f>
        <v>0</v>
      </c>
      <c r="T1155" s="104">
        <f t="shared" ref="T1155" si="2247">SUM(N1155:Q1155)</f>
        <v>0</v>
      </c>
      <c r="U1155" s="104">
        <f>SUM(H1155:K1155)</f>
        <v>0</v>
      </c>
      <c r="V1155" s="106"/>
      <c r="W1155" s="105">
        <v>33.08</v>
      </c>
      <c r="X1155" s="105">
        <f t="shared" ref="X1155:X1156" si="2248">(W1155*1*D1155)+(W1155*1.5*E1155)+(W1155*2*F1155)+(W1155*1*G1155)</f>
        <v>0</v>
      </c>
      <c r="Y1155" s="105">
        <f t="shared" ref="Y1155:Y1162" si="2249">(W1155*0*H1155)+(W1155*1*I1155)</f>
        <v>0</v>
      </c>
      <c r="Z1155" s="105">
        <f t="shared" ref="Z1155:Z1157" si="2250">(W1155*1*J1155)+L1155</f>
        <v>0</v>
      </c>
      <c r="AA1155" s="107">
        <f t="shared" ref="AA1155:AA1162" si="2251">(W1155*1*K1155)</f>
        <v>0</v>
      </c>
      <c r="AB1155" s="107">
        <f t="shared" ref="AB1155:AB1157" si="2252">(W1155*1*N1155)+(W1155*1.5*O1155)+(W1155*2*P1155)+(W1155*1*Q1155)</f>
        <v>0</v>
      </c>
      <c r="AC1155" s="108">
        <f t="shared" si="2245"/>
        <v>0</v>
      </c>
      <c r="AD1155" s="209"/>
      <c r="AE1155" s="63">
        <f t="shared" si="2244"/>
        <v>0</v>
      </c>
      <c r="AF1155" s="209"/>
      <c r="AG1155" s="8"/>
    </row>
    <row r="1156" spans="1:34" x14ac:dyDescent="0.45">
      <c r="A1156" s="22">
        <f>A1154</f>
        <v>45480</v>
      </c>
      <c r="B1156" s="15" t="s">
        <v>5</v>
      </c>
      <c r="C1156" s="48">
        <f>120*W1156</f>
        <v>3836.3999999999996</v>
      </c>
      <c r="D1156" s="13">
        <v>72</v>
      </c>
      <c r="E1156" s="13">
        <v>10.25</v>
      </c>
      <c r="F1156" s="13">
        <v>12.5</v>
      </c>
      <c r="G1156" s="13">
        <v>6</v>
      </c>
      <c r="H1156" s="13">
        <v>0</v>
      </c>
      <c r="I1156" s="13">
        <v>8</v>
      </c>
      <c r="J1156" s="13">
        <v>8</v>
      </c>
      <c r="K1156" s="13">
        <v>0</v>
      </c>
      <c r="L1156" s="45">
        <v>0</v>
      </c>
      <c r="M1156" s="34"/>
      <c r="N1156" s="13">
        <v>62.5</v>
      </c>
      <c r="O1156" s="13">
        <v>15.75</v>
      </c>
      <c r="P1156" s="13">
        <v>15</v>
      </c>
      <c r="Q1156" s="13">
        <v>7.5</v>
      </c>
      <c r="R1156" s="34"/>
      <c r="S1156" s="13">
        <f t="shared" ref="S1156:S1157" si="2253">SUM(D1156:G1156)</f>
        <v>100.75</v>
      </c>
      <c r="T1156" s="13">
        <f>SUM(N1156:Q1156)</f>
        <v>100.75</v>
      </c>
      <c r="U1156" s="13">
        <f t="shared" ref="U1156:U1157" si="2254">SUM(H1156:K1156)</f>
        <v>16</v>
      </c>
      <c r="V1156" s="34"/>
      <c r="W1156" s="45">
        <v>31.97</v>
      </c>
      <c r="X1156" s="45">
        <f t="shared" si="2248"/>
        <v>3784.4487500000005</v>
      </c>
      <c r="Y1156" s="45">
        <f t="shared" si="2249"/>
        <v>255.76</v>
      </c>
      <c r="Z1156" s="45">
        <f t="shared" si="2250"/>
        <v>255.76</v>
      </c>
      <c r="AA1156" s="79">
        <f t="shared" si="2251"/>
        <v>0</v>
      </c>
      <c r="AB1156" s="79">
        <f t="shared" si="2252"/>
        <v>3952.2912500000002</v>
      </c>
      <c r="AC1156" s="80">
        <f t="shared" si="2245"/>
        <v>-255.76</v>
      </c>
      <c r="AD1156" s="209"/>
      <c r="AE1156" s="80">
        <f t="shared" si="2244"/>
        <v>-87.917500000000473</v>
      </c>
      <c r="AF1156" s="209"/>
      <c r="AG1156" s="8"/>
    </row>
    <row r="1157" spans="1:34" x14ac:dyDescent="0.45">
      <c r="A1157" s="22">
        <f>A1154</f>
        <v>45480</v>
      </c>
      <c r="B1157" s="15" t="s">
        <v>6</v>
      </c>
      <c r="C1157" s="48">
        <f>120*W1157</f>
        <v>3969.6</v>
      </c>
      <c r="D1157" s="13">
        <v>71.25</v>
      </c>
      <c r="E1157" s="13">
        <v>3.5</v>
      </c>
      <c r="F1157" s="13">
        <v>0</v>
      </c>
      <c r="G1157" s="13">
        <v>19.25</v>
      </c>
      <c r="H1157" s="13">
        <v>0</v>
      </c>
      <c r="I1157" s="13">
        <v>0</v>
      </c>
      <c r="J1157" s="13">
        <v>8</v>
      </c>
      <c r="K1157" s="13">
        <v>0</v>
      </c>
      <c r="L1157" s="45">
        <v>0</v>
      </c>
      <c r="M1157" s="34"/>
      <c r="N1157" s="13">
        <v>71.25</v>
      </c>
      <c r="O1157" s="13">
        <v>3.5</v>
      </c>
      <c r="P1157" s="13">
        <v>0</v>
      </c>
      <c r="Q1157" s="13">
        <v>19.25</v>
      </c>
      <c r="R1157" s="34"/>
      <c r="S1157" s="13">
        <f t="shared" si="2253"/>
        <v>94</v>
      </c>
      <c r="T1157" s="13">
        <f t="shared" ref="T1157" si="2255">SUM(N1157:Q1157)</f>
        <v>94</v>
      </c>
      <c r="U1157" s="13">
        <f t="shared" si="2254"/>
        <v>8</v>
      </c>
      <c r="V1157" s="34"/>
      <c r="W1157" s="45">
        <v>33.08</v>
      </c>
      <c r="X1157" s="45">
        <f>(W1157*1*D1157)+(W1157*1.5*E1157)+(W1157*2*F1157)+(W1157*1*G1157)</f>
        <v>3167.41</v>
      </c>
      <c r="Y1157" s="45">
        <f t="shared" si="2249"/>
        <v>0</v>
      </c>
      <c r="Z1157" s="45">
        <f t="shared" si="2250"/>
        <v>264.64</v>
      </c>
      <c r="AA1157" s="79">
        <f t="shared" si="2251"/>
        <v>0</v>
      </c>
      <c r="AB1157" s="79">
        <f t="shared" si="2252"/>
        <v>3167.41</v>
      </c>
      <c r="AC1157" s="80">
        <f t="shared" si="2245"/>
        <v>0</v>
      </c>
      <c r="AD1157" s="209"/>
      <c r="AE1157" s="80">
        <f t="shared" si="2244"/>
        <v>-264.63999999999987</v>
      </c>
      <c r="AF1157" s="209"/>
      <c r="AG1157" s="8"/>
    </row>
    <row r="1158" spans="1:34" x14ac:dyDescent="0.45">
      <c r="A1158" s="22">
        <f>A1154</f>
        <v>45480</v>
      </c>
      <c r="B1158" s="50" t="s">
        <v>31</v>
      </c>
      <c r="C1158" s="48">
        <f>120*W1158</f>
        <v>3969.6</v>
      </c>
      <c r="D1158" s="13">
        <v>72</v>
      </c>
      <c r="E1158" s="13">
        <v>24.5</v>
      </c>
      <c r="F1158" s="13">
        <v>12</v>
      </c>
      <c r="G1158" s="13">
        <v>3.5</v>
      </c>
      <c r="H1158" s="13">
        <v>0</v>
      </c>
      <c r="I1158" s="13">
        <v>0</v>
      </c>
      <c r="J1158" s="13">
        <v>8</v>
      </c>
      <c r="K1158" s="13">
        <v>0</v>
      </c>
      <c r="L1158" s="45">
        <v>0</v>
      </c>
      <c r="M1158" s="34"/>
      <c r="N1158" s="13">
        <v>72</v>
      </c>
      <c r="O1158" s="13">
        <v>23</v>
      </c>
      <c r="P1158" s="13">
        <v>14</v>
      </c>
      <c r="Q1158" s="13">
        <v>3.5</v>
      </c>
      <c r="R1158" s="34"/>
      <c r="S1158" s="13">
        <f t="shared" ref="S1158" si="2256">SUM(D1158:G1158)</f>
        <v>112</v>
      </c>
      <c r="T1158" s="13">
        <f>SUM(N1158:Q1158)</f>
        <v>112.5</v>
      </c>
      <c r="U1158" s="13">
        <f t="shared" ref="U1158:U1162" si="2257">SUM(H1158:K1158)</f>
        <v>8</v>
      </c>
      <c r="V1158" s="34"/>
      <c r="W1158" s="45">
        <v>33.08</v>
      </c>
      <c r="X1158" s="52">
        <f>(W1158*1*D1158)+(W1158*1.5*E1158)+(W1158*2*F1158)+(W1158*1*G1158)</f>
        <v>4507.1499999999996</v>
      </c>
      <c r="Y1158" s="52">
        <f t="shared" si="2249"/>
        <v>0</v>
      </c>
      <c r="Z1158" s="52">
        <f>(W1158*1*J1158)+L1158</f>
        <v>264.64</v>
      </c>
      <c r="AA1158" s="96">
        <f t="shared" si="2251"/>
        <v>0</v>
      </c>
      <c r="AB1158" s="96">
        <f>(W1158*1*N1158)+(W1158*1.5*O1158)+(W1158*2*P1158)+(W1158*1*Q1158)</f>
        <v>4565.0399999999991</v>
      </c>
      <c r="AC1158" s="97">
        <f t="shared" si="2245"/>
        <v>0</v>
      </c>
      <c r="AD1158" s="209"/>
      <c r="AE1158" s="97">
        <f t="shared" si="2244"/>
        <v>-206.75000000000091</v>
      </c>
      <c r="AF1158" s="209"/>
      <c r="AG1158" s="8"/>
      <c r="AH1158">
        <v>22969.7</v>
      </c>
    </row>
    <row r="1159" spans="1:34" x14ac:dyDescent="0.45">
      <c r="A1159" s="22">
        <f>A1154</f>
        <v>45480</v>
      </c>
      <c r="B1159" s="50" t="s">
        <v>64</v>
      </c>
      <c r="C1159" s="48">
        <f t="shared" ref="C1159:C1162" si="2258">80*W1159</f>
        <v>2000</v>
      </c>
      <c r="D1159" s="13">
        <v>72</v>
      </c>
      <c r="E1159" s="13">
        <v>8</v>
      </c>
      <c r="F1159" s="13">
        <v>0</v>
      </c>
      <c r="G1159" s="13">
        <v>9.5</v>
      </c>
      <c r="H1159" s="13">
        <v>0</v>
      </c>
      <c r="I1159" s="13">
        <v>0</v>
      </c>
      <c r="J1159" s="13">
        <v>8</v>
      </c>
      <c r="K1159" s="13">
        <v>0</v>
      </c>
      <c r="L1159" s="45">
        <v>0</v>
      </c>
      <c r="M1159" s="34"/>
      <c r="N1159" s="13">
        <v>72</v>
      </c>
      <c r="O1159" s="13">
        <v>8</v>
      </c>
      <c r="P1159" s="13">
        <v>0</v>
      </c>
      <c r="Q1159" s="13">
        <v>9.5</v>
      </c>
      <c r="R1159" s="34"/>
      <c r="S1159" s="13">
        <f t="shared" ref="S1159:S1160" si="2259">SUM(D1159:G1159)</f>
        <v>89.5</v>
      </c>
      <c r="T1159" s="13">
        <f>SUM(N1159:Q1159)</f>
        <v>89.5</v>
      </c>
      <c r="U1159" s="13">
        <f t="shared" si="2257"/>
        <v>8</v>
      </c>
      <c r="V1159" s="34"/>
      <c r="W1159" s="52">
        <v>25</v>
      </c>
      <c r="X1159" s="52">
        <f t="shared" ref="X1159:X1160" si="2260">(W1159*1*D1159)+(W1159*1.5*E1159)+(W1159*2*F1159)+(W1159*1*G1159)</f>
        <v>2337.5</v>
      </c>
      <c r="Y1159" s="52">
        <f t="shared" si="2249"/>
        <v>0</v>
      </c>
      <c r="Z1159" s="52">
        <f t="shared" ref="Z1159:Z1162" si="2261">(W1159*1*J1159)+L1159</f>
        <v>200</v>
      </c>
      <c r="AA1159" s="96">
        <f t="shared" si="2251"/>
        <v>0</v>
      </c>
      <c r="AB1159" s="96">
        <f t="shared" ref="AB1159:AB1162" si="2262">(W1159*1*N1159)+(W1159*1.5*O1159)+(W1159*2*P1159)+(W1159*1*Q1159)</f>
        <v>2337.5</v>
      </c>
      <c r="AC1159" s="97">
        <f t="shared" si="2245"/>
        <v>0</v>
      </c>
      <c r="AD1159" s="209"/>
      <c r="AE1159" s="97">
        <f t="shared" si="2244"/>
        <v>-200</v>
      </c>
      <c r="AF1159" s="209"/>
      <c r="AG1159" s="8"/>
      <c r="AH1159">
        <v>-3024.03</v>
      </c>
    </row>
    <row r="1160" spans="1:34" x14ac:dyDescent="0.45">
      <c r="A1160" s="22">
        <f>A1154</f>
        <v>45480</v>
      </c>
      <c r="B1160" s="50" t="s">
        <v>54</v>
      </c>
      <c r="C1160" s="48">
        <f t="shared" si="2258"/>
        <v>2125.6</v>
      </c>
      <c r="D1160" s="13">
        <v>40</v>
      </c>
      <c r="E1160" s="13">
        <v>0.25</v>
      </c>
      <c r="F1160" s="13">
        <v>0</v>
      </c>
      <c r="G1160" s="13">
        <v>0</v>
      </c>
      <c r="H1160" s="13">
        <v>0</v>
      </c>
      <c r="I1160" s="13">
        <v>40</v>
      </c>
      <c r="J1160" s="13">
        <v>8</v>
      </c>
      <c r="K1160" s="13">
        <v>0</v>
      </c>
      <c r="L1160" s="45">
        <v>0</v>
      </c>
      <c r="M1160" s="34"/>
      <c r="N1160" s="13">
        <v>40</v>
      </c>
      <c r="O1160" s="13">
        <v>0.25</v>
      </c>
      <c r="P1160" s="13">
        <v>0</v>
      </c>
      <c r="Q1160" s="13">
        <v>0</v>
      </c>
      <c r="R1160" s="34"/>
      <c r="S1160" s="13">
        <f t="shared" si="2259"/>
        <v>40.25</v>
      </c>
      <c r="T1160" s="13">
        <f t="shared" ref="T1160" si="2263">SUM(N1160:Q1160)</f>
        <v>40.25</v>
      </c>
      <c r="U1160" s="13">
        <f t="shared" si="2257"/>
        <v>48</v>
      </c>
      <c r="V1160" s="34"/>
      <c r="W1160" s="52">
        <v>26.57</v>
      </c>
      <c r="X1160" s="52">
        <f t="shared" si="2260"/>
        <v>1072.7637499999998</v>
      </c>
      <c r="Y1160" s="52">
        <f t="shared" si="2249"/>
        <v>1062.8</v>
      </c>
      <c r="Z1160" s="52">
        <f t="shared" si="2261"/>
        <v>212.56</v>
      </c>
      <c r="AA1160" s="96">
        <f t="shared" si="2251"/>
        <v>0</v>
      </c>
      <c r="AB1160" s="96">
        <f t="shared" si="2262"/>
        <v>1072.7637499999998</v>
      </c>
      <c r="AC1160" s="97">
        <f>0-Y1160-AA1160</f>
        <v>-1062.8</v>
      </c>
      <c r="AD1160" s="209"/>
      <c r="AE1160" s="97">
        <f t="shared" si="2244"/>
        <v>-212.55999999999995</v>
      </c>
      <c r="AF1160" s="209"/>
      <c r="AG1160" s="8"/>
      <c r="AH1160">
        <v>-1135.42</v>
      </c>
    </row>
    <row r="1161" spans="1:34" x14ac:dyDescent="0.45">
      <c r="A1161" s="22">
        <f>A1154</f>
        <v>45480</v>
      </c>
      <c r="B1161" s="50" t="s">
        <v>65</v>
      </c>
      <c r="C1161" s="48">
        <f t="shared" si="2258"/>
        <v>1920</v>
      </c>
      <c r="D1161" s="51">
        <v>0</v>
      </c>
      <c r="E1161" s="51">
        <v>0</v>
      </c>
      <c r="F1161" s="51">
        <v>0</v>
      </c>
      <c r="G1161" s="51">
        <v>0</v>
      </c>
      <c r="H1161" s="51">
        <v>0</v>
      </c>
      <c r="I1161" s="51">
        <v>0</v>
      </c>
      <c r="J1161" s="51">
        <v>8</v>
      </c>
      <c r="K1161" s="51">
        <v>50</v>
      </c>
      <c r="L1161" s="52">
        <v>0</v>
      </c>
      <c r="M1161" s="34"/>
      <c r="N1161" s="51">
        <v>0</v>
      </c>
      <c r="O1161" s="51">
        <v>0</v>
      </c>
      <c r="P1161" s="51">
        <v>0</v>
      </c>
      <c r="Q1161" s="51">
        <v>0</v>
      </c>
      <c r="R1161" s="34"/>
      <c r="S1161" s="51">
        <f t="shared" ref="S1161:S1162" si="2264">SUM(D1161:G1161)</f>
        <v>0</v>
      </c>
      <c r="T1161" s="51">
        <f t="shared" ref="T1161:T1162" si="2265">SUM(N1161:Q1161)</f>
        <v>0</v>
      </c>
      <c r="U1161" s="51">
        <f t="shared" si="2257"/>
        <v>58</v>
      </c>
      <c r="V1161" s="34"/>
      <c r="W1161" s="52">
        <v>24</v>
      </c>
      <c r="X1161" s="53">
        <f>(W1161*1*D1161)+(W1161*1.5*E1161)+(W1161*2*F1161)+(W1161*1*G1161)</f>
        <v>0</v>
      </c>
      <c r="Y1161" s="53">
        <f t="shared" si="2249"/>
        <v>0</v>
      </c>
      <c r="Z1161" s="53">
        <f t="shared" si="2261"/>
        <v>192</v>
      </c>
      <c r="AA1161" s="54">
        <f t="shared" si="2251"/>
        <v>1200</v>
      </c>
      <c r="AB1161" s="54">
        <f t="shared" si="2262"/>
        <v>0</v>
      </c>
      <c r="AC1161" s="64">
        <f>0-Y1161-AA1161</f>
        <v>-1200</v>
      </c>
      <c r="AD1161" s="209"/>
      <c r="AE1161" s="64">
        <f>AB1161-(X1161+Z1161)</f>
        <v>-192</v>
      </c>
      <c r="AF1161" s="209"/>
      <c r="AG1161" s="8"/>
      <c r="AH1161">
        <v>-1270.67</v>
      </c>
    </row>
    <row r="1162" spans="1:34" ht="14.65" thickBot="1" x14ac:dyDescent="0.5">
      <c r="A1162" s="23">
        <f>A1154</f>
        <v>45480</v>
      </c>
      <c r="B1162" s="24" t="s">
        <v>66</v>
      </c>
      <c r="C1162" s="49">
        <f t="shared" si="2258"/>
        <v>1756</v>
      </c>
      <c r="D1162" s="25">
        <v>4</v>
      </c>
      <c r="E1162" s="25">
        <v>0</v>
      </c>
      <c r="F1162" s="25">
        <v>0</v>
      </c>
      <c r="G1162" s="25">
        <v>0</v>
      </c>
      <c r="H1162" s="25">
        <v>0</v>
      </c>
      <c r="I1162" s="25">
        <v>0</v>
      </c>
      <c r="J1162" s="25">
        <v>8</v>
      </c>
      <c r="K1162" s="25">
        <v>60</v>
      </c>
      <c r="L1162" s="46">
        <v>0</v>
      </c>
      <c r="M1162" s="35"/>
      <c r="N1162" s="25">
        <v>0</v>
      </c>
      <c r="O1162" s="25">
        <v>0</v>
      </c>
      <c r="P1162" s="25">
        <v>0</v>
      </c>
      <c r="Q1162" s="25">
        <v>0</v>
      </c>
      <c r="R1162" s="35"/>
      <c r="S1162" s="25">
        <f t="shared" si="2264"/>
        <v>4</v>
      </c>
      <c r="T1162" s="25">
        <f t="shared" si="2265"/>
        <v>0</v>
      </c>
      <c r="U1162" s="25">
        <f t="shared" si="2257"/>
        <v>68</v>
      </c>
      <c r="V1162" s="35"/>
      <c r="W1162" s="46">
        <v>21.95</v>
      </c>
      <c r="X1162" s="26">
        <f t="shared" ref="X1162" si="2266">(W1162*1*D1162)+(W1162*1.5*E1162)+(W1162*2*F1162)+(W1162*1*G1162)</f>
        <v>87.8</v>
      </c>
      <c r="Y1162" s="26">
        <f t="shared" si="2249"/>
        <v>0</v>
      </c>
      <c r="Z1162" s="26">
        <f t="shared" si="2261"/>
        <v>175.6</v>
      </c>
      <c r="AA1162" s="27">
        <f t="shared" si="2251"/>
        <v>1317</v>
      </c>
      <c r="AB1162" s="27">
        <f t="shared" si="2262"/>
        <v>0</v>
      </c>
      <c r="AC1162" s="65">
        <f>0-Y1162-AA1162</f>
        <v>-1317</v>
      </c>
      <c r="AD1162" s="210"/>
      <c r="AE1162" s="65">
        <f t="shared" ref="AE1162:AE1169" si="2267">AB1162-(X1162+Z1162)</f>
        <v>-263.39999999999998</v>
      </c>
      <c r="AF1162" s="210"/>
      <c r="AG1162" s="8"/>
      <c r="AH1162">
        <f>SUM(AH1158:AH1161)</f>
        <v>17539.580000000002</v>
      </c>
    </row>
    <row r="1163" spans="1:34" x14ac:dyDescent="0.45">
      <c r="A1163" s="16">
        <f>A1162+14</f>
        <v>45494</v>
      </c>
      <c r="B1163" s="17" t="s">
        <v>30</v>
      </c>
      <c r="C1163" s="47">
        <f>120*W1163</f>
        <v>4303.2</v>
      </c>
      <c r="D1163" s="18">
        <v>80</v>
      </c>
      <c r="E1163" s="18">
        <v>16.75</v>
      </c>
      <c r="F1163" s="18">
        <v>0</v>
      </c>
      <c r="G1163" s="18">
        <v>3</v>
      </c>
      <c r="H1163" s="18">
        <v>0</v>
      </c>
      <c r="I1163" s="18">
        <v>0</v>
      </c>
      <c r="J1163" s="18">
        <v>0</v>
      </c>
      <c r="K1163" s="18">
        <v>0</v>
      </c>
      <c r="L1163" s="44">
        <v>0</v>
      </c>
      <c r="M1163" s="33"/>
      <c r="N1163" s="18">
        <v>80</v>
      </c>
      <c r="O1163" s="18">
        <v>16.75</v>
      </c>
      <c r="P1163" s="18">
        <v>0</v>
      </c>
      <c r="Q1163" s="18">
        <v>3</v>
      </c>
      <c r="R1163" s="33"/>
      <c r="S1163" s="18">
        <f>SUM(D1163:G1163)</f>
        <v>99.75</v>
      </c>
      <c r="T1163" s="18">
        <f>SUM(N1163:Q1163)</f>
        <v>99.75</v>
      </c>
      <c r="U1163" s="18">
        <f>SUM(H1163:K1163)</f>
        <v>0</v>
      </c>
      <c r="V1163" s="33"/>
      <c r="W1163" s="44">
        <v>35.86</v>
      </c>
      <c r="X1163" s="19">
        <f>(W1163*1*D1163)+(W1163*1.5*E1163)+(W1163*2*F1163)+(W1163*1*G1163)</f>
        <v>3877.3625000000002</v>
      </c>
      <c r="Y1163" s="19">
        <f>(W1163*0*H1163)+(W1163*1*I1163)</f>
        <v>0</v>
      </c>
      <c r="Z1163" s="19">
        <f>(W1163*1*J1163)+L1163</f>
        <v>0</v>
      </c>
      <c r="AA1163" s="20">
        <f>(W1163*1*K1163)</f>
        <v>0</v>
      </c>
      <c r="AB1163" s="20">
        <f>(W1163*1*N1163)+(W1163*1.5*O1163)+(W1163*2*P1163)+(W1163*1*Q1163)</f>
        <v>3877.3625000000002</v>
      </c>
      <c r="AC1163" s="66">
        <f t="shared" ref="AC1163:AC1168" si="2268">0-Y1163-AA1163</f>
        <v>0</v>
      </c>
      <c r="AD1163" s="208"/>
      <c r="AE1163" s="66">
        <f t="shared" si="2267"/>
        <v>0</v>
      </c>
      <c r="AF1163" s="208">
        <f>SUM(AE1163:AE1171)</f>
        <v>68.992499999999723</v>
      </c>
      <c r="AG1163" s="8"/>
    </row>
    <row r="1164" spans="1:34" x14ac:dyDescent="0.45">
      <c r="A1164" s="101">
        <f>A1163</f>
        <v>45494</v>
      </c>
      <c r="B1164" s="102" t="s">
        <v>4</v>
      </c>
      <c r="C1164" s="103">
        <f>120*W1164</f>
        <v>3969.6</v>
      </c>
      <c r="D1164" s="104">
        <v>0</v>
      </c>
      <c r="E1164" s="104">
        <v>0</v>
      </c>
      <c r="F1164" s="104">
        <v>0</v>
      </c>
      <c r="G1164" s="104">
        <v>0</v>
      </c>
      <c r="H1164" s="104">
        <v>0</v>
      </c>
      <c r="I1164" s="104">
        <v>0</v>
      </c>
      <c r="J1164" s="104">
        <v>0</v>
      </c>
      <c r="K1164" s="104">
        <v>0</v>
      </c>
      <c r="L1164" s="105">
        <v>0</v>
      </c>
      <c r="M1164" s="106"/>
      <c r="N1164" s="104">
        <v>0</v>
      </c>
      <c r="O1164" s="104">
        <v>0</v>
      </c>
      <c r="P1164" s="104">
        <v>0</v>
      </c>
      <c r="Q1164" s="104">
        <v>0</v>
      </c>
      <c r="R1164" s="106"/>
      <c r="S1164" s="104">
        <f t="shared" ref="S1164" si="2269">SUM(D1164:G1164)</f>
        <v>0</v>
      </c>
      <c r="T1164" s="104">
        <f t="shared" ref="T1164" si="2270">SUM(N1164:Q1164)</f>
        <v>0</v>
      </c>
      <c r="U1164" s="104">
        <f>SUM(H1164:K1164)</f>
        <v>0</v>
      </c>
      <c r="V1164" s="106"/>
      <c r="W1164" s="105">
        <v>33.08</v>
      </c>
      <c r="X1164" s="105">
        <f t="shared" ref="X1164:X1165" si="2271">(W1164*1*D1164)+(W1164*1.5*E1164)+(W1164*2*F1164)+(W1164*1*G1164)</f>
        <v>0</v>
      </c>
      <c r="Y1164" s="105">
        <f t="shared" ref="Y1164:Y1171" si="2272">(W1164*0*H1164)+(W1164*1*I1164)</f>
        <v>0</v>
      </c>
      <c r="Z1164" s="105">
        <f t="shared" ref="Z1164:Z1166" si="2273">(W1164*1*J1164)+L1164</f>
        <v>0</v>
      </c>
      <c r="AA1164" s="107">
        <f t="shared" ref="AA1164:AA1171" si="2274">(W1164*1*K1164)</f>
        <v>0</v>
      </c>
      <c r="AB1164" s="107">
        <f t="shared" ref="AB1164:AB1166" si="2275">(W1164*1*N1164)+(W1164*1.5*O1164)+(W1164*2*P1164)+(W1164*1*Q1164)</f>
        <v>0</v>
      </c>
      <c r="AC1164" s="108">
        <f t="shared" si="2268"/>
        <v>0</v>
      </c>
      <c r="AD1164" s="209"/>
      <c r="AE1164" s="63">
        <f t="shared" si="2267"/>
        <v>0</v>
      </c>
      <c r="AF1164" s="209"/>
      <c r="AG1164" s="8"/>
    </row>
    <row r="1165" spans="1:34" x14ac:dyDescent="0.45">
      <c r="A1165" s="22">
        <f>A1163</f>
        <v>45494</v>
      </c>
      <c r="B1165" s="15" t="s">
        <v>5</v>
      </c>
      <c r="C1165" s="48">
        <f>120*W1165</f>
        <v>3836.3999999999996</v>
      </c>
      <c r="D1165" s="13">
        <v>24.5</v>
      </c>
      <c r="E1165" s="13">
        <v>0</v>
      </c>
      <c r="F1165" s="13">
        <v>0</v>
      </c>
      <c r="G1165" s="13">
        <v>4</v>
      </c>
      <c r="H1165" s="13">
        <v>0</v>
      </c>
      <c r="I1165" s="13">
        <v>56</v>
      </c>
      <c r="J1165" s="13">
        <v>0</v>
      </c>
      <c r="K1165" s="13">
        <v>0</v>
      </c>
      <c r="L1165" s="45">
        <v>0</v>
      </c>
      <c r="M1165" s="34"/>
      <c r="N1165" s="13">
        <v>24</v>
      </c>
      <c r="O1165" s="13">
        <v>0</v>
      </c>
      <c r="P1165" s="13">
        <v>0.5</v>
      </c>
      <c r="Q1165" s="13">
        <v>4</v>
      </c>
      <c r="R1165" s="34"/>
      <c r="S1165" s="13">
        <f t="shared" ref="S1165:S1166" si="2276">SUM(D1165:G1165)</f>
        <v>28.5</v>
      </c>
      <c r="T1165" s="13">
        <f>SUM(N1165:Q1165)</f>
        <v>28.5</v>
      </c>
      <c r="U1165" s="13">
        <f t="shared" ref="U1165:U1166" si="2277">SUM(H1165:K1165)</f>
        <v>56</v>
      </c>
      <c r="V1165" s="34"/>
      <c r="W1165" s="45">
        <v>31.97</v>
      </c>
      <c r="X1165" s="45">
        <f t="shared" si="2271"/>
        <v>911.14499999999998</v>
      </c>
      <c r="Y1165" s="45">
        <f t="shared" si="2272"/>
        <v>1790.32</v>
      </c>
      <c r="Z1165" s="45">
        <f t="shared" si="2273"/>
        <v>0</v>
      </c>
      <c r="AA1165" s="79">
        <f t="shared" si="2274"/>
        <v>0</v>
      </c>
      <c r="AB1165" s="79">
        <f t="shared" si="2275"/>
        <v>927.13</v>
      </c>
      <c r="AC1165" s="80">
        <f t="shared" si="2268"/>
        <v>-1790.32</v>
      </c>
      <c r="AD1165" s="209"/>
      <c r="AE1165" s="80">
        <f t="shared" si="2267"/>
        <v>15.985000000000014</v>
      </c>
      <c r="AF1165" s="209"/>
      <c r="AG1165" s="8"/>
    </row>
    <row r="1166" spans="1:34" x14ac:dyDescent="0.45">
      <c r="A1166" s="22">
        <f>A1163</f>
        <v>45494</v>
      </c>
      <c r="B1166" s="15" t="s">
        <v>6</v>
      </c>
      <c r="C1166" s="48">
        <f>120*W1166</f>
        <v>3969.6</v>
      </c>
      <c r="D1166" s="13">
        <v>80</v>
      </c>
      <c r="E1166" s="13">
        <v>33.5</v>
      </c>
      <c r="F1166" s="13">
        <v>12</v>
      </c>
      <c r="G1166" s="13">
        <v>16.5</v>
      </c>
      <c r="H1166" s="13">
        <v>0</v>
      </c>
      <c r="I1166" s="13">
        <v>0</v>
      </c>
      <c r="J1166" s="13">
        <v>0</v>
      </c>
      <c r="K1166" s="13">
        <v>0</v>
      </c>
      <c r="L1166" s="45">
        <v>0</v>
      </c>
      <c r="M1166" s="34"/>
      <c r="N1166" s="13">
        <v>80</v>
      </c>
      <c r="O1166" s="13">
        <v>32</v>
      </c>
      <c r="P1166" s="13">
        <v>13.5</v>
      </c>
      <c r="Q1166" s="13">
        <v>16.5</v>
      </c>
      <c r="R1166" s="34"/>
      <c r="S1166" s="13">
        <f t="shared" si="2276"/>
        <v>142</v>
      </c>
      <c r="T1166" s="13">
        <f t="shared" ref="T1166" si="2278">SUM(N1166:Q1166)</f>
        <v>142</v>
      </c>
      <c r="U1166" s="13">
        <f t="shared" si="2277"/>
        <v>0</v>
      </c>
      <c r="V1166" s="34"/>
      <c r="W1166" s="45">
        <v>33.08</v>
      </c>
      <c r="X1166" s="45">
        <f>(W1166*1*D1166)+(W1166*1.5*E1166)+(W1166*2*F1166)+(W1166*1*G1166)</f>
        <v>5648.41</v>
      </c>
      <c r="Y1166" s="45">
        <f t="shared" si="2272"/>
        <v>0</v>
      </c>
      <c r="Z1166" s="45">
        <f t="shared" si="2273"/>
        <v>0</v>
      </c>
      <c r="AA1166" s="79">
        <f t="shared" si="2274"/>
        <v>0</v>
      </c>
      <c r="AB1166" s="79">
        <f t="shared" si="2275"/>
        <v>5673.2199999999993</v>
      </c>
      <c r="AC1166" s="80">
        <f t="shared" si="2268"/>
        <v>0</v>
      </c>
      <c r="AD1166" s="209"/>
      <c r="AE1166" s="80">
        <f t="shared" si="2267"/>
        <v>24.809999999999491</v>
      </c>
      <c r="AF1166" s="209"/>
      <c r="AG1166" s="8"/>
    </row>
    <row r="1167" spans="1:34" x14ac:dyDescent="0.45">
      <c r="A1167" s="22">
        <f>A1163</f>
        <v>45494</v>
      </c>
      <c r="B1167" s="50" t="s">
        <v>31</v>
      </c>
      <c r="C1167" s="48">
        <f>120*W1167</f>
        <v>3969.6</v>
      </c>
      <c r="D1167" s="13">
        <v>80</v>
      </c>
      <c r="E1167" s="13">
        <v>21.75</v>
      </c>
      <c r="F1167" s="13">
        <v>12</v>
      </c>
      <c r="G1167" s="13">
        <v>17</v>
      </c>
      <c r="H1167" s="13">
        <v>0</v>
      </c>
      <c r="I1167" s="13">
        <v>0</v>
      </c>
      <c r="J1167" s="13">
        <v>0</v>
      </c>
      <c r="K1167" s="13">
        <v>1</v>
      </c>
      <c r="L1167" s="45">
        <v>0</v>
      </c>
      <c r="M1167" s="34"/>
      <c r="N1167" s="13">
        <v>80</v>
      </c>
      <c r="O1167" s="13">
        <v>21.25</v>
      </c>
      <c r="P1167" s="13">
        <v>12.5</v>
      </c>
      <c r="Q1167" s="13">
        <v>17</v>
      </c>
      <c r="R1167" s="34"/>
      <c r="S1167" s="13">
        <f t="shared" ref="S1167" si="2279">SUM(D1167:G1167)</f>
        <v>130.75</v>
      </c>
      <c r="T1167" s="13">
        <f>SUM(N1167:Q1167)</f>
        <v>130.75</v>
      </c>
      <c r="U1167" s="13">
        <f t="shared" ref="U1167:U1171" si="2280">SUM(H1167:K1167)</f>
        <v>1</v>
      </c>
      <c r="V1167" s="34"/>
      <c r="W1167" s="45">
        <v>33.08</v>
      </c>
      <c r="X1167" s="52">
        <f>(W1167*1*D1167)+(W1167*1.5*E1167)+(W1167*2*F1167)+(W1167*1*G1167)</f>
        <v>5081.9149999999991</v>
      </c>
      <c r="Y1167" s="52">
        <f t="shared" si="2272"/>
        <v>0</v>
      </c>
      <c r="Z1167" s="52">
        <f>(W1167*1*J1167)+L1167</f>
        <v>0</v>
      </c>
      <c r="AA1167" s="96">
        <f t="shared" si="2274"/>
        <v>33.08</v>
      </c>
      <c r="AB1167" s="96">
        <f>(W1167*1*N1167)+(W1167*1.5*O1167)+(W1167*2*P1167)+(W1167*1*Q1167)</f>
        <v>5090.1849999999995</v>
      </c>
      <c r="AC1167" s="97">
        <f t="shared" si="2268"/>
        <v>-33.08</v>
      </c>
      <c r="AD1167" s="209"/>
      <c r="AE1167" s="97">
        <f t="shared" si="2267"/>
        <v>8.2700000000004366</v>
      </c>
      <c r="AF1167" s="209"/>
      <c r="AG1167" s="8"/>
      <c r="AH1167">
        <v>25933.200000000001</v>
      </c>
    </row>
    <row r="1168" spans="1:34" x14ac:dyDescent="0.45">
      <c r="A1168" s="22">
        <f>A1163</f>
        <v>45494</v>
      </c>
      <c r="B1168" s="50" t="s">
        <v>64</v>
      </c>
      <c r="C1168" s="48">
        <f t="shared" ref="C1168:C1171" si="2281">80*W1168</f>
        <v>2000</v>
      </c>
      <c r="D1168" s="13">
        <v>80</v>
      </c>
      <c r="E1168" s="13">
        <v>30.5</v>
      </c>
      <c r="F1168" s="13">
        <v>12</v>
      </c>
      <c r="G1168" s="13">
        <v>18</v>
      </c>
      <c r="H1168" s="13">
        <v>0</v>
      </c>
      <c r="I1168" s="13">
        <v>0</v>
      </c>
      <c r="J1168" s="13">
        <v>0</v>
      </c>
      <c r="K1168" s="13">
        <v>0</v>
      </c>
      <c r="L1168" s="45">
        <v>0</v>
      </c>
      <c r="M1168" s="34"/>
      <c r="N1168" s="13">
        <v>80</v>
      </c>
      <c r="O1168" s="13">
        <v>30.5</v>
      </c>
      <c r="P1168" s="13">
        <v>12</v>
      </c>
      <c r="Q1168" s="13">
        <v>18</v>
      </c>
      <c r="R1168" s="34"/>
      <c r="S1168" s="13">
        <f t="shared" ref="S1168:S1169" si="2282">SUM(D1168:G1168)</f>
        <v>140.5</v>
      </c>
      <c r="T1168" s="13">
        <f>SUM(N1168:Q1168)</f>
        <v>140.5</v>
      </c>
      <c r="U1168" s="13">
        <f t="shared" si="2280"/>
        <v>0</v>
      </c>
      <c r="V1168" s="34"/>
      <c r="W1168" s="52">
        <v>25</v>
      </c>
      <c r="X1168" s="52">
        <f t="shared" ref="X1168:X1169" si="2283">(W1168*1*D1168)+(W1168*1.5*E1168)+(W1168*2*F1168)+(W1168*1*G1168)</f>
        <v>4193.75</v>
      </c>
      <c r="Y1168" s="52">
        <f t="shared" si="2272"/>
        <v>0</v>
      </c>
      <c r="Z1168" s="52">
        <f t="shared" ref="Z1168:Z1171" si="2284">(W1168*1*J1168)+L1168</f>
        <v>0</v>
      </c>
      <c r="AA1168" s="96">
        <f t="shared" si="2274"/>
        <v>0</v>
      </c>
      <c r="AB1168" s="96">
        <f t="shared" ref="AB1168:AB1171" si="2285">(W1168*1*N1168)+(W1168*1.5*O1168)+(W1168*2*P1168)+(W1168*1*Q1168)</f>
        <v>4193.75</v>
      </c>
      <c r="AC1168" s="97">
        <f t="shared" si="2268"/>
        <v>0</v>
      </c>
      <c r="AD1168" s="209"/>
      <c r="AE1168" s="97">
        <f t="shared" si="2267"/>
        <v>0</v>
      </c>
      <c r="AF1168" s="209"/>
      <c r="AG1168" s="8"/>
      <c r="AH1168">
        <v>-3024.03</v>
      </c>
    </row>
    <row r="1169" spans="1:34" x14ac:dyDescent="0.45">
      <c r="A1169" s="22">
        <f>A1163</f>
        <v>45494</v>
      </c>
      <c r="B1169" s="50" t="s">
        <v>54</v>
      </c>
      <c r="C1169" s="48">
        <f t="shared" si="2281"/>
        <v>2125.6</v>
      </c>
      <c r="D1169" s="13">
        <v>80</v>
      </c>
      <c r="E1169" s="13">
        <v>19.25</v>
      </c>
      <c r="F1169" s="13">
        <v>12</v>
      </c>
      <c r="G1169" s="13">
        <v>19.5</v>
      </c>
      <c r="H1169" s="13">
        <v>0</v>
      </c>
      <c r="I1169" s="13">
        <v>0</v>
      </c>
      <c r="J1169" s="13">
        <v>0</v>
      </c>
      <c r="K1169" s="13">
        <v>0</v>
      </c>
      <c r="L1169" s="45">
        <v>0</v>
      </c>
      <c r="M1169" s="34"/>
      <c r="N1169" s="13">
        <v>80</v>
      </c>
      <c r="O1169" s="13">
        <v>17.75</v>
      </c>
      <c r="P1169" s="13">
        <v>13.5</v>
      </c>
      <c r="Q1169" s="13">
        <v>19.5</v>
      </c>
      <c r="R1169" s="34"/>
      <c r="S1169" s="13">
        <f t="shared" si="2282"/>
        <v>130.75</v>
      </c>
      <c r="T1169" s="13">
        <f t="shared" ref="T1169" si="2286">SUM(N1169:Q1169)</f>
        <v>130.75</v>
      </c>
      <c r="U1169" s="13">
        <f t="shared" si="2280"/>
        <v>0</v>
      </c>
      <c r="V1169" s="34"/>
      <c r="W1169" s="52">
        <v>26.57</v>
      </c>
      <c r="X1169" s="52">
        <f t="shared" si="2283"/>
        <v>4048.6037500000002</v>
      </c>
      <c r="Y1169" s="52">
        <f t="shared" si="2272"/>
        <v>0</v>
      </c>
      <c r="Z1169" s="52">
        <f t="shared" si="2284"/>
        <v>0</v>
      </c>
      <c r="AA1169" s="96">
        <f t="shared" si="2274"/>
        <v>0</v>
      </c>
      <c r="AB1169" s="96">
        <f t="shared" si="2285"/>
        <v>4068.53125</v>
      </c>
      <c r="AC1169" s="97">
        <f>0-Y1169-AA1169</f>
        <v>0</v>
      </c>
      <c r="AD1169" s="209"/>
      <c r="AE1169" s="97">
        <f t="shared" si="2267"/>
        <v>19.927499999999782</v>
      </c>
      <c r="AF1169" s="209"/>
      <c r="AG1169" s="8"/>
      <c r="AH1169">
        <v>-1101.82</v>
      </c>
    </row>
    <row r="1170" spans="1:34" x14ac:dyDescent="0.45">
      <c r="A1170" s="22">
        <f>A1163</f>
        <v>45494</v>
      </c>
      <c r="B1170" s="50" t="s">
        <v>65</v>
      </c>
      <c r="C1170" s="48">
        <f t="shared" si="2281"/>
        <v>1920</v>
      </c>
      <c r="D1170" s="51">
        <v>0</v>
      </c>
      <c r="E1170" s="51">
        <v>0</v>
      </c>
      <c r="F1170" s="51">
        <v>0</v>
      </c>
      <c r="G1170" s="51">
        <v>0</v>
      </c>
      <c r="H1170" s="51">
        <v>0</v>
      </c>
      <c r="I1170" s="51">
        <v>0</v>
      </c>
      <c r="J1170" s="51">
        <v>0</v>
      </c>
      <c r="K1170" s="51">
        <v>56</v>
      </c>
      <c r="L1170" s="52">
        <v>0</v>
      </c>
      <c r="M1170" s="34"/>
      <c r="N1170" s="51">
        <v>0</v>
      </c>
      <c r="O1170" s="51">
        <v>0</v>
      </c>
      <c r="P1170" s="51">
        <v>0</v>
      </c>
      <c r="Q1170" s="51">
        <v>0</v>
      </c>
      <c r="R1170" s="34"/>
      <c r="S1170" s="51">
        <f t="shared" ref="S1170:S1171" si="2287">SUM(D1170:G1170)</f>
        <v>0</v>
      </c>
      <c r="T1170" s="51">
        <f t="shared" ref="T1170:T1171" si="2288">SUM(N1170:Q1170)</f>
        <v>0</v>
      </c>
      <c r="U1170" s="51">
        <f t="shared" si="2280"/>
        <v>56</v>
      </c>
      <c r="V1170" s="34"/>
      <c r="W1170" s="52">
        <v>24</v>
      </c>
      <c r="X1170" s="53">
        <f>(W1170*1*D1170)+(W1170*1.5*E1170)+(W1170*2*F1170)+(W1170*1*G1170)</f>
        <v>0</v>
      </c>
      <c r="Y1170" s="53">
        <f t="shared" si="2272"/>
        <v>0</v>
      </c>
      <c r="Z1170" s="53">
        <f t="shared" si="2284"/>
        <v>0</v>
      </c>
      <c r="AA1170" s="54">
        <f t="shared" si="2274"/>
        <v>1344</v>
      </c>
      <c r="AB1170" s="54">
        <f t="shared" si="2285"/>
        <v>0</v>
      </c>
      <c r="AC1170" s="64">
        <f>0-Y1170-AA1170</f>
        <v>-1344</v>
      </c>
      <c r="AD1170" s="209"/>
      <c r="AE1170" s="64">
        <f>AB1170-(X1170+Z1170)</f>
        <v>0</v>
      </c>
      <c r="AF1170" s="209"/>
      <c r="AG1170" s="8"/>
      <c r="AH1170">
        <v>-1129.21</v>
      </c>
    </row>
    <row r="1171" spans="1:34" ht="14.65" thickBot="1" x14ac:dyDescent="0.5">
      <c r="A1171" s="23">
        <f>A1163</f>
        <v>45494</v>
      </c>
      <c r="B1171" s="24" t="s">
        <v>66</v>
      </c>
      <c r="C1171" s="49">
        <f t="shared" si="2281"/>
        <v>1756</v>
      </c>
      <c r="D1171" s="25">
        <v>0</v>
      </c>
      <c r="E1171" s="25">
        <v>0</v>
      </c>
      <c r="F1171" s="25">
        <v>0</v>
      </c>
      <c r="G1171" s="25">
        <v>0</v>
      </c>
      <c r="H1171" s="25">
        <v>0</v>
      </c>
      <c r="I1171" s="25">
        <v>0</v>
      </c>
      <c r="J1171" s="25">
        <v>0</v>
      </c>
      <c r="K1171" s="25">
        <v>63</v>
      </c>
      <c r="L1171" s="46">
        <v>0</v>
      </c>
      <c r="M1171" s="35"/>
      <c r="N1171" s="25">
        <v>0</v>
      </c>
      <c r="O1171" s="25">
        <v>0</v>
      </c>
      <c r="P1171" s="25">
        <v>0</v>
      </c>
      <c r="Q1171" s="25">
        <v>0</v>
      </c>
      <c r="R1171" s="35"/>
      <c r="S1171" s="25">
        <f t="shared" si="2287"/>
        <v>0</v>
      </c>
      <c r="T1171" s="25">
        <f t="shared" si="2288"/>
        <v>0</v>
      </c>
      <c r="U1171" s="25">
        <f t="shared" si="2280"/>
        <v>63</v>
      </c>
      <c r="V1171" s="35"/>
      <c r="W1171" s="46">
        <v>21.95</v>
      </c>
      <c r="X1171" s="26">
        <f t="shared" ref="X1171" si="2289">(W1171*1*D1171)+(W1171*1.5*E1171)+(W1171*2*F1171)+(W1171*1*G1171)</f>
        <v>0</v>
      </c>
      <c r="Y1171" s="26">
        <f t="shared" si="2272"/>
        <v>0</v>
      </c>
      <c r="Z1171" s="26">
        <f t="shared" si="2284"/>
        <v>0</v>
      </c>
      <c r="AA1171" s="27">
        <f t="shared" si="2274"/>
        <v>1382.85</v>
      </c>
      <c r="AB1171" s="27">
        <f t="shared" si="2285"/>
        <v>0</v>
      </c>
      <c r="AC1171" s="65">
        <f>0-Y1171-AA1171</f>
        <v>-1382.85</v>
      </c>
      <c r="AD1171" s="210"/>
      <c r="AE1171" s="65">
        <f t="shared" ref="AE1171:AE1177" si="2290">AB1171-(X1171+Z1171)</f>
        <v>0</v>
      </c>
      <c r="AF1171" s="210"/>
      <c r="AG1171" s="8"/>
      <c r="AH1171">
        <f>SUM(AH1167:AH1170)</f>
        <v>20678.140000000003</v>
      </c>
    </row>
    <row r="1172" spans="1:34" x14ac:dyDescent="0.45">
      <c r="A1172" s="16">
        <f>A1171+14</f>
        <v>45508</v>
      </c>
      <c r="B1172" s="17" t="s">
        <v>30</v>
      </c>
      <c r="C1172" s="47">
        <f>120*W1172</f>
        <v>4303.2</v>
      </c>
      <c r="D1172" s="18">
        <v>70.5</v>
      </c>
      <c r="E1172" s="18">
        <v>2</v>
      </c>
      <c r="F1172" s="18">
        <v>0</v>
      </c>
      <c r="G1172" s="18">
        <v>0</v>
      </c>
      <c r="H1172" s="18">
        <v>0</v>
      </c>
      <c r="I1172" s="18">
        <v>8</v>
      </c>
      <c r="J1172" s="18">
        <v>0</v>
      </c>
      <c r="K1172" s="18">
        <v>0</v>
      </c>
      <c r="L1172" s="44">
        <v>0</v>
      </c>
      <c r="M1172" s="33"/>
      <c r="N1172" s="18">
        <v>70.5</v>
      </c>
      <c r="O1172" s="18">
        <v>2</v>
      </c>
      <c r="P1172" s="18">
        <v>0</v>
      </c>
      <c r="Q1172" s="18">
        <v>0</v>
      </c>
      <c r="R1172" s="33"/>
      <c r="S1172" s="18">
        <f>SUM(D1172:G1172)</f>
        <v>72.5</v>
      </c>
      <c r="T1172" s="18">
        <f>SUM(N1172:Q1172)</f>
        <v>72.5</v>
      </c>
      <c r="U1172" s="18">
        <f>SUM(H1172:K1172)</f>
        <v>8</v>
      </c>
      <c r="V1172" s="33"/>
      <c r="W1172" s="44">
        <v>35.86</v>
      </c>
      <c r="X1172" s="19">
        <f>(W1172*1*D1172)+(W1172*1.5*E1172)+(W1172*2*F1172)+(W1172*1*G1172)</f>
        <v>2635.71</v>
      </c>
      <c r="Y1172" s="19">
        <f>(W1172*0*H1172)+(W1172*1*I1172)</f>
        <v>286.88</v>
      </c>
      <c r="Z1172" s="19">
        <f>(W1172*1*J1172)+L1172</f>
        <v>0</v>
      </c>
      <c r="AA1172" s="20">
        <f>(W1172*1*K1172)</f>
        <v>0</v>
      </c>
      <c r="AB1172" s="20">
        <f>(W1172*1*N1172)+(W1172*1.5*O1172)+(W1172*2*P1172)+(W1172*1*Q1172)</f>
        <v>2635.71</v>
      </c>
      <c r="AC1172" s="66">
        <f t="shared" ref="AC1172:AC1176" si="2291">0-Y1172-AA1172</f>
        <v>-286.88</v>
      </c>
      <c r="AD1172" s="208"/>
      <c r="AE1172" s="66">
        <f t="shared" si="2290"/>
        <v>0</v>
      </c>
      <c r="AF1172" s="208">
        <f>SUM(AE1172:AE1179)</f>
        <v>132.32000000000016</v>
      </c>
      <c r="AG1172" s="8"/>
    </row>
    <row r="1173" spans="1:34" x14ac:dyDescent="0.45">
      <c r="A1173" s="22">
        <f>A1172</f>
        <v>45508</v>
      </c>
      <c r="B1173" s="15" t="s">
        <v>5</v>
      </c>
      <c r="C1173" s="48">
        <f>120*W1173</f>
        <v>3836.3999999999996</v>
      </c>
      <c r="D1173" s="13">
        <v>80</v>
      </c>
      <c r="E1173" s="13">
        <v>5.5</v>
      </c>
      <c r="F1173" s="13">
        <v>0</v>
      </c>
      <c r="G1173" s="13">
        <v>0</v>
      </c>
      <c r="H1173" s="13">
        <v>0</v>
      </c>
      <c r="I1173" s="13">
        <v>0</v>
      </c>
      <c r="J1173" s="13">
        <v>0</v>
      </c>
      <c r="K1173" s="13">
        <v>0</v>
      </c>
      <c r="L1173" s="45">
        <v>0</v>
      </c>
      <c r="M1173" s="34"/>
      <c r="N1173" s="13">
        <v>80</v>
      </c>
      <c r="O1173" s="13">
        <v>5.5</v>
      </c>
      <c r="P1173" s="13">
        <v>0</v>
      </c>
      <c r="Q1173" s="13">
        <v>0</v>
      </c>
      <c r="R1173" s="34"/>
      <c r="S1173" s="13">
        <f t="shared" ref="S1173:S1174" si="2292">SUM(D1173:G1173)</f>
        <v>85.5</v>
      </c>
      <c r="T1173" s="13">
        <f>SUM(N1173:Q1173)</f>
        <v>85.5</v>
      </c>
      <c r="U1173" s="13">
        <f t="shared" ref="U1173:U1174" si="2293">SUM(H1173:K1173)</f>
        <v>0</v>
      </c>
      <c r="V1173" s="34"/>
      <c r="W1173" s="45">
        <v>31.97</v>
      </c>
      <c r="X1173" s="45">
        <f t="shared" ref="X1173" si="2294">(W1173*1*D1173)+(W1173*1.5*E1173)+(W1173*2*F1173)+(W1173*1*G1173)</f>
        <v>2821.3525</v>
      </c>
      <c r="Y1173" s="45">
        <f t="shared" ref="Y1173:Y1179" si="2295">(W1173*0*H1173)+(W1173*1*I1173)</f>
        <v>0</v>
      </c>
      <c r="Z1173" s="45">
        <f t="shared" ref="Z1173:Z1174" si="2296">(W1173*1*J1173)+L1173</f>
        <v>0</v>
      </c>
      <c r="AA1173" s="79">
        <f t="shared" ref="AA1173:AA1179" si="2297">(W1173*1*K1173)</f>
        <v>0</v>
      </c>
      <c r="AB1173" s="79">
        <f t="shared" ref="AB1173:AB1174" si="2298">(W1173*1*N1173)+(W1173*1.5*O1173)+(W1173*2*P1173)+(W1173*1*Q1173)</f>
        <v>2821.3525</v>
      </c>
      <c r="AC1173" s="80">
        <f t="shared" si="2291"/>
        <v>0</v>
      </c>
      <c r="AD1173" s="209"/>
      <c r="AE1173" s="80">
        <f t="shared" si="2290"/>
        <v>0</v>
      </c>
      <c r="AF1173" s="209"/>
      <c r="AG1173" s="8"/>
    </row>
    <row r="1174" spans="1:34" x14ac:dyDescent="0.45">
      <c r="A1174" s="22">
        <f>A1172</f>
        <v>45508</v>
      </c>
      <c r="B1174" s="15" t="s">
        <v>6</v>
      </c>
      <c r="C1174" s="48">
        <f>120*W1174</f>
        <v>3969.6</v>
      </c>
      <c r="D1174" s="13">
        <v>66.25</v>
      </c>
      <c r="E1174" s="13">
        <v>0</v>
      </c>
      <c r="F1174" s="13">
        <v>0</v>
      </c>
      <c r="G1174" s="13">
        <v>11.5</v>
      </c>
      <c r="H1174" s="13">
        <v>0</v>
      </c>
      <c r="I1174" s="13">
        <v>0</v>
      </c>
      <c r="J1174" s="13">
        <v>0</v>
      </c>
      <c r="K1174" s="13">
        <v>0</v>
      </c>
      <c r="L1174" s="45">
        <v>0</v>
      </c>
      <c r="M1174" s="34"/>
      <c r="N1174" s="13">
        <v>58.25</v>
      </c>
      <c r="O1174" s="13">
        <v>8</v>
      </c>
      <c r="P1174" s="13">
        <v>0</v>
      </c>
      <c r="Q1174" s="13">
        <v>11.5</v>
      </c>
      <c r="R1174" s="34"/>
      <c r="S1174" s="13">
        <f t="shared" si="2292"/>
        <v>77.75</v>
      </c>
      <c r="T1174" s="13">
        <f t="shared" ref="T1174" si="2299">SUM(N1174:Q1174)</f>
        <v>77.75</v>
      </c>
      <c r="U1174" s="13">
        <f t="shared" si="2293"/>
        <v>0</v>
      </c>
      <c r="V1174" s="34"/>
      <c r="W1174" s="45">
        <v>33.08</v>
      </c>
      <c r="X1174" s="45">
        <f>(W1174*1*D1174)+(W1174*1.5*E1174)+(W1174*2*F1174)+(W1174*1*G1174)</f>
        <v>2571.9699999999998</v>
      </c>
      <c r="Y1174" s="45">
        <f t="shared" si="2295"/>
        <v>0</v>
      </c>
      <c r="Z1174" s="45">
        <f t="shared" si="2296"/>
        <v>0</v>
      </c>
      <c r="AA1174" s="79">
        <f t="shared" si="2297"/>
        <v>0</v>
      </c>
      <c r="AB1174" s="79">
        <f t="shared" si="2298"/>
        <v>2704.29</v>
      </c>
      <c r="AC1174" s="80">
        <f t="shared" si="2291"/>
        <v>0</v>
      </c>
      <c r="AD1174" s="209"/>
      <c r="AE1174" s="80">
        <f t="shared" si="2290"/>
        <v>132.32000000000016</v>
      </c>
      <c r="AF1174" s="209"/>
      <c r="AG1174" s="8"/>
    </row>
    <row r="1175" spans="1:34" x14ac:dyDescent="0.45">
      <c r="A1175" s="22">
        <f>A1172</f>
        <v>45508</v>
      </c>
      <c r="B1175" s="50" t="s">
        <v>31</v>
      </c>
      <c r="C1175" s="48">
        <f>120*W1175</f>
        <v>3969.6</v>
      </c>
      <c r="D1175" s="13">
        <v>38.5</v>
      </c>
      <c r="E1175" s="13">
        <v>0</v>
      </c>
      <c r="F1175" s="13">
        <v>0</v>
      </c>
      <c r="G1175" s="13">
        <v>0</v>
      </c>
      <c r="H1175" s="13">
        <v>0</v>
      </c>
      <c r="I1175" s="13">
        <v>0</v>
      </c>
      <c r="J1175" s="13">
        <v>0</v>
      </c>
      <c r="K1175" s="13">
        <v>0</v>
      </c>
      <c r="L1175" s="45">
        <v>0</v>
      </c>
      <c r="M1175" s="34"/>
      <c r="N1175" s="13">
        <v>38.5</v>
      </c>
      <c r="O1175" s="13">
        <v>0</v>
      </c>
      <c r="P1175" s="13">
        <v>0</v>
      </c>
      <c r="Q1175" s="13">
        <v>0</v>
      </c>
      <c r="R1175" s="34"/>
      <c r="S1175" s="13">
        <f t="shared" ref="S1175" si="2300">SUM(D1175:G1175)</f>
        <v>38.5</v>
      </c>
      <c r="T1175" s="13">
        <f>SUM(N1175:Q1175)</f>
        <v>38.5</v>
      </c>
      <c r="U1175" s="13">
        <f t="shared" ref="U1175:U1179" si="2301">SUM(H1175:K1175)</f>
        <v>0</v>
      </c>
      <c r="V1175" s="34"/>
      <c r="W1175" s="45">
        <v>33.08</v>
      </c>
      <c r="X1175" s="52">
        <f>(W1175*1*D1175)+(W1175*1.5*E1175)+(W1175*2*F1175)+(W1175*1*G1175)</f>
        <v>1273.58</v>
      </c>
      <c r="Y1175" s="52">
        <f t="shared" si="2295"/>
        <v>0</v>
      </c>
      <c r="Z1175" s="52">
        <f>(W1175*1*J1175)+L1175</f>
        <v>0</v>
      </c>
      <c r="AA1175" s="96">
        <f t="shared" si="2297"/>
        <v>0</v>
      </c>
      <c r="AB1175" s="96">
        <f>(W1175*1*N1175)+(W1175*1.5*O1175)+(W1175*2*P1175)+(W1175*1*Q1175)</f>
        <v>1273.58</v>
      </c>
      <c r="AC1175" s="97">
        <f t="shared" si="2291"/>
        <v>0</v>
      </c>
      <c r="AD1175" s="209"/>
      <c r="AE1175" s="97">
        <f t="shared" si="2290"/>
        <v>0</v>
      </c>
      <c r="AF1175" s="209"/>
      <c r="AG1175" s="8"/>
      <c r="AH1175">
        <v>18574.009999999998</v>
      </c>
    </row>
    <row r="1176" spans="1:34" x14ac:dyDescent="0.45">
      <c r="A1176" s="22">
        <f>A1172</f>
        <v>45508</v>
      </c>
      <c r="B1176" s="50" t="s">
        <v>64</v>
      </c>
      <c r="C1176" s="48">
        <f t="shared" ref="C1176:C1179" si="2302">80*W1176</f>
        <v>2000</v>
      </c>
      <c r="D1176" s="13">
        <v>80</v>
      </c>
      <c r="E1176" s="13">
        <v>0.25</v>
      </c>
      <c r="F1176" s="13">
        <v>0</v>
      </c>
      <c r="G1176" s="13">
        <v>0</v>
      </c>
      <c r="H1176" s="13">
        <v>0</v>
      </c>
      <c r="I1176" s="13">
        <v>0</v>
      </c>
      <c r="J1176" s="13">
        <v>0</v>
      </c>
      <c r="K1176" s="13">
        <v>0</v>
      </c>
      <c r="L1176" s="45">
        <v>0</v>
      </c>
      <c r="M1176" s="34"/>
      <c r="N1176" s="13">
        <v>80</v>
      </c>
      <c r="O1176" s="13">
        <v>0.25</v>
      </c>
      <c r="P1176" s="13">
        <v>0</v>
      </c>
      <c r="Q1176" s="13">
        <v>0</v>
      </c>
      <c r="R1176" s="34"/>
      <c r="S1176" s="13">
        <f t="shared" ref="S1176:S1177" si="2303">SUM(D1176:G1176)</f>
        <v>80.25</v>
      </c>
      <c r="T1176" s="13">
        <f>SUM(N1176:Q1176)</f>
        <v>80.25</v>
      </c>
      <c r="U1176" s="13">
        <f t="shared" si="2301"/>
        <v>0</v>
      </c>
      <c r="V1176" s="34"/>
      <c r="W1176" s="52">
        <v>25</v>
      </c>
      <c r="X1176" s="52">
        <f t="shared" ref="X1176:X1177" si="2304">(W1176*1*D1176)+(W1176*1.5*E1176)+(W1176*2*F1176)+(W1176*1*G1176)</f>
        <v>2009.375</v>
      </c>
      <c r="Y1176" s="52">
        <f t="shared" si="2295"/>
        <v>0</v>
      </c>
      <c r="Z1176" s="52">
        <f t="shared" ref="Z1176:Z1179" si="2305">(W1176*1*J1176)+L1176</f>
        <v>0</v>
      </c>
      <c r="AA1176" s="96">
        <f t="shared" si="2297"/>
        <v>0</v>
      </c>
      <c r="AB1176" s="96">
        <f t="shared" ref="AB1176:AB1179" si="2306">(W1176*1*N1176)+(W1176*1.5*O1176)+(W1176*2*P1176)+(W1176*1*Q1176)</f>
        <v>2009.375</v>
      </c>
      <c r="AC1176" s="97">
        <f t="shared" si="2291"/>
        <v>0</v>
      </c>
      <c r="AD1176" s="209"/>
      <c r="AE1176" s="97">
        <f t="shared" si="2290"/>
        <v>0</v>
      </c>
      <c r="AF1176" s="209"/>
      <c r="AG1176" s="8"/>
      <c r="AH1176">
        <v>-3024.03</v>
      </c>
    </row>
    <row r="1177" spans="1:34" x14ac:dyDescent="0.45">
      <c r="A1177" s="22">
        <f>A1172</f>
        <v>45508</v>
      </c>
      <c r="B1177" s="50" t="s">
        <v>54</v>
      </c>
      <c r="C1177" s="48">
        <f t="shared" si="2302"/>
        <v>2125.6</v>
      </c>
      <c r="D1177" s="13">
        <v>80</v>
      </c>
      <c r="E1177" s="13">
        <v>8</v>
      </c>
      <c r="F1177" s="13">
        <v>0</v>
      </c>
      <c r="G1177" s="13">
        <v>11.5</v>
      </c>
      <c r="H1177" s="13">
        <v>0</v>
      </c>
      <c r="I1177" s="13">
        <v>0</v>
      </c>
      <c r="J1177" s="13">
        <v>0</v>
      </c>
      <c r="K1177" s="13">
        <v>0</v>
      </c>
      <c r="L1177" s="45">
        <v>0</v>
      </c>
      <c r="M1177" s="34"/>
      <c r="N1177" s="13">
        <v>80</v>
      </c>
      <c r="O1177" s="13">
        <v>8</v>
      </c>
      <c r="P1177" s="13">
        <v>0</v>
      </c>
      <c r="Q1177" s="13">
        <v>11.5</v>
      </c>
      <c r="R1177" s="34"/>
      <c r="S1177" s="13">
        <f t="shared" si="2303"/>
        <v>99.5</v>
      </c>
      <c r="T1177" s="13">
        <f t="shared" ref="T1177" si="2307">SUM(N1177:Q1177)</f>
        <v>99.5</v>
      </c>
      <c r="U1177" s="13">
        <f t="shared" si="2301"/>
        <v>0</v>
      </c>
      <c r="V1177" s="34"/>
      <c r="W1177" s="52">
        <v>26.57</v>
      </c>
      <c r="X1177" s="52">
        <f t="shared" si="2304"/>
        <v>2749.9949999999999</v>
      </c>
      <c r="Y1177" s="52">
        <f t="shared" si="2295"/>
        <v>0</v>
      </c>
      <c r="Z1177" s="52">
        <f t="shared" si="2305"/>
        <v>0</v>
      </c>
      <c r="AA1177" s="96">
        <f t="shared" si="2297"/>
        <v>0</v>
      </c>
      <c r="AB1177" s="96">
        <f t="shared" si="2306"/>
        <v>2749.9949999999999</v>
      </c>
      <c r="AC1177" s="97">
        <f>0-Y1177-AA1177</f>
        <v>0</v>
      </c>
      <c r="AD1177" s="209"/>
      <c r="AE1177" s="97">
        <f t="shared" si="2290"/>
        <v>0</v>
      </c>
      <c r="AF1177" s="209"/>
      <c r="AG1177" s="8"/>
      <c r="AH1177">
        <v>-1140.3900000000001</v>
      </c>
    </row>
    <row r="1178" spans="1:34" x14ac:dyDescent="0.45">
      <c r="A1178" s="22">
        <f>A1172</f>
        <v>45508</v>
      </c>
      <c r="B1178" s="50" t="s">
        <v>65</v>
      </c>
      <c r="C1178" s="48">
        <f t="shared" si="2302"/>
        <v>1920</v>
      </c>
      <c r="D1178" s="51">
        <v>0</v>
      </c>
      <c r="E1178" s="51">
        <v>0</v>
      </c>
      <c r="F1178" s="51">
        <v>0</v>
      </c>
      <c r="G1178" s="51">
        <v>0</v>
      </c>
      <c r="H1178" s="51">
        <v>0</v>
      </c>
      <c r="I1178" s="51">
        <v>0</v>
      </c>
      <c r="J1178" s="51">
        <v>0</v>
      </c>
      <c r="K1178" s="51">
        <v>32</v>
      </c>
      <c r="L1178" s="52">
        <v>0</v>
      </c>
      <c r="M1178" s="34"/>
      <c r="N1178" s="51">
        <v>0</v>
      </c>
      <c r="O1178" s="51">
        <v>0</v>
      </c>
      <c r="P1178" s="51">
        <v>0</v>
      </c>
      <c r="Q1178" s="51">
        <v>0</v>
      </c>
      <c r="R1178" s="34"/>
      <c r="S1178" s="51">
        <f t="shared" ref="S1178:S1179" si="2308">SUM(D1178:G1178)</f>
        <v>0</v>
      </c>
      <c r="T1178" s="51">
        <f t="shared" ref="T1178:T1179" si="2309">SUM(N1178:Q1178)</f>
        <v>0</v>
      </c>
      <c r="U1178" s="51">
        <f t="shared" si="2301"/>
        <v>32</v>
      </c>
      <c r="V1178" s="34"/>
      <c r="W1178" s="52">
        <v>24</v>
      </c>
      <c r="X1178" s="53">
        <f>(W1178*1*D1178)+(W1178*1.5*E1178)+(W1178*2*F1178)+(W1178*1*G1178)</f>
        <v>0</v>
      </c>
      <c r="Y1178" s="53">
        <f t="shared" si="2295"/>
        <v>0</v>
      </c>
      <c r="Z1178" s="53">
        <f t="shared" si="2305"/>
        <v>0</v>
      </c>
      <c r="AA1178" s="54">
        <f t="shared" si="2297"/>
        <v>768</v>
      </c>
      <c r="AB1178" s="54">
        <f t="shared" si="2306"/>
        <v>0</v>
      </c>
      <c r="AC1178" s="64">
        <f>0-Y1178-AA1178</f>
        <v>-768</v>
      </c>
      <c r="AD1178" s="209"/>
      <c r="AE1178" s="64">
        <f>AB1178-(X1178+Z1178)</f>
        <v>0</v>
      </c>
      <c r="AF1178" s="209"/>
      <c r="AG1178" s="8"/>
      <c r="AH1178">
        <v>-694.3</v>
      </c>
    </row>
    <row r="1179" spans="1:34" ht="14.65" thickBot="1" x14ac:dyDescent="0.5">
      <c r="A1179" s="23">
        <f>A1172</f>
        <v>45508</v>
      </c>
      <c r="B1179" s="24" t="s">
        <v>66</v>
      </c>
      <c r="C1179" s="49">
        <f t="shared" si="2302"/>
        <v>1756</v>
      </c>
      <c r="D1179" s="25">
        <v>0</v>
      </c>
      <c r="E1179" s="25">
        <v>0</v>
      </c>
      <c r="F1179" s="25">
        <v>0</v>
      </c>
      <c r="G1179" s="25">
        <v>0</v>
      </c>
      <c r="H1179" s="25">
        <v>0</v>
      </c>
      <c r="I1179" s="25">
        <v>4</v>
      </c>
      <c r="J1179" s="25">
        <v>0</v>
      </c>
      <c r="K1179" s="25">
        <v>59.75</v>
      </c>
      <c r="L1179" s="46">
        <v>0</v>
      </c>
      <c r="M1179" s="35"/>
      <c r="N1179" s="25">
        <v>0</v>
      </c>
      <c r="O1179" s="25">
        <v>0</v>
      </c>
      <c r="P1179" s="25">
        <v>0</v>
      </c>
      <c r="Q1179" s="25">
        <v>0</v>
      </c>
      <c r="R1179" s="35"/>
      <c r="S1179" s="25">
        <f t="shared" si="2308"/>
        <v>0</v>
      </c>
      <c r="T1179" s="25">
        <f t="shared" si="2309"/>
        <v>0</v>
      </c>
      <c r="U1179" s="25">
        <f t="shared" si="2301"/>
        <v>63.75</v>
      </c>
      <c r="V1179" s="35"/>
      <c r="W1179" s="46">
        <v>21.95</v>
      </c>
      <c r="X1179" s="26">
        <f t="shared" ref="X1179" si="2310">(W1179*1*D1179)+(W1179*1.5*E1179)+(W1179*2*F1179)+(W1179*1*G1179)</f>
        <v>0</v>
      </c>
      <c r="Y1179" s="26">
        <f t="shared" si="2295"/>
        <v>87.8</v>
      </c>
      <c r="Z1179" s="26">
        <f t="shared" si="2305"/>
        <v>0</v>
      </c>
      <c r="AA1179" s="27">
        <f t="shared" si="2297"/>
        <v>1311.5125</v>
      </c>
      <c r="AB1179" s="27">
        <f t="shared" si="2306"/>
        <v>0</v>
      </c>
      <c r="AC1179" s="65">
        <f>0-Y1179-AA1179</f>
        <v>-1399.3125</v>
      </c>
      <c r="AD1179" s="210"/>
      <c r="AE1179" s="65">
        <f t="shared" ref="AE1179:AE1185" si="2311">AB1179-(X1179+Z1179)</f>
        <v>0</v>
      </c>
      <c r="AF1179" s="210"/>
      <c r="AG1179" s="8"/>
      <c r="AH1179">
        <f>SUM(AH1175:AH1178)</f>
        <v>13715.289999999999</v>
      </c>
    </row>
    <row r="1180" spans="1:34" x14ac:dyDescent="0.45">
      <c r="A1180" s="16">
        <f>A1179+14</f>
        <v>45522</v>
      </c>
      <c r="B1180" s="17" t="s">
        <v>30</v>
      </c>
      <c r="C1180" s="47">
        <f>120*W1180</f>
        <v>4303.2</v>
      </c>
      <c r="D1180" s="18">
        <v>76.75</v>
      </c>
      <c r="E1180" s="18">
        <v>10.5</v>
      </c>
      <c r="F1180" s="18">
        <v>5.75</v>
      </c>
      <c r="G1180" s="18">
        <v>0</v>
      </c>
      <c r="H1180" s="18">
        <v>0</v>
      </c>
      <c r="I1180" s="18">
        <v>8</v>
      </c>
      <c r="J1180" s="18">
        <v>0</v>
      </c>
      <c r="K1180" s="18">
        <v>0</v>
      </c>
      <c r="L1180" s="44">
        <v>0</v>
      </c>
      <c r="M1180" s="33"/>
      <c r="N1180" s="18">
        <v>72</v>
      </c>
      <c r="O1180" s="18">
        <v>15.25</v>
      </c>
      <c r="P1180" s="18">
        <v>5.75</v>
      </c>
      <c r="Q1180" s="18">
        <v>0</v>
      </c>
      <c r="R1180" s="33"/>
      <c r="S1180" s="18">
        <f>SUM(D1180:G1180)</f>
        <v>93</v>
      </c>
      <c r="T1180" s="18">
        <f>SUM(N1180:Q1180)</f>
        <v>93</v>
      </c>
      <c r="U1180" s="18">
        <f>SUM(H1180:K1180)</f>
        <v>8</v>
      </c>
      <c r="V1180" s="33"/>
      <c r="W1180" s="44">
        <v>35.86</v>
      </c>
      <c r="X1180" s="19">
        <f>(W1180*1*D1180)+(W1180*1.5*E1180)+(W1180*2*F1180)+(W1180*1*G1180)</f>
        <v>3729.44</v>
      </c>
      <c r="Y1180" s="19">
        <f>(W1180*0*H1180)+(W1180*1*I1180)</f>
        <v>286.88</v>
      </c>
      <c r="Z1180" s="19">
        <f>(W1180*1*J1180)+L1180</f>
        <v>0</v>
      </c>
      <c r="AA1180" s="20">
        <f>(W1180*1*K1180)</f>
        <v>0</v>
      </c>
      <c r="AB1180" s="20">
        <f>(W1180*1*N1180)+(W1180*1.5*O1180)+(W1180*2*P1180)+(W1180*1*Q1180)</f>
        <v>3814.6075000000001</v>
      </c>
      <c r="AC1180" s="66">
        <f t="shared" ref="AC1180:AC1184" si="2312">0-Y1180-AA1180</f>
        <v>-286.88</v>
      </c>
      <c r="AD1180" s="208"/>
      <c r="AE1180" s="66">
        <f t="shared" si="2311"/>
        <v>85.167500000000018</v>
      </c>
      <c r="AF1180" s="208">
        <f>SUM(AE1180:AE1187)</f>
        <v>-6228.9137499999997</v>
      </c>
      <c r="AG1180" s="8"/>
    </row>
    <row r="1181" spans="1:34" x14ac:dyDescent="0.45">
      <c r="A1181" s="22">
        <f>A1180</f>
        <v>45522</v>
      </c>
      <c r="B1181" s="15" t="s">
        <v>5</v>
      </c>
      <c r="C1181" s="48">
        <f>120*W1181</f>
        <v>3836.3999999999996</v>
      </c>
      <c r="D1181" s="13">
        <v>76.25</v>
      </c>
      <c r="E1181" s="13">
        <v>3.5</v>
      </c>
      <c r="F1181" s="13">
        <v>0</v>
      </c>
      <c r="G1181" s="13">
        <v>0</v>
      </c>
      <c r="H1181" s="13">
        <v>0</v>
      </c>
      <c r="I1181" s="13">
        <v>16</v>
      </c>
      <c r="J1181" s="13">
        <v>0</v>
      </c>
      <c r="K1181" s="13">
        <v>0</v>
      </c>
      <c r="L1181" s="45">
        <v>0</v>
      </c>
      <c r="M1181" s="34"/>
      <c r="N1181" s="13">
        <v>68.5</v>
      </c>
      <c r="O1181" s="13">
        <v>11.75</v>
      </c>
      <c r="P1181" s="13">
        <v>0</v>
      </c>
      <c r="Q1181" s="13">
        <v>0</v>
      </c>
      <c r="R1181" s="34"/>
      <c r="S1181" s="13">
        <f t="shared" ref="S1181:S1182" si="2313">SUM(D1181:G1181)</f>
        <v>79.75</v>
      </c>
      <c r="T1181" s="13">
        <f>SUM(N1181:Q1181)</f>
        <v>80.25</v>
      </c>
      <c r="U1181" s="13">
        <f t="shared" ref="U1181:U1182" si="2314">SUM(H1181:K1181)</f>
        <v>16</v>
      </c>
      <c r="V1181" s="34"/>
      <c r="W1181" s="45">
        <v>31.97</v>
      </c>
      <c r="X1181" s="45">
        <f t="shared" ref="X1181" si="2315">(W1181*1*D1181)+(W1181*1.5*E1181)+(W1181*2*F1181)+(W1181*1*G1181)</f>
        <v>2605.5550000000003</v>
      </c>
      <c r="Y1181" s="45">
        <f t="shared" ref="Y1181:Y1187" si="2316">(W1181*0*H1181)+(W1181*1*I1181)</f>
        <v>511.52</v>
      </c>
      <c r="Z1181" s="45">
        <f t="shared" ref="Z1181:Z1182" si="2317">(W1181*1*J1181)+L1181</f>
        <v>0</v>
      </c>
      <c r="AA1181" s="79">
        <f t="shared" ref="AA1181:AA1187" si="2318">(W1181*1*K1181)</f>
        <v>0</v>
      </c>
      <c r="AB1181" s="79">
        <f t="shared" ref="AB1181:AB1182" si="2319">(W1181*1*N1181)+(W1181*1.5*O1181)+(W1181*2*P1181)+(W1181*1*Q1181)</f>
        <v>2753.4162499999998</v>
      </c>
      <c r="AC1181" s="80">
        <f t="shared" si="2312"/>
        <v>-511.52</v>
      </c>
      <c r="AD1181" s="209"/>
      <c r="AE1181" s="80">
        <f t="shared" si="2311"/>
        <v>147.86124999999947</v>
      </c>
      <c r="AF1181" s="209"/>
      <c r="AG1181" s="8"/>
    </row>
    <row r="1182" spans="1:34" x14ac:dyDescent="0.45">
      <c r="A1182" s="22">
        <f>A1180</f>
        <v>45522</v>
      </c>
      <c r="B1182" s="15" t="s">
        <v>6</v>
      </c>
      <c r="C1182" s="48">
        <f>120*W1182</f>
        <v>3969.6</v>
      </c>
      <c r="D1182" s="13">
        <v>78.75</v>
      </c>
      <c r="E1182" s="13">
        <v>22</v>
      </c>
      <c r="F1182" s="13">
        <v>0</v>
      </c>
      <c r="G1182" s="13">
        <v>8</v>
      </c>
      <c r="H1182" s="13">
        <v>0</v>
      </c>
      <c r="I1182" s="13">
        <v>0</v>
      </c>
      <c r="J1182" s="13">
        <v>0</v>
      </c>
      <c r="K1182" s="13">
        <v>0</v>
      </c>
      <c r="L1182" s="45">
        <v>0</v>
      </c>
      <c r="M1182" s="34"/>
      <c r="N1182" s="13">
        <v>32</v>
      </c>
      <c r="O1182" s="13">
        <v>5.75</v>
      </c>
      <c r="P1182" s="13">
        <v>0</v>
      </c>
      <c r="Q1182" s="13">
        <v>0</v>
      </c>
      <c r="R1182" s="34"/>
      <c r="S1182" s="13">
        <f t="shared" si="2313"/>
        <v>108.75</v>
      </c>
      <c r="T1182" s="13">
        <f t="shared" ref="T1182" si="2320">SUM(N1182:Q1182)</f>
        <v>37.75</v>
      </c>
      <c r="U1182" s="13">
        <f t="shared" si="2314"/>
        <v>0</v>
      </c>
      <c r="V1182" s="34"/>
      <c r="W1182" s="45">
        <v>33.08</v>
      </c>
      <c r="X1182" s="45">
        <f>(W1182*1*D1182)+(W1182*1.5*E1182)+(W1182*2*F1182)+(W1182*1*G1182)</f>
        <v>3961.3299999999995</v>
      </c>
      <c r="Y1182" s="45">
        <f t="shared" si="2316"/>
        <v>0</v>
      </c>
      <c r="Z1182" s="45">
        <f t="shared" si="2317"/>
        <v>0</v>
      </c>
      <c r="AA1182" s="79">
        <f t="shared" si="2318"/>
        <v>0</v>
      </c>
      <c r="AB1182" s="79">
        <f t="shared" si="2319"/>
        <v>1343.875</v>
      </c>
      <c r="AC1182" s="80">
        <f t="shared" si="2312"/>
        <v>0</v>
      </c>
      <c r="AD1182" s="209"/>
      <c r="AE1182" s="80">
        <f t="shared" si="2311"/>
        <v>-2617.4549999999995</v>
      </c>
      <c r="AF1182" s="209"/>
      <c r="AG1182" s="8"/>
    </row>
    <row r="1183" spans="1:34" x14ac:dyDescent="0.45">
      <c r="A1183" s="22">
        <f>A1180</f>
        <v>45522</v>
      </c>
      <c r="B1183" s="50" t="s">
        <v>31</v>
      </c>
      <c r="C1183" s="48">
        <f>120*W1183</f>
        <v>3969.6</v>
      </c>
      <c r="D1183" s="13">
        <v>73.25</v>
      </c>
      <c r="E1183" s="13">
        <v>22</v>
      </c>
      <c r="F1183" s="13">
        <v>0</v>
      </c>
      <c r="G1183" s="13">
        <v>10</v>
      </c>
      <c r="H1183" s="13">
        <v>0</v>
      </c>
      <c r="I1183" s="13">
        <v>0</v>
      </c>
      <c r="J1183" s="13">
        <v>0</v>
      </c>
      <c r="K1183" s="13">
        <v>0</v>
      </c>
      <c r="L1183" s="45">
        <v>0</v>
      </c>
      <c r="M1183" s="34"/>
      <c r="N1183" s="13">
        <v>32</v>
      </c>
      <c r="O1183" s="13">
        <v>1.25</v>
      </c>
      <c r="P1183" s="13">
        <v>0</v>
      </c>
      <c r="Q1183" s="13">
        <v>2</v>
      </c>
      <c r="R1183" s="34"/>
      <c r="S1183" s="13">
        <f t="shared" ref="S1183" si="2321">SUM(D1183:G1183)</f>
        <v>105.25</v>
      </c>
      <c r="T1183" s="13">
        <f>SUM(N1183:Q1183)</f>
        <v>35.25</v>
      </c>
      <c r="U1183" s="13">
        <f t="shared" ref="U1183:U1187" si="2322">SUM(H1183:K1183)</f>
        <v>0</v>
      </c>
      <c r="V1183" s="34"/>
      <c r="W1183" s="45">
        <v>33.08</v>
      </c>
      <c r="X1183" s="52">
        <f>(W1183*1*D1183)+(W1183*1.5*E1183)+(W1183*2*F1183)+(W1183*1*G1183)</f>
        <v>3845.5499999999993</v>
      </c>
      <c r="Y1183" s="52">
        <f t="shared" si="2316"/>
        <v>0</v>
      </c>
      <c r="Z1183" s="52">
        <f>(W1183*1*J1183)+L1183</f>
        <v>0</v>
      </c>
      <c r="AA1183" s="96">
        <f t="shared" si="2318"/>
        <v>0</v>
      </c>
      <c r="AB1183" s="96">
        <f>(W1183*1*N1183)+(W1183*1.5*O1183)+(W1183*2*P1183)+(W1183*1*Q1183)</f>
        <v>1186.7450000000001</v>
      </c>
      <c r="AC1183" s="97">
        <f t="shared" si="2312"/>
        <v>0</v>
      </c>
      <c r="AD1183" s="209"/>
      <c r="AE1183" s="97">
        <f t="shared" si="2311"/>
        <v>-2658.8049999999994</v>
      </c>
      <c r="AF1183" s="209"/>
      <c r="AG1183" s="8"/>
      <c r="AH1183">
        <v>23194.57</v>
      </c>
    </row>
    <row r="1184" spans="1:34" x14ac:dyDescent="0.45">
      <c r="A1184" s="22">
        <f>A1180</f>
        <v>45522</v>
      </c>
      <c r="B1184" s="50" t="s">
        <v>64</v>
      </c>
      <c r="C1184" s="48">
        <f t="shared" ref="C1184:C1187" si="2323">80*W1184</f>
        <v>2000</v>
      </c>
      <c r="D1184" s="13">
        <v>73.5</v>
      </c>
      <c r="E1184" s="13">
        <v>0</v>
      </c>
      <c r="F1184" s="13">
        <v>0</v>
      </c>
      <c r="G1184" s="13">
        <v>13.25</v>
      </c>
      <c r="H1184" s="13">
        <v>0</v>
      </c>
      <c r="I1184" s="13">
        <v>8</v>
      </c>
      <c r="J1184" s="13">
        <v>0</v>
      </c>
      <c r="K1184" s="13">
        <v>0</v>
      </c>
      <c r="L1184" s="45">
        <v>0</v>
      </c>
      <c r="M1184" s="34"/>
      <c r="N1184" s="13">
        <v>72</v>
      </c>
      <c r="O1184" s="13">
        <v>2.5</v>
      </c>
      <c r="P1184" s="13">
        <v>1</v>
      </c>
      <c r="Q1184" s="13">
        <v>12</v>
      </c>
      <c r="R1184" s="34"/>
      <c r="S1184" s="13">
        <f t="shared" ref="S1184:S1185" si="2324">SUM(D1184:G1184)</f>
        <v>86.75</v>
      </c>
      <c r="T1184" s="13">
        <f>SUM(N1184:Q1184)</f>
        <v>87.5</v>
      </c>
      <c r="U1184" s="13">
        <f t="shared" si="2322"/>
        <v>8</v>
      </c>
      <c r="V1184" s="34"/>
      <c r="W1184" s="52">
        <v>25</v>
      </c>
      <c r="X1184" s="52">
        <f t="shared" ref="X1184:X1185" si="2325">(W1184*1*D1184)+(W1184*1.5*E1184)+(W1184*2*F1184)+(W1184*1*G1184)</f>
        <v>2168.75</v>
      </c>
      <c r="Y1184" s="52">
        <f t="shared" si="2316"/>
        <v>200</v>
      </c>
      <c r="Z1184" s="52">
        <f t="shared" ref="Z1184:Z1187" si="2326">(W1184*1*J1184)+L1184</f>
        <v>0</v>
      </c>
      <c r="AA1184" s="96">
        <f t="shared" si="2318"/>
        <v>0</v>
      </c>
      <c r="AB1184" s="96">
        <f t="shared" ref="AB1184:AB1187" si="2327">(W1184*1*N1184)+(W1184*1.5*O1184)+(W1184*2*P1184)+(W1184*1*Q1184)</f>
        <v>2243.75</v>
      </c>
      <c r="AC1184" s="97">
        <f t="shared" si="2312"/>
        <v>-200</v>
      </c>
      <c r="AD1184" s="209"/>
      <c r="AE1184" s="97">
        <f t="shared" si="2311"/>
        <v>75</v>
      </c>
      <c r="AF1184" s="209"/>
      <c r="AG1184" s="8"/>
      <c r="AH1184">
        <v>-3175.52</v>
      </c>
    </row>
    <row r="1185" spans="1:34" x14ac:dyDescent="0.45">
      <c r="A1185" s="22">
        <f>A1180</f>
        <v>45522</v>
      </c>
      <c r="B1185" s="50" t="s">
        <v>54</v>
      </c>
      <c r="C1185" s="48">
        <f t="shared" si="2323"/>
        <v>2125.6</v>
      </c>
      <c r="D1185" s="13">
        <v>75</v>
      </c>
      <c r="E1185" s="13">
        <v>5.25</v>
      </c>
      <c r="F1185" s="13">
        <v>0</v>
      </c>
      <c r="G1185" s="13">
        <v>0</v>
      </c>
      <c r="H1185" s="13">
        <v>0</v>
      </c>
      <c r="I1185" s="13">
        <v>0</v>
      </c>
      <c r="J1185" s="13">
        <v>0</v>
      </c>
      <c r="K1185" s="13">
        <v>0</v>
      </c>
      <c r="L1185" s="45">
        <v>0</v>
      </c>
      <c r="M1185" s="34"/>
      <c r="N1185" s="13">
        <v>72</v>
      </c>
      <c r="O1185" s="13">
        <v>8.25</v>
      </c>
      <c r="P1185" s="13">
        <v>0</v>
      </c>
      <c r="Q1185" s="13">
        <v>0</v>
      </c>
      <c r="R1185" s="34"/>
      <c r="S1185" s="13">
        <f t="shared" si="2324"/>
        <v>80.25</v>
      </c>
      <c r="T1185" s="13">
        <f t="shared" ref="T1185" si="2328">SUM(N1185:Q1185)</f>
        <v>80.25</v>
      </c>
      <c r="U1185" s="13">
        <f t="shared" si="2322"/>
        <v>0</v>
      </c>
      <c r="V1185" s="34"/>
      <c r="W1185" s="52">
        <v>26.57</v>
      </c>
      <c r="X1185" s="52">
        <f t="shared" si="2325"/>
        <v>2201.98875</v>
      </c>
      <c r="Y1185" s="52">
        <f t="shared" si="2316"/>
        <v>0</v>
      </c>
      <c r="Z1185" s="52">
        <f t="shared" si="2326"/>
        <v>0</v>
      </c>
      <c r="AA1185" s="96">
        <f t="shared" si="2318"/>
        <v>0</v>
      </c>
      <c r="AB1185" s="96">
        <f t="shared" si="2327"/>
        <v>2241.84375</v>
      </c>
      <c r="AC1185" s="97">
        <f>0-Y1185-AA1185</f>
        <v>0</v>
      </c>
      <c r="AD1185" s="209"/>
      <c r="AE1185" s="97">
        <f t="shared" si="2311"/>
        <v>39.855000000000018</v>
      </c>
      <c r="AF1185" s="209"/>
      <c r="AG1185" s="8"/>
      <c r="AH1185">
        <v>-1575.26</v>
      </c>
    </row>
    <row r="1186" spans="1:34" x14ac:dyDescent="0.45">
      <c r="A1186" s="22">
        <f>A1180</f>
        <v>45522</v>
      </c>
      <c r="B1186" s="50" t="s">
        <v>65</v>
      </c>
      <c r="C1186" s="48">
        <f t="shared" si="2323"/>
        <v>1920</v>
      </c>
      <c r="D1186" s="51">
        <v>0</v>
      </c>
      <c r="E1186" s="51">
        <v>0</v>
      </c>
      <c r="F1186" s="51">
        <v>0</v>
      </c>
      <c r="G1186" s="51">
        <v>0</v>
      </c>
      <c r="H1186" s="51">
        <v>0</v>
      </c>
      <c r="I1186" s="51">
        <v>0</v>
      </c>
      <c r="J1186" s="51">
        <v>0</v>
      </c>
      <c r="K1186" s="51">
        <v>39.5</v>
      </c>
      <c r="L1186" s="52">
        <v>0</v>
      </c>
      <c r="M1186" s="34"/>
      <c r="N1186" s="51">
        <v>0</v>
      </c>
      <c r="O1186" s="51">
        <v>0</v>
      </c>
      <c r="P1186" s="51">
        <v>0</v>
      </c>
      <c r="Q1186" s="51">
        <v>0</v>
      </c>
      <c r="R1186" s="34"/>
      <c r="S1186" s="51">
        <f>SUM(D1186:G1186)</f>
        <v>0</v>
      </c>
      <c r="T1186" s="51">
        <f t="shared" ref="T1186:T1187" si="2329">SUM(N1186:Q1186)</f>
        <v>0</v>
      </c>
      <c r="U1186" s="51">
        <f t="shared" si="2322"/>
        <v>39.5</v>
      </c>
      <c r="V1186" s="34"/>
      <c r="W1186" s="52">
        <v>24</v>
      </c>
      <c r="X1186" s="53">
        <f>(W1186*1*D1186)+(W1186*1.5*E1186)+(W1186*2*F1186)+(W1186*1*G1186)</f>
        <v>0</v>
      </c>
      <c r="Y1186" s="53">
        <f t="shared" si="2316"/>
        <v>0</v>
      </c>
      <c r="Z1186" s="53">
        <f t="shared" si="2326"/>
        <v>0</v>
      </c>
      <c r="AA1186" s="54">
        <f t="shared" si="2318"/>
        <v>948</v>
      </c>
      <c r="AB1186" s="54">
        <f t="shared" si="2327"/>
        <v>0</v>
      </c>
      <c r="AC1186" s="64">
        <f>0-Y1186-AA1186</f>
        <v>-948</v>
      </c>
      <c r="AD1186" s="209"/>
      <c r="AE1186" s="64">
        <f>AB1186-(X1186+Z1186)</f>
        <v>0</v>
      </c>
      <c r="AF1186" s="209"/>
      <c r="AG1186" s="8"/>
      <c r="AH1186">
        <v>-809.31</v>
      </c>
    </row>
    <row r="1187" spans="1:34" ht="14.65" thickBot="1" x14ac:dyDescent="0.5">
      <c r="A1187" s="23">
        <f>A1180</f>
        <v>45522</v>
      </c>
      <c r="B1187" s="24" t="s">
        <v>66</v>
      </c>
      <c r="C1187" s="49">
        <f t="shared" si="2323"/>
        <v>1756</v>
      </c>
      <c r="D1187" s="25">
        <v>40</v>
      </c>
      <c r="E1187" s="25">
        <v>7.5</v>
      </c>
      <c r="F1187" s="25">
        <v>0</v>
      </c>
      <c r="G1187" s="25">
        <v>8</v>
      </c>
      <c r="H1187" s="25">
        <v>0</v>
      </c>
      <c r="I1187" s="25">
        <v>0</v>
      </c>
      <c r="J1187" s="25">
        <v>0</v>
      </c>
      <c r="K1187" s="25">
        <v>32</v>
      </c>
      <c r="L1187" s="46">
        <v>0</v>
      </c>
      <c r="M1187" s="35"/>
      <c r="N1187" s="25">
        <v>0</v>
      </c>
      <c r="O1187" s="25">
        <v>0</v>
      </c>
      <c r="P1187" s="25">
        <v>0</v>
      </c>
      <c r="Q1187" s="25">
        <v>0</v>
      </c>
      <c r="R1187" s="35"/>
      <c r="S1187" s="25">
        <f t="shared" ref="S1187" si="2330">SUM(D1187:G1187)</f>
        <v>55.5</v>
      </c>
      <c r="T1187" s="25">
        <f t="shared" si="2329"/>
        <v>0</v>
      </c>
      <c r="U1187" s="25">
        <f t="shared" si="2322"/>
        <v>32</v>
      </c>
      <c r="V1187" s="35"/>
      <c r="W1187" s="46">
        <v>21.95</v>
      </c>
      <c r="X1187" s="26">
        <f t="shared" ref="X1187" si="2331">(W1187*1*D1187)+(W1187*1.5*E1187)+(W1187*2*F1187)+(W1187*1*G1187)</f>
        <v>1300.5374999999999</v>
      </c>
      <c r="Y1187" s="26">
        <f t="shared" si="2316"/>
        <v>0</v>
      </c>
      <c r="Z1187" s="26">
        <f t="shared" si="2326"/>
        <v>0</v>
      </c>
      <c r="AA1187" s="27">
        <f t="shared" si="2318"/>
        <v>702.4</v>
      </c>
      <c r="AB1187" s="27">
        <f t="shared" si="2327"/>
        <v>0</v>
      </c>
      <c r="AC1187" s="65">
        <f>0-Y1187-AA1187</f>
        <v>-702.4</v>
      </c>
      <c r="AD1187" s="210"/>
      <c r="AE1187" s="65">
        <f t="shared" ref="AE1187:AE1193" si="2332">AB1187-(X1187+Z1187)</f>
        <v>-1300.5374999999999</v>
      </c>
      <c r="AF1187" s="210"/>
      <c r="AG1187" s="8"/>
      <c r="AH1187">
        <f>SUM(AH1183:AH1186)</f>
        <v>17634.48</v>
      </c>
    </row>
    <row r="1188" spans="1:34" x14ac:dyDescent="0.45">
      <c r="A1188" s="16">
        <f>A1187+14</f>
        <v>45536</v>
      </c>
      <c r="B1188" s="17" t="s">
        <v>30</v>
      </c>
      <c r="C1188" s="47">
        <f>120*W1188</f>
        <v>4303.2</v>
      </c>
      <c r="D1188" s="18">
        <v>0</v>
      </c>
      <c r="E1188" s="18">
        <v>0</v>
      </c>
      <c r="F1188" s="18">
        <v>0</v>
      </c>
      <c r="G1188" s="18">
        <v>0</v>
      </c>
      <c r="H1188" s="18">
        <v>0</v>
      </c>
      <c r="I1188" s="18">
        <v>0</v>
      </c>
      <c r="J1188" s="18">
        <v>0</v>
      </c>
      <c r="K1188" s="18">
        <v>0</v>
      </c>
      <c r="L1188" s="44">
        <v>0</v>
      </c>
      <c r="M1188" s="33"/>
      <c r="N1188" s="18">
        <v>40</v>
      </c>
      <c r="O1188" s="18">
        <v>5.5</v>
      </c>
      <c r="P1188" s="18">
        <v>0</v>
      </c>
      <c r="Q1188" s="18">
        <v>0</v>
      </c>
      <c r="R1188" s="33"/>
      <c r="S1188" s="18">
        <f>SUM(D1188:G1188)</f>
        <v>0</v>
      </c>
      <c r="T1188" s="18">
        <f>SUM(N1188:Q1188)</f>
        <v>45.5</v>
      </c>
      <c r="U1188" s="18">
        <f>SUM(H1188:K1188)</f>
        <v>0</v>
      </c>
      <c r="V1188" s="33"/>
      <c r="W1188" s="44">
        <v>35.86</v>
      </c>
      <c r="X1188" s="19">
        <f>(W1188*1*D1188)+(W1188*1.5*E1188)+(W1188*2*F1188)+(W1188*1*G1188)</f>
        <v>0</v>
      </c>
      <c r="Y1188" s="19">
        <f>(W1188*0*H1188)+(W1188*1*I1188)</f>
        <v>0</v>
      </c>
      <c r="Z1188" s="19">
        <f>(W1188*1*J1188)+L1188</f>
        <v>0</v>
      </c>
      <c r="AA1188" s="20">
        <f>(W1188*1*K1188)</f>
        <v>0</v>
      </c>
      <c r="AB1188" s="20">
        <f>(W1188*1*N1188)+(W1188*1.5*O1188)+(W1188*2*P1188)+(W1188*1*Q1188)</f>
        <v>1730.2450000000001</v>
      </c>
      <c r="AC1188" s="66">
        <f t="shared" ref="AC1188:AC1192" si="2333">0-Y1188-AA1188</f>
        <v>0</v>
      </c>
      <c r="AD1188" s="208"/>
      <c r="AE1188" s="66">
        <f t="shared" si="2332"/>
        <v>1730.2450000000001</v>
      </c>
      <c r="AF1188" s="208">
        <f>SUM(AE1188:AE1194)</f>
        <v>10501.7925</v>
      </c>
      <c r="AG1188" s="8"/>
    </row>
    <row r="1189" spans="1:34" x14ac:dyDescent="0.45">
      <c r="A1189" s="22">
        <f>A1188</f>
        <v>45536</v>
      </c>
      <c r="B1189" s="15" t="s">
        <v>5</v>
      </c>
      <c r="C1189" s="48">
        <f>120*W1189</f>
        <v>3836.3999999999996</v>
      </c>
      <c r="D1189" s="13">
        <v>0</v>
      </c>
      <c r="E1189" s="13">
        <v>0</v>
      </c>
      <c r="F1189" s="13">
        <v>0</v>
      </c>
      <c r="G1189" s="13">
        <v>0</v>
      </c>
      <c r="H1189" s="13">
        <v>0</v>
      </c>
      <c r="I1189" s="13">
        <v>0</v>
      </c>
      <c r="J1189" s="13">
        <v>0</v>
      </c>
      <c r="K1189" s="13">
        <v>0</v>
      </c>
      <c r="L1189" s="45">
        <v>0</v>
      </c>
      <c r="M1189" s="34"/>
      <c r="N1189" s="13">
        <v>80</v>
      </c>
      <c r="O1189" s="13">
        <v>12.5</v>
      </c>
      <c r="P1189" s="13">
        <v>0</v>
      </c>
      <c r="Q1189" s="13">
        <v>1.5</v>
      </c>
      <c r="R1189" s="34"/>
      <c r="S1189" s="13">
        <f t="shared" ref="S1189:S1190" si="2334">SUM(D1189:G1189)</f>
        <v>0</v>
      </c>
      <c r="T1189" s="13">
        <f>SUM(N1189:Q1189)</f>
        <v>94</v>
      </c>
      <c r="U1189" s="13">
        <f t="shared" ref="U1189:U1190" si="2335">SUM(H1189:K1189)</f>
        <v>0</v>
      </c>
      <c r="V1189" s="34"/>
      <c r="W1189" s="45">
        <v>31.97</v>
      </c>
      <c r="X1189" s="45">
        <f t="shared" ref="X1189" si="2336">(W1189*1*D1189)+(W1189*1.5*E1189)+(W1189*2*F1189)+(W1189*1*G1189)</f>
        <v>0</v>
      </c>
      <c r="Y1189" s="45">
        <f t="shared" ref="Y1189:Y1194" si="2337">(W1189*0*H1189)+(W1189*1*I1189)</f>
        <v>0</v>
      </c>
      <c r="Z1189" s="45">
        <f t="shared" ref="Z1189:Z1190" si="2338">(W1189*1*J1189)+L1189</f>
        <v>0</v>
      </c>
      <c r="AA1189" s="79">
        <f t="shared" ref="AA1189:AA1194" si="2339">(W1189*1*K1189)</f>
        <v>0</v>
      </c>
      <c r="AB1189" s="79">
        <f t="shared" ref="AB1189:AB1190" si="2340">(W1189*1*N1189)+(W1189*1.5*O1189)+(W1189*2*P1189)+(W1189*1*Q1189)</f>
        <v>3204.9924999999998</v>
      </c>
      <c r="AC1189" s="80">
        <f t="shared" si="2333"/>
        <v>0</v>
      </c>
      <c r="AD1189" s="209"/>
      <c r="AE1189" s="80">
        <f t="shared" si="2332"/>
        <v>3204.9924999999998</v>
      </c>
      <c r="AF1189" s="209"/>
      <c r="AG1189" s="8"/>
    </row>
    <row r="1190" spans="1:34" x14ac:dyDescent="0.45">
      <c r="A1190" s="22">
        <f>A1188</f>
        <v>45536</v>
      </c>
      <c r="B1190" s="15" t="s">
        <v>6</v>
      </c>
      <c r="C1190" s="48">
        <f>120*W1190</f>
        <v>3969.6</v>
      </c>
      <c r="D1190" s="13">
        <v>0</v>
      </c>
      <c r="E1190" s="13">
        <v>0</v>
      </c>
      <c r="F1190" s="13">
        <v>0</v>
      </c>
      <c r="G1190" s="13">
        <v>0</v>
      </c>
      <c r="H1190" s="13">
        <v>0</v>
      </c>
      <c r="I1190" s="13">
        <v>0</v>
      </c>
      <c r="J1190" s="13">
        <v>0</v>
      </c>
      <c r="K1190" s="13">
        <v>0</v>
      </c>
      <c r="L1190" s="45">
        <v>0</v>
      </c>
      <c r="M1190" s="34"/>
      <c r="N1190" s="13">
        <v>0</v>
      </c>
      <c r="O1190" s="13">
        <v>0</v>
      </c>
      <c r="P1190" s="13">
        <v>0</v>
      </c>
      <c r="Q1190" s="13">
        <v>0</v>
      </c>
      <c r="R1190" s="34"/>
      <c r="S1190" s="13">
        <f t="shared" si="2334"/>
        <v>0</v>
      </c>
      <c r="T1190" s="13">
        <f t="shared" ref="T1190" si="2341">SUM(N1190:Q1190)</f>
        <v>0</v>
      </c>
      <c r="U1190" s="13">
        <f t="shared" si="2335"/>
        <v>0</v>
      </c>
      <c r="V1190" s="34"/>
      <c r="W1190" s="45">
        <v>33.08</v>
      </c>
      <c r="X1190" s="45">
        <f>(W1190*1*D1190)+(W1190*1.5*E1190)+(W1190*2*F1190)+(W1190*1*G1190)</f>
        <v>0</v>
      </c>
      <c r="Y1190" s="45">
        <f t="shared" si="2337"/>
        <v>0</v>
      </c>
      <c r="Z1190" s="45">
        <f t="shared" si="2338"/>
        <v>0</v>
      </c>
      <c r="AA1190" s="79">
        <f t="shared" si="2339"/>
        <v>0</v>
      </c>
      <c r="AB1190" s="79">
        <f t="shared" si="2340"/>
        <v>0</v>
      </c>
      <c r="AC1190" s="80">
        <f t="shared" si="2333"/>
        <v>0</v>
      </c>
      <c r="AD1190" s="209"/>
      <c r="AE1190" s="80">
        <f t="shared" si="2332"/>
        <v>0</v>
      </c>
      <c r="AF1190" s="209"/>
      <c r="AG1190" s="8"/>
    </row>
    <row r="1191" spans="1:34" x14ac:dyDescent="0.45">
      <c r="A1191" s="22">
        <f>A1188</f>
        <v>45536</v>
      </c>
      <c r="B1191" s="50" t="s">
        <v>31</v>
      </c>
      <c r="C1191" s="48">
        <f>120*W1191</f>
        <v>3969.6</v>
      </c>
      <c r="D1191" s="13">
        <v>0</v>
      </c>
      <c r="E1191" s="13">
        <v>0</v>
      </c>
      <c r="F1191" s="13">
        <v>0</v>
      </c>
      <c r="G1191" s="13">
        <v>0</v>
      </c>
      <c r="H1191" s="13">
        <v>0</v>
      </c>
      <c r="I1191" s="13">
        <v>0</v>
      </c>
      <c r="J1191" s="13">
        <v>0</v>
      </c>
      <c r="K1191" s="13">
        <v>0</v>
      </c>
      <c r="L1191" s="45">
        <v>0</v>
      </c>
      <c r="M1191" s="34"/>
      <c r="N1191" s="13">
        <v>0</v>
      </c>
      <c r="O1191" s="13">
        <v>0</v>
      </c>
      <c r="P1191" s="13">
        <v>0</v>
      </c>
      <c r="Q1191" s="13">
        <v>0</v>
      </c>
      <c r="R1191" s="34"/>
      <c r="S1191" s="13">
        <f t="shared" ref="S1191" si="2342">SUM(D1191:G1191)</f>
        <v>0</v>
      </c>
      <c r="T1191" s="13">
        <f>SUM(N1191:Q1191)</f>
        <v>0</v>
      </c>
      <c r="U1191" s="13">
        <f t="shared" ref="U1191:U1194" si="2343">SUM(H1191:K1191)</f>
        <v>0</v>
      </c>
      <c r="V1191" s="34"/>
      <c r="W1191" s="45">
        <v>33.08</v>
      </c>
      <c r="X1191" s="52">
        <f>(W1191*1*D1191)+(W1191*1.5*E1191)+(W1191*2*F1191)+(W1191*1*G1191)</f>
        <v>0</v>
      </c>
      <c r="Y1191" s="52">
        <f t="shared" si="2337"/>
        <v>0</v>
      </c>
      <c r="Z1191" s="52">
        <f>(W1191*1*J1191)+L1191</f>
        <v>0</v>
      </c>
      <c r="AA1191" s="96">
        <f t="shared" si="2339"/>
        <v>0</v>
      </c>
      <c r="AB1191" s="96">
        <f>(W1191*1*N1191)+(W1191*1.5*O1191)+(W1191*2*P1191)+(W1191*1*Q1191)</f>
        <v>0</v>
      </c>
      <c r="AC1191" s="97">
        <f t="shared" si="2333"/>
        <v>0</v>
      </c>
      <c r="AD1191" s="209"/>
      <c r="AE1191" s="97">
        <f t="shared" si="2332"/>
        <v>0</v>
      </c>
      <c r="AF1191" s="209"/>
      <c r="AG1191" s="8"/>
    </row>
    <row r="1192" spans="1:34" x14ac:dyDescent="0.45">
      <c r="A1192" s="22">
        <f>A1188</f>
        <v>45536</v>
      </c>
      <c r="B1192" s="50" t="s">
        <v>64</v>
      </c>
      <c r="C1192" s="48">
        <f t="shared" ref="C1192:C1194" si="2344">80*W1192</f>
        <v>2000</v>
      </c>
      <c r="D1192" s="13">
        <v>0</v>
      </c>
      <c r="E1192" s="13">
        <v>0</v>
      </c>
      <c r="F1192" s="13">
        <v>0</v>
      </c>
      <c r="G1192" s="13">
        <v>0</v>
      </c>
      <c r="H1192" s="13">
        <v>0</v>
      </c>
      <c r="I1192" s="13">
        <v>0</v>
      </c>
      <c r="J1192" s="13">
        <v>0</v>
      </c>
      <c r="K1192" s="13">
        <v>0</v>
      </c>
      <c r="L1192" s="45">
        <v>0</v>
      </c>
      <c r="M1192" s="34"/>
      <c r="N1192" s="13">
        <v>80</v>
      </c>
      <c r="O1192" s="13">
        <v>7.25</v>
      </c>
      <c r="P1192" s="13">
        <v>0</v>
      </c>
      <c r="Q1192" s="13">
        <v>0</v>
      </c>
      <c r="R1192" s="34"/>
      <c r="S1192" s="13">
        <f t="shared" ref="S1192:S1193" si="2345">SUM(D1192:G1192)</f>
        <v>0</v>
      </c>
      <c r="T1192" s="13">
        <f>SUM(N1192:Q1192)</f>
        <v>87.25</v>
      </c>
      <c r="U1192" s="13">
        <f t="shared" si="2343"/>
        <v>0</v>
      </c>
      <c r="V1192" s="34"/>
      <c r="W1192" s="52">
        <v>25</v>
      </c>
      <c r="X1192" s="52">
        <f t="shared" ref="X1192:X1193" si="2346">(W1192*1*D1192)+(W1192*1.5*E1192)+(W1192*2*F1192)+(W1192*1*G1192)</f>
        <v>0</v>
      </c>
      <c r="Y1192" s="52">
        <f t="shared" si="2337"/>
        <v>0</v>
      </c>
      <c r="Z1192" s="52">
        <f t="shared" ref="Z1192:Z1194" si="2347">(W1192*1*J1192)+L1192</f>
        <v>0</v>
      </c>
      <c r="AA1192" s="96">
        <f t="shared" si="2339"/>
        <v>0</v>
      </c>
      <c r="AB1192" s="96">
        <f t="shared" ref="AB1192:AB1194" si="2348">(W1192*1*N1192)+(W1192*1.5*O1192)+(W1192*2*P1192)+(W1192*1*Q1192)</f>
        <v>2271.875</v>
      </c>
      <c r="AC1192" s="97">
        <f t="shared" si="2333"/>
        <v>0</v>
      </c>
      <c r="AD1192" s="209"/>
      <c r="AE1192" s="97">
        <f t="shared" si="2332"/>
        <v>2271.875</v>
      </c>
      <c r="AF1192" s="209"/>
      <c r="AG1192" s="8"/>
    </row>
    <row r="1193" spans="1:34" x14ac:dyDescent="0.45">
      <c r="A1193" s="22">
        <f>A1188</f>
        <v>45536</v>
      </c>
      <c r="B1193" s="50" t="s">
        <v>54</v>
      </c>
      <c r="C1193" s="48">
        <f t="shared" si="2344"/>
        <v>2125.6</v>
      </c>
      <c r="D1193" s="13">
        <v>0</v>
      </c>
      <c r="E1193" s="13">
        <v>0</v>
      </c>
      <c r="F1193" s="13">
        <v>0</v>
      </c>
      <c r="G1193" s="13">
        <v>0</v>
      </c>
      <c r="H1193" s="13">
        <v>0</v>
      </c>
      <c r="I1193" s="13">
        <v>0</v>
      </c>
      <c r="J1193" s="13">
        <v>0</v>
      </c>
      <c r="K1193" s="13">
        <v>0</v>
      </c>
      <c r="L1193" s="45">
        <v>0</v>
      </c>
      <c r="M1193" s="34"/>
      <c r="N1193" s="13">
        <v>80</v>
      </c>
      <c r="O1193" s="13">
        <v>8</v>
      </c>
      <c r="P1193" s="13">
        <v>12.5</v>
      </c>
      <c r="Q1193" s="13">
        <v>7</v>
      </c>
      <c r="R1193" s="34"/>
      <c r="S1193" s="13">
        <f t="shared" si="2345"/>
        <v>0</v>
      </c>
      <c r="T1193" s="13">
        <f t="shared" ref="T1193" si="2349">SUM(N1193:Q1193)</f>
        <v>107.5</v>
      </c>
      <c r="U1193" s="13">
        <f t="shared" si="2343"/>
        <v>0</v>
      </c>
      <c r="V1193" s="34"/>
      <c r="W1193" s="52">
        <v>26.57</v>
      </c>
      <c r="X1193" s="52">
        <f t="shared" si="2346"/>
        <v>0</v>
      </c>
      <c r="Y1193" s="52">
        <f t="shared" si="2337"/>
        <v>0</v>
      </c>
      <c r="Z1193" s="52">
        <f t="shared" si="2347"/>
        <v>0</v>
      </c>
      <c r="AA1193" s="96">
        <f t="shared" si="2339"/>
        <v>0</v>
      </c>
      <c r="AB1193" s="96">
        <f t="shared" si="2348"/>
        <v>3294.6800000000003</v>
      </c>
      <c r="AC1193" s="97">
        <f>0-Y1193-AA1193</f>
        <v>0</v>
      </c>
      <c r="AD1193" s="209"/>
      <c r="AE1193" s="97">
        <f t="shared" si="2332"/>
        <v>3294.6800000000003</v>
      </c>
      <c r="AF1193" s="209"/>
      <c r="AG1193" s="8"/>
    </row>
    <row r="1194" spans="1:34" ht="14.65" thickBot="1" x14ac:dyDescent="0.5">
      <c r="A1194" s="23">
        <f>A1188</f>
        <v>45536</v>
      </c>
      <c r="B1194" s="24" t="s">
        <v>66</v>
      </c>
      <c r="C1194" s="49">
        <f t="shared" si="2344"/>
        <v>1756</v>
      </c>
      <c r="D1194" s="25">
        <v>0</v>
      </c>
      <c r="E1194" s="25">
        <v>0</v>
      </c>
      <c r="F1194" s="25">
        <v>0</v>
      </c>
      <c r="G1194" s="25">
        <v>0</v>
      </c>
      <c r="H1194" s="25">
        <v>0</v>
      </c>
      <c r="I1194" s="25">
        <v>0</v>
      </c>
      <c r="J1194" s="25">
        <v>0</v>
      </c>
      <c r="K1194" s="25">
        <v>0</v>
      </c>
      <c r="L1194" s="46">
        <v>0</v>
      </c>
      <c r="M1194" s="35"/>
      <c r="N1194" s="25">
        <v>0</v>
      </c>
      <c r="O1194" s="25">
        <v>0</v>
      </c>
      <c r="P1194" s="25">
        <v>0</v>
      </c>
      <c r="Q1194" s="25">
        <v>0</v>
      </c>
      <c r="R1194" s="35"/>
      <c r="S1194" s="25">
        <f t="shared" ref="S1194" si="2350">SUM(D1194:G1194)</f>
        <v>0</v>
      </c>
      <c r="T1194" s="25">
        <f t="shared" ref="T1194" si="2351">SUM(N1194:Q1194)</f>
        <v>0</v>
      </c>
      <c r="U1194" s="25">
        <f t="shared" si="2343"/>
        <v>0</v>
      </c>
      <c r="V1194" s="35"/>
      <c r="W1194" s="46">
        <v>21.95</v>
      </c>
      <c r="X1194" s="26">
        <f t="shared" ref="X1194" si="2352">(W1194*1*D1194)+(W1194*1.5*E1194)+(W1194*2*F1194)+(W1194*1*G1194)</f>
        <v>0</v>
      </c>
      <c r="Y1194" s="26">
        <f t="shared" si="2337"/>
        <v>0</v>
      </c>
      <c r="Z1194" s="26">
        <f t="shared" si="2347"/>
        <v>0</v>
      </c>
      <c r="AA1194" s="27">
        <f t="shared" si="2339"/>
        <v>0</v>
      </c>
      <c r="AB1194" s="27">
        <f t="shared" si="2348"/>
        <v>0</v>
      </c>
      <c r="AC1194" s="65">
        <f>0-Y1194-AA1194</f>
        <v>0</v>
      </c>
      <c r="AD1194" s="210"/>
      <c r="AE1194" s="65">
        <f t="shared" ref="AE1194:AE1200" si="2353">AB1194-(X1194+Z1194)</f>
        <v>0</v>
      </c>
      <c r="AF1194" s="210"/>
      <c r="AG1194" s="8"/>
    </row>
    <row r="1195" spans="1:34" x14ac:dyDescent="0.45">
      <c r="A1195" s="16">
        <f>A1194+14</f>
        <v>45550</v>
      </c>
      <c r="B1195" s="17" t="s">
        <v>30</v>
      </c>
      <c r="C1195" s="47">
        <f>120*W1195</f>
        <v>4303.2</v>
      </c>
      <c r="D1195" s="18">
        <v>72</v>
      </c>
      <c r="E1195" s="18">
        <v>9.5</v>
      </c>
      <c r="F1195" s="18">
        <v>12</v>
      </c>
      <c r="G1195" s="18">
        <v>2</v>
      </c>
      <c r="H1195" s="18">
        <v>0</v>
      </c>
      <c r="I1195" s="18">
        <v>8</v>
      </c>
      <c r="J1195" s="18">
        <v>8</v>
      </c>
      <c r="K1195" s="18">
        <v>0</v>
      </c>
      <c r="L1195" s="44">
        <v>0</v>
      </c>
      <c r="M1195" s="33"/>
      <c r="N1195" s="18">
        <v>72</v>
      </c>
      <c r="O1195" s="18">
        <v>9.5</v>
      </c>
      <c r="P1195" s="18">
        <v>12</v>
      </c>
      <c r="Q1195" s="18">
        <v>2</v>
      </c>
      <c r="R1195" s="33"/>
      <c r="S1195" s="18">
        <f>SUM(D1195:G1195)</f>
        <v>95.5</v>
      </c>
      <c r="T1195" s="18">
        <f>SUM(N1195:Q1195)</f>
        <v>95.5</v>
      </c>
      <c r="U1195" s="18">
        <f>SUM(H1195:K1195)</f>
        <v>16</v>
      </c>
      <c r="V1195" s="33"/>
      <c r="W1195" s="44">
        <v>35.86</v>
      </c>
      <c r="X1195" s="19">
        <f>(W1195*1*D1195)+(W1195*1.5*E1195)+(W1195*2*F1195)+(W1195*1*G1195)</f>
        <v>4025.2849999999999</v>
      </c>
      <c r="Y1195" s="19">
        <f>(W1195*0*H1195)+(W1195*1*I1195)</f>
        <v>286.88</v>
      </c>
      <c r="Z1195" s="19">
        <f>(W1195*1*J1195)+L1195</f>
        <v>286.88</v>
      </c>
      <c r="AA1195" s="20">
        <f>(W1195*1*K1195)</f>
        <v>0</v>
      </c>
      <c r="AB1195" s="20">
        <f>(W1195*1*N1195)+(W1195*1.5*O1195)+(W1195*2*P1195)+(W1195*1*Q1195)</f>
        <v>4025.2849999999999</v>
      </c>
      <c r="AC1195" s="66">
        <f t="shared" ref="AC1195:AC1199" si="2354">0-Y1195-AA1195</f>
        <v>-286.88</v>
      </c>
      <c r="AD1195" s="208"/>
      <c r="AE1195" s="66">
        <f t="shared" si="2353"/>
        <v>-286.88000000000011</v>
      </c>
      <c r="AF1195" s="208">
        <f>SUM(AE1195:AE1201)</f>
        <v>-2127.2462500000001</v>
      </c>
      <c r="AG1195" s="8"/>
    </row>
    <row r="1196" spans="1:34" x14ac:dyDescent="0.45">
      <c r="A1196" s="22">
        <f>A1195</f>
        <v>45550</v>
      </c>
      <c r="B1196" s="15" t="s">
        <v>5</v>
      </c>
      <c r="C1196" s="48">
        <f>120*W1196</f>
        <v>3836.3999999999996</v>
      </c>
      <c r="D1196" s="13">
        <v>72</v>
      </c>
      <c r="E1196" s="13">
        <v>3</v>
      </c>
      <c r="F1196" s="13">
        <v>0</v>
      </c>
      <c r="G1196" s="13">
        <v>0</v>
      </c>
      <c r="H1196" s="13">
        <v>0</v>
      </c>
      <c r="I1196" s="13">
        <v>0</v>
      </c>
      <c r="J1196" s="13">
        <v>8</v>
      </c>
      <c r="K1196" s="13">
        <v>0</v>
      </c>
      <c r="L1196" s="45">
        <v>0</v>
      </c>
      <c r="M1196" s="34"/>
      <c r="N1196" s="13">
        <v>72</v>
      </c>
      <c r="O1196" s="13">
        <v>3</v>
      </c>
      <c r="P1196" s="13">
        <v>0</v>
      </c>
      <c r="Q1196" s="13">
        <v>0</v>
      </c>
      <c r="R1196" s="34"/>
      <c r="S1196" s="13">
        <f t="shared" ref="S1196:S1197" si="2355">SUM(D1196:G1196)</f>
        <v>75</v>
      </c>
      <c r="T1196" s="13">
        <f>SUM(N1196:Q1196)</f>
        <v>75</v>
      </c>
      <c r="U1196" s="13">
        <f t="shared" ref="U1196:U1197" si="2356">SUM(H1196:K1196)</f>
        <v>8</v>
      </c>
      <c r="V1196" s="34"/>
      <c r="W1196" s="45">
        <v>31.97</v>
      </c>
      <c r="X1196" s="45">
        <f t="shared" ref="X1196" si="2357">(W1196*1*D1196)+(W1196*1.5*E1196)+(W1196*2*F1196)+(W1196*1*G1196)</f>
        <v>2445.7049999999999</v>
      </c>
      <c r="Y1196" s="45">
        <f t="shared" ref="Y1196:Y1201" si="2358">(W1196*0*H1196)+(W1196*1*I1196)</f>
        <v>0</v>
      </c>
      <c r="Z1196" s="45">
        <f t="shared" ref="Z1196:Z1197" si="2359">(W1196*1*J1196)+L1196</f>
        <v>255.76</v>
      </c>
      <c r="AA1196" s="79">
        <f t="shared" ref="AA1196:AA1201" si="2360">(W1196*1*K1196)</f>
        <v>0</v>
      </c>
      <c r="AB1196" s="79">
        <f t="shared" ref="AB1196:AB1197" si="2361">(W1196*1*N1196)+(W1196*1.5*O1196)+(W1196*2*P1196)+(W1196*1*Q1196)</f>
        <v>2445.7049999999999</v>
      </c>
      <c r="AC1196" s="80">
        <f t="shared" si="2354"/>
        <v>0</v>
      </c>
      <c r="AD1196" s="209"/>
      <c r="AE1196" s="80">
        <f t="shared" si="2353"/>
        <v>-255.76000000000022</v>
      </c>
      <c r="AF1196" s="209"/>
      <c r="AG1196" s="8"/>
    </row>
    <row r="1197" spans="1:34" x14ac:dyDescent="0.45">
      <c r="A1197" s="22">
        <f>A1195</f>
        <v>45550</v>
      </c>
      <c r="B1197" s="15" t="s">
        <v>6</v>
      </c>
      <c r="C1197" s="48">
        <f>120*W1197</f>
        <v>3969.6</v>
      </c>
      <c r="D1197" s="13">
        <v>0</v>
      </c>
      <c r="E1197" s="13">
        <v>0</v>
      </c>
      <c r="F1197" s="13">
        <v>0</v>
      </c>
      <c r="G1197" s="13">
        <v>0</v>
      </c>
      <c r="H1197" s="13">
        <v>0</v>
      </c>
      <c r="I1197" s="13">
        <v>0</v>
      </c>
      <c r="J1197" s="13">
        <v>8</v>
      </c>
      <c r="K1197" s="13">
        <v>0</v>
      </c>
      <c r="L1197" s="45">
        <v>0</v>
      </c>
      <c r="M1197" s="34"/>
      <c r="N1197" s="13">
        <v>0</v>
      </c>
      <c r="O1197" s="13">
        <v>0</v>
      </c>
      <c r="P1197" s="13">
        <v>0</v>
      </c>
      <c r="Q1197" s="13">
        <v>0</v>
      </c>
      <c r="R1197" s="34"/>
      <c r="S1197" s="13">
        <f t="shared" si="2355"/>
        <v>0</v>
      </c>
      <c r="T1197" s="13">
        <f t="shared" ref="T1197" si="2362">SUM(N1197:Q1197)</f>
        <v>0</v>
      </c>
      <c r="U1197" s="13">
        <f t="shared" si="2356"/>
        <v>8</v>
      </c>
      <c r="V1197" s="34"/>
      <c r="W1197" s="45">
        <v>33.08</v>
      </c>
      <c r="X1197" s="45">
        <f>(W1197*1*D1197)+(W1197*1.5*E1197)+(W1197*2*F1197)+(W1197*1*G1197)</f>
        <v>0</v>
      </c>
      <c r="Y1197" s="45">
        <f t="shared" si="2358"/>
        <v>0</v>
      </c>
      <c r="Z1197" s="45">
        <f t="shared" si="2359"/>
        <v>264.64</v>
      </c>
      <c r="AA1197" s="79">
        <f t="shared" si="2360"/>
        <v>0</v>
      </c>
      <c r="AB1197" s="79">
        <f t="shared" si="2361"/>
        <v>0</v>
      </c>
      <c r="AC1197" s="80">
        <f t="shared" si="2354"/>
        <v>0</v>
      </c>
      <c r="AD1197" s="209"/>
      <c r="AE1197" s="80">
        <f t="shared" si="2353"/>
        <v>-264.64</v>
      </c>
      <c r="AF1197" s="209"/>
      <c r="AG1197" s="8"/>
    </row>
    <row r="1198" spans="1:34" x14ac:dyDescent="0.45">
      <c r="A1198" s="22">
        <f>A1195</f>
        <v>45550</v>
      </c>
      <c r="B1198" s="50" t="s">
        <v>31</v>
      </c>
      <c r="C1198" s="48">
        <f>120*W1198</f>
        <v>3969.6</v>
      </c>
      <c r="D1198" s="13">
        <v>72</v>
      </c>
      <c r="E1198" s="13">
        <v>1</v>
      </c>
      <c r="F1198" s="13">
        <v>0</v>
      </c>
      <c r="G1198" s="13">
        <v>0</v>
      </c>
      <c r="H1198" s="13">
        <v>0</v>
      </c>
      <c r="I1198" s="13">
        <v>0</v>
      </c>
      <c r="J1198" s="13">
        <v>8</v>
      </c>
      <c r="K1198" s="13">
        <v>0</v>
      </c>
      <c r="L1198" s="45">
        <v>0</v>
      </c>
      <c r="M1198" s="34"/>
      <c r="N1198" s="13">
        <v>72</v>
      </c>
      <c r="O1198" s="13">
        <v>1</v>
      </c>
      <c r="P1198" s="13">
        <v>0</v>
      </c>
      <c r="Q1198" s="13">
        <v>0</v>
      </c>
      <c r="R1198" s="34"/>
      <c r="S1198" s="13">
        <f t="shared" ref="S1198" si="2363">SUM(D1198:G1198)</f>
        <v>73</v>
      </c>
      <c r="T1198" s="13">
        <f>SUM(N1198:Q1198)</f>
        <v>73</v>
      </c>
      <c r="U1198" s="13">
        <f t="shared" ref="U1198:U1201" si="2364">SUM(H1198:K1198)</f>
        <v>8</v>
      </c>
      <c r="V1198" s="34"/>
      <c r="W1198" s="45">
        <v>33.08</v>
      </c>
      <c r="X1198" s="52">
        <f>(W1198*1*D1198)+(W1198*1.5*E1198)+(W1198*2*F1198)+(W1198*1*G1198)</f>
        <v>2431.3799999999997</v>
      </c>
      <c r="Y1198" s="52">
        <f t="shared" si="2358"/>
        <v>0</v>
      </c>
      <c r="Z1198" s="52">
        <f>(W1198*1*J1198)+L1198</f>
        <v>264.64</v>
      </c>
      <c r="AA1198" s="96">
        <f t="shared" si="2360"/>
        <v>0</v>
      </c>
      <c r="AB1198" s="96">
        <f>(W1198*1*N1198)+(W1198*1.5*O1198)+(W1198*2*P1198)+(W1198*1*Q1198)</f>
        <v>2431.3799999999997</v>
      </c>
      <c r="AC1198" s="97">
        <f t="shared" si="2354"/>
        <v>0</v>
      </c>
      <c r="AD1198" s="209"/>
      <c r="AE1198" s="97">
        <f t="shared" si="2353"/>
        <v>-264.63999999999987</v>
      </c>
      <c r="AF1198" s="209"/>
      <c r="AG1198" s="8"/>
      <c r="AH1198">
        <v>18681.259999999998</v>
      </c>
    </row>
    <row r="1199" spans="1:34" x14ac:dyDescent="0.45">
      <c r="A1199" s="22">
        <f>A1195</f>
        <v>45550</v>
      </c>
      <c r="B1199" s="50" t="s">
        <v>64</v>
      </c>
      <c r="C1199" s="48">
        <f t="shared" ref="C1199:C1201" si="2365">80*W1199</f>
        <v>2000</v>
      </c>
      <c r="D1199" s="13">
        <v>72</v>
      </c>
      <c r="E1199" s="13">
        <v>0</v>
      </c>
      <c r="F1199" s="13">
        <v>0</v>
      </c>
      <c r="G1199" s="13">
        <v>0</v>
      </c>
      <c r="H1199" s="13">
        <v>0</v>
      </c>
      <c r="I1199" s="13">
        <v>0</v>
      </c>
      <c r="J1199" s="13">
        <v>8</v>
      </c>
      <c r="K1199" s="13">
        <v>0</v>
      </c>
      <c r="L1199" s="45">
        <v>0</v>
      </c>
      <c r="M1199" s="34"/>
      <c r="N1199" s="13">
        <v>72</v>
      </c>
      <c r="O1199" s="13">
        <v>0</v>
      </c>
      <c r="P1199" s="13">
        <v>0</v>
      </c>
      <c r="Q1199" s="13">
        <v>0</v>
      </c>
      <c r="R1199" s="34"/>
      <c r="S1199" s="13">
        <f t="shared" ref="S1199:S1200" si="2366">SUM(D1199:G1199)</f>
        <v>72</v>
      </c>
      <c r="T1199" s="13">
        <f>SUM(N1199:Q1199)</f>
        <v>72</v>
      </c>
      <c r="U1199" s="13">
        <f t="shared" si="2364"/>
        <v>8</v>
      </c>
      <c r="V1199" s="34"/>
      <c r="W1199" s="52">
        <v>25</v>
      </c>
      <c r="X1199" s="52">
        <f t="shared" ref="X1199:X1200" si="2367">(W1199*1*D1199)+(W1199*1.5*E1199)+(W1199*2*F1199)+(W1199*1*G1199)</f>
        <v>1800</v>
      </c>
      <c r="Y1199" s="52">
        <f t="shared" si="2358"/>
        <v>0</v>
      </c>
      <c r="Z1199" s="52">
        <f t="shared" ref="Z1199:Z1201" si="2368">(W1199*1*J1199)+L1199</f>
        <v>200</v>
      </c>
      <c r="AA1199" s="96">
        <f t="shared" si="2360"/>
        <v>0</v>
      </c>
      <c r="AB1199" s="96">
        <f t="shared" ref="AB1199:AB1201" si="2369">(W1199*1*N1199)+(W1199*1.5*O1199)+(W1199*2*P1199)+(W1199*1*Q1199)</f>
        <v>1800</v>
      </c>
      <c r="AC1199" s="97">
        <f t="shared" si="2354"/>
        <v>0</v>
      </c>
      <c r="AD1199" s="209"/>
      <c r="AE1199" s="97">
        <f t="shared" si="2353"/>
        <v>-200</v>
      </c>
      <c r="AF1199" s="209"/>
      <c r="AG1199" s="8"/>
      <c r="AH1199">
        <v>-3250.5</v>
      </c>
    </row>
    <row r="1200" spans="1:34" x14ac:dyDescent="0.45">
      <c r="A1200" s="22">
        <f>A1195</f>
        <v>45550</v>
      </c>
      <c r="B1200" s="50" t="s">
        <v>54</v>
      </c>
      <c r="C1200" s="48">
        <f t="shared" si="2365"/>
        <v>2125.6</v>
      </c>
      <c r="D1200" s="13">
        <v>64.75</v>
      </c>
      <c r="E1200" s="13">
        <v>15.25</v>
      </c>
      <c r="F1200" s="13">
        <v>0</v>
      </c>
      <c r="G1200" s="13">
        <v>7</v>
      </c>
      <c r="H1200" s="13">
        <v>0</v>
      </c>
      <c r="I1200" s="13">
        <v>0</v>
      </c>
      <c r="J1200" s="13">
        <v>8</v>
      </c>
      <c r="K1200" s="13">
        <v>0</v>
      </c>
      <c r="L1200" s="45">
        <v>0</v>
      </c>
      <c r="M1200" s="34"/>
      <c r="N1200" s="13">
        <v>64.75</v>
      </c>
      <c r="O1200" s="13">
        <v>2.5</v>
      </c>
      <c r="P1200" s="13">
        <v>12.75</v>
      </c>
      <c r="Q1200" s="13">
        <v>7</v>
      </c>
      <c r="R1200" s="34"/>
      <c r="S1200" s="13">
        <f t="shared" si="2366"/>
        <v>87</v>
      </c>
      <c r="T1200" s="13">
        <f t="shared" ref="T1200" si="2370">SUM(N1200:Q1200)</f>
        <v>87</v>
      </c>
      <c r="U1200" s="13">
        <f t="shared" si="2364"/>
        <v>8</v>
      </c>
      <c r="V1200" s="34"/>
      <c r="W1200" s="52">
        <v>26.57</v>
      </c>
      <c r="X1200" s="52">
        <f t="shared" si="2367"/>
        <v>2514.1862499999997</v>
      </c>
      <c r="Y1200" s="52">
        <f t="shared" si="2358"/>
        <v>0</v>
      </c>
      <c r="Z1200" s="52">
        <f t="shared" si="2368"/>
        <v>212.56</v>
      </c>
      <c r="AA1200" s="96">
        <f t="shared" si="2360"/>
        <v>0</v>
      </c>
      <c r="AB1200" s="96">
        <f t="shared" si="2369"/>
        <v>2683.5699999999997</v>
      </c>
      <c r="AC1200" s="97">
        <f>0-Y1200-AA1200</f>
        <v>0</v>
      </c>
      <c r="AD1200" s="209"/>
      <c r="AE1200" s="97">
        <f t="shared" si="2353"/>
        <v>-43.176249999999982</v>
      </c>
      <c r="AF1200" s="209"/>
      <c r="AG1200" s="8"/>
      <c r="AH1200">
        <v>-1222.03</v>
      </c>
    </row>
    <row r="1201" spans="1:34" ht="14.65" thickBot="1" x14ac:dyDescent="0.5">
      <c r="A1201" s="23">
        <f>A1195</f>
        <v>45550</v>
      </c>
      <c r="B1201" s="24" t="s">
        <v>66</v>
      </c>
      <c r="C1201" s="49">
        <f t="shared" si="2365"/>
        <v>1756</v>
      </c>
      <c r="D1201" s="25">
        <v>16</v>
      </c>
      <c r="E1201" s="25">
        <v>0</v>
      </c>
      <c r="F1201" s="25">
        <v>0</v>
      </c>
      <c r="G1201" s="25">
        <v>13</v>
      </c>
      <c r="H1201" s="25">
        <v>0</v>
      </c>
      <c r="I1201" s="25">
        <v>0</v>
      </c>
      <c r="J1201" s="25">
        <v>8</v>
      </c>
      <c r="K1201" s="25">
        <v>32</v>
      </c>
      <c r="L1201" s="46">
        <v>0</v>
      </c>
      <c r="M1201" s="35"/>
      <c r="N1201" s="25">
        <v>0</v>
      </c>
      <c r="O1201" s="25">
        <v>0</v>
      </c>
      <c r="P1201" s="25">
        <v>0</v>
      </c>
      <c r="Q1201" s="25">
        <v>0</v>
      </c>
      <c r="R1201" s="35"/>
      <c r="S1201" s="25">
        <f t="shared" ref="S1201" si="2371">SUM(D1201:G1201)</f>
        <v>29</v>
      </c>
      <c r="T1201" s="25">
        <f t="shared" ref="T1201" si="2372">SUM(N1201:Q1201)</f>
        <v>0</v>
      </c>
      <c r="U1201" s="25">
        <f t="shared" si="2364"/>
        <v>40</v>
      </c>
      <c r="V1201" s="35"/>
      <c r="W1201" s="46">
        <v>21.95</v>
      </c>
      <c r="X1201" s="26">
        <f t="shared" ref="X1201" si="2373">(W1201*1*D1201)+(W1201*1.5*E1201)+(W1201*2*F1201)+(W1201*1*G1201)</f>
        <v>636.54999999999995</v>
      </c>
      <c r="Y1201" s="26">
        <f t="shared" si="2358"/>
        <v>0</v>
      </c>
      <c r="Z1201" s="26">
        <f t="shared" si="2368"/>
        <v>175.6</v>
      </c>
      <c r="AA1201" s="27">
        <f t="shared" si="2360"/>
        <v>702.4</v>
      </c>
      <c r="AB1201" s="27">
        <f t="shared" si="2369"/>
        <v>0</v>
      </c>
      <c r="AC1201" s="65">
        <f>0-Y1201-AA1201</f>
        <v>-702.4</v>
      </c>
      <c r="AD1201" s="210"/>
      <c r="AE1201" s="65">
        <f t="shared" ref="AE1201:AE1207" si="2374">AB1201-(X1201+Z1201)</f>
        <v>-812.15</v>
      </c>
      <c r="AF1201" s="210"/>
      <c r="AG1201" s="8"/>
      <c r="AH1201">
        <f>SUM(AH1198:AH1200)</f>
        <v>14208.729999999998</v>
      </c>
    </row>
    <row r="1202" spans="1:34" x14ac:dyDescent="0.45">
      <c r="A1202" s="16">
        <f>A1201+14</f>
        <v>45564</v>
      </c>
      <c r="B1202" s="17" t="s">
        <v>30</v>
      </c>
      <c r="C1202" s="47">
        <f>120*W1202</f>
        <v>4303.2</v>
      </c>
      <c r="D1202" s="18">
        <v>78</v>
      </c>
      <c r="E1202" s="18">
        <v>0</v>
      </c>
      <c r="F1202" s="18">
        <v>0</v>
      </c>
      <c r="G1202" s="18">
        <v>2</v>
      </c>
      <c r="H1202" s="18">
        <v>0</v>
      </c>
      <c r="I1202" s="18">
        <v>0</v>
      </c>
      <c r="J1202" s="18">
        <v>0</v>
      </c>
      <c r="K1202" s="18">
        <v>0</v>
      </c>
      <c r="L1202" s="44">
        <v>0</v>
      </c>
      <c r="M1202" s="33"/>
      <c r="N1202" s="18">
        <v>78</v>
      </c>
      <c r="O1202" s="18">
        <v>0</v>
      </c>
      <c r="P1202" s="18">
        <v>0</v>
      </c>
      <c r="Q1202" s="18">
        <v>2</v>
      </c>
      <c r="R1202" s="33"/>
      <c r="S1202" s="18">
        <f>SUM(D1202:G1202)</f>
        <v>80</v>
      </c>
      <c r="T1202" s="18">
        <f>SUM(N1202:Q1202)</f>
        <v>80</v>
      </c>
      <c r="U1202" s="18">
        <f>SUM(H1202:K1202)</f>
        <v>0</v>
      </c>
      <c r="V1202" s="33"/>
      <c r="W1202" s="44">
        <v>35.86</v>
      </c>
      <c r="X1202" s="19">
        <f>(W1202*1*D1202)+(W1202*1.5*E1202)+(W1202*2*F1202)+(W1202*1*G1202)</f>
        <v>2868.7999999999997</v>
      </c>
      <c r="Y1202" s="19">
        <f>(W1202*0*H1202)+(W1202*1*I1202)</f>
        <v>0</v>
      </c>
      <c r="Z1202" s="19">
        <f>(W1202*1*J1202)+L1202</f>
        <v>0</v>
      </c>
      <c r="AA1202" s="20">
        <f>(W1202*1*K1202)</f>
        <v>0</v>
      </c>
      <c r="AB1202" s="20">
        <f>(W1202*1*N1202)+(W1202*1.5*O1202)+(W1202*2*P1202)+(W1202*1*Q1202)</f>
        <v>2868.7999999999997</v>
      </c>
      <c r="AC1202" s="66">
        <f t="shared" ref="AC1202:AC1206" si="2375">0-Y1202-AA1202</f>
        <v>0</v>
      </c>
      <c r="AD1202" s="208"/>
      <c r="AE1202" s="66">
        <f t="shared" si="2374"/>
        <v>0</v>
      </c>
      <c r="AF1202" s="208">
        <f>SUM(AE1202:AE1208)</f>
        <v>87.799999999999955</v>
      </c>
      <c r="AG1202" s="8"/>
    </row>
    <row r="1203" spans="1:34" x14ac:dyDescent="0.45">
      <c r="A1203" s="22">
        <f>A1202</f>
        <v>45564</v>
      </c>
      <c r="B1203" s="15" t="s">
        <v>5</v>
      </c>
      <c r="C1203" s="48">
        <f>120*W1203</f>
        <v>3836.3999999999996</v>
      </c>
      <c r="D1203" s="13">
        <v>80</v>
      </c>
      <c r="E1203" s="13">
        <v>1.75</v>
      </c>
      <c r="F1203" s="13">
        <v>0</v>
      </c>
      <c r="G1203" s="13">
        <v>0</v>
      </c>
      <c r="H1203" s="13">
        <v>0</v>
      </c>
      <c r="I1203" s="13">
        <v>0</v>
      </c>
      <c r="J1203" s="13">
        <v>0</v>
      </c>
      <c r="K1203" s="13">
        <v>0</v>
      </c>
      <c r="L1203" s="45">
        <v>0</v>
      </c>
      <c r="M1203" s="34"/>
      <c r="N1203" s="13">
        <v>80</v>
      </c>
      <c r="O1203" s="13">
        <v>1.75</v>
      </c>
      <c r="P1203" s="13">
        <v>0</v>
      </c>
      <c r="Q1203" s="13">
        <v>0</v>
      </c>
      <c r="R1203" s="34"/>
      <c r="S1203" s="13">
        <f t="shared" ref="S1203:S1204" si="2376">SUM(D1203:G1203)</f>
        <v>81.75</v>
      </c>
      <c r="T1203" s="13">
        <f>SUM(N1203:Q1203)</f>
        <v>81.75</v>
      </c>
      <c r="U1203" s="13">
        <f t="shared" ref="U1203:U1204" si="2377">SUM(H1203:K1203)</f>
        <v>0</v>
      </c>
      <c r="V1203" s="34"/>
      <c r="W1203" s="45">
        <v>31.97</v>
      </c>
      <c r="X1203" s="45">
        <f t="shared" ref="X1203" si="2378">(W1203*1*D1203)+(W1203*1.5*E1203)+(W1203*2*F1203)+(W1203*1*G1203)</f>
        <v>2641.5212499999998</v>
      </c>
      <c r="Y1203" s="45">
        <f t="shared" ref="Y1203:Y1208" si="2379">(W1203*0*H1203)+(W1203*1*I1203)</f>
        <v>0</v>
      </c>
      <c r="Z1203" s="45">
        <f t="shared" ref="Z1203:Z1204" si="2380">(W1203*1*J1203)+L1203</f>
        <v>0</v>
      </c>
      <c r="AA1203" s="79">
        <f t="shared" ref="AA1203:AA1208" si="2381">(W1203*1*K1203)</f>
        <v>0</v>
      </c>
      <c r="AB1203" s="79">
        <f t="shared" ref="AB1203:AB1204" si="2382">(W1203*1*N1203)+(W1203*1.5*O1203)+(W1203*2*P1203)+(W1203*1*Q1203)</f>
        <v>2641.5212499999998</v>
      </c>
      <c r="AC1203" s="80">
        <f t="shared" si="2375"/>
        <v>0</v>
      </c>
      <c r="AD1203" s="209"/>
      <c r="AE1203" s="80">
        <f t="shared" si="2374"/>
        <v>0</v>
      </c>
      <c r="AF1203" s="209"/>
      <c r="AG1203" s="8"/>
    </row>
    <row r="1204" spans="1:34" x14ac:dyDescent="0.45">
      <c r="A1204" s="22">
        <f>A1202</f>
        <v>45564</v>
      </c>
      <c r="B1204" s="15" t="s">
        <v>6</v>
      </c>
      <c r="C1204" s="48">
        <f>120*W1204</f>
        <v>3969.6</v>
      </c>
      <c r="D1204" s="13">
        <v>80</v>
      </c>
      <c r="E1204" s="13">
        <v>24.5</v>
      </c>
      <c r="F1204" s="13">
        <v>12</v>
      </c>
      <c r="G1204" s="13">
        <v>17.5</v>
      </c>
      <c r="H1204" s="13">
        <v>0</v>
      </c>
      <c r="I1204" s="13">
        <v>0</v>
      </c>
      <c r="J1204" s="13">
        <v>0</v>
      </c>
      <c r="K1204" s="13">
        <v>0</v>
      </c>
      <c r="L1204" s="45">
        <v>0</v>
      </c>
      <c r="M1204" s="34"/>
      <c r="N1204" s="13">
        <v>80</v>
      </c>
      <c r="O1204" s="13">
        <v>24.5</v>
      </c>
      <c r="P1204" s="13">
        <v>12</v>
      </c>
      <c r="Q1204" s="13">
        <v>17.5</v>
      </c>
      <c r="R1204" s="34"/>
      <c r="S1204" s="13">
        <f t="shared" si="2376"/>
        <v>134</v>
      </c>
      <c r="T1204" s="13">
        <f t="shared" ref="T1204" si="2383">SUM(N1204:Q1204)</f>
        <v>134</v>
      </c>
      <c r="U1204" s="13">
        <f t="shared" si="2377"/>
        <v>0</v>
      </c>
      <c r="V1204" s="34"/>
      <c r="W1204" s="45">
        <v>33.08</v>
      </c>
      <c r="X1204" s="45">
        <f>(W1204*1*D1204)+(W1204*1.5*E1204)+(W1204*2*F1204)+(W1204*1*G1204)</f>
        <v>5234.9099999999989</v>
      </c>
      <c r="Y1204" s="45">
        <f t="shared" si="2379"/>
        <v>0</v>
      </c>
      <c r="Z1204" s="45">
        <f t="shared" si="2380"/>
        <v>0</v>
      </c>
      <c r="AA1204" s="79">
        <f t="shared" si="2381"/>
        <v>0</v>
      </c>
      <c r="AB1204" s="79">
        <f t="shared" si="2382"/>
        <v>5234.9099999999989</v>
      </c>
      <c r="AC1204" s="80">
        <f t="shared" si="2375"/>
        <v>0</v>
      </c>
      <c r="AD1204" s="209"/>
      <c r="AE1204" s="80">
        <f t="shared" si="2374"/>
        <v>0</v>
      </c>
      <c r="AF1204" s="209"/>
      <c r="AG1204" s="8"/>
    </row>
    <row r="1205" spans="1:34" x14ac:dyDescent="0.45">
      <c r="A1205" s="22">
        <f>A1202</f>
        <v>45564</v>
      </c>
      <c r="B1205" s="50" t="s">
        <v>31</v>
      </c>
      <c r="C1205" s="48">
        <f>120*W1205</f>
        <v>3969.6</v>
      </c>
      <c r="D1205" s="13">
        <v>63.75</v>
      </c>
      <c r="E1205" s="13">
        <v>0</v>
      </c>
      <c r="F1205" s="13">
        <v>12</v>
      </c>
      <c r="G1205" s="13">
        <v>12</v>
      </c>
      <c r="H1205" s="13">
        <v>0</v>
      </c>
      <c r="I1205" s="13">
        <v>0</v>
      </c>
      <c r="J1205" s="13">
        <v>0</v>
      </c>
      <c r="K1205" s="13">
        <v>0</v>
      </c>
      <c r="L1205" s="45">
        <v>0</v>
      </c>
      <c r="M1205" s="34"/>
      <c r="N1205" s="13">
        <v>60</v>
      </c>
      <c r="O1205" s="13">
        <v>0</v>
      </c>
      <c r="P1205" s="13">
        <v>12</v>
      </c>
      <c r="Q1205" s="13">
        <v>15.75</v>
      </c>
      <c r="R1205" s="34"/>
      <c r="S1205" s="13">
        <f t="shared" ref="S1205" si="2384">SUM(D1205:G1205)</f>
        <v>87.75</v>
      </c>
      <c r="T1205" s="13">
        <f>SUM(N1205:Q1205)</f>
        <v>87.75</v>
      </c>
      <c r="U1205" s="13">
        <f t="shared" ref="U1205:U1208" si="2385">SUM(H1205:K1205)</f>
        <v>0</v>
      </c>
      <c r="V1205" s="34"/>
      <c r="W1205" s="45">
        <v>33.08</v>
      </c>
      <c r="X1205" s="52">
        <f>(W1205*1*D1205)+(W1205*1.5*E1205)+(W1205*2*F1205)+(W1205*1*G1205)</f>
        <v>3299.73</v>
      </c>
      <c r="Y1205" s="52">
        <f t="shared" si="2379"/>
        <v>0</v>
      </c>
      <c r="Z1205" s="52">
        <f>(W1205*1*J1205)+L1205</f>
        <v>0</v>
      </c>
      <c r="AA1205" s="96">
        <f t="shared" si="2381"/>
        <v>0</v>
      </c>
      <c r="AB1205" s="96">
        <f>(W1205*1*N1205)+(W1205*1.5*O1205)+(W1205*2*P1205)+(W1205*1*Q1205)</f>
        <v>3299.7299999999996</v>
      </c>
      <c r="AC1205" s="97">
        <f t="shared" si="2375"/>
        <v>0</v>
      </c>
      <c r="AD1205" s="209"/>
      <c r="AE1205" s="97">
        <f t="shared" si="2374"/>
        <v>0</v>
      </c>
      <c r="AF1205" s="209"/>
      <c r="AG1205" s="8"/>
      <c r="AH1205">
        <v>23528.52</v>
      </c>
    </row>
    <row r="1206" spans="1:34" x14ac:dyDescent="0.45">
      <c r="A1206" s="22">
        <f>A1202</f>
        <v>45564</v>
      </c>
      <c r="B1206" s="50" t="s">
        <v>64</v>
      </c>
      <c r="C1206" s="48">
        <f t="shared" ref="C1206:C1208" si="2386">80*W1206</f>
        <v>2000</v>
      </c>
      <c r="D1206" s="13">
        <v>80</v>
      </c>
      <c r="E1206" s="13">
        <v>10.5</v>
      </c>
      <c r="F1206" s="13">
        <v>12</v>
      </c>
      <c r="G1206" s="13">
        <v>6</v>
      </c>
      <c r="H1206" s="13">
        <v>0</v>
      </c>
      <c r="I1206" s="13">
        <v>0</v>
      </c>
      <c r="J1206" s="13">
        <v>0</v>
      </c>
      <c r="K1206" s="13">
        <v>0</v>
      </c>
      <c r="L1206" s="45">
        <v>0</v>
      </c>
      <c r="M1206" s="34"/>
      <c r="N1206" s="13">
        <v>80</v>
      </c>
      <c r="O1206" s="13">
        <v>10.5</v>
      </c>
      <c r="P1206" s="13">
        <v>12</v>
      </c>
      <c r="Q1206" s="13">
        <v>6</v>
      </c>
      <c r="R1206" s="34"/>
      <c r="S1206" s="13">
        <f t="shared" ref="S1206:S1207" si="2387">SUM(D1206:G1206)</f>
        <v>108.5</v>
      </c>
      <c r="T1206" s="13">
        <f>SUM(N1206:Q1206)</f>
        <v>108.5</v>
      </c>
      <c r="U1206" s="13">
        <f t="shared" si="2385"/>
        <v>0</v>
      </c>
      <c r="V1206" s="34"/>
      <c r="W1206" s="52">
        <v>25</v>
      </c>
      <c r="X1206" s="52">
        <f t="shared" ref="X1206:X1208" si="2388">(W1206*1*D1206)+(W1206*1.5*E1206)+(W1206*2*F1206)+(W1206*1*G1206)</f>
        <v>3143.75</v>
      </c>
      <c r="Y1206" s="52">
        <f t="shared" si="2379"/>
        <v>0</v>
      </c>
      <c r="Z1206" s="52">
        <f t="shared" ref="Z1206:Z1208" si="2389">(W1206*1*J1206)+L1206</f>
        <v>0</v>
      </c>
      <c r="AA1206" s="96">
        <f t="shared" si="2381"/>
        <v>0</v>
      </c>
      <c r="AB1206" s="96">
        <f t="shared" ref="AB1206:AB1208" si="2390">(W1206*1*N1206)+(W1206*1.5*O1206)+(W1206*2*P1206)+(W1206*1*Q1206)</f>
        <v>3143.75</v>
      </c>
      <c r="AC1206" s="97">
        <f t="shared" si="2375"/>
        <v>0</v>
      </c>
      <c r="AD1206" s="209"/>
      <c r="AE1206" s="97">
        <f t="shared" si="2374"/>
        <v>0</v>
      </c>
      <c r="AF1206" s="209"/>
      <c r="AG1206" s="8"/>
      <c r="AH1206">
        <v>-3250.5</v>
      </c>
    </row>
    <row r="1207" spans="1:34" x14ac:dyDescent="0.45">
      <c r="A1207" s="22">
        <f>A1202</f>
        <v>45564</v>
      </c>
      <c r="B1207" s="50" t="s">
        <v>54</v>
      </c>
      <c r="C1207" s="48">
        <f t="shared" si="2386"/>
        <v>2125.6</v>
      </c>
      <c r="D1207" s="13">
        <v>80</v>
      </c>
      <c r="E1207" s="13">
        <v>27.5</v>
      </c>
      <c r="F1207" s="13">
        <v>12</v>
      </c>
      <c r="G1207" s="13">
        <v>6</v>
      </c>
      <c r="H1207" s="13">
        <v>0</v>
      </c>
      <c r="I1207" s="13">
        <v>0</v>
      </c>
      <c r="J1207" s="13">
        <v>0</v>
      </c>
      <c r="K1207" s="13">
        <v>0</v>
      </c>
      <c r="L1207" s="45">
        <v>0</v>
      </c>
      <c r="M1207" s="34"/>
      <c r="N1207" s="13">
        <v>80</v>
      </c>
      <c r="O1207" s="13">
        <v>27.5</v>
      </c>
      <c r="P1207" s="13">
        <v>12</v>
      </c>
      <c r="Q1207" s="13">
        <v>6</v>
      </c>
      <c r="R1207" s="34"/>
      <c r="S1207" s="13">
        <f t="shared" si="2387"/>
        <v>125.5</v>
      </c>
      <c r="T1207" s="13">
        <f t="shared" ref="T1207" si="2391">SUM(N1207:Q1207)</f>
        <v>125.5</v>
      </c>
      <c r="U1207" s="13">
        <f t="shared" si="2385"/>
        <v>0</v>
      </c>
      <c r="V1207" s="34"/>
      <c r="W1207" s="52">
        <v>26.57</v>
      </c>
      <c r="X1207" s="52">
        <f t="shared" si="2388"/>
        <v>4018.7125000000005</v>
      </c>
      <c r="Y1207" s="52">
        <f t="shared" si="2379"/>
        <v>0</v>
      </c>
      <c r="Z1207" s="52">
        <f t="shared" si="2389"/>
        <v>0</v>
      </c>
      <c r="AA1207" s="96">
        <f t="shared" si="2381"/>
        <v>0</v>
      </c>
      <c r="AB1207" s="96">
        <f t="shared" si="2390"/>
        <v>4018.7125000000005</v>
      </c>
      <c r="AC1207" s="97">
        <f>0-Y1207-AA1207</f>
        <v>0</v>
      </c>
      <c r="AD1207" s="209"/>
      <c r="AE1207" s="97">
        <f t="shared" si="2374"/>
        <v>0</v>
      </c>
      <c r="AF1207" s="209"/>
      <c r="AG1207" s="8"/>
      <c r="AH1207">
        <v>-1335.52</v>
      </c>
    </row>
    <row r="1208" spans="1:34" ht="14.65" thickBot="1" x14ac:dyDescent="0.5">
      <c r="A1208" s="23">
        <f>A1202</f>
        <v>45564</v>
      </c>
      <c r="B1208" s="24" t="s">
        <v>66</v>
      </c>
      <c r="C1208" s="49">
        <f t="shared" si="2386"/>
        <v>1756</v>
      </c>
      <c r="D1208" s="25">
        <v>76</v>
      </c>
      <c r="E1208" s="25">
        <v>0</v>
      </c>
      <c r="F1208" s="25">
        <v>0</v>
      </c>
      <c r="G1208" s="25">
        <v>0</v>
      </c>
      <c r="H1208" s="25">
        <v>0</v>
      </c>
      <c r="I1208" s="25">
        <v>0</v>
      </c>
      <c r="J1208" s="25">
        <v>0</v>
      </c>
      <c r="K1208" s="25">
        <v>0</v>
      </c>
      <c r="L1208" s="46">
        <v>0</v>
      </c>
      <c r="M1208" s="35"/>
      <c r="N1208" s="25">
        <v>80</v>
      </c>
      <c r="O1208" s="25">
        <v>0</v>
      </c>
      <c r="P1208" s="25">
        <v>0</v>
      </c>
      <c r="Q1208" s="25">
        <v>0</v>
      </c>
      <c r="R1208" s="35"/>
      <c r="S1208" s="25">
        <f t="shared" ref="S1208" si="2392">SUM(D1208:G1208)</f>
        <v>76</v>
      </c>
      <c r="T1208" s="25">
        <f t="shared" ref="T1208" si="2393">SUM(N1208:Q1208)</f>
        <v>80</v>
      </c>
      <c r="U1208" s="25">
        <f t="shared" si="2385"/>
        <v>0</v>
      </c>
      <c r="V1208" s="35"/>
      <c r="W1208" s="46">
        <v>21.95</v>
      </c>
      <c r="X1208" s="26">
        <f t="shared" si="2388"/>
        <v>1668.2</v>
      </c>
      <c r="Y1208" s="26">
        <f t="shared" si="2379"/>
        <v>0</v>
      </c>
      <c r="Z1208" s="26">
        <f t="shared" si="2389"/>
        <v>0</v>
      </c>
      <c r="AA1208" s="27">
        <f t="shared" si="2381"/>
        <v>0</v>
      </c>
      <c r="AB1208" s="27">
        <f t="shared" si="2390"/>
        <v>1756</v>
      </c>
      <c r="AC1208" s="65">
        <f>0-Y1208-AA1208</f>
        <v>0</v>
      </c>
      <c r="AD1208" s="210"/>
      <c r="AE1208" s="65">
        <f t="shared" ref="AE1208:AE1214" si="2394">AB1208-(X1208+Z1208)</f>
        <v>87.799999999999955</v>
      </c>
      <c r="AF1208" s="210"/>
      <c r="AG1208" s="8"/>
      <c r="AH1208">
        <f>SUM(AH1205:AH1207)</f>
        <v>18942.5</v>
      </c>
    </row>
    <row r="1209" spans="1:34" x14ac:dyDescent="0.45">
      <c r="A1209" s="16">
        <f>A1208+14</f>
        <v>45578</v>
      </c>
      <c r="B1209" s="17" t="s">
        <v>30</v>
      </c>
      <c r="C1209" s="47">
        <f>120*W1209</f>
        <v>4303.2</v>
      </c>
      <c r="D1209" s="18">
        <v>80</v>
      </c>
      <c r="E1209" s="18">
        <v>12</v>
      </c>
      <c r="F1209" s="18">
        <v>0</v>
      </c>
      <c r="G1209" s="18">
        <v>0</v>
      </c>
      <c r="H1209" s="18">
        <v>0</v>
      </c>
      <c r="I1209" s="18">
        <v>8</v>
      </c>
      <c r="J1209" s="18">
        <v>0</v>
      </c>
      <c r="K1209" s="18">
        <v>0</v>
      </c>
      <c r="L1209" s="44">
        <v>0</v>
      </c>
      <c r="M1209" s="33"/>
      <c r="N1209" s="18">
        <v>80</v>
      </c>
      <c r="O1209" s="18">
        <v>12</v>
      </c>
      <c r="P1209" s="18">
        <v>0</v>
      </c>
      <c r="Q1209" s="18">
        <v>0</v>
      </c>
      <c r="R1209" s="33"/>
      <c r="S1209" s="18">
        <f>SUM(D1209:G1209)</f>
        <v>92</v>
      </c>
      <c r="T1209" s="18">
        <f>SUM(N1209:Q1209)</f>
        <v>92</v>
      </c>
      <c r="U1209" s="18">
        <f>SUM(H1209:K1209)</f>
        <v>8</v>
      </c>
      <c r="V1209" s="33"/>
      <c r="W1209" s="44">
        <v>35.86</v>
      </c>
      <c r="X1209" s="19">
        <f>(W1209*1*D1209)+(W1209*1.5*E1209)+(W1209*2*F1209)+(W1209*1*G1209)</f>
        <v>3514.28</v>
      </c>
      <c r="Y1209" s="19">
        <f>(W1209*0*H1209)+(W1209*1*I1209)</f>
        <v>286.88</v>
      </c>
      <c r="Z1209" s="19">
        <f>(W1209*1*J1209)+L1209</f>
        <v>0</v>
      </c>
      <c r="AA1209" s="20">
        <f>(W1209*1*K1209)</f>
        <v>0</v>
      </c>
      <c r="AB1209" s="20">
        <f>(W1209*1*N1209)+(W1209*1.5*O1209)+(W1209*2*P1209)+(W1209*1*Q1209)</f>
        <v>3514.28</v>
      </c>
      <c r="AC1209" s="66">
        <f t="shared" ref="AC1209:AC1213" si="2395">0-Y1209-AA1209</f>
        <v>-286.88</v>
      </c>
      <c r="AD1209" s="208"/>
      <c r="AE1209" s="66">
        <f t="shared" si="2394"/>
        <v>0</v>
      </c>
      <c r="AF1209" s="208">
        <f>SUM(AE1209:AE1215)</f>
        <v>19.056250000000091</v>
      </c>
      <c r="AG1209" s="8"/>
    </row>
    <row r="1210" spans="1:34" x14ac:dyDescent="0.45">
      <c r="A1210" s="22">
        <f>A1209</f>
        <v>45578</v>
      </c>
      <c r="B1210" s="15" t="s">
        <v>5</v>
      </c>
      <c r="C1210" s="48">
        <f>120*W1210</f>
        <v>3836.3999999999996</v>
      </c>
      <c r="D1210" s="13">
        <v>80</v>
      </c>
      <c r="E1210" s="13">
        <v>27.25</v>
      </c>
      <c r="F1210" s="13">
        <v>0</v>
      </c>
      <c r="G1210" s="13">
        <v>0</v>
      </c>
      <c r="H1210" s="13">
        <v>0</v>
      </c>
      <c r="I1210" s="13">
        <v>0</v>
      </c>
      <c r="J1210" s="13">
        <v>0</v>
      </c>
      <c r="K1210" s="13">
        <v>0</v>
      </c>
      <c r="L1210" s="45">
        <v>0</v>
      </c>
      <c r="M1210" s="34"/>
      <c r="N1210" s="13">
        <v>80</v>
      </c>
      <c r="O1210" s="13">
        <v>27.25</v>
      </c>
      <c r="P1210" s="13">
        <v>0</v>
      </c>
      <c r="Q1210" s="13">
        <v>0</v>
      </c>
      <c r="R1210" s="34"/>
      <c r="S1210" s="13">
        <f t="shared" ref="S1210:S1211" si="2396">SUM(D1210:G1210)</f>
        <v>107.25</v>
      </c>
      <c r="T1210" s="13">
        <f>SUM(N1210:Q1210)</f>
        <v>107.25</v>
      </c>
      <c r="U1210" s="13">
        <f t="shared" ref="U1210:U1211" si="2397">SUM(H1210:K1210)</f>
        <v>0</v>
      </c>
      <c r="V1210" s="34"/>
      <c r="W1210" s="45">
        <v>31.97</v>
      </c>
      <c r="X1210" s="45">
        <f t="shared" ref="X1210" si="2398">(W1210*1*D1210)+(W1210*1.5*E1210)+(W1210*2*F1210)+(W1210*1*G1210)</f>
        <v>3864.3737499999997</v>
      </c>
      <c r="Y1210" s="45">
        <f t="shared" ref="Y1210:Y1215" si="2399">(W1210*0*H1210)+(W1210*1*I1210)</f>
        <v>0</v>
      </c>
      <c r="Z1210" s="45">
        <f t="shared" ref="Z1210:Z1211" si="2400">(W1210*1*J1210)+L1210</f>
        <v>0</v>
      </c>
      <c r="AA1210" s="79">
        <f t="shared" ref="AA1210:AA1215" si="2401">(W1210*1*K1210)</f>
        <v>0</v>
      </c>
      <c r="AB1210" s="79">
        <f t="shared" ref="AB1210:AB1211" si="2402">(W1210*1*N1210)+(W1210*1.5*O1210)+(W1210*2*P1210)+(W1210*1*Q1210)</f>
        <v>3864.3737499999997</v>
      </c>
      <c r="AC1210" s="80">
        <f t="shared" si="2395"/>
        <v>0</v>
      </c>
      <c r="AD1210" s="209"/>
      <c r="AE1210" s="80">
        <f t="shared" si="2394"/>
        <v>0</v>
      </c>
      <c r="AF1210" s="209"/>
      <c r="AG1210" s="8"/>
    </row>
    <row r="1211" spans="1:34" x14ac:dyDescent="0.45">
      <c r="A1211" s="22">
        <f>A1209</f>
        <v>45578</v>
      </c>
      <c r="B1211" s="15" t="s">
        <v>6</v>
      </c>
      <c r="C1211" s="48">
        <f>120*W1211</f>
        <v>3969.6</v>
      </c>
      <c r="D1211" s="13">
        <v>80</v>
      </c>
      <c r="E1211" s="13">
        <v>46.5</v>
      </c>
      <c r="F1211" s="13">
        <v>8</v>
      </c>
      <c r="G1211" s="13">
        <v>0</v>
      </c>
      <c r="H1211" s="13">
        <v>0</v>
      </c>
      <c r="I1211" s="13">
        <v>0</v>
      </c>
      <c r="J1211" s="13">
        <v>0</v>
      </c>
      <c r="K1211" s="13">
        <v>0</v>
      </c>
      <c r="L1211" s="45">
        <v>0</v>
      </c>
      <c r="M1211" s="34"/>
      <c r="N1211" s="13">
        <v>80</v>
      </c>
      <c r="O1211" s="13">
        <v>46.5</v>
      </c>
      <c r="P1211" s="13">
        <v>8</v>
      </c>
      <c r="Q1211" s="13">
        <v>0</v>
      </c>
      <c r="R1211" s="34"/>
      <c r="S1211" s="13">
        <f t="shared" si="2396"/>
        <v>134.5</v>
      </c>
      <c r="T1211" s="13">
        <f t="shared" ref="T1211" si="2403">SUM(N1211:Q1211)</f>
        <v>134.5</v>
      </c>
      <c r="U1211" s="13">
        <f t="shared" si="2397"/>
        <v>0</v>
      </c>
      <c r="V1211" s="34"/>
      <c r="W1211" s="45">
        <v>33.08</v>
      </c>
      <c r="X1211" s="45">
        <f>(W1211*1*D1211)+(W1211*1.5*E1211)+(W1211*2*F1211)+(W1211*1*G1211)</f>
        <v>5483.0099999999993</v>
      </c>
      <c r="Y1211" s="45">
        <f t="shared" si="2399"/>
        <v>0</v>
      </c>
      <c r="Z1211" s="45">
        <f t="shared" si="2400"/>
        <v>0</v>
      </c>
      <c r="AA1211" s="79">
        <f t="shared" si="2401"/>
        <v>0</v>
      </c>
      <c r="AB1211" s="79">
        <f t="shared" si="2402"/>
        <v>5483.0099999999993</v>
      </c>
      <c r="AC1211" s="80">
        <f t="shared" si="2395"/>
        <v>0</v>
      </c>
      <c r="AD1211" s="209"/>
      <c r="AE1211" s="80">
        <f t="shared" si="2394"/>
        <v>0</v>
      </c>
      <c r="AF1211" s="209"/>
      <c r="AG1211" s="8"/>
    </row>
    <row r="1212" spans="1:34" x14ac:dyDescent="0.45">
      <c r="A1212" s="22">
        <f>A1209</f>
        <v>45578</v>
      </c>
      <c r="B1212" s="50" t="s">
        <v>31</v>
      </c>
      <c r="C1212" s="48">
        <f>120*W1212</f>
        <v>3969.6</v>
      </c>
      <c r="D1212" s="13">
        <v>80</v>
      </c>
      <c r="E1212" s="13">
        <v>25</v>
      </c>
      <c r="F1212" s="13">
        <v>0</v>
      </c>
      <c r="G1212" s="13">
        <v>0</v>
      </c>
      <c r="H1212" s="13">
        <v>0</v>
      </c>
      <c r="I1212" s="13">
        <v>0</v>
      </c>
      <c r="J1212" s="13">
        <v>0</v>
      </c>
      <c r="K1212" s="13">
        <v>0</v>
      </c>
      <c r="L1212" s="45">
        <v>0</v>
      </c>
      <c r="M1212" s="34"/>
      <c r="N1212" s="13">
        <v>80</v>
      </c>
      <c r="O1212" s="13">
        <v>25</v>
      </c>
      <c r="P1212" s="13">
        <v>0</v>
      </c>
      <c r="Q1212" s="13">
        <v>0</v>
      </c>
      <c r="R1212" s="34"/>
      <c r="S1212" s="13">
        <f t="shared" ref="S1212" si="2404">SUM(D1212:G1212)</f>
        <v>105</v>
      </c>
      <c r="T1212" s="13">
        <f>SUM(N1212:Q1212)</f>
        <v>105</v>
      </c>
      <c r="U1212" s="13">
        <f t="shared" ref="U1212:U1215" si="2405">SUM(H1212:K1212)</f>
        <v>0</v>
      </c>
      <c r="V1212" s="34"/>
      <c r="W1212" s="45">
        <v>33.08</v>
      </c>
      <c r="X1212" s="52">
        <f>(W1212*1*D1212)+(W1212*1.5*E1212)+(W1212*2*F1212)+(W1212*1*G1212)</f>
        <v>3886.8999999999996</v>
      </c>
      <c r="Y1212" s="52">
        <f t="shared" si="2399"/>
        <v>0</v>
      </c>
      <c r="Z1212" s="52">
        <f>(W1212*1*J1212)+L1212</f>
        <v>0</v>
      </c>
      <c r="AA1212" s="96">
        <f t="shared" si="2401"/>
        <v>0</v>
      </c>
      <c r="AB1212" s="96">
        <f>(W1212*1*N1212)+(W1212*1.5*O1212)+(W1212*2*P1212)+(W1212*1*Q1212)</f>
        <v>3886.8999999999996</v>
      </c>
      <c r="AC1212" s="97">
        <f t="shared" si="2395"/>
        <v>0</v>
      </c>
      <c r="AD1212" s="209"/>
      <c r="AE1212" s="97">
        <f t="shared" si="2394"/>
        <v>0</v>
      </c>
      <c r="AF1212" s="209"/>
      <c r="AG1212" s="8"/>
      <c r="AH1212">
        <v>24101.95</v>
      </c>
    </row>
    <row r="1213" spans="1:34" x14ac:dyDescent="0.45">
      <c r="A1213" s="22">
        <f>A1209</f>
        <v>45578</v>
      </c>
      <c r="B1213" s="50" t="s">
        <v>64</v>
      </c>
      <c r="C1213" s="48">
        <f t="shared" ref="C1213:C1215" si="2406">80*W1213</f>
        <v>2000</v>
      </c>
      <c r="D1213" s="13">
        <v>80</v>
      </c>
      <c r="E1213" s="13">
        <v>8</v>
      </c>
      <c r="F1213" s="13">
        <v>0</v>
      </c>
      <c r="G1213" s="13">
        <v>8</v>
      </c>
      <c r="H1213" s="13">
        <v>0</v>
      </c>
      <c r="I1213" s="13">
        <v>0</v>
      </c>
      <c r="J1213" s="13">
        <v>0</v>
      </c>
      <c r="K1213" s="13">
        <v>0</v>
      </c>
      <c r="L1213" s="45">
        <v>0</v>
      </c>
      <c r="M1213" s="34"/>
      <c r="N1213" s="13">
        <v>80</v>
      </c>
      <c r="O1213" s="13">
        <v>10.5</v>
      </c>
      <c r="P1213" s="13">
        <v>0</v>
      </c>
      <c r="Q1213" s="13">
        <v>6</v>
      </c>
      <c r="R1213" s="34"/>
      <c r="S1213" s="13">
        <f t="shared" ref="S1213:S1214" si="2407">SUM(D1213:G1213)</f>
        <v>96</v>
      </c>
      <c r="T1213" s="13">
        <f>SUM(N1213:Q1213)</f>
        <v>96.5</v>
      </c>
      <c r="U1213" s="13">
        <f t="shared" si="2405"/>
        <v>0</v>
      </c>
      <c r="V1213" s="34"/>
      <c r="W1213" s="52">
        <v>25</v>
      </c>
      <c r="X1213" s="52">
        <f t="shared" ref="X1213:X1215" si="2408">(W1213*1*D1213)+(W1213*1.5*E1213)+(W1213*2*F1213)+(W1213*1*G1213)</f>
        <v>2500</v>
      </c>
      <c r="Y1213" s="52">
        <f t="shared" si="2399"/>
        <v>0</v>
      </c>
      <c r="Z1213" s="52">
        <f t="shared" ref="Z1213:Z1215" si="2409">(W1213*1*J1213)+L1213</f>
        <v>0</v>
      </c>
      <c r="AA1213" s="96">
        <f t="shared" si="2401"/>
        <v>0</v>
      </c>
      <c r="AB1213" s="96">
        <f t="shared" ref="AB1213:AB1215" si="2410">(W1213*1*N1213)+(W1213*1.5*O1213)+(W1213*2*P1213)+(W1213*1*Q1213)</f>
        <v>2543.75</v>
      </c>
      <c r="AC1213" s="97">
        <f t="shared" si="2395"/>
        <v>0</v>
      </c>
      <c r="AD1213" s="209"/>
      <c r="AE1213" s="97">
        <f t="shared" si="2394"/>
        <v>43.75</v>
      </c>
      <c r="AF1213" s="209"/>
      <c r="AG1213" s="8"/>
      <c r="AH1213">
        <v>-3250.5</v>
      </c>
    </row>
    <row r="1214" spans="1:34" x14ac:dyDescent="0.45">
      <c r="A1214" s="22">
        <f>A1209</f>
        <v>45578</v>
      </c>
      <c r="B1214" s="50" t="s">
        <v>54</v>
      </c>
      <c r="C1214" s="48">
        <f t="shared" si="2406"/>
        <v>2125.6</v>
      </c>
      <c r="D1214" s="13">
        <v>0</v>
      </c>
      <c r="E1214" s="13">
        <v>0</v>
      </c>
      <c r="F1214" s="13">
        <v>0</v>
      </c>
      <c r="G1214" s="13">
        <v>7.5</v>
      </c>
      <c r="H1214" s="13">
        <v>0</v>
      </c>
      <c r="I1214" s="13">
        <v>72</v>
      </c>
      <c r="J1214" s="13">
        <v>0</v>
      </c>
      <c r="K1214" s="13">
        <v>0</v>
      </c>
      <c r="L1214" s="45">
        <v>0</v>
      </c>
      <c r="M1214" s="34"/>
      <c r="N1214" s="13">
        <v>1.5</v>
      </c>
      <c r="O1214" s="13">
        <v>0</v>
      </c>
      <c r="P1214" s="13">
        <v>0</v>
      </c>
      <c r="Q1214" s="13">
        <v>6</v>
      </c>
      <c r="R1214" s="34"/>
      <c r="S1214" s="13">
        <f t="shared" si="2407"/>
        <v>7.5</v>
      </c>
      <c r="T1214" s="13">
        <f t="shared" ref="T1214" si="2411">SUM(N1214:Q1214)</f>
        <v>7.5</v>
      </c>
      <c r="U1214" s="13">
        <f t="shared" si="2405"/>
        <v>72</v>
      </c>
      <c r="V1214" s="34"/>
      <c r="W1214" s="52">
        <v>26.57</v>
      </c>
      <c r="X1214" s="52">
        <f t="shared" si="2408"/>
        <v>199.27500000000001</v>
      </c>
      <c r="Y1214" s="52">
        <f t="shared" si="2399"/>
        <v>1913.04</v>
      </c>
      <c r="Z1214" s="52">
        <f t="shared" si="2409"/>
        <v>0</v>
      </c>
      <c r="AA1214" s="96">
        <f t="shared" si="2401"/>
        <v>0</v>
      </c>
      <c r="AB1214" s="96">
        <f t="shared" si="2410"/>
        <v>199.27500000000003</v>
      </c>
      <c r="AC1214" s="97">
        <f>0-Y1214-AA1214</f>
        <v>-1913.04</v>
      </c>
      <c r="AD1214" s="209"/>
      <c r="AE1214" s="97">
        <f t="shared" si="2394"/>
        <v>0</v>
      </c>
      <c r="AF1214" s="209"/>
      <c r="AG1214" s="8"/>
      <c r="AH1214">
        <v>-1418.61</v>
      </c>
    </row>
    <row r="1215" spans="1:34" ht="14.65" thickBot="1" x14ac:dyDescent="0.5">
      <c r="A1215" s="23">
        <f>A1209</f>
        <v>45578</v>
      </c>
      <c r="B1215" s="24" t="s">
        <v>66</v>
      </c>
      <c r="C1215" s="49">
        <f t="shared" si="2406"/>
        <v>1756</v>
      </c>
      <c r="D1215" s="25">
        <v>80</v>
      </c>
      <c r="E1215" s="25">
        <v>0.75</v>
      </c>
      <c r="F1215" s="25">
        <v>0</v>
      </c>
      <c r="G1215" s="25">
        <v>0</v>
      </c>
      <c r="H1215" s="25">
        <v>0</v>
      </c>
      <c r="I1215" s="25">
        <v>0</v>
      </c>
      <c r="J1215" s="25">
        <v>0</v>
      </c>
      <c r="K1215" s="25">
        <v>0</v>
      </c>
      <c r="L1215" s="46">
        <v>0</v>
      </c>
      <c r="M1215" s="35"/>
      <c r="N1215" s="25">
        <v>80</v>
      </c>
      <c r="O1215" s="25">
        <v>0</v>
      </c>
      <c r="P1215" s="25">
        <v>0</v>
      </c>
      <c r="Q1215" s="25">
        <v>0</v>
      </c>
      <c r="R1215" s="35"/>
      <c r="S1215" s="25">
        <f t="shared" ref="S1215" si="2412">SUM(D1215:G1215)</f>
        <v>80.75</v>
      </c>
      <c r="T1215" s="25">
        <f t="shared" ref="T1215" si="2413">SUM(N1215:Q1215)</f>
        <v>80</v>
      </c>
      <c r="U1215" s="25">
        <f t="shared" si="2405"/>
        <v>0</v>
      </c>
      <c r="V1215" s="35"/>
      <c r="W1215" s="46">
        <v>21.95</v>
      </c>
      <c r="X1215" s="26">
        <f t="shared" si="2408"/>
        <v>1780.6937499999999</v>
      </c>
      <c r="Y1215" s="26">
        <f t="shared" si="2399"/>
        <v>0</v>
      </c>
      <c r="Z1215" s="26">
        <f t="shared" si="2409"/>
        <v>0</v>
      </c>
      <c r="AA1215" s="27">
        <f t="shared" si="2401"/>
        <v>0</v>
      </c>
      <c r="AB1215" s="27">
        <f t="shared" si="2410"/>
        <v>1756</v>
      </c>
      <c r="AC1215" s="65">
        <f>0-Y1215-AA1215</f>
        <v>0</v>
      </c>
      <c r="AD1215" s="210"/>
      <c r="AE1215" s="65">
        <f t="shared" ref="AE1215:AE1221" si="2414">AB1215-(X1215+Z1215)</f>
        <v>-24.693749999999909</v>
      </c>
      <c r="AF1215" s="210"/>
      <c r="AG1215" s="8"/>
      <c r="AH1215">
        <f>SUM(AH1212:AH1214)</f>
        <v>19432.84</v>
      </c>
    </row>
    <row r="1216" spans="1:34" x14ac:dyDescent="0.45">
      <c r="A1216" s="16">
        <f>A1215+14</f>
        <v>45592</v>
      </c>
      <c r="B1216" s="17" t="s">
        <v>30</v>
      </c>
      <c r="C1216" s="47">
        <f>120*W1216</f>
        <v>4303.2</v>
      </c>
      <c r="D1216" s="18">
        <v>72</v>
      </c>
      <c r="E1216" s="18">
        <v>29</v>
      </c>
      <c r="F1216" s="18">
        <v>8</v>
      </c>
      <c r="G1216" s="18">
        <v>0</v>
      </c>
      <c r="H1216" s="18">
        <v>0</v>
      </c>
      <c r="I1216" s="18">
        <v>0</v>
      </c>
      <c r="J1216" s="18">
        <v>8</v>
      </c>
      <c r="K1216" s="18">
        <v>0</v>
      </c>
      <c r="L1216" s="44">
        <v>0</v>
      </c>
      <c r="M1216" s="33"/>
      <c r="N1216" s="18">
        <v>72</v>
      </c>
      <c r="O1216" s="18">
        <v>29</v>
      </c>
      <c r="P1216" s="18">
        <v>8</v>
      </c>
      <c r="Q1216" s="18">
        <v>0</v>
      </c>
      <c r="R1216" s="33"/>
      <c r="S1216" s="18">
        <f>SUM(D1216:G1216)</f>
        <v>109</v>
      </c>
      <c r="T1216" s="18">
        <f>SUM(N1216:Q1216)</f>
        <v>109</v>
      </c>
      <c r="U1216" s="18">
        <f>SUM(H1216:K1216)</f>
        <v>8</v>
      </c>
      <c r="V1216" s="33"/>
      <c r="W1216" s="44">
        <v>35.86</v>
      </c>
      <c r="X1216" s="19">
        <f>(W1216*1*D1216)+(W1216*1.5*E1216)+(W1216*2*F1216)+(W1216*1*G1216)</f>
        <v>4715.59</v>
      </c>
      <c r="Y1216" s="19">
        <f>(W1216*0*H1216)+(W1216*1*I1216)</f>
        <v>0</v>
      </c>
      <c r="Z1216" s="19">
        <f>(W1216*1*J1216)+L1216</f>
        <v>286.88</v>
      </c>
      <c r="AA1216" s="20">
        <f>(W1216*1*K1216)</f>
        <v>0</v>
      </c>
      <c r="AB1216" s="20">
        <f>(W1216*1*N1216)+(W1216*1.5*O1216)+(W1216*2*P1216)+(W1216*1*Q1216)</f>
        <v>4715.59</v>
      </c>
      <c r="AC1216" s="66">
        <f t="shared" ref="AC1216:AC1220" si="2415">0-Y1216-AA1216</f>
        <v>0</v>
      </c>
      <c r="AD1216" s="208"/>
      <c r="AE1216" s="66">
        <f t="shared" si="2414"/>
        <v>-286.88000000000011</v>
      </c>
      <c r="AF1216" s="208">
        <f>SUM(AE1216:AE1222)</f>
        <v>-1708.0250000000005</v>
      </c>
      <c r="AG1216" s="8"/>
    </row>
    <row r="1217" spans="1:34" x14ac:dyDescent="0.45">
      <c r="A1217" s="22">
        <f>A1216</f>
        <v>45592</v>
      </c>
      <c r="B1217" s="15" t="s">
        <v>5</v>
      </c>
      <c r="C1217" s="48">
        <f>120*W1217</f>
        <v>3836.3999999999996</v>
      </c>
      <c r="D1217" s="13">
        <v>72</v>
      </c>
      <c r="E1217" s="13">
        <v>17.25</v>
      </c>
      <c r="F1217" s="13">
        <v>0</v>
      </c>
      <c r="G1217" s="13">
        <v>0</v>
      </c>
      <c r="H1217" s="13">
        <v>0</v>
      </c>
      <c r="I1217" s="13">
        <v>0</v>
      </c>
      <c r="J1217" s="13">
        <v>8</v>
      </c>
      <c r="K1217" s="13">
        <v>0</v>
      </c>
      <c r="L1217" s="45">
        <v>0</v>
      </c>
      <c r="M1217" s="34"/>
      <c r="N1217" s="13">
        <v>72</v>
      </c>
      <c r="O1217" s="13">
        <v>17.25</v>
      </c>
      <c r="P1217" s="13">
        <v>0</v>
      </c>
      <c r="Q1217" s="13">
        <v>0</v>
      </c>
      <c r="R1217" s="34"/>
      <c r="S1217" s="13">
        <f t="shared" ref="S1217:S1218" si="2416">SUM(D1217:G1217)</f>
        <v>89.25</v>
      </c>
      <c r="T1217" s="13">
        <f>SUM(N1217:Q1217)</f>
        <v>89.25</v>
      </c>
      <c r="U1217" s="13">
        <f t="shared" ref="U1217:U1218" si="2417">SUM(H1217:K1217)</f>
        <v>8</v>
      </c>
      <c r="V1217" s="34"/>
      <c r="W1217" s="45">
        <v>31.97</v>
      </c>
      <c r="X1217" s="45">
        <f t="shared" ref="X1217" si="2418">(W1217*1*D1217)+(W1217*1.5*E1217)+(W1217*2*F1217)+(W1217*1*G1217)</f>
        <v>3129.0637500000003</v>
      </c>
      <c r="Y1217" s="45">
        <f t="shared" ref="Y1217:Y1222" si="2419">(W1217*0*H1217)+(W1217*1*I1217)</f>
        <v>0</v>
      </c>
      <c r="Z1217" s="45">
        <f t="shared" ref="Z1217:Z1218" si="2420">(W1217*1*J1217)+L1217</f>
        <v>255.76</v>
      </c>
      <c r="AA1217" s="79">
        <f t="shared" ref="AA1217:AA1222" si="2421">(W1217*1*K1217)</f>
        <v>0</v>
      </c>
      <c r="AB1217" s="79">
        <f t="shared" ref="AB1217:AB1218" si="2422">(W1217*1*N1217)+(W1217*1.5*O1217)+(W1217*2*P1217)+(W1217*1*Q1217)</f>
        <v>3129.0637500000003</v>
      </c>
      <c r="AC1217" s="80">
        <f t="shared" si="2415"/>
        <v>0</v>
      </c>
      <c r="AD1217" s="209"/>
      <c r="AE1217" s="80">
        <f t="shared" si="2414"/>
        <v>-255.76000000000022</v>
      </c>
      <c r="AF1217" s="209"/>
      <c r="AG1217" s="8"/>
    </row>
    <row r="1218" spans="1:34" x14ac:dyDescent="0.45">
      <c r="A1218" s="22">
        <f>A1216</f>
        <v>45592</v>
      </c>
      <c r="B1218" s="15" t="s">
        <v>6</v>
      </c>
      <c r="C1218" s="48">
        <f>120*W1218</f>
        <v>3969.6</v>
      </c>
      <c r="D1218" s="13">
        <v>72</v>
      </c>
      <c r="E1218" s="13">
        <v>38.75</v>
      </c>
      <c r="F1218" s="13">
        <v>12</v>
      </c>
      <c r="G1218" s="13">
        <v>3</v>
      </c>
      <c r="H1218" s="13">
        <v>0</v>
      </c>
      <c r="I1218" s="13">
        <v>0</v>
      </c>
      <c r="J1218" s="13">
        <v>8</v>
      </c>
      <c r="K1218" s="13">
        <v>0</v>
      </c>
      <c r="L1218" s="45">
        <v>0</v>
      </c>
      <c r="M1218" s="34"/>
      <c r="N1218" s="13">
        <v>72</v>
      </c>
      <c r="O1218" s="13">
        <v>38.75</v>
      </c>
      <c r="P1218" s="13">
        <v>12</v>
      </c>
      <c r="Q1218" s="13">
        <v>3</v>
      </c>
      <c r="R1218" s="34"/>
      <c r="S1218" s="13">
        <f t="shared" si="2416"/>
        <v>125.75</v>
      </c>
      <c r="T1218" s="13">
        <f t="shared" ref="T1218" si="2423">SUM(N1218:Q1218)</f>
        <v>125.75</v>
      </c>
      <c r="U1218" s="13">
        <f t="shared" si="2417"/>
        <v>8</v>
      </c>
      <c r="V1218" s="34"/>
      <c r="W1218" s="45">
        <v>33.08</v>
      </c>
      <c r="X1218" s="45">
        <f>(W1218*1*D1218)+(W1218*1.5*E1218)+(W1218*2*F1218)+(W1218*1*G1218)</f>
        <v>5197.6949999999997</v>
      </c>
      <c r="Y1218" s="45">
        <f t="shared" si="2419"/>
        <v>0</v>
      </c>
      <c r="Z1218" s="45">
        <f t="shared" si="2420"/>
        <v>264.64</v>
      </c>
      <c r="AA1218" s="79">
        <f t="shared" si="2421"/>
        <v>0</v>
      </c>
      <c r="AB1218" s="79">
        <f t="shared" si="2422"/>
        <v>5197.6949999999997</v>
      </c>
      <c r="AC1218" s="80">
        <f t="shared" si="2415"/>
        <v>0</v>
      </c>
      <c r="AD1218" s="209"/>
      <c r="AE1218" s="80">
        <f t="shared" si="2414"/>
        <v>-264.64000000000033</v>
      </c>
      <c r="AF1218" s="209"/>
      <c r="AG1218" s="8"/>
    </row>
    <row r="1219" spans="1:34" x14ac:dyDescent="0.45">
      <c r="A1219" s="22">
        <f>A1216</f>
        <v>45592</v>
      </c>
      <c r="B1219" s="50" t="s">
        <v>31</v>
      </c>
      <c r="C1219" s="48">
        <f>120*W1219</f>
        <v>3969.6</v>
      </c>
      <c r="D1219" s="13">
        <v>72</v>
      </c>
      <c r="E1219" s="13">
        <v>14.75</v>
      </c>
      <c r="F1219" s="13">
        <v>0</v>
      </c>
      <c r="G1219" s="13">
        <v>0</v>
      </c>
      <c r="H1219" s="13">
        <v>0</v>
      </c>
      <c r="I1219" s="13">
        <v>0</v>
      </c>
      <c r="J1219" s="13">
        <v>8</v>
      </c>
      <c r="K1219" s="13">
        <v>0</v>
      </c>
      <c r="L1219" s="45">
        <v>0</v>
      </c>
      <c r="M1219" s="34"/>
      <c r="N1219" s="13">
        <v>72</v>
      </c>
      <c r="O1219" s="13">
        <v>14.75</v>
      </c>
      <c r="P1219" s="13">
        <v>0</v>
      </c>
      <c r="Q1219" s="13">
        <v>0</v>
      </c>
      <c r="R1219" s="34"/>
      <c r="S1219" s="13">
        <f t="shared" ref="S1219" si="2424">SUM(D1219:G1219)</f>
        <v>86.75</v>
      </c>
      <c r="T1219" s="13">
        <f>SUM(N1219:Q1219)</f>
        <v>86.75</v>
      </c>
      <c r="U1219" s="13">
        <f t="shared" ref="U1219:U1222" si="2425">SUM(H1219:K1219)</f>
        <v>8</v>
      </c>
      <c r="V1219" s="34"/>
      <c r="W1219" s="45">
        <v>33.08</v>
      </c>
      <c r="X1219" s="52">
        <f>(W1219*1*D1219)+(W1219*1.5*E1219)+(W1219*2*F1219)+(W1219*1*G1219)</f>
        <v>3113.6549999999997</v>
      </c>
      <c r="Y1219" s="52">
        <f t="shared" si="2419"/>
        <v>0</v>
      </c>
      <c r="Z1219" s="52">
        <f>(W1219*1*J1219)+L1219</f>
        <v>264.64</v>
      </c>
      <c r="AA1219" s="96">
        <f t="shared" si="2421"/>
        <v>0</v>
      </c>
      <c r="AB1219" s="96">
        <f>(W1219*1*N1219)+(W1219*1.5*O1219)+(W1219*2*P1219)+(W1219*1*Q1219)</f>
        <v>3113.6549999999997</v>
      </c>
      <c r="AC1219" s="97">
        <f t="shared" si="2415"/>
        <v>0</v>
      </c>
      <c r="AD1219" s="209"/>
      <c r="AE1219" s="97">
        <f t="shared" si="2414"/>
        <v>-264.63999999999987</v>
      </c>
      <c r="AF1219" s="209"/>
      <c r="AG1219" s="8"/>
      <c r="AH1219">
        <v>26789.42</v>
      </c>
    </row>
    <row r="1220" spans="1:34" x14ac:dyDescent="0.45">
      <c r="A1220" s="22">
        <f>A1216</f>
        <v>45592</v>
      </c>
      <c r="B1220" s="50" t="s">
        <v>64</v>
      </c>
      <c r="C1220" s="48">
        <f t="shared" ref="C1220:C1222" si="2426">80*W1220</f>
        <v>2000</v>
      </c>
      <c r="D1220" s="13">
        <v>72</v>
      </c>
      <c r="E1220" s="13">
        <v>25.5</v>
      </c>
      <c r="F1220" s="13">
        <v>5.25</v>
      </c>
      <c r="G1220" s="13">
        <v>0</v>
      </c>
      <c r="H1220" s="13">
        <v>0</v>
      </c>
      <c r="I1220" s="13">
        <v>0</v>
      </c>
      <c r="J1220" s="13">
        <v>8</v>
      </c>
      <c r="K1220" s="13">
        <v>0</v>
      </c>
      <c r="L1220" s="45">
        <v>0</v>
      </c>
      <c r="M1220" s="34"/>
      <c r="N1220" s="13">
        <v>72</v>
      </c>
      <c r="O1220" s="13">
        <v>25.5</v>
      </c>
      <c r="P1220" s="13">
        <v>5.25</v>
      </c>
      <c r="Q1220" s="13">
        <v>0</v>
      </c>
      <c r="R1220" s="34"/>
      <c r="S1220" s="13">
        <f t="shared" ref="S1220:S1221" si="2427">SUM(D1220:G1220)</f>
        <v>102.75</v>
      </c>
      <c r="T1220" s="13">
        <f>SUM(N1220:Q1220)</f>
        <v>102.75</v>
      </c>
      <c r="U1220" s="13">
        <f t="shared" si="2425"/>
        <v>8</v>
      </c>
      <c r="V1220" s="34"/>
      <c r="W1220" s="52">
        <v>25</v>
      </c>
      <c r="X1220" s="52">
        <f t="shared" ref="X1220:X1222" si="2428">(W1220*1*D1220)+(W1220*1.5*E1220)+(W1220*2*F1220)+(W1220*1*G1220)</f>
        <v>3018.75</v>
      </c>
      <c r="Y1220" s="52">
        <f t="shared" si="2419"/>
        <v>0</v>
      </c>
      <c r="Z1220" s="52">
        <f t="shared" ref="Z1220:Z1222" si="2429">(W1220*1*J1220)+L1220</f>
        <v>200</v>
      </c>
      <c r="AA1220" s="96">
        <f t="shared" si="2421"/>
        <v>0</v>
      </c>
      <c r="AB1220" s="96">
        <f t="shared" ref="AB1220:AB1222" si="2430">(W1220*1*N1220)+(W1220*1.5*O1220)+(W1220*2*P1220)+(W1220*1*Q1220)</f>
        <v>3018.75</v>
      </c>
      <c r="AC1220" s="97">
        <f t="shared" si="2415"/>
        <v>0</v>
      </c>
      <c r="AD1220" s="209"/>
      <c r="AE1220" s="97">
        <f t="shared" si="2414"/>
        <v>-200</v>
      </c>
      <c r="AF1220" s="209"/>
      <c r="AG1220" s="8"/>
      <c r="AH1220">
        <v>-3250.5</v>
      </c>
    </row>
    <row r="1221" spans="1:34" x14ac:dyDescent="0.45">
      <c r="A1221" s="22">
        <f>A1216</f>
        <v>45592</v>
      </c>
      <c r="B1221" s="50" t="s">
        <v>54</v>
      </c>
      <c r="C1221" s="48">
        <f t="shared" si="2426"/>
        <v>2125.6</v>
      </c>
      <c r="D1221" s="13">
        <v>72</v>
      </c>
      <c r="E1221" s="13">
        <v>31.75</v>
      </c>
      <c r="F1221" s="13">
        <v>12</v>
      </c>
      <c r="G1221" s="13">
        <v>20</v>
      </c>
      <c r="H1221" s="13">
        <v>0</v>
      </c>
      <c r="I1221" s="13">
        <v>0</v>
      </c>
      <c r="J1221" s="13">
        <v>8</v>
      </c>
      <c r="K1221" s="13">
        <v>0</v>
      </c>
      <c r="L1221" s="45">
        <v>0</v>
      </c>
      <c r="M1221" s="34"/>
      <c r="N1221" s="13">
        <v>72</v>
      </c>
      <c r="O1221" s="13">
        <v>32.75</v>
      </c>
      <c r="P1221" s="13">
        <v>12</v>
      </c>
      <c r="Q1221" s="13">
        <v>20</v>
      </c>
      <c r="R1221" s="34"/>
      <c r="S1221" s="13">
        <f t="shared" si="2427"/>
        <v>135.75</v>
      </c>
      <c r="T1221" s="13">
        <f t="shared" ref="T1221" si="2431">SUM(N1221:Q1221)</f>
        <v>136.75</v>
      </c>
      <c r="U1221" s="13">
        <f t="shared" si="2425"/>
        <v>8</v>
      </c>
      <c r="V1221" s="34"/>
      <c r="W1221" s="52">
        <v>26.57</v>
      </c>
      <c r="X1221" s="52">
        <f t="shared" si="2428"/>
        <v>4347.5162499999997</v>
      </c>
      <c r="Y1221" s="52">
        <f t="shared" si="2419"/>
        <v>0</v>
      </c>
      <c r="Z1221" s="52">
        <f t="shared" si="2429"/>
        <v>212.56</v>
      </c>
      <c r="AA1221" s="96">
        <f t="shared" si="2421"/>
        <v>0</v>
      </c>
      <c r="AB1221" s="96">
        <f t="shared" si="2430"/>
        <v>4387.3712500000001</v>
      </c>
      <c r="AC1221" s="97">
        <f>0-Y1221-AA1221</f>
        <v>0</v>
      </c>
      <c r="AD1221" s="209"/>
      <c r="AE1221" s="97">
        <f t="shared" si="2414"/>
        <v>-172.70499999999993</v>
      </c>
      <c r="AF1221" s="209"/>
      <c r="AG1221" s="8"/>
      <c r="AH1221">
        <v>-2046.22</v>
      </c>
    </row>
    <row r="1222" spans="1:34" ht="14.65" thickBot="1" x14ac:dyDescent="0.5">
      <c r="A1222" s="23">
        <f>A1216</f>
        <v>45592</v>
      </c>
      <c r="B1222" s="24" t="s">
        <v>66</v>
      </c>
      <c r="C1222" s="49">
        <f t="shared" si="2426"/>
        <v>1756</v>
      </c>
      <c r="D1222" s="25">
        <v>72</v>
      </c>
      <c r="E1222" s="25">
        <v>29.5</v>
      </c>
      <c r="F1222" s="25">
        <v>0</v>
      </c>
      <c r="G1222" s="25">
        <v>0</v>
      </c>
      <c r="H1222" s="25">
        <v>0</v>
      </c>
      <c r="I1222" s="25">
        <v>0</v>
      </c>
      <c r="J1222" s="25">
        <v>8</v>
      </c>
      <c r="K1222" s="25">
        <v>0</v>
      </c>
      <c r="L1222" s="46">
        <v>0</v>
      </c>
      <c r="M1222" s="35"/>
      <c r="N1222" s="25">
        <v>80</v>
      </c>
      <c r="O1222" s="25">
        <v>21.5</v>
      </c>
      <c r="P1222" s="25">
        <v>0</v>
      </c>
      <c r="Q1222" s="25">
        <v>0</v>
      </c>
      <c r="R1222" s="35"/>
      <c r="S1222" s="25">
        <f t="shared" ref="S1222" si="2432">SUM(D1222:G1222)</f>
        <v>101.5</v>
      </c>
      <c r="T1222" s="25">
        <f t="shared" ref="T1222" si="2433">SUM(N1222:Q1222)</f>
        <v>101.5</v>
      </c>
      <c r="U1222" s="25">
        <f t="shared" si="2425"/>
        <v>8</v>
      </c>
      <c r="V1222" s="35"/>
      <c r="W1222" s="46">
        <v>21.95</v>
      </c>
      <c r="X1222" s="26">
        <f t="shared" si="2428"/>
        <v>2551.6875</v>
      </c>
      <c r="Y1222" s="26">
        <f t="shared" si="2419"/>
        <v>0</v>
      </c>
      <c r="Z1222" s="26">
        <f t="shared" si="2429"/>
        <v>175.6</v>
      </c>
      <c r="AA1222" s="27">
        <f t="shared" si="2421"/>
        <v>0</v>
      </c>
      <c r="AB1222" s="27">
        <f t="shared" si="2430"/>
        <v>2463.8874999999998</v>
      </c>
      <c r="AC1222" s="65">
        <f>0-Y1222-AA1222</f>
        <v>0</v>
      </c>
      <c r="AD1222" s="210"/>
      <c r="AE1222" s="65">
        <f t="shared" ref="AE1222:AE1228" si="2434">AB1222-(X1222+Z1222)</f>
        <v>-263.40000000000009</v>
      </c>
      <c r="AF1222" s="210"/>
      <c r="AG1222" s="8"/>
      <c r="AH1222">
        <f>SUM(AH1219:AH1221)</f>
        <v>21492.699999999997</v>
      </c>
    </row>
    <row r="1223" spans="1:34" x14ac:dyDescent="0.45">
      <c r="A1223" s="16">
        <f>A1222+14</f>
        <v>45606</v>
      </c>
      <c r="B1223" s="17" t="s">
        <v>30</v>
      </c>
      <c r="C1223" s="47">
        <f>120*W1223</f>
        <v>4303.2</v>
      </c>
      <c r="D1223" s="18">
        <v>80</v>
      </c>
      <c r="E1223" s="18">
        <v>6</v>
      </c>
      <c r="F1223" s="18">
        <v>0</v>
      </c>
      <c r="G1223" s="18">
        <v>0</v>
      </c>
      <c r="H1223" s="18">
        <v>0</v>
      </c>
      <c r="I1223" s="18">
        <v>0</v>
      </c>
      <c r="J1223" s="18">
        <v>0</v>
      </c>
      <c r="K1223" s="18">
        <v>0</v>
      </c>
      <c r="L1223" s="44">
        <v>0</v>
      </c>
      <c r="M1223" s="33"/>
      <c r="N1223" s="18">
        <v>80</v>
      </c>
      <c r="O1223" s="18">
        <v>6</v>
      </c>
      <c r="P1223" s="18">
        <v>0</v>
      </c>
      <c r="Q1223" s="18">
        <v>0</v>
      </c>
      <c r="R1223" s="33"/>
      <c r="S1223" s="18">
        <f>SUM(D1223:G1223)</f>
        <v>86</v>
      </c>
      <c r="T1223" s="18">
        <f>SUM(N1223:Q1223)</f>
        <v>86</v>
      </c>
      <c r="U1223" s="18">
        <f>SUM(H1223:K1223)</f>
        <v>0</v>
      </c>
      <c r="V1223" s="33"/>
      <c r="W1223" s="44">
        <v>35.86</v>
      </c>
      <c r="X1223" s="19">
        <f>(W1223*1*D1223)+(W1223*1.5*E1223)+(W1223*2*F1223)+(W1223*1*G1223)</f>
        <v>3191.54</v>
      </c>
      <c r="Y1223" s="19">
        <f>(W1223*0*H1223)+(W1223*1*I1223)</f>
        <v>0</v>
      </c>
      <c r="Z1223" s="19">
        <f>(W1223*1*J1223)+L1223</f>
        <v>0</v>
      </c>
      <c r="AA1223" s="20">
        <f>(W1223*1*K1223)</f>
        <v>0</v>
      </c>
      <c r="AB1223" s="20">
        <f>(W1223*1*N1223)+(W1223*1.5*O1223)+(W1223*2*P1223)+(W1223*1*Q1223)</f>
        <v>3191.54</v>
      </c>
      <c r="AC1223" s="66">
        <f t="shared" ref="AC1223:AC1227" si="2435">0-Y1223-AA1223</f>
        <v>0</v>
      </c>
      <c r="AD1223" s="208"/>
      <c r="AE1223" s="66">
        <f t="shared" si="2434"/>
        <v>0</v>
      </c>
      <c r="AF1223" s="208">
        <f>SUM(AE1223:AE1229)</f>
        <v>33.080000000000382</v>
      </c>
      <c r="AG1223" s="8"/>
    </row>
    <row r="1224" spans="1:34" x14ac:dyDescent="0.45">
      <c r="A1224" s="22">
        <f>A1223</f>
        <v>45606</v>
      </c>
      <c r="B1224" s="15" t="s">
        <v>5</v>
      </c>
      <c r="C1224" s="48">
        <f>120*W1224</f>
        <v>3836.3999999999996</v>
      </c>
      <c r="D1224" s="13">
        <v>73</v>
      </c>
      <c r="E1224" s="13">
        <v>4</v>
      </c>
      <c r="F1224" s="13">
        <v>0</v>
      </c>
      <c r="G1224" s="13">
        <v>0</v>
      </c>
      <c r="H1224" s="13">
        <v>0</v>
      </c>
      <c r="I1224" s="13">
        <v>8</v>
      </c>
      <c r="J1224" s="13">
        <v>0</v>
      </c>
      <c r="K1224" s="13">
        <v>0</v>
      </c>
      <c r="L1224" s="45">
        <v>0</v>
      </c>
      <c r="M1224" s="34"/>
      <c r="N1224" s="13">
        <v>73</v>
      </c>
      <c r="O1224" s="13">
        <v>4</v>
      </c>
      <c r="P1224" s="13">
        <v>0</v>
      </c>
      <c r="Q1224" s="13">
        <v>0</v>
      </c>
      <c r="R1224" s="34"/>
      <c r="S1224" s="13">
        <f t="shared" ref="S1224:S1225" si="2436">SUM(D1224:G1224)</f>
        <v>77</v>
      </c>
      <c r="T1224" s="13">
        <f>SUM(N1224:Q1224)</f>
        <v>77</v>
      </c>
      <c r="U1224" s="13">
        <f t="shared" ref="U1224:U1225" si="2437">SUM(H1224:K1224)</f>
        <v>8</v>
      </c>
      <c r="V1224" s="34"/>
      <c r="W1224" s="45">
        <v>31.97</v>
      </c>
      <c r="X1224" s="45">
        <f t="shared" ref="X1224" si="2438">(W1224*1*D1224)+(W1224*1.5*E1224)+(W1224*2*F1224)+(W1224*1*G1224)</f>
        <v>2525.63</v>
      </c>
      <c r="Y1224" s="45">
        <f t="shared" ref="Y1224:Y1229" si="2439">(W1224*0*H1224)+(W1224*1*I1224)</f>
        <v>255.76</v>
      </c>
      <c r="Z1224" s="45">
        <f t="shared" ref="Z1224:Z1225" si="2440">(W1224*1*J1224)+L1224</f>
        <v>0</v>
      </c>
      <c r="AA1224" s="79">
        <f t="shared" ref="AA1224:AA1229" si="2441">(W1224*1*K1224)</f>
        <v>0</v>
      </c>
      <c r="AB1224" s="79">
        <f t="shared" ref="AB1224:AB1225" si="2442">(W1224*1*N1224)+(W1224*1.5*O1224)+(W1224*2*P1224)+(W1224*1*Q1224)</f>
        <v>2525.63</v>
      </c>
      <c r="AC1224" s="80">
        <f t="shared" si="2435"/>
        <v>-255.76</v>
      </c>
      <c r="AD1224" s="209"/>
      <c r="AE1224" s="80">
        <f t="shared" si="2434"/>
        <v>0</v>
      </c>
      <c r="AF1224" s="209"/>
      <c r="AG1224" s="8"/>
    </row>
    <row r="1225" spans="1:34" x14ac:dyDescent="0.45">
      <c r="A1225" s="22">
        <f>A1223</f>
        <v>45606</v>
      </c>
      <c r="B1225" s="15" t="s">
        <v>6</v>
      </c>
      <c r="C1225" s="48">
        <f>120*W1225</f>
        <v>3969.6</v>
      </c>
      <c r="D1225" s="13">
        <v>77</v>
      </c>
      <c r="E1225" s="13">
        <v>18.5</v>
      </c>
      <c r="F1225" s="13">
        <v>0</v>
      </c>
      <c r="G1225" s="13">
        <v>3.5</v>
      </c>
      <c r="H1225" s="13">
        <v>0</v>
      </c>
      <c r="I1225" s="13">
        <v>0</v>
      </c>
      <c r="J1225" s="13">
        <v>0</v>
      </c>
      <c r="K1225" s="13">
        <v>0</v>
      </c>
      <c r="L1225" s="45">
        <v>0</v>
      </c>
      <c r="M1225" s="34"/>
      <c r="N1225" s="13">
        <v>77</v>
      </c>
      <c r="O1225" s="13">
        <v>16.5</v>
      </c>
      <c r="P1225" s="13">
        <v>2</v>
      </c>
      <c r="Q1225" s="13">
        <v>3.5</v>
      </c>
      <c r="R1225" s="34"/>
      <c r="S1225" s="13">
        <f t="shared" si="2436"/>
        <v>99</v>
      </c>
      <c r="T1225" s="13">
        <f t="shared" ref="T1225" si="2443">SUM(N1225:Q1225)</f>
        <v>99</v>
      </c>
      <c r="U1225" s="13">
        <f t="shared" si="2437"/>
        <v>0</v>
      </c>
      <c r="V1225" s="34"/>
      <c r="W1225" s="45">
        <v>33.08</v>
      </c>
      <c r="X1225" s="45">
        <f>(W1225*1*D1225)+(W1225*1.5*E1225)+(W1225*2*F1225)+(W1225*1*G1225)</f>
        <v>3580.91</v>
      </c>
      <c r="Y1225" s="45">
        <f t="shared" si="2439"/>
        <v>0</v>
      </c>
      <c r="Z1225" s="45">
        <f t="shared" si="2440"/>
        <v>0</v>
      </c>
      <c r="AA1225" s="79">
        <f t="shared" si="2441"/>
        <v>0</v>
      </c>
      <c r="AB1225" s="79">
        <f t="shared" si="2442"/>
        <v>3613.9900000000002</v>
      </c>
      <c r="AC1225" s="80">
        <f t="shared" si="2435"/>
        <v>0</v>
      </c>
      <c r="AD1225" s="209"/>
      <c r="AE1225" s="80">
        <f t="shared" si="2434"/>
        <v>33.080000000000382</v>
      </c>
      <c r="AF1225" s="209"/>
      <c r="AG1225" s="8"/>
    </row>
    <row r="1226" spans="1:34" x14ac:dyDescent="0.45">
      <c r="A1226" s="22">
        <f>A1223</f>
        <v>45606</v>
      </c>
      <c r="B1226" s="50" t="s">
        <v>31</v>
      </c>
      <c r="C1226" s="48">
        <f>120*W1226</f>
        <v>3969.6</v>
      </c>
      <c r="D1226" s="13">
        <v>80</v>
      </c>
      <c r="E1226" s="13">
        <v>7.5</v>
      </c>
      <c r="F1226" s="13">
        <v>0</v>
      </c>
      <c r="G1226" s="13">
        <v>0</v>
      </c>
      <c r="H1226" s="13">
        <v>0</v>
      </c>
      <c r="I1226" s="13">
        <v>0</v>
      </c>
      <c r="J1226" s="13">
        <v>0</v>
      </c>
      <c r="K1226" s="13">
        <v>0</v>
      </c>
      <c r="L1226" s="45">
        <v>0</v>
      </c>
      <c r="M1226" s="34"/>
      <c r="N1226" s="13">
        <v>80</v>
      </c>
      <c r="O1226" s="13">
        <v>7.5</v>
      </c>
      <c r="P1226" s="13">
        <v>0</v>
      </c>
      <c r="Q1226" s="13">
        <v>0</v>
      </c>
      <c r="R1226" s="34"/>
      <c r="S1226" s="13">
        <f t="shared" ref="S1226" si="2444">SUM(D1226:G1226)</f>
        <v>87.5</v>
      </c>
      <c r="T1226" s="13">
        <f>SUM(N1226:Q1226)</f>
        <v>87.5</v>
      </c>
      <c r="U1226" s="13">
        <f t="shared" ref="U1226:U1229" si="2445">SUM(H1226:K1226)</f>
        <v>0</v>
      </c>
      <c r="V1226" s="34"/>
      <c r="W1226" s="45">
        <v>33.08</v>
      </c>
      <c r="X1226" s="52">
        <f>(W1226*1*D1226)+(W1226*1.5*E1226)+(W1226*2*F1226)+(W1226*1*G1226)</f>
        <v>3018.5499999999997</v>
      </c>
      <c r="Y1226" s="52">
        <f t="shared" si="2439"/>
        <v>0</v>
      </c>
      <c r="Z1226" s="52">
        <f>(W1226*1*J1226)+L1226</f>
        <v>0</v>
      </c>
      <c r="AA1226" s="96">
        <f t="shared" si="2441"/>
        <v>0</v>
      </c>
      <c r="AB1226" s="96">
        <f>(W1226*1*N1226)+(W1226*1.5*O1226)+(W1226*2*P1226)+(W1226*1*Q1226)</f>
        <v>3018.5499999999997</v>
      </c>
      <c r="AC1226" s="97">
        <f t="shared" si="2435"/>
        <v>0</v>
      </c>
      <c r="AD1226" s="209"/>
      <c r="AE1226" s="97">
        <f t="shared" si="2434"/>
        <v>0</v>
      </c>
      <c r="AF1226" s="209"/>
      <c r="AG1226" s="8"/>
      <c r="AH1226">
        <v>23194.09</v>
      </c>
    </row>
    <row r="1227" spans="1:34" x14ac:dyDescent="0.45">
      <c r="A1227" s="22">
        <f>A1223</f>
        <v>45606</v>
      </c>
      <c r="B1227" s="50" t="s">
        <v>64</v>
      </c>
      <c r="C1227" s="48">
        <f t="shared" ref="C1227:C1229" si="2446">80*W1227</f>
        <v>2000</v>
      </c>
      <c r="D1227" s="13">
        <v>80</v>
      </c>
      <c r="E1227" s="13">
        <v>11</v>
      </c>
      <c r="F1227" s="13">
        <v>0</v>
      </c>
      <c r="G1227" s="13">
        <v>0</v>
      </c>
      <c r="H1227" s="13">
        <v>0</v>
      </c>
      <c r="I1227" s="13">
        <v>0</v>
      </c>
      <c r="J1227" s="13">
        <v>0</v>
      </c>
      <c r="K1227" s="13">
        <v>0</v>
      </c>
      <c r="L1227" s="45">
        <v>0</v>
      </c>
      <c r="M1227" s="34"/>
      <c r="N1227" s="13">
        <v>80</v>
      </c>
      <c r="O1227" s="13">
        <v>11</v>
      </c>
      <c r="P1227" s="13">
        <v>0</v>
      </c>
      <c r="Q1227" s="13">
        <v>0</v>
      </c>
      <c r="R1227" s="34"/>
      <c r="S1227" s="13">
        <f t="shared" ref="S1227:S1228" si="2447">SUM(D1227:G1227)</f>
        <v>91</v>
      </c>
      <c r="T1227" s="13">
        <f>SUM(N1227:Q1227)</f>
        <v>91</v>
      </c>
      <c r="U1227" s="13">
        <f t="shared" si="2445"/>
        <v>0</v>
      </c>
      <c r="V1227" s="34"/>
      <c r="W1227" s="52">
        <v>25</v>
      </c>
      <c r="X1227" s="52">
        <f t="shared" ref="X1227:X1229" si="2448">(W1227*1*D1227)+(W1227*1.5*E1227)+(W1227*2*F1227)+(W1227*1*G1227)</f>
        <v>2412.5</v>
      </c>
      <c r="Y1227" s="52">
        <f t="shared" si="2439"/>
        <v>0</v>
      </c>
      <c r="Z1227" s="52">
        <f t="shared" ref="Z1227:Z1229" si="2449">(W1227*1*J1227)+L1227</f>
        <v>0</v>
      </c>
      <c r="AA1227" s="96">
        <f t="shared" si="2441"/>
        <v>0</v>
      </c>
      <c r="AB1227" s="96">
        <f t="shared" ref="AB1227:AB1229" si="2450">(W1227*1*N1227)+(W1227*1.5*O1227)+(W1227*2*P1227)+(W1227*1*Q1227)</f>
        <v>2412.5</v>
      </c>
      <c r="AC1227" s="97">
        <f t="shared" si="2435"/>
        <v>0</v>
      </c>
      <c r="AD1227" s="209"/>
      <c r="AE1227" s="97">
        <f t="shared" si="2434"/>
        <v>0</v>
      </c>
      <c r="AF1227" s="209"/>
      <c r="AG1227" s="8"/>
      <c r="AH1227">
        <v>-3250.5</v>
      </c>
    </row>
    <row r="1228" spans="1:34" x14ac:dyDescent="0.45">
      <c r="A1228" s="22">
        <f>A1223</f>
        <v>45606</v>
      </c>
      <c r="B1228" s="50" t="s">
        <v>54</v>
      </c>
      <c r="C1228" s="48">
        <f t="shared" si="2446"/>
        <v>2125.6</v>
      </c>
      <c r="D1228" s="13">
        <v>80</v>
      </c>
      <c r="E1228" s="13">
        <v>39</v>
      </c>
      <c r="F1228" s="13">
        <v>12</v>
      </c>
      <c r="G1228" s="13">
        <v>13</v>
      </c>
      <c r="H1228" s="13">
        <v>0</v>
      </c>
      <c r="I1228" s="13">
        <v>0</v>
      </c>
      <c r="J1228" s="13">
        <v>0</v>
      </c>
      <c r="K1228" s="13">
        <v>0</v>
      </c>
      <c r="L1228" s="45">
        <v>0</v>
      </c>
      <c r="M1228" s="34"/>
      <c r="N1228" s="13">
        <v>80</v>
      </c>
      <c r="O1228" s="13">
        <v>39</v>
      </c>
      <c r="P1228" s="13">
        <v>12</v>
      </c>
      <c r="Q1228" s="13">
        <v>13</v>
      </c>
      <c r="R1228" s="34"/>
      <c r="S1228" s="13">
        <f t="shared" si="2447"/>
        <v>144</v>
      </c>
      <c r="T1228" s="13">
        <f t="shared" ref="T1228" si="2451">SUM(N1228:Q1228)</f>
        <v>144</v>
      </c>
      <c r="U1228" s="13">
        <f t="shared" si="2445"/>
        <v>0</v>
      </c>
      <c r="V1228" s="34"/>
      <c r="W1228" s="52">
        <v>26.57</v>
      </c>
      <c r="X1228" s="52">
        <f t="shared" si="2448"/>
        <v>4663.0349999999999</v>
      </c>
      <c r="Y1228" s="52">
        <f t="shared" si="2439"/>
        <v>0</v>
      </c>
      <c r="Z1228" s="52">
        <f t="shared" si="2449"/>
        <v>0</v>
      </c>
      <c r="AA1228" s="96">
        <f t="shared" si="2441"/>
        <v>0</v>
      </c>
      <c r="AB1228" s="96">
        <f t="shared" si="2450"/>
        <v>4663.0349999999999</v>
      </c>
      <c r="AC1228" s="97">
        <f>0-Y1228-AA1228</f>
        <v>0</v>
      </c>
      <c r="AD1228" s="209"/>
      <c r="AE1228" s="97">
        <f t="shared" si="2434"/>
        <v>0</v>
      </c>
      <c r="AF1228" s="209"/>
      <c r="AG1228" s="8"/>
      <c r="AH1228">
        <v>-1723.6</v>
      </c>
    </row>
    <row r="1229" spans="1:34" ht="14.65" thickBot="1" x14ac:dyDescent="0.5">
      <c r="A1229" s="23">
        <f>A1223</f>
        <v>45606</v>
      </c>
      <c r="B1229" s="24" t="s">
        <v>66</v>
      </c>
      <c r="C1229" s="49">
        <f t="shared" si="2446"/>
        <v>1756</v>
      </c>
      <c r="D1229" s="25">
        <v>73</v>
      </c>
      <c r="E1229" s="25">
        <v>15</v>
      </c>
      <c r="F1229" s="25">
        <v>0</v>
      </c>
      <c r="G1229" s="25">
        <v>0</v>
      </c>
      <c r="H1229" s="25">
        <v>0</v>
      </c>
      <c r="I1229" s="25">
        <v>0</v>
      </c>
      <c r="J1229" s="25">
        <v>0</v>
      </c>
      <c r="K1229" s="25">
        <v>5.75</v>
      </c>
      <c r="L1229" s="46">
        <v>0</v>
      </c>
      <c r="M1229" s="35"/>
      <c r="N1229" s="25">
        <v>73</v>
      </c>
      <c r="O1229" s="25">
        <v>15</v>
      </c>
      <c r="P1229" s="25">
        <v>0</v>
      </c>
      <c r="Q1229" s="25">
        <v>0</v>
      </c>
      <c r="R1229" s="35"/>
      <c r="S1229" s="25">
        <f t="shared" ref="S1229" si="2452">SUM(D1229:G1229)</f>
        <v>88</v>
      </c>
      <c r="T1229" s="25">
        <f t="shared" ref="T1229" si="2453">SUM(N1229:Q1229)</f>
        <v>88</v>
      </c>
      <c r="U1229" s="25">
        <f t="shared" si="2445"/>
        <v>5.75</v>
      </c>
      <c r="V1229" s="35"/>
      <c r="W1229" s="46">
        <v>21.95</v>
      </c>
      <c r="X1229" s="26">
        <f t="shared" si="2448"/>
        <v>2096.2249999999999</v>
      </c>
      <c r="Y1229" s="26">
        <f t="shared" si="2439"/>
        <v>0</v>
      </c>
      <c r="Z1229" s="26">
        <f t="shared" si="2449"/>
        <v>0</v>
      </c>
      <c r="AA1229" s="27">
        <f t="shared" si="2441"/>
        <v>126.21249999999999</v>
      </c>
      <c r="AB1229" s="27">
        <f t="shared" si="2450"/>
        <v>2096.2249999999999</v>
      </c>
      <c r="AC1229" s="65">
        <f>0-Y1229-AA1229</f>
        <v>-126.21249999999999</v>
      </c>
      <c r="AD1229" s="210"/>
      <c r="AE1229" s="65">
        <f t="shared" ref="AE1229:AE1235" si="2454">AB1229-(X1229+Z1229)</f>
        <v>0</v>
      </c>
      <c r="AF1229" s="210"/>
      <c r="AG1229" s="8"/>
      <c r="AH1229">
        <f>SUM(AH1226:AH1228)</f>
        <v>18219.990000000002</v>
      </c>
    </row>
    <row r="1230" spans="1:34" x14ac:dyDescent="0.45">
      <c r="A1230" s="16">
        <f>A1229+14</f>
        <v>45620</v>
      </c>
      <c r="B1230" s="17" t="s">
        <v>30</v>
      </c>
      <c r="C1230" s="47">
        <f>120*W1230</f>
        <v>4303.2</v>
      </c>
      <c r="D1230" s="18">
        <v>40</v>
      </c>
      <c r="E1230" s="18">
        <v>4.5</v>
      </c>
      <c r="F1230" s="18">
        <v>0</v>
      </c>
      <c r="G1230" s="18">
        <v>0</v>
      </c>
      <c r="H1230" s="18">
        <v>0</v>
      </c>
      <c r="I1230" s="18">
        <v>40</v>
      </c>
      <c r="J1230" s="18">
        <v>0</v>
      </c>
      <c r="K1230" s="18">
        <v>0</v>
      </c>
      <c r="L1230" s="44">
        <v>0</v>
      </c>
      <c r="M1230" s="33"/>
      <c r="N1230" s="18">
        <v>40</v>
      </c>
      <c r="O1230" s="18">
        <v>4.5</v>
      </c>
      <c r="P1230" s="18">
        <v>0</v>
      </c>
      <c r="Q1230" s="18">
        <v>0</v>
      </c>
      <c r="R1230" s="33"/>
      <c r="S1230" s="18">
        <f>SUM(D1230:G1230)</f>
        <v>44.5</v>
      </c>
      <c r="T1230" s="18">
        <f>SUM(N1230:Q1230)</f>
        <v>44.5</v>
      </c>
      <c r="U1230" s="18">
        <f>SUM(H1230:K1230)</f>
        <v>40</v>
      </c>
      <c r="V1230" s="33"/>
      <c r="W1230" s="44">
        <v>35.86</v>
      </c>
      <c r="X1230" s="19">
        <f>(W1230*1*D1230)+(W1230*1.5*E1230)+(W1230*2*F1230)+(W1230*1*G1230)</f>
        <v>1676.4550000000002</v>
      </c>
      <c r="Y1230" s="19">
        <f>(W1230*0*H1230)+(W1230*1*I1230)</f>
        <v>1434.4</v>
      </c>
      <c r="Z1230" s="19">
        <f>(W1230*1*J1230)+L1230</f>
        <v>0</v>
      </c>
      <c r="AA1230" s="20">
        <f>(W1230*1*K1230)</f>
        <v>0</v>
      </c>
      <c r="AB1230" s="20">
        <f>(W1230*1*N1230)+(W1230*1.5*O1230)+(W1230*2*P1230)+(W1230*1*Q1230)</f>
        <v>1676.4550000000002</v>
      </c>
      <c r="AC1230" s="66">
        <f t="shared" ref="AC1230:AC1234" si="2455">0-Y1230-AA1230</f>
        <v>-1434.4</v>
      </c>
      <c r="AD1230" s="208"/>
      <c r="AE1230" s="66">
        <f t="shared" si="2454"/>
        <v>0</v>
      </c>
      <c r="AF1230" s="208">
        <f>SUM(AE1230:AE1236)</f>
        <v>0</v>
      </c>
      <c r="AG1230" s="8"/>
    </row>
    <row r="1231" spans="1:34" x14ac:dyDescent="0.45">
      <c r="A1231" s="22">
        <f>A1230</f>
        <v>45620</v>
      </c>
      <c r="B1231" s="15" t="s">
        <v>5</v>
      </c>
      <c r="C1231" s="48">
        <f>120*W1231</f>
        <v>3836.3999999999996</v>
      </c>
      <c r="D1231" s="13">
        <v>80</v>
      </c>
      <c r="E1231" s="13">
        <v>6.5</v>
      </c>
      <c r="F1231" s="13">
        <v>0</v>
      </c>
      <c r="G1231" s="13">
        <v>0</v>
      </c>
      <c r="H1231" s="13">
        <v>0</v>
      </c>
      <c r="I1231" s="13">
        <v>0</v>
      </c>
      <c r="J1231" s="13">
        <v>0</v>
      </c>
      <c r="K1231" s="13">
        <v>0</v>
      </c>
      <c r="L1231" s="45">
        <v>0</v>
      </c>
      <c r="M1231" s="34"/>
      <c r="N1231" s="13">
        <v>80</v>
      </c>
      <c r="O1231" s="13">
        <v>6.5</v>
      </c>
      <c r="P1231" s="13">
        <v>0</v>
      </c>
      <c r="Q1231" s="13">
        <v>0</v>
      </c>
      <c r="R1231" s="34"/>
      <c r="S1231" s="13">
        <f t="shared" ref="S1231:S1232" si="2456">SUM(D1231:G1231)</f>
        <v>86.5</v>
      </c>
      <c r="T1231" s="13">
        <f>SUM(N1231:Q1231)</f>
        <v>86.5</v>
      </c>
      <c r="U1231" s="13">
        <f t="shared" ref="U1231:U1232" si="2457">SUM(H1231:K1231)</f>
        <v>0</v>
      </c>
      <c r="V1231" s="34"/>
      <c r="W1231" s="45">
        <v>31.97</v>
      </c>
      <c r="X1231" s="45">
        <f t="shared" ref="X1231" si="2458">(W1231*1*D1231)+(W1231*1.5*E1231)+(W1231*2*F1231)+(W1231*1*G1231)</f>
        <v>2869.3074999999999</v>
      </c>
      <c r="Y1231" s="45">
        <f t="shared" ref="Y1231:Y1236" si="2459">(W1231*0*H1231)+(W1231*1*I1231)</f>
        <v>0</v>
      </c>
      <c r="Z1231" s="45">
        <f t="shared" ref="Z1231:Z1232" si="2460">(W1231*1*J1231)+L1231</f>
        <v>0</v>
      </c>
      <c r="AA1231" s="79">
        <f t="shared" ref="AA1231:AA1236" si="2461">(W1231*1*K1231)</f>
        <v>0</v>
      </c>
      <c r="AB1231" s="79">
        <f t="shared" ref="AB1231:AB1232" si="2462">(W1231*1*N1231)+(W1231*1.5*O1231)+(W1231*2*P1231)+(W1231*1*Q1231)</f>
        <v>2869.3074999999999</v>
      </c>
      <c r="AC1231" s="80">
        <f t="shared" si="2455"/>
        <v>0</v>
      </c>
      <c r="AD1231" s="209"/>
      <c r="AE1231" s="80">
        <f t="shared" si="2454"/>
        <v>0</v>
      </c>
      <c r="AF1231" s="209"/>
      <c r="AG1231" s="8"/>
    </row>
    <row r="1232" spans="1:34" x14ac:dyDescent="0.45">
      <c r="A1232" s="22">
        <f>A1230</f>
        <v>45620</v>
      </c>
      <c r="B1232" s="15" t="s">
        <v>6</v>
      </c>
      <c r="C1232" s="48">
        <f>120*W1232</f>
        <v>3969.6</v>
      </c>
      <c r="D1232" s="13">
        <v>40</v>
      </c>
      <c r="E1232" s="13">
        <v>13.75</v>
      </c>
      <c r="F1232" s="13">
        <v>0</v>
      </c>
      <c r="G1232" s="13">
        <v>0</v>
      </c>
      <c r="H1232" s="13">
        <v>0</v>
      </c>
      <c r="I1232" s="13">
        <v>0</v>
      </c>
      <c r="J1232" s="13">
        <v>0</v>
      </c>
      <c r="K1232" s="13">
        <v>0</v>
      </c>
      <c r="L1232" s="45">
        <v>0</v>
      </c>
      <c r="M1232" s="34"/>
      <c r="N1232" s="13">
        <v>40</v>
      </c>
      <c r="O1232" s="13">
        <v>13.75</v>
      </c>
      <c r="P1232" s="13">
        <v>0</v>
      </c>
      <c r="Q1232" s="13">
        <v>0</v>
      </c>
      <c r="R1232" s="34"/>
      <c r="S1232" s="13">
        <f t="shared" si="2456"/>
        <v>53.75</v>
      </c>
      <c r="T1232" s="13">
        <f t="shared" ref="T1232" si="2463">SUM(N1232:Q1232)</f>
        <v>53.75</v>
      </c>
      <c r="U1232" s="13">
        <f t="shared" si="2457"/>
        <v>0</v>
      </c>
      <c r="V1232" s="34"/>
      <c r="W1232" s="45">
        <v>33.08</v>
      </c>
      <c r="X1232" s="45">
        <f>(W1232*1*D1232)+(W1232*1.5*E1232)+(W1232*2*F1232)+(W1232*1*G1232)</f>
        <v>2005.4749999999999</v>
      </c>
      <c r="Y1232" s="45">
        <f t="shared" si="2459"/>
        <v>0</v>
      </c>
      <c r="Z1232" s="45">
        <f t="shared" si="2460"/>
        <v>0</v>
      </c>
      <c r="AA1232" s="79">
        <f t="shared" si="2461"/>
        <v>0</v>
      </c>
      <c r="AB1232" s="79">
        <f t="shared" si="2462"/>
        <v>2005.4749999999999</v>
      </c>
      <c r="AC1232" s="80">
        <f t="shared" si="2455"/>
        <v>0</v>
      </c>
      <c r="AD1232" s="209"/>
      <c r="AE1232" s="80">
        <f t="shared" si="2454"/>
        <v>0</v>
      </c>
      <c r="AF1232" s="209"/>
      <c r="AG1232" s="8"/>
    </row>
    <row r="1233" spans="1:50" x14ac:dyDescent="0.45">
      <c r="A1233" s="22">
        <f>A1230</f>
        <v>45620</v>
      </c>
      <c r="B1233" s="50" t="s">
        <v>31</v>
      </c>
      <c r="C1233" s="48">
        <f>120*W1233</f>
        <v>3969.6</v>
      </c>
      <c r="D1233" s="13">
        <v>80</v>
      </c>
      <c r="E1233" s="13">
        <v>23.5</v>
      </c>
      <c r="F1233" s="13">
        <v>0</v>
      </c>
      <c r="G1233" s="13">
        <v>0</v>
      </c>
      <c r="H1233" s="13">
        <v>0</v>
      </c>
      <c r="I1233" s="13">
        <v>0</v>
      </c>
      <c r="J1233" s="13">
        <v>0</v>
      </c>
      <c r="K1233" s="13">
        <v>0</v>
      </c>
      <c r="L1233" s="45">
        <v>0</v>
      </c>
      <c r="M1233" s="34"/>
      <c r="N1233" s="13">
        <v>80</v>
      </c>
      <c r="O1233" s="13">
        <v>23.5</v>
      </c>
      <c r="P1233" s="13">
        <v>0</v>
      </c>
      <c r="Q1233" s="13">
        <v>0</v>
      </c>
      <c r="R1233" s="34"/>
      <c r="S1233" s="13">
        <f t="shared" ref="S1233" si="2464">SUM(D1233:G1233)</f>
        <v>103.5</v>
      </c>
      <c r="T1233" s="13">
        <f>SUM(N1233:Q1233)</f>
        <v>103.5</v>
      </c>
      <c r="U1233" s="13">
        <f t="shared" ref="U1233:U1236" si="2465">SUM(H1233:K1233)</f>
        <v>0</v>
      </c>
      <c r="V1233" s="34"/>
      <c r="W1233" s="45">
        <v>33.08</v>
      </c>
      <c r="X1233" s="52">
        <f>(W1233*1*D1233)+(W1233*1.5*E1233)+(W1233*2*F1233)+(W1233*1*G1233)</f>
        <v>3812.4699999999993</v>
      </c>
      <c r="Y1233" s="52">
        <f t="shared" si="2459"/>
        <v>0</v>
      </c>
      <c r="Z1233" s="52">
        <f>(W1233*1*J1233)+L1233</f>
        <v>0</v>
      </c>
      <c r="AA1233" s="96">
        <f t="shared" si="2461"/>
        <v>0</v>
      </c>
      <c r="AB1233" s="96">
        <f>(W1233*1*N1233)+(W1233*1.5*O1233)+(W1233*2*P1233)+(W1233*1*Q1233)</f>
        <v>3812.4699999999993</v>
      </c>
      <c r="AC1233" s="97">
        <f t="shared" si="2455"/>
        <v>0</v>
      </c>
      <c r="AD1233" s="209"/>
      <c r="AE1233" s="97">
        <f t="shared" si="2454"/>
        <v>0</v>
      </c>
      <c r="AF1233" s="209"/>
      <c r="AG1233" s="8"/>
      <c r="AH1233">
        <v>22888.52</v>
      </c>
    </row>
    <row r="1234" spans="1:50" x14ac:dyDescent="0.45">
      <c r="A1234" s="22">
        <f>A1230</f>
        <v>45620</v>
      </c>
      <c r="B1234" s="50" t="s">
        <v>64</v>
      </c>
      <c r="C1234" s="48">
        <f t="shared" ref="C1234:C1236" si="2466">80*W1234</f>
        <v>2000</v>
      </c>
      <c r="D1234" s="13">
        <v>80</v>
      </c>
      <c r="E1234" s="13">
        <v>28.25</v>
      </c>
      <c r="F1234" s="13">
        <v>12</v>
      </c>
      <c r="G1234" s="13">
        <v>2</v>
      </c>
      <c r="H1234" s="13">
        <v>0</v>
      </c>
      <c r="I1234" s="13">
        <v>0</v>
      </c>
      <c r="J1234" s="13">
        <v>0</v>
      </c>
      <c r="K1234" s="13">
        <v>0</v>
      </c>
      <c r="L1234" s="45">
        <v>0</v>
      </c>
      <c r="M1234" s="34"/>
      <c r="N1234" s="13">
        <v>80</v>
      </c>
      <c r="O1234" s="13">
        <v>28.25</v>
      </c>
      <c r="P1234" s="13">
        <v>12</v>
      </c>
      <c r="Q1234" s="13">
        <v>2</v>
      </c>
      <c r="R1234" s="34"/>
      <c r="S1234" s="13">
        <f t="shared" ref="S1234:S1235" si="2467">SUM(D1234:G1234)</f>
        <v>122.25</v>
      </c>
      <c r="T1234" s="13">
        <f>SUM(N1234:Q1234)</f>
        <v>122.25</v>
      </c>
      <c r="U1234" s="13">
        <f t="shared" si="2465"/>
        <v>0</v>
      </c>
      <c r="V1234" s="34"/>
      <c r="W1234" s="52">
        <v>25</v>
      </c>
      <c r="X1234" s="52">
        <f t="shared" ref="X1234:X1236" si="2468">(W1234*1*D1234)+(W1234*1.5*E1234)+(W1234*2*F1234)+(W1234*1*G1234)</f>
        <v>3709.375</v>
      </c>
      <c r="Y1234" s="52">
        <f t="shared" si="2459"/>
        <v>0</v>
      </c>
      <c r="Z1234" s="52">
        <f t="shared" ref="Z1234:Z1236" si="2469">(W1234*1*J1234)+L1234</f>
        <v>0</v>
      </c>
      <c r="AA1234" s="96">
        <f t="shared" si="2461"/>
        <v>0</v>
      </c>
      <c r="AB1234" s="96">
        <f t="shared" ref="AB1234:AB1236" si="2470">(W1234*1*N1234)+(W1234*1.5*O1234)+(W1234*2*P1234)+(W1234*1*Q1234)</f>
        <v>3709.375</v>
      </c>
      <c r="AC1234" s="97">
        <f t="shared" si="2455"/>
        <v>0</v>
      </c>
      <c r="AD1234" s="209"/>
      <c r="AE1234" s="97">
        <f t="shared" si="2454"/>
        <v>0</v>
      </c>
      <c r="AF1234" s="209"/>
      <c r="AG1234" s="8"/>
      <c r="AH1234">
        <v>-3250.5</v>
      </c>
    </row>
    <row r="1235" spans="1:50" x14ac:dyDescent="0.45">
      <c r="A1235" s="22">
        <f>A1230</f>
        <v>45620</v>
      </c>
      <c r="B1235" s="50" t="s">
        <v>54</v>
      </c>
      <c r="C1235" s="48">
        <f t="shared" si="2466"/>
        <v>2125.6</v>
      </c>
      <c r="D1235" s="13">
        <v>80</v>
      </c>
      <c r="E1235" s="13">
        <v>21.25</v>
      </c>
      <c r="F1235" s="13">
        <v>0</v>
      </c>
      <c r="G1235" s="13">
        <v>6.5</v>
      </c>
      <c r="H1235" s="13">
        <v>0</v>
      </c>
      <c r="I1235" s="13">
        <v>0</v>
      </c>
      <c r="J1235" s="13">
        <v>0</v>
      </c>
      <c r="K1235" s="13">
        <v>0</v>
      </c>
      <c r="L1235" s="45">
        <v>0</v>
      </c>
      <c r="M1235" s="34"/>
      <c r="N1235" s="13">
        <v>80</v>
      </c>
      <c r="O1235" s="13">
        <v>21.25</v>
      </c>
      <c r="P1235" s="13">
        <v>0</v>
      </c>
      <c r="Q1235" s="13">
        <v>6.5</v>
      </c>
      <c r="R1235" s="34"/>
      <c r="S1235" s="13">
        <f t="shared" si="2467"/>
        <v>107.75</v>
      </c>
      <c r="T1235" s="13">
        <f t="shared" ref="T1235" si="2471">SUM(N1235:Q1235)</f>
        <v>107.75</v>
      </c>
      <c r="U1235" s="13">
        <f t="shared" si="2465"/>
        <v>0</v>
      </c>
      <c r="V1235" s="34"/>
      <c r="W1235" s="52">
        <v>26.57</v>
      </c>
      <c r="X1235" s="52">
        <f t="shared" si="2468"/>
        <v>3145.2237500000001</v>
      </c>
      <c r="Y1235" s="52">
        <f t="shared" si="2459"/>
        <v>0</v>
      </c>
      <c r="Z1235" s="52">
        <f t="shared" si="2469"/>
        <v>0</v>
      </c>
      <c r="AA1235" s="96">
        <f t="shared" si="2461"/>
        <v>0</v>
      </c>
      <c r="AB1235" s="96">
        <f t="shared" si="2470"/>
        <v>3145.2237500000001</v>
      </c>
      <c r="AC1235" s="97">
        <f>0-Y1235-AA1235</f>
        <v>0</v>
      </c>
      <c r="AD1235" s="209"/>
      <c r="AE1235" s="97">
        <f t="shared" si="2454"/>
        <v>0</v>
      </c>
      <c r="AF1235" s="209"/>
      <c r="AG1235" s="8"/>
      <c r="AH1235">
        <v>-1905.22</v>
      </c>
    </row>
    <row r="1236" spans="1:50" ht="14.65" thickBot="1" x14ac:dyDescent="0.5">
      <c r="A1236" s="23">
        <f>A1230</f>
        <v>45620</v>
      </c>
      <c r="B1236" s="24" t="s">
        <v>66</v>
      </c>
      <c r="C1236" s="49">
        <f t="shared" si="2466"/>
        <v>1756</v>
      </c>
      <c r="D1236" s="25">
        <v>80</v>
      </c>
      <c r="E1236" s="25">
        <v>22.75</v>
      </c>
      <c r="F1236" s="25">
        <v>0</v>
      </c>
      <c r="G1236" s="25">
        <v>0</v>
      </c>
      <c r="H1236" s="25">
        <v>0</v>
      </c>
      <c r="I1236" s="25">
        <v>0</v>
      </c>
      <c r="J1236" s="25">
        <v>0</v>
      </c>
      <c r="K1236" s="25">
        <v>0</v>
      </c>
      <c r="L1236" s="46">
        <v>0</v>
      </c>
      <c r="M1236" s="35"/>
      <c r="N1236" s="25">
        <v>80</v>
      </c>
      <c r="O1236" s="25">
        <v>22.75</v>
      </c>
      <c r="P1236" s="25">
        <v>0</v>
      </c>
      <c r="Q1236" s="25">
        <v>0</v>
      </c>
      <c r="R1236" s="35"/>
      <c r="S1236" s="25">
        <f t="shared" ref="S1236" si="2472">SUM(D1236:G1236)</f>
        <v>102.75</v>
      </c>
      <c r="T1236" s="25">
        <f t="shared" ref="T1236" si="2473">SUM(N1236:Q1236)</f>
        <v>102.75</v>
      </c>
      <c r="U1236" s="25">
        <f t="shared" si="2465"/>
        <v>0</v>
      </c>
      <c r="V1236" s="35"/>
      <c r="W1236" s="46">
        <v>21.95</v>
      </c>
      <c r="X1236" s="26">
        <f t="shared" si="2468"/>
        <v>2505.0437499999998</v>
      </c>
      <c r="Y1236" s="26">
        <f t="shared" si="2459"/>
        <v>0</v>
      </c>
      <c r="Z1236" s="26">
        <f t="shared" si="2469"/>
        <v>0</v>
      </c>
      <c r="AA1236" s="27">
        <f t="shared" si="2461"/>
        <v>0</v>
      </c>
      <c r="AB1236" s="27">
        <f t="shared" si="2470"/>
        <v>2505.0437499999998</v>
      </c>
      <c r="AC1236" s="65">
        <f>0-Y1236-AA1236</f>
        <v>0</v>
      </c>
      <c r="AD1236" s="210"/>
      <c r="AE1236" s="65">
        <f t="shared" ref="AE1236:AE1242" si="2474">AB1236-(X1236+Z1236)</f>
        <v>0</v>
      </c>
      <c r="AF1236" s="210"/>
      <c r="AG1236" s="8"/>
      <c r="AH1236">
        <f>SUM(AH1233:AH1235)</f>
        <v>17732.8</v>
      </c>
    </row>
    <row r="1237" spans="1:50" x14ac:dyDescent="0.45">
      <c r="A1237" s="16">
        <f>A1236+14</f>
        <v>45634</v>
      </c>
      <c r="B1237" s="17" t="s">
        <v>30</v>
      </c>
      <c r="C1237" s="47">
        <f>120*W1237</f>
        <v>4303.2</v>
      </c>
      <c r="D1237" s="18">
        <v>80</v>
      </c>
      <c r="E1237" s="18">
        <v>30</v>
      </c>
      <c r="F1237" s="18">
        <v>10</v>
      </c>
      <c r="G1237" s="18">
        <v>6</v>
      </c>
      <c r="H1237" s="18">
        <v>0</v>
      </c>
      <c r="I1237" s="18">
        <v>0</v>
      </c>
      <c r="J1237" s="18">
        <v>0</v>
      </c>
      <c r="K1237" s="18">
        <v>0</v>
      </c>
      <c r="L1237" s="44">
        <v>0</v>
      </c>
      <c r="M1237" s="33"/>
      <c r="N1237" s="18">
        <v>80</v>
      </c>
      <c r="O1237" s="18">
        <v>29.5</v>
      </c>
      <c r="P1237" s="18">
        <v>10.5</v>
      </c>
      <c r="Q1237" s="18">
        <v>6</v>
      </c>
      <c r="R1237" s="33"/>
      <c r="S1237" s="18">
        <f>SUM(D1237:G1237)</f>
        <v>126</v>
      </c>
      <c r="T1237" s="18">
        <f>SUM(N1237:Q1237)</f>
        <v>126</v>
      </c>
      <c r="U1237" s="18">
        <f>SUM(H1237:K1237)</f>
        <v>0</v>
      </c>
      <c r="V1237" s="33"/>
      <c r="W1237" s="44">
        <v>35.86</v>
      </c>
      <c r="X1237" s="19">
        <f>(W1237*1*D1237)+(W1237*1.5*E1237)+(W1237*2*F1237)+(W1237*1*G1237)</f>
        <v>5414.86</v>
      </c>
      <c r="Y1237" s="19">
        <f>(W1237*0*H1237)+(W1237*1*I1237)</f>
        <v>0</v>
      </c>
      <c r="Z1237" s="19">
        <f>(W1237*1*J1237)+L1237</f>
        <v>0</v>
      </c>
      <c r="AA1237" s="20">
        <f>(W1237*1*K1237)</f>
        <v>0</v>
      </c>
      <c r="AB1237" s="20">
        <f>(W1237*1*N1237)+(W1237*1.5*O1237)+(W1237*2*P1237)+(W1237*1*Q1237)</f>
        <v>5423.8250000000007</v>
      </c>
      <c r="AC1237" s="66">
        <f t="shared" ref="AC1237:AC1241" si="2475">0-Y1237-AA1237</f>
        <v>0</v>
      </c>
      <c r="AD1237" s="208"/>
      <c r="AE1237" s="66">
        <f t="shared" si="2474"/>
        <v>8.965000000001055</v>
      </c>
      <c r="AF1237" s="208">
        <f>SUM(AE1237:AE1243)</f>
        <v>160.33999999999924</v>
      </c>
      <c r="AG1237" s="8"/>
    </row>
    <row r="1238" spans="1:50" x14ac:dyDescent="0.45">
      <c r="A1238" s="22">
        <f>A1237</f>
        <v>45634</v>
      </c>
      <c r="B1238" s="15" t="s">
        <v>5</v>
      </c>
      <c r="C1238" s="48">
        <f>120*W1238</f>
        <v>3836.3999999999996</v>
      </c>
      <c r="D1238" s="13">
        <v>76.25</v>
      </c>
      <c r="E1238" s="13">
        <v>22.25</v>
      </c>
      <c r="F1238" s="13">
        <v>15.5</v>
      </c>
      <c r="G1238" s="13">
        <v>12</v>
      </c>
      <c r="H1238" s="13">
        <v>0</v>
      </c>
      <c r="I1238" s="13">
        <v>0</v>
      </c>
      <c r="J1238" s="13">
        <v>0</v>
      </c>
      <c r="K1238" s="13">
        <v>0</v>
      </c>
      <c r="L1238" s="45">
        <v>0</v>
      </c>
      <c r="M1238" s="34"/>
      <c r="N1238" s="13">
        <v>76.75</v>
      </c>
      <c r="O1238" s="13">
        <v>20.75</v>
      </c>
      <c r="P1238" s="13">
        <v>17.5</v>
      </c>
      <c r="Q1238" s="13">
        <v>11.5</v>
      </c>
      <c r="R1238" s="34"/>
      <c r="S1238" s="13">
        <f t="shared" ref="S1238:S1239" si="2476">SUM(D1238:G1238)</f>
        <v>126</v>
      </c>
      <c r="T1238" s="13">
        <f>SUM(N1238:Q1238)</f>
        <v>126.5</v>
      </c>
      <c r="U1238" s="13">
        <f t="shared" ref="U1238:U1239" si="2477">SUM(H1238:K1238)</f>
        <v>0</v>
      </c>
      <c r="V1238" s="34"/>
      <c r="W1238" s="45">
        <v>31.97</v>
      </c>
      <c r="X1238" s="45">
        <f t="shared" ref="X1238" si="2478">(W1238*1*D1238)+(W1238*1.5*E1238)+(W1238*2*F1238)+(W1238*1*G1238)</f>
        <v>4879.4212500000003</v>
      </c>
      <c r="Y1238" s="45">
        <f t="shared" ref="Y1238:Y1243" si="2479">(W1238*0*H1238)+(W1238*1*I1238)</f>
        <v>0</v>
      </c>
      <c r="Z1238" s="45">
        <f t="shared" ref="Z1238:Z1239" si="2480">(W1238*1*J1238)+L1238</f>
        <v>0</v>
      </c>
      <c r="AA1238" s="79">
        <f t="shared" ref="AA1238:AA1243" si="2481">(W1238*1*K1238)</f>
        <v>0</v>
      </c>
      <c r="AB1238" s="79">
        <f t="shared" ref="AB1238:AB1239" si="2482">(W1238*1*N1238)+(W1238*1.5*O1238)+(W1238*2*P1238)+(W1238*1*Q1238)</f>
        <v>4935.3687499999996</v>
      </c>
      <c r="AC1238" s="80">
        <f t="shared" si="2475"/>
        <v>0</v>
      </c>
      <c r="AD1238" s="209"/>
      <c r="AE1238" s="80">
        <f t="shared" si="2474"/>
        <v>55.947499999999309</v>
      </c>
      <c r="AF1238" s="209"/>
      <c r="AG1238" s="8"/>
    </row>
    <row r="1239" spans="1:50" x14ac:dyDescent="0.45">
      <c r="A1239" s="22">
        <f>A1237</f>
        <v>45634</v>
      </c>
      <c r="B1239" s="15" t="s">
        <v>6</v>
      </c>
      <c r="C1239" s="48">
        <f>120*W1239</f>
        <v>3969.6</v>
      </c>
      <c r="D1239" s="13">
        <v>80</v>
      </c>
      <c r="E1239" s="13">
        <v>33.25</v>
      </c>
      <c r="F1239" s="13">
        <v>10</v>
      </c>
      <c r="G1239" s="13">
        <v>3</v>
      </c>
      <c r="H1239" s="13">
        <v>0</v>
      </c>
      <c r="I1239" s="13">
        <v>0</v>
      </c>
      <c r="J1239" s="13">
        <v>0</v>
      </c>
      <c r="K1239" s="13">
        <v>0</v>
      </c>
      <c r="L1239" s="45">
        <v>0</v>
      </c>
      <c r="M1239" s="34"/>
      <c r="N1239" s="13">
        <v>80</v>
      </c>
      <c r="O1239" s="13">
        <v>33.25</v>
      </c>
      <c r="P1239" s="13">
        <v>10</v>
      </c>
      <c r="Q1239" s="13">
        <v>3</v>
      </c>
      <c r="R1239" s="34"/>
      <c r="S1239" s="13">
        <f t="shared" si="2476"/>
        <v>126.25</v>
      </c>
      <c r="T1239" s="13">
        <f t="shared" ref="T1239" si="2483">SUM(N1239:Q1239)</f>
        <v>126.25</v>
      </c>
      <c r="U1239" s="13">
        <f t="shared" si="2477"/>
        <v>0</v>
      </c>
      <c r="V1239" s="34"/>
      <c r="W1239" s="45">
        <v>33.08</v>
      </c>
      <c r="X1239" s="45">
        <f>(W1239*1*D1239)+(W1239*1.5*E1239)+(W1239*2*F1239)+(W1239*1*G1239)</f>
        <v>5057.1049999999996</v>
      </c>
      <c r="Y1239" s="45">
        <f t="shared" si="2479"/>
        <v>0</v>
      </c>
      <c r="Z1239" s="45">
        <f t="shared" si="2480"/>
        <v>0</v>
      </c>
      <c r="AA1239" s="79">
        <f t="shared" si="2481"/>
        <v>0</v>
      </c>
      <c r="AB1239" s="79">
        <f t="shared" si="2482"/>
        <v>5057.1049999999996</v>
      </c>
      <c r="AC1239" s="80">
        <f t="shared" si="2475"/>
        <v>0</v>
      </c>
      <c r="AD1239" s="209"/>
      <c r="AE1239" s="80">
        <f t="shared" si="2474"/>
        <v>0</v>
      </c>
      <c r="AF1239" s="209"/>
      <c r="AG1239" s="8"/>
    </row>
    <row r="1240" spans="1:50" x14ac:dyDescent="0.45">
      <c r="A1240" s="22">
        <f>A1237</f>
        <v>45634</v>
      </c>
      <c r="B1240" s="50" t="s">
        <v>31</v>
      </c>
      <c r="C1240" s="48">
        <f>120*W1240</f>
        <v>3969.6</v>
      </c>
      <c r="D1240" s="13">
        <v>80</v>
      </c>
      <c r="E1240" s="13">
        <v>32.75</v>
      </c>
      <c r="F1240" s="13">
        <v>12.5</v>
      </c>
      <c r="G1240" s="13">
        <v>9.5</v>
      </c>
      <c r="H1240" s="13">
        <v>0</v>
      </c>
      <c r="I1240" s="13">
        <v>0</v>
      </c>
      <c r="J1240" s="13">
        <v>0</v>
      </c>
      <c r="K1240" s="13">
        <v>0</v>
      </c>
      <c r="L1240" s="45">
        <v>0</v>
      </c>
      <c r="M1240" s="34"/>
      <c r="N1240" s="13">
        <v>80</v>
      </c>
      <c r="O1240" s="13">
        <v>30.5</v>
      </c>
      <c r="P1240" s="13">
        <v>14.75</v>
      </c>
      <c r="Q1240" s="13">
        <v>9.5</v>
      </c>
      <c r="R1240" s="34"/>
      <c r="S1240" s="13">
        <f t="shared" ref="S1240" si="2484">SUM(D1240:G1240)</f>
        <v>134.75</v>
      </c>
      <c r="T1240" s="13">
        <f>SUM(N1240:Q1240)</f>
        <v>134.75</v>
      </c>
      <c r="U1240" s="13">
        <f t="shared" ref="U1240:U1243" si="2485">SUM(H1240:K1240)</f>
        <v>0</v>
      </c>
      <c r="V1240" s="34"/>
      <c r="W1240" s="45">
        <v>33.08</v>
      </c>
      <c r="X1240" s="52">
        <f>(W1240*1*D1240)+(W1240*1.5*E1240)+(W1240*2*F1240)+(W1240*1*G1240)</f>
        <v>5412.7150000000001</v>
      </c>
      <c r="Y1240" s="52">
        <f t="shared" si="2479"/>
        <v>0</v>
      </c>
      <c r="Z1240" s="52">
        <f>(W1240*1*J1240)+L1240</f>
        <v>0</v>
      </c>
      <c r="AA1240" s="96">
        <f t="shared" si="2481"/>
        <v>0</v>
      </c>
      <c r="AB1240" s="96">
        <f>(W1240*1*N1240)+(W1240*1.5*O1240)+(W1240*2*P1240)+(W1240*1*Q1240)</f>
        <v>5449.9299999999994</v>
      </c>
      <c r="AC1240" s="97">
        <f t="shared" si="2475"/>
        <v>0</v>
      </c>
      <c r="AD1240" s="209"/>
      <c r="AE1240" s="97">
        <f t="shared" si="2474"/>
        <v>37.214999999999236</v>
      </c>
      <c r="AF1240" s="209"/>
      <c r="AG1240" s="8"/>
      <c r="AH1240">
        <v>29626.76</v>
      </c>
    </row>
    <row r="1241" spans="1:50" x14ac:dyDescent="0.45">
      <c r="A1241" s="22">
        <f>A1237</f>
        <v>45634</v>
      </c>
      <c r="B1241" s="50" t="s">
        <v>64</v>
      </c>
      <c r="C1241" s="48">
        <f t="shared" ref="C1241:C1243" si="2486">80*W1241</f>
        <v>2000</v>
      </c>
      <c r="D1241" s="13">
        <v>80</v>
      </c>
      <c r="E1241" s="13">
        <v>24.5</v>
      </c>
      <c r="F1241" s="13">
        <v>12</v>
      </c>
      <c r="G1241" s="13">
        <v>25.5</v>
      </c>
      <c r="H1241" s="13">
        <v>0</v>
      </c>
      <c r="I1241" s="13">
        <v>0</v>
      </c>
      <c r="J1241" s="13">
        <v>0</v>
      </c>
      <c r="K1241" s="13">
        <v>0</v>
      </c>
      <c r="L1241" s="45">
        <v>0</v>
      </c>
      <c r="M1241" s="34"/>
      <c r="N1241" s="13">
        <v>80</v>
      </c>
      <c r="O1241" s="13">
        <v>22.5</v>
      </c>
      <c r="P1241" s="13">
        <v>14</v>
      </c>
      <c r="Q1241" s="13">
        <v>25.5</v>
      </c>
      <c r="R1241" s="34"/>
      <c r="S1241" s="13">
        <f t="shared" ref="S1241:S1242" si="2487">SUM(D1241:G1241)</f>
        <v>142</v>
      </c>
      <c r="T1241" s="13">
        <f>SUM(N1241:Q1241)</f>
        <v>142</v>
      </c>
      <c r="U1241" s="13">
        <f t="shared" si="2485"/>
        <v>0</v>
      </c>
      <c r="V1241" s="34"/>
      <c r="W1241" s="52">
        <v>25</v>
      </c>
      <c r="X1241" s="52">
        <f t="shared" ref="X1241:X1243" si="2488">(W1241*1*D1241)+(W1241*1.5*E1241)+(W1241*2*F1241)+(W1241*1*G1241)</f>
        <v>4156.25</v>
      </c>
      <c r="Y1241" s="52">
        <f t="shared" si="2479"/>
        <v>0</v>
      </c>
      <c r="Z1241" s="52">
        <f t="shared" ref="Z1241:Z1243" si="2489">(W1241*1*J1241)+L1241</f>
        <v>0</v>
      </c>
      <c r="AA1241" s="96">
        <f t="shared" si="2481"/>
        <v>0</v>
      </c>
      <c r="AB1241" s="96">
        <f t="shared" ref="AB1241:AB1243" si="2490">(W1241*1*N1241)+(W1241*1.5*O1241)+(W1241*2*P1241)+(W1241*1*Q1241)</f>
        <v>4181.25</v>
      </c>
      <c r="AC1241" s="97">
        <f t="shared" si="2475"/>
        <v>0</v>
      </c>
      <c r="AD1241" s="209"/>
      <c r="AE1241" s="97">
        <f t="shared" si="2474"/>
        <v>25</v>
      </c>
      <c r="AF1241" s="209"/>
      <c r="AG1241" s="8"/>
      <c r="AH1241">
        <v>-3250.5</v>
      </c>
    </row>
    <row r="1242" spans="1:50" x14ac:dyDescent="0.45">
      <c r="A1242" s="22">
        <f>A1237</f>
        <v>45634</v>
      </c>
      <c r="B1242" s="50" t="s">
        <v>54</v>
      </c>
      <c r="C1242" s="48">
        <f t="shared" si="2486"/>
        <v>2125.6</v>
      </c>
      <c r="D1242" s="13">
        <v>76</v>
      </c>
      <c r="E1242" s="13">
        <v>10.75</v>
      </c>
      <c r="F1242" s="13">
        <v>1.5</v>
      </c>
      <c r="G1242" s="13">
        <v>33</v>
      </c>
      <c r="H1242" s="13">
        <v>0</v>
      </c>
      <c r="I1242" s="13">
        <v>0</v>
      </c>
      <c r="J1242" s="13">
        <v>0</v>
      </c>
      <c r="K1242" s="13">
        <v>0</v>
      </c>
      <c r="L1242" s="45">
        <v>0</v>
      </c>
      <c r="M1242" s="34"/>
      <c r="N1242" s="13">
        <v>78.25</v>
      </c>
      <c r="O1242" s="13">
        <v>10.75</v>
      </c>
      <c r="P1242" s="13">
        <v>2.25</v>
      </c>
      <c r="Q1242" s="13">
        <v>30.5</v>
      </c>
      <c r="R1242" s="34"/>
      <c r="S1242" s="13">
        <f t="shared" si="2487"/>
        <v>121.25</v>
      </c>
      <c r="T1242" s="13">
        <f t="shared" ref="T1242" si="2491">SUM(N1242:Q1242)</f>
        <v>121.75</v>
      </c>
      <c r="U1242" s="13">
        <f t="shared" si="2485"/>
        <v>0</v>
      </c>
      <c r="V1242" s="34"/>
      <c r="W1242" s="52">
        <v>26.57</v>
      </c>
      <c r="X1242" s="52">
        <f t="shared" si="2488"/>
        <v>3404.28125</v>
      </c>
      <c r="Y1242" s="52">
        <f t="shared" si="2479"/>
        <v>0</v>
      </c>
      <c r="Z1242" s="52">
        <f t="shared" si="2489"/>
        <v>0</v>
      </c>
      <c r="AA1242" s="96">
        <f t="shared" si="2481"/>
        <v>0</v>
      </c>
      <c r="AB1242" s="96">
        <f t="shared" si="2490"/>
        <v>3437.4937499999996</v>
      </c>
      <c r="AC1242" s="97">
        <f t="shared" ref="AC1242:AC1250" si="2492">0-Y1242-AA1242</f>
        <v>0</v>
      </c>
      <c r="AD1242" s="209"/>
      <c r="AE1242" s="97">
        <f t="shared" si="2474"/>
        <v>33.212499999999636</v>
      </c>
      <c r="AF1242" s="209"/>
      <c r="AG1242" s="8"/>
      <c r="AH1242">
        <v>-2154.5500000000002</v>
      </c>
    </row>
    <row r="1243" spans="1:50" ht="14.65" thickBot="1" x14ac:dyDescent="0.5">
      <c r="A1243" s="23">
        <f>A1237</f>
        <v>45634</v>
      </c>
      <c r="B1243" s="24" t="s">
        <v>66</v>
      </c>
      <c r="C1243" s="49">
        <f t="shared" si="2486"/>
        <v>1756</v>
      </c>
      <c r="D1243" s="25">
        <v>40</v>
      </c>
      <c r="E1243" s="25">
        <v>19</v>
      </c>
      <c r="F1243" s="25">
        <v>12</v>
      </c>
      <c r="G1243" s="25">
        <v>0</v>
      </c>
      <c r="H1243" s="25">
        <v>0</v>
      </c>
      <c r="I1243" s="25">
        <v>40</v>
      </c>
      <c r="J1243" s="25">
        <v>0</v>
      </c>
      <c r="K1243" s="25">
        <v>0</v>
      </c>
      <c r="L1243" s="46">
        <v>0</v>
      </c>
      <c r="M1243" s="35"/>
      <c r="N1243" s="25">
        <v>40</v>
      </c>
      <c r="O1243" s="25">
        <v>19</v>
      </c>
      <c r="P1243" s="25">
        <v>12</v>
      </c>
      <c r="Q1243" s="25">
        <v>0</v>
      </c>
      <c r="R1243" s="35"/>
      <c r="S1243" s="25">
        <f t="shared" ref="S1243" si="2493">SUM(D1243:G1243)</f>
        <v>71</v>
      </c>
      <c r="T1243" s="25">
        <f t="shared" ref="T1243" si="2494">SUM(N1243:Q1243)</f>
        <v>71</v>
      </c>
      <c r="U1243" s="25">
        <f t="shared" si="2485"/>
        <v>40</v>
      </c>
      <c r="V1243" s="35"/>
      <c r="W1243" s="46">
        <v>21.95</v>
      </c>
      <c r="X1243" s="26">
        <f t="shared" si="2488"/>
        <v>2030.3749999999998</v>
      </c>
      <c r="Y1243" s="26">
        <f t="shared" si="2479"/>
        <v>878</v>
      </c>
      <c r="Z1243" s="26">
        <f t="shared" si="2489"/>
        <v>0</v>
      </c>
      <c r="AA1243" s="27">
        <f t="shared" si="2481"/>
        <v>0</v>
      </c>
      <c r="AB1243" s="27">
        <f t="shared" si="2490"/>
        <v>2030.3749999999998</v>
      </c>
      <c r="AC1243" s="65">
        <f t="shared" si="2492"/>
        <v>-878</v>
      </c>
      <c r="AD1243" s="210"/>
      <c r="AE1243" s="65">
        <f t="shared" ref="AE1243" si="2495">AB1243-(X1243+Z1243)</f>
        <v>0</v>
      </c>
      <c r="AF1243" s="210"/>
      <c r="AG1243" s="8"/>
      <c r="AH1243">
        <f>SUM(AH1240:AH1242)</f>
        <v>24221.71</v>
      </c>
    </row>
    <row r="1244" spans="1:50" x14ac:dyDescent="0.45">
      <c r="A1244" s="129">
        <f>A1243+14</f>
        <v>45648</v>
      </c>
      <c r="B1244" s="130" t="s">
        <v>30</v>
      </c>
      <c r="C1244" s="131">
        <f>120*W1244</f>
        <v>4303.2</v>
      </c>
      <c r="D1244" s="132">
        <v>80</v>
      </c>
      <c r="E1244" s="132">
        <v>11.25</v>
      </c>
      <c r="F1244" s="132">
        <v>0</v>
      </c>
      <c r="G1244" s="132">
        <v>0</v>
      </c>
      <c r="H1244" s="132">
        <v>0</v>
      </c>
      <c r="I1244" s="132">
        <v>0</v>
      </c>
      <c r="J1244" s="132">
        <v>0</v>
      </c>
      <c r="K1244" s="132">
        <v>0</v>
      </c>
      <c r="L1244" s="133">
        <v>0</v>
      </c>
      <c r="M1244" s="134"/>
      <c r="N1244" s="132">
        <v>80</v>
      </c>
      <c r="O1244" s="132">
        <v>11.25</v>
      </c>
      <c r="P1244" s="132">
        <v>0</v>
      </c>
      <c r="Q1244" s="132">
        <v>0</v>
      </c>
      <c r="R1244" s="134"/>
      <c r="S1244" s="132">
        <f t="shared" ref="S1244:S1250" si="2496">SUM(D1244:G1244)</f>
        <v>91.25</v>
      </c>
      <c r="T1244" s="132">
        <f t="shared" ref="T1244:T1250" si="2497">SUM(N1244:Q1244)</f>
        <v>91.25</v>
      </c>
      <c r="U1244" s="132">
        <f t="shared" ref="U1244:U1250" si="2498">SUM(H1244:K1244)</f>
        <v>0</v>
      </c>
      <c r="V1244" s="134"/>
      <c r="W1244" s="133">
        <v>35.86</v>
      </c>
      <c r="X1244" s="133">
        <f t="shared" ref="X1244:X1250" si="2499">(W1244*1*D1244)+(W1244*1.5*E1244)+(W1244*2*F1244)+(W1244*1*G1244)</f>
        <v>3473.9375</v>
      </c>
      <c r="Y1244" s="133">
        <f t="shared" ref="Y1244:Y1250" si="2500">(W1244*0*H1244)+(W1244*1*I1244)</f>
        <v>0</v>
      </c>
      <c r="Z1244" s="133">
        <f t="shared" ref="Z1244:Z1250" si="2501">(W1244*1*J1244)+L1244</f>
        <v>0</v>
      </c>
      <c r="AA1244" s="135">
        <f t="shared" ref="AA1244:AA1250" si="2502">(W1244*1*K1244)</f>
        <v>0</v>
      </c>
      <c r="AB1244" s="135">
        <f t="shared" ref="AB1244:AB1250" si="2503">(W1244*1*N1244)+(W1244*1.5*O1244)+(W1244*2*P1244)+(W1244*1*Q1244)</f>
        <v>3473.9375</v>
      </c>
      <c r="AC1244" s="136">
        <f t="shared" si="2492"/>
        <v>0</v>
      </c>
      <c r="AD1244" s="205"/>
      <c r="AE1244" s="136">
        <f t="shared" ref="AE1244:AE1250" si="2504">AB1244-(X1244+Z1244)</f>
        <v>0</v>
      </c>
      <c r="AF1244" s="205">
        <f>SUM(AE1244:AE1250)</f>
        <v>-2169.6699999999992</v>
      </c>
      <c r="AG1244" s="8"/>
      <c r="AI1244" s="165">
        <v>80</v>
      </c>
      <c r="AJ1244" s="165">
        <v>11.25</v>
      </c>
      <c r="AK1244" s="165">
        <v>0</v>
      </c>
      <c r="AL1244" s="165">
        <v>0</v>
      </c>
    </row>
    <row r="1245" spans="1:50" x14ac:dyDescent="0.45">
      <c r="A1245" s="137">
        <f>A1244</f>
        <v>45648</v>
      </c>
      <c r="B1245" s="138" t="s">
        <v>5</v>
      </c>
      <c r="C1245" s="139">
        <f>120*W1245</f>
        <v>3836.3999999999996</v>
      </c>
      <c r="D1245" s="157">
        <v>74.75</v>
      </c>
      <c r="E1245" s="157">
        <v>2.5</v>
      </c>
      <c r="F1245" s="157">
        <v>0</v>
      </c>
      <c r="G1245" s="157">
        <v>0</v>
      </c>
      <c r="H1245" s="157">
        <v>0</v>
      </c>
      <c r="I1245" s="157">
        <v>0</v>
      </c>
      <c r="J1245" s="157">
        <v>0</v>
      </c>
      <c r="K1245" s="157">
        <v>0</v>
      </c>
      <c r="L1245" s="158">
        <v>0</v>
      </c>
      <c r="M1245" s="142"/>
      <c r="N1245" s="140">
        <v>74.75</v>
      </c>
      <c r="O1245" s="140">
        <v>2.5</v>
      </c>
      <c r="P1245" s="140">
        <v>0</v>
      </c>
      <c r="Q1245" s="140">
        <v>0</v>
      </c>
      <c r="R1245" s="142"/>
      <c r="S1245" s="140">
        <f t="shared" si="2496"/>
        <v>77.25</v>
      </c>
      <c r="T1245" s="140">
        <f t="shared" si="2497"/>
        <v>77.25</v>
      </c>
      <c r="U1245" s="140">
        <f t="shared" si="2498"/>
        <v>0</v>
      </c>
      <c r="V1245" s="142"/>
      <c r="W1245" s="141">
        <v>31.97</v>
      </c>
      <c r="X1245" s="141">
        <f t="shared" si="2499"/>
        <v>2509.6449999999995</v>
      </c>
      <c r="Y1245" s="141">
        <f t="shared" si="2500"/>
        <v>0</v>
      </c>
      <c r="Z1245" s="141">
        <f t="shared" si="2501"/>
        <v>0</v>
      </c>
      <c r="AA1245" s="143">
        <f t="shared" si="2502"/>
        <v>0</v>
      </c>
      <c r="AB1245" s="143">
        <f t="shared" si="2503"/>
        <v>2509.6449999999995</v>
      </c>
      <c r="AC1245" s="144">
        <f t="shared" si="2492"/>
        <v>0</v>
      </c>
      <c r="AD1245" s="206"/>
      <c r="AE1245" s="144">
        <f t="shared" si="2504"/>
        <v>0</v>
      </c>
      <c r="AF1245" s="206"/>
      <c r="AG1245" s="8"/>
      <c r="AI1245" s="164">
        <v>80</v>
      </c>
      <c r="AJ1245" s="164">
        <v>11</v>
      </c>
      <c r="AK1245" s="164">
        <v>0</v>
      </c>
      <c r="AL1245" s="164">
        <v>0</v>
      </c>
      <c r="AV1245" s="83"/>
      <c r="AW1245" s="83" t="s">
        <v>105</v>
      </c>
      <c r="AX1245" s="83" t="s">
        <v>85</v>
      </c>
    </row>
    <row r="1246" spans="1:50" x14ac:dyDescent="0.45">
      <c r="A1246" s="137">
        <f>A1244</f>
        <v>45648</v>
      </c>
      <c r="B1246" s="138" t="s">
        <v>6</v>
      </c>
      <c r="C1246" s="139">
        <f>120*W1246</f>
        <v>3969.6</v>
      </c>
      <c r="D1246" s="157">
        <v>80</v>
      </c>
      <c r="E1246" s="157">
        <v>27</v>
      </c>
      <c r="F1246" s="157">
        <v>8</v>
      </c>
      <c r="G1246" s="157">
        <v>0</v>
      </c>
      <c r="H1246" s="157">
        <v>0</v>
      </c>
      <c r="I1246" s="157">
        <v>0</v>
      </c>
      <c r="J1246" s="157">
        <v>0</v>
      </c>
      <c r="K1246" s="157">
        <v>0</v>
      </c>
      <c r="L1246" s="158">
        <v>0</v>
      </c>
      <c r="M1246" s="142"/>
      <c r="N1246" s="140">
        <v>71</v>
      </c>
      <c r="O1246" s="140">
        <v>8.5</v>
      </c>
      <c r="P1246" s="140">
        <v>0</v>
      </c>
      <c r="Q1246" s="140">
        <v>0</v>
      </c>
      <c r="R1246" s="142"/>
      <c r="S1246" s="140">
        <f t="shared" si="2496"/>
        <v>115</v>
      </c>
      <c r="T1246" s="140">
        <f t="shared" si="2497"/>
        <v>79.5</v>
      </c>
      <c r="U1246" s="140">
        <f t="shared" si="2498"/>
        <v>0</v>
      </c>
      <c r="V1246" s="142"/>
      <c r="W1246" s="141">
        <v>33.08</v>
      </c>
      <c r="X1246" s="141">
        <f t="shared" si="2499"/>
        <v>4515.4199999999992</v>
      </c>
      <c r="Y1246" s="141">
        <f t="shared" si="2500"/>
        <v>0</v>
      </c>
      <c r="Z1246" s="141">
        <f t="shared" si="2501"/>
        <v>0</v>
      </c>
      <c r="AA1246" s="143">
        <f t="shared" si="2502"/>
        <v>0</v>
      </c>
      <c r="AB1246" s="143">
        <f t="shared" si="2503"/>
        <v>2770.45</v>
      </c>
      <c r="AC1246" s="144">
        <f t="shared" si="2492"/>
        <v>0</v>
      </c>
      <c r="AD1246" s="206"/>
      <c r="AE1246" s="144">
        <f t="shared" si="2504"/>
        <v>-1744.9699999999993</v>
      </c>
      <c r="AF1246" s="206"/>
      <c r="AG1246" s="8"/>
      <c r="AI1246" s="164">
        <v>80</v>
      </c>
      <c r="AJ1246" s="164">
        <v>25.25</v>
      </c>
      <c r="AK1246" s="164">
        <v>8</v>
      </c>
      <c r="AL1246" s="164">
        <v>0</v>
      </c>
      <c r="AV1246" s="83">
        <v>2021</v>
      </c>
      <c r="AW1246" s="83">
        <v>1.0313000000000001</v>
      </c>
      <c r="AX1246" s="83">
        <v>1.034</v>
      </c>
    </row>
    <row r="1247" spans="1:50" x14ac:dyDescent="0.45">
      <c r="A1247" s="137">
        <f>A1244</f>
        <v>45648</v>
      </c>
      <c r="B1247" s="145" t="s">
        <v>31</v>
      </c>
      <c r="C1247" s="139">
        <f>120*W1247</f>
        <v>3969.6</v>
      </c>
      <c r="D1247" s="140">
        <v>40</v>
      </c>
      <c r="E1247" s="140">
        <v>4</v>
      </c>
      <c r="F1247" s="140">
        <v>0</v>
      </c>
      <c r="G1247" s="140">
        <v>0</v>
      </c>
      <c r="H1247" s="140">
        <v>0</v>
      </c>
      <c r="I1247" s="140">
        <v>0</v>
      </c>
      <c r="J1247" s="140">
        <v>0</v>
      </c>
      <c r="K1247" s="140">
        <v>0</v>
      </c>
      <c r="L1247" s="141">
        <v>0</v>
      </c>
      <c r="M1247" s="142"/>
      <c r="N1247" s="140">
        <v>40</v>
      </c>
      <c r="O1247" s="140">
        <v>4</v>
      </c>
      <c r="P1247" s="140">
        <v>0</v>
      </c>
      <c r="Q1247" s="140">
        <v>0</v>
      </c>
      <c r="R1247" s="142"/>
      <c r="S1247" s="140">
        <f t="shared" si="2496"/>
        <v>44</v>
      </c>
      <c r="T1247" s="140">
        <f t="shared" si="2497"/>
        <v>44</v>
      </c>
      <c r="U1247" s="140">
        <f t="shared" si="2498"/>
        <v>0</v>
      </c>
      <c r="V1247" s="142"/>
      <c r="W1247" s="141">
        <v>33.08</v>
      </c>
      <c r="X1247" s="146">
        <f t="shared" si="2499"/>
        <v>1521.6799999999998</v>
      </c>
      <c r="Y1247" s="146">
        <f t="shared" si="2500"/>
        <v>0</v>
      </c>
      <c r="Z1247" s="146">
        <f t="shared" si="2501"/>
        <v>0</v>
      </c>
      <c r="AA1247" s="147">
        <f t="shared" si="2502"/>
        <v>0</v>
      </c>
      <c r="AB1247" s="147">
        <f t="shared" si="2503"/>
        <v>1521.6799999999998</v>
      </c>
      <c r="AC1247" s="148">
        <f t="shared" si="2492"/>
        <v>0</v>
      </c>
      <c r="AD1247" s="206"/>
      <c r="AE1247" s="148">
        <f t="shared" si="2504"/>
        <v>0</v>
      </c>
      <c r="AF1247" s="206"/>
      <c r="AG1247" s="8"/>
      <c r="AH1247">
        <v>29793.200000000001</v>
      </c>
      <c r="AI1247" s="165">
        <v>40</v>
      </c>
      <c r="AJ1247" s="165">
        <v>4</v>
      </c>
      <c r="AK1247" s="165">
        <v>0</v>
      </c>
      <c r="AL1247" s="165">
        <v>0</v>
      </c>
      <c r="AV1247" s="83">
        <v>2022</v>
      </c>
      <c r="AW1247" s="83">
        <f>AW1246</f>
        <v>1.0313000000000001</v>
      </c>
      <c r="AX1247" s="83">
        <v>1.0680000000000001</v>
      </c>
    </row>
    <row r="1248" spans="1:50" x14ac:dyDescent="0.45">
      <c r="A1248" s="137">
        <f>A1244</f>
        <v>45648</v>
      </c>
      <c r="B1248" s="145" t="s">
        <v>64</v>
      </c>
      <c r="C1248" s="139">
        <f>80*W1248</f>
        <v>2000</v>
      </c>
      <c r="D1248" s="157">
        <v>80</v>
      </c>
      <c r="E1248" s="157">
        <v>10.75</v>
      </c>
      <c r="F1248" s="157">
        <v>12</v>
      </c>
      <c r="G1248" s="157">
        <v>15</v>
      </c>
      <c r="H1248" s="157">
        <v>0</v>
      </c>
      <c r="I1248" s="157">
        <v>0</v>
      </c>
      <c r="J1248" s="157">
        <v>0</v>
      </c>
      <c r="K1248" s="157">
        <v>0</v>
      </c>
      <c r="L1248" s="158">
        <v>0</v>
      </c>
      <c r="M1248" s="142"/>
      <c r="N1248" s="140">
        <v>80</v>
      </c>
      <c r="O1248" s="140">
        <v>17.75</v>
      </c>
      <c r="P1248" s="140">
        <v>0</v>
      </c>
      <c r="Q1248" s="140">
        <v>8</v>
      </c>
      <c r="R1248" s="142"/>
      <c r="S1248" s="140">
        <f t="shared" si="2496"/>
        <v>117.75</v>
      </c>
      <c r="T1248" s="140">
        <f t="shared" si="2497"/>
        <v>105.75</v>
      </c>
      <c r="U1248" s="140">
        <f t="shared" si="2498"/>
        <v>0</v>
      </c>
      <c r="V1248" s="142"/>
      <c r="W1248" s="146">
        <v>25</v>
      </c>
      <c r="X1248" s="146">
        <f t="shared" si="2499"/>
        <v>3378.125</v>
      </c>
      <c r="Y1248" s="146">
        <f t="shared" si="2500"/>
        <v>0</v>
      </c>
      <c r="Z1248" s="146">
        <f t="shared" si="2501"/>
        <v>0</v>
      </c>
      <c r="AA1248" s="147">
        <f t="shared" si="2502"/>
        <v>0</v>
      </c>
      <c r="AB1248" s="147">
        <f t="shared" si="2503"/>
        <v>2865.625</v>
      </c>
      <c r="AC1248" s="148">
        <f t="shared" si="2492"/>
        <v>0</v>
      </c>
      <c r="AD1248" s="206"/>
      <c r="AE1248" s="148">
        <f t="shared" si="2504"/>
        <v>-512.5</v>
      </c>
      <c r="AF1248" s="206"/>
      <c r="AG1248" s="8"/>
      <c r="AH1248">
        <v>-4733.49</v>
      </c>
      <c r="AI1248" s="164">
        <v>80</v>
      </c>
      <c r="AJ1248" s="164">
        <v>17.75</v>
      </c>
      <c r="AK1248" s="164">
        <v>0</v>
      </c>
      <c r="AL1248" s="164">
        <v>8</v>
      </c>
      <c r="AV1248" s="83">
        <v>2023</v>
      </c>
      <c r="AW1248" s="83">
        <f>AW1246</f>
        <v>1.0313000000000001</v>
      </c>
      <c r="AX1248" s="83">
        <v>1.0349999999999999</v>
      </c>
    </row>
    <row r="1249" spans="1:55" x14ac:dyDescent="0.45">
      <c r="A1249" s="137">
        <f>A1244</f>
        <v>45648</v>
      </c>
      <c r="B1249" s="145" t="s">
        <v>54</v>
      </c>
      <c r="C1249" s="139">
        <f>80*W1249</f>
        <v>2125.6</v>
      </c>
      <c r="D1249" s="140">
        <v>80</v>
      </c>
      <c r="E1249" s="140">
        <v>24.5</v>
      </c>
      <c r="F1249" s="140">
        <v>0</v>
      </c>
      <c r="G1249" s="140">
        <v>0</v>
      </c>
      <c r="H1249" s="140">
        <v>0</v>
      </c>
      <c r="I1249" s="140">
        <v>0</v>
      </c>
      <c r="J1249" s="140">
        <v>0</v>
      </c>
      <c r="K1249" s="140">
        <v>0</v>
      </c>
      <c r="L1249" s="141">
        <v>0</v>
      </c>
      <c r="M1249" s="142"/>
      <c r="N1249" s="140">
        <v>80</v>
      </c>
      <c r="O1249" s="140">
        <v>24.5</v>
      </c>
      <c r="P1249" s="140">
        <v>0</v>
      </c>
      <c r="Q1249" s="140">
        <v>0</v>
      </c>
      <c r="R1249" s="142"/>
      <c r="S1249" s="140">
        <f t="shared" si="2496"/>
        <v>104.5</v>
      </c>
      <c r="T1249" s="140">
        <f t="shared" si="2497"/>
        <v>104.5</v>
      </c>
      <c r="U1249" s="140">
        <f t="shared" si="2498"/>
        <v>0</v>
      </c>
      <c r="V1249" s="142"/>
      <c r="W1249" s="146">
        <v>26.57</v>
      </c>
      <c r="X1249" s="146">
        <f t="shared" si="2499"/>
        <v>3102.0475000000001</v>
      </c>
      <c r="Y1249" s="146">
        <f t="shared" si="2500"/>
        <v>0</v>
      </c>
      <c r="Z1249" s="146">
        <f t="shared" si="2501"/>
        <v>0</v>
      </c>
      <c r="AA1249" s="147">
        <f t="shared" si="2502"/>
        <v>0</v>
      </c>
      <c r="AB1249" s="147">
        <f t="shared" si="2503"/>
        <v>3102.0475000000001</v>
      </c>
      <c r="AC1249" s="148">
        <f t="shared" si="2492"/>
        <v>0</v>
      </c>
      <c r="AD1249" s="206"/>
      <c r="AE1249" s="148">
        <f t="shared" si="2504"/>
        <v>0</v>
      </c>
      <c r="AF1249" s="206"/>
      <c r="AG1249" s="8"/>
      <c r="AH1249">
        <v>-1674.11</v>
      </c>
      <c r="AI1249" s="165">
        <v>80</v>
      </c>
      <c r="AJ1249" s="165">
        <v>24.5</v>
      </c>
      <c r="AK1249" s="165">
        <v>0</v>
      </c>
      <c r="AL1249" s="165">
        <v>0</v>
      </c>
      <c r="AR1249" s="83" t="s">
        <v>100</v>
      </c>
      <c r="AS1249" s="83" t="s">
        <v>106</v>
      </c>
      <c r="AT1249" s="83" t="s">
        <v>102</v>
      </c>
      <c r="AV1249" s="83">
        <v>2024</v>
      </c>
      <c r="AW1249" s="83">
        <f>AW1246</f>
        <v>1.0313000000000001</v>
      </c>
      <c r="AX1249" s="83">
        <v>1.0249999999999999</v>
      </c>
    </row>
    <row r="1250" spans="1:55" ht="14.65" thickBot="1" x14ac:dyDescent="0.5">
      <c r="A1250" s="149">
        <f>A1244</f>
        <v>45648</v>
      </c>
      <c r="B1250" s="150" t="s">
        <v>66</v>
      </c>
      <c r="C1250" s="151">
        <f>80*W1250</f>
        <v>1756</v>
      </c>
      <c r="D1250" s="159">
        <v>59</v>
      </c>
      <c r="E1250" s="159">
        <v>18.5</v>
      </c>
      <c r="F1250" s="159">
        <v>5.5</v>
      </c>
      <c r="G1250" s="159">
        <v>0</v>
      </c>
      <c r="H1250" s="159">
        <v>0</v>
      </c>
      <c r="I1250" s="159">
        <v>0</v>
      </c>
      <c r="J1250" s="159">
        <v>0</v>
      </c>
      <c r="K1250" s="159">
        <v>0</v>
      </c>
      <c r="L1250" s="160">
        <v>0</v>
      </c>
      <c r="M1250" s="154"/>
      <c r="N1250" s="166">
        <v>51</v>
      </c>
      <c r="O1250" s="166">
        <f>18.5+8</f>
        <v>26.5</v>
      </c>
      <c r="P1250" s="166">
        <v>5.5</v>
      </c>
      <c r="Q1250" s="166">
        <v>0</v>
      </c>
      <c r="R1250" s="154"/>
      <c r="S1250" s="152">
        <f t="shared" si="2496"/>
        <v>83</v>
      </c>
      <c r="T1250" s="152">
        <f t="shared" si="2497"/>
        <v>83</v>
      </c>
      <c r="U1250" s="152">
        <f t="shared" si="2498"/>
        <v>0</v>
      </c>
      <c r="V1250" s="154"/>
      <c r="W1250" s="153">
        <v>21.95</v>
      </c>
      <c r="X1250" s="153">
        <f t="shared" si="2499"/>
        <v>2145.6124999999997</v>
      </c>
      <c r="Y1250" s="153">
        <f t="shared" si="2500"/>
        <v>0</v>
      </c>
      <c r="Z1250" s="153">
        <f t="shared" si="2501"/>
        <v>0</v>
      </c>
      <c r="AA1250" s="155">
        <f t="shared" si="2502"/>
        <v>0</v>
      </c>
      <c r="AB1250" s="155">
        <f t="shared" si="2503"/>
        <v>2233.4124999999999</v>
      </c>
      <c r="AC1250" s="156">
        <f t="shared" si="2492"/>
        <v>0</v>
      </c>
      <c r="AD1250" s="207"/>
      <c r="AE1250" s="156">
        <f t="shared" si="2504"/>
        <v>87.800000000000182</v>
      </c>
      <c r="AF1250" s="207"/>
      <c r="AG1250" s="8"/>
      <c r="AH1250">
        <f>SUM(AH1247:AH1249)</f>
        <v>23385.599999999999</v>
      </c>
      <c r="AI1250" s="165">
        <v>0</v>
      </c>
      <c r="AJ1250" s="165">
        <v>8</v>
      </c>
      <c r="AK1250" s="165">
        <v>5.5</v>
      </c>
      <c r="AL1250" s="165">
        <v>0</v>
      </c>
      <c r="AR1250" s="167">
        <v>63.63</v>
      </c>
      <c r="AS1250" s="167">
        <v>68</v>
      </c>
      <c r="AT1250" s="168">
        <f>AS1250/AR1250-1</f>
        <v>6.8678296401068595E-2</v>
      </c>
      <c r="AV1250" s="83"/>
      <c r="AW1250" s="168">
        <f>AW1246*AW1247*AW1248*AW1249-1</f>
        <v>0.13120175698049663</v>
      </c>
      <c r="AX1250" s="168">
        <f>AX1246*AX1247*AX1248*AX1249-1</f>
        <v>0.17153699299999992</v>
      </c>
    </row>
    <row r="1251" spans="1:55" x14ac:dyDescent="0.45">
      <c r="A1251" s="129">
        <f>A1250+14</f>
        <v>45662</v>
      </c>
      <c r="B1251" s="130" t="s">
        <v>30</v>
      </c>
      <c r="C1251" s="131">
        <f>120*W1251</f>
        <v>4303.2</v>
      </c>
      <c r="D1251" s="132">
        <v>7.5</v>
      </c>
      <c r="E1251" s="132">
        <v>10.5</v>
      </c>
      <c r="F1251" s="132">
        <v>12</v>
      </c>
      <c r="G1251" s="132">
        <v>3</v>
      </c>
      <c r="H1251" s="132">
        <v>0</v>
      </c>
      <c r="I1251" s="132">
        <v>24</v>
      </c>
      <c r="J1251" s="132">
        <v>24</v>
      </c>
      <c r="K1251" s="132">
        <v>0</v>
      </c>
      <c r="L1251" s="161">
        <v>0</v>
      </c>
      <c r="M1251" s="134"/>
      <c r="N1251" s="132">
        <v>0</v>
      </c>
      <c r="O1251" s="132">
        <v>18</v>
      </c>
      <c r="P1251" s="132">
        <v>12</v>
      </c>
      <c r="Q1251" s="132">
        <v>3</v>
      </c>
      <c r="R1251" s="134"/>
      <c r="S1251" s="132">
        <f t="shared" ref="S1251:S1257" si="2505">SUM(D1251:G1251)</f>
        <v>33</v>
      </c>
      <c r="T1251" s="132">
        <f t="shared" ref="T1251:T1257" si="2506">SUM(N1251:Q1251)</f>
        <v>33</v>
      </c>
      <c r="U1251" s="132">
        <f t="shared" ref="U1251:U1257" si="2507">SUM(H1251:K1251)</f>
        <v>48</v>
      </c>
      <c r="V1251" s="134"/>
      <c r="W1251" s="133">
        <v>35.86</v>
      </c>
      <c r="X1251" s="133">
        <f t="shared" ref="X1251:X1257" si="2508">(W1251*1*D1251)+(W1251*1.5*E1251)+(W1251*2*F1251)+(W1251*1*G1251)</f>
        <v>1801.9649999999997</v>
      </c>
      <c r="Y1251" s="133">
        <f t="shared" ref="Y1251:Y1257" si="2509">(W1251*0*H1251)+(W1251*1*I1251)</f>
        <v>860.64</v>
      </c>
      <c r="Z1251" s="133">
        <f t="shared" ref="Z1251:Z1257" si="2510">(W1251*1*J1251)+L1251</f>
        <v>860.64</v>
      </c>
      <c r="AA1251" s="135">
        <f t="shared" ref="AA1251:AA1257" si="2511">(W1251*1*K1251)</f>
        <v>0</v>
      </c>
      <c r="AB1251" s="135">
        <f t="shared" ref="AB1251:AB1257" si="2512">(W1251*1*N1251)+(W1251*1.5*O1251)+(W1251*2*P1251)+(W1251*1*Q1251)</f>
        <v>1936.44</v>
      </c>
      <c r="AC1251" s="136">
        <f t="shared" ref="AC1251:AC1257" si="2513">0-Y1251-AA1251</f>
        <v>-860.64</v>
      </c>
      <c r="AD1251" s="205"/>
      <c r="AE1251" s="136">
        <f t="shared" ref="AE1251:AE1257" si="2514">AB1251-(X1251+Z1251)</f>
        <v>-726.16499999999951</v>
      </c>
      <c r="AF1251" s="205">
        <f>SUM(AE1251:AE1257)</f>
        <v>-2444.2275</v>
      </c>
      <c r="AG1251" s="8"/>
    </row>
    <row r="1252" spans="1:55" x14ac:dyDescent="0.45">
      <c r="A1252" s="137">
        <f>A1251</f>
        <v>45662</v>
      </c>
      <c r="B1252" s="138" t="s">
        <v>5</v>
      </c>
      <c r="C1252" s="139">
        <f>120*W1252</f>
        <v>3836.3999999999996</v>
      </c>
      <c r="D1252" s="140">
        <v>32</v>
      </c>
      <c r="E1252" s="140">
        <v>31.5</v>
      </c>
      <c r="F1252" s="140">
        <v>12.5</v>
      </c>
      <c r="G1252" s="140">
        <v>14.25</v>
      </c>
      <c r="H1252" s="140">
        <v>0</v>
      </c>
      <c r="I1252" s="140">
        <v>16</v>
      </c>
      <c r="J1252" s="140">
        <v>24</v>
      </c>
      <c r="K1252" s="140">
        <v>0</v>
      </c>
      <c r="L1252" s="162">
        <v>0</v>
      </c>
      <c r="M1252" s="142"/>
      <c r="N1252" s="140">
        <v>3</v>
      </c>
      <c r="O1252" s="140">
        <v>55</v>
      </c>
      <c r="P1252" s="140">
        <v>24</v>
      </c>
      <c r="Q1252" s="140">
        <v>11.75</v>
      </c>
      <c r="R1252" s="142"/>
      <c r="S1252" s="140">
        <f t="shared" si="2505"/>
        <v>90.25</v>
      </c>
      <c r="T1252" s="140">
        <f t="shared" si="2506"/>
        <v>93.75</v>
      </c>
      <c r="U1252" s="140">
        <f t="shared" si="2507"/>
        <v>40</v>
      </c>
      <c r="V1252" s="142"/>
      <c r="W1252" s="141">
        <v>31.97</v>
      </c>
      <c r="X1252" s="141">
        <f t="shared" si="2508"/>
        <v>3788.4449999999997</v>
      </c>
      <c r="Y1252" s="141">
        <f t="shared" si="2509"/>
        <v>511.52</v>
      </c>
      <c r="Z1252" s="141">
        <f t="shared" si="2510"/>
        <v>767.28</v>
      </c>
      <c r="AA1252" s="143">
        <f t="shared" si="2511"/>
        <v>0</v>
      </c>
      <c r="AB1252" s="143">
        <f t="shared" si="2512"/>
        <v>4643.6424999999999</v>
      </c>
      <c r="AC1252" s="144">
        <f t="shared" si="2513"/>
        <v>-511.52</v>
      </c>
      <c r="AD1252" s="206"/>
      <c r="AE1252" s="144">
        <f t="shared" si="2514"/>
        <v>87.917500000000473</v>
      </c>
      <c r="AF1252" s="206"/>
      <c r="AG1252" s="8"/>
      <c r="AQ1252" s="109" t="s">
        <v>32</v>
      </c>
      <c r="AR1252" s="175" t="s">
        <v>100</v>
      </c>
      <c r="AS1252" s="175" t="s">
        <v>101</v>
      </c>
      <c r="AT1252" s="109" t="s">
        <v>116</v>
      </c>
      <c r="AU1252" s="109" t="s">
        <v>117</v>
      </c>
      <c r="AV1252" s="109" t="s">
        <v>103</v>
      </c>
      <c r="AW1252" s="109" t="s">
        <v>104</v>
      </c>
      <c r="AX1252" s="109" t="s">
        <v>112</v>
      </c>
      <c r="AZ1252" s="109" t="s">
        <v>118</v>
      </c>
    </row>
    <row r="1253" spans="1:55" x14ac:dyDescent="0.45">
      <c r="A1253" s="137">
        <f>A1251</f>
        <v>45662</v>
      </c>
      <c r="B1253" s="138" t="s">
        <v>6</v>
      </c>
      <c r="C1253" s="139">
        <f>120*W1253</f>
        <v>3969.6</v>
      </c>
      <c r="D1253" s="140">
        <v>44</v>
      </c>
      <c r="E1253" s="140">
        <v>6</v>
      </c>
      <c r="F1253" s="140">
        <v>0</v>
      </c>
      <c r="G1253" s="140">
        <v>0</v>
      </c>
      <c r="H1253" s="140">
        <v>0</v>
      </c>
      <c r="I1253" s="140">
        <v>0</v>
      </c>
      <c r="J1253" s="140">
        <v>24</v>
      </c>
      <c r="K1253" s="140">
        <v>0</v>
      </c>
      <c r="L1253" s="162">
        <v>0</v>
      </c>
      <c r="M1253" s="142"/>
      <c r="N1253" s="140">
        <v>0</v>
      </c>
      <c r="O1253" s="140">
        <v>46</v>
      </c>
      <c r="P1253" s="140">
        <v>0</v>
      </c>
      <c r="Q1253" s="140">
        <v>0</v>
      </c>
      <c r="R1253" s="142"/>
      <c r="S1253" s="140">
        <f t="shared" si="2505"/>
        <v>50</v>
      </c>
      <c r="T1253" s="140">
        <f t="shared" si="2506"/>
        <v>46</v>
      </c>
      <c r="U1253" s="140">
        <f t="shared" si="2507"/>
        <v>24</v>
      </c>
      <c r="V1253" s="142"/>
      <c r="W1253" s="141">
        <v>33.08</v>
      </c>
      <c r="X1253" s="141">
        <f t="shared" si="2508"/>
        <v>1753.24</v>
      </c>
      <c r="Y1253" s="141">
        <f t="shared" si="2509"/>
        <v>0</v>
      </c>
      <c r="Z1253" s="141">
        <f t="shared" si="2510"/>
        <v>793.92</v>
      </c>
      <c r="AA1253" s="143">
        <f t="shared" si="2511"/>
        <v>0</v>
      </c>
      <c r="AB1253" s="143">
        <f t="shared" si="2512"/>
        <v>2282.52</v>
      </c>
      <c r="AC1253" s="144">
        <f t="shared" si="2513"/>
        <v>0</v>
      </c>
      <c r="AD1253" s="206"/>
      <c r="AE1253" s="144">
        <f t="shared" si="2514"/>
        <v>-264.63999999999987</v>
      </c>
      <c r="AF1253" s="206"/>
      <c r="AG1253" s="8"/>
      <c r="AQ1253" s="83" t="s">
        <v>88</v>
      </c>
      <c r="AR1253" s="167">
        <v>47</v>
      </c>
      <c r="AS1253" s="167">
        <v>60</v>
      </c>
      <c r="AT1253" s="168">
        <f>AS1253/AR1253-1</f>
        <v>0.27659574468085113</v>
      </c>
      <c r="AU1253" s="176">
        <f>AS1253-AR1253</f>
        <v>13</v>
      </c>
      <c r="AV1253" s="169">
        <f t="shared" ref="AV1253:AV1264" si="2515">$AR$1250-AR1253</f>
        <v>16.630000000000003</v>
      </c>
      <c r="AW1253" s="169">
        <f>$AX$1253-AS1253</f>
        <v>12</v>
      </c>
      <c r="AX1253" s="169">
        <v>72</v>
      </c>
      <c r="AZ1253" s="109" t="s">
        <v>107</v>
      </c>
      <c r="BA1253" s="175">
        <v>25</v>
      </c>
      <c r="BB1253" s="109"/>
      <c r="BC1253" s="109"/>
    </row>
    <row r="1254" spans="1:55" x14ac:dyDescent="0.45">
      <c r="A1254" s="137">
        <f>A1251</f>
        <v>45662</v>
      </c>
      <c r="B1254" s="145" t="s">
        <v>31</v>
      </c>
      <c r="C1254" s="139">
        <f>120*W1254</f>
        <v>3969.6</v>
      </c>
      <c r="D1254" s="140">
        <v>32</v>
      </c>
      <c r="E1254" s="140">
        <v>49.5</v>
      </c>
      <c r="F1254" s="140">
        <v>24</v>
      </c>
      <c r="G1254" s="140">
        <v>11.5</v>
      </c>
      <c r="H1254" s="140">
        <v>0</v>
      </c>
      <c r="I1254" s="140">
        <v>0</v>
      </c>
      <c r="J1254" s="140">
        <v>24</v>
      </c>
      <c r="K1254" s="140">
        <v>0</v>
      </c>
      <c r="L1254" s="162">
        <v>0</v>
      </c>
      <c r="M1254" s="142"/>
      <c r="N1254" s="140">
        <v>0</v>
      </c>
      <c r="O1254" s="140">
        <v>69.5</v>
      </c>
      <c r="P1254" s="140">
        <v>36</v>
      </c>
      <c r="Q1254" s="140">
        <v>11.5</v>
      </c>
      <c r="R1254" s="142"/>
      <c r="S1254" s="140">
        <f t="shared" si="2505"/>
        <v>117</v>
      </c>
      <c r="T1254" s="140">
        <f t="shared" si="2506"/>
        <v>117</v>
      </c>
      <c r="U1254" s="140">
        <f t="shared" si="2507"/>
        <v>24</v>
      </c>
      <c r="V1254" s="142"/>
      <c r="W1254" s="141">
        <v>33.08</v>
      </c>
      <c r="X1254" s="146">
        <f t="shared" si="2508"/>
        <v>5483.01</v>
      </c>
      <c r="Y1254" s="146">
        <f t="shared" si="2509"/>
        <v>0</v>
      </c>
      <c r="Z1254" s="146">
        <f t="shared" si="2510"/>
        <v>793.92</v>
      </c>
      <c r="AA1254" s="147">
        <f t="shared" si="2511"/>
        <v>0</v>
      </c>
      <c r="AB1254" s="147">
        <f t="shared" si="2512"/>
        <v>6210.7699999999995</v>
      </c>
      <c r="AC1254" s="148">
        <f t="shared" si="2513"/>
        <v>0</v>
      </c>
      <c r="AD1254" s="206"/>
      <c r="AE1254" s="148">
        <f t="shared" si="2514"/>
        <v>-66.160000000000764</v>
      </c>
      <c r="AF1254" s="206"/>
      <c r="AG1254" s="8"/>
      <c r="AH1254">
        <v>22607.29</v>
      </c>
      <c r="AQ1254" s="83" t="s">
        <v>89</v>
      </c>
      <c r="AR1254" s="167">
        <v>49</v>
      </c>
      <c r="AS1254" s="167">
        <v>57</v>
      </c>
      <c r="AT1254" s="168">
        <f t="shared" ref="AT1254:AT1263" si="2516">AS1254/AR1254-1</f>
        <v>0.16326530612244894</v>
      </c>
      <c r="AU1254" s="176">
        <f t="shared" ref="AU1254:AU1264" si="2517">AS1254-AR1254</f>
        <v>8</v>
      </c>
      <c r="AV1254" s="169">
        <f t="shared" si="2515"/>
        <v>14.630000000000003</v>
      </c>
      <c r="AW1254" s="169">
        <f>$AX$1254-AS1254</f>
        <v>15</v>
      </c>
      <c r="AX1254" s="169">
        <v>72</v>
      </c>
      <c r="AZ1254" s="109" t="s">
        <v>108</v>
      </c>
      <c r="BA1254" s="175">
        <v>30</v>
      </c>
      <c r="BB1254" s="177">
        <f>BA1254/BA1253-1</f>
        <v>0.19999999999999996</v>
      </c>
      <c r="BC1254" s="175">
        <f>BA1254-BA1253</f>
        <v>5</v>
      </c>
    </row>
    <row r="1255" spans="1:55" x14ac:dyDescent="0.45">
      <c r="A1255" s="137">
        <f>A1251</f>
        <v>45662</v>
      </c>
      <c r="B1255" s="145" t="s">
        <v>64</v>
      </c>
      <c r="C1255" s="139">
        <f>80*W1255</f>
        <v>2000</v>
      </c>
      <c r="D1255" s="140">
        <v>20</v>
      </c>
      <c r="E1255" s="140">
        <v>10</v>
      </c>
      <c r="F1255" s="140">
        <v>9</v>
      </c>
      <c r="G1255" s="140">
        <v>0</v>
      </c>
      <c r="H1255" s="140">
        <v>0</v>
      </c>
      <c r="I1255" s="140">
        <v>0</v>
      </c>
      <c r="J1255" s="140">
        <v>24</v>
      </c>
      <c r="K1255" s="140">
        <v>0</v>
      </c>
      <c r="L1255" s="162">
        <v>0</v>
      </c>
      <c r="M1255" s="142"/>
      <c r="N1255" s="140">
        <v>0</v>
      </c>
      <c r="O1255" s="140">
        <v>29</v>
      </c>
      <c r="P1255" s="140">
        <v>0</v>
      </c>
      <c r="Q1255" s="140">
        <v>0</v>
      </c>
      <c r="R1255" s="142"/>
      <c r="S1255" s="140">
        <f t="shared" si="2505"/>
        <v>39</v>
      </c>
      <c r="T1255" s="140">
        <f t="shared" si="2506"/>
        <v>29</v>
      </c>
      <c r="U1255" s="140">
        <f t="shared" si="2507"/>
        <v>24</v>
      </c>
      <c r="V1255" s="142"/>
      <c r="W1255" s="146">
        <v>25</v>
      </c>
      <c r="X1255" s="146">
        <f t="shared" si="2508"/>
        <v>1325</v>
      </c>
      <c r="Y1255" s="146">
        <f t="shared" si="2509"/>
        <v>0</v>
      </c>
      <c r="Z1255" s="146">
        <f t="shared" si="2510"/>
        <v>600</v>
      </c>
      <c r="AA1255" s="147">
        <f t="shared" si="2511"/>
        <v>0</v>
      </c>
      <c r="AB1255" s="147">
        <f t="shared" si="2512"/>
        <v>1087.5</v>
      </c>
      <c r="AC1255" s="148">
        <f t="shared" si="2513"/>
        <v>0</v>
      </c>
      <c r="AD1255" s="206"/>
      <c r="AE1255" s="148">
        <f t="shared" si="2514"/>
        <v>-837.5</v>
      </c>
      <c r="AF1255" s="206"/>
      <c r="AG1255" s="8"/>
      <c r="AH1255">
        <v>-3108.99</v>
      </c>
      <c r="AQ1255" s="83" t="s">
        <v>90</v>
      </c>
      <c r="AR1255" s="167">
        <v>55</v>
      </c>
      <c r="AS1255" s="167">
        <v>55</v>
      </c>
      <c r="AT1255" s="168">
        <f t="shared" si="2516"/>
        <v>0</v>
      </c>
      <c r="AU1255" s="176">
        <f t="shared" si="2517"/>
        <v>0</v>
      </c>
      <c r="AV1255" s="169">
        <f t="shared" si="2515"/>
        <v>8.6300000000000026</v>
      </c>
      <c r="AW1255" s="169">
        <f t="shared" ref="AW1255:AW1263" si="2518">$AS$1250-AS1255</f>
        <v>13</v>
      </c>
      <c r="AX1255" s="169"/>
      <c r="AZ1255" s="109" t="s">
        <v>109</v>
      </c>
      <c r="BA1255" s="175">
        <v>34.5</v>
      </c>
      <c r="BB1255" s="177">
        <f>BA1255/BA1254-1</f>
        <v>0.14999999999999991</v>
      </c>
      <c r="BC1255" s="175">
        <f>BA1255-BA1254</f>
        <v>4.5</v>
      </c>
    </row>
    <row r="1256" spans="1:55" x14ac:dyDescent="0.45">
      <c r="A1256" s="137">
        <f>A1251</f>
        <v>45662</v>
      </c>
      <c r="B1256" s="145" t="s">
        <v>54</v>
      </c>
      <c r="C1256" s="139">
        <f>80*W1256</f>
        <v>2125.6</v>
      </c>
      <c r="D1256" s="140">
        <v>0</v>
      </c>
      <c r="E1256" s="140">
        <v>0</v>
      </c>
      <c r="F1256" s="140">
        <v>0</v>
      </c>
      <c r="G1256" s="140">
        <v>0</v>
      </c>
      <c r="H1256" s="140">
        <v>0</v>
      </c>
      <c r="I1256" s="140">
        <v>0</v>
      </c>
      <c r="J1256" s="140">
        <v>24</v>
      </c>
      <c r="K1256" s="140">
        <v>0</v>
      </c>
      <c r="L1256" s="162">
        <v>0</v>
      </c>
      <c r="M1256" s="142"/>
      <c r="N1256" s="140">
        <v>0</v>
      </c>
      <c r="O1256" s="140">
        <v>0</v>
      </c>
      <c r="P1256" s="140">
        <v>0</v>
      </c>
      <c r="Q1256" s="140">
        <v>0</v>
      </c>
      <c r="R1256" s="142"/>
      <c r="S1256" s="140">
        <f t="shared" si="2505"/>
        <v>0</v>
      </c>
      <c r="T1256" s="140">
        <f t="shared" si="2506"/>
        <v>0</v>
      </c>
      <c r="U1256" s="140">
        <f t="shared" si="2507"/>
        <v>24</v>
      </c>
      <c r="V1256" s="142"/>
      <c r="W1256" s="146">
        <v>26.57</v>
      </c>
      <c r="X1256" s="146">
        <f t="shared" si="2508"/>
        <v>0</v>
      </c>
      <c r="Y1256" s="146">
        <f t="shared" si="2509"/>
        <v>0</v>
      </c>
      <c r="Z1256" s="146">
        <f t="shared" si="2510"/>
        <v>637.68000000000006</v>
      </c>
      <c r="AA1256" s="147">
        <f t="shared" si="2511"/>
        <v>0</v>
      </c>
      <c r="AB1256" s="147">
        <f t="shared" si="2512"/>
        <v>0</v>
      </c>
      <c r="AC1256" s="148">
        <f t="shared" si="2513"/>
        <v>0</v>
      </c>
      <c r="AD1256" s="206"/>
      <c r="AE1256" s="148">
        <f t="shared" si="2514"/>
        <v>-637.68000000000006</v>
      </c>
      <c r="AF1256" s="206"/>
      <c r="AG1256" s="8"/>
      <c r="AH1256">
        <v>-1841.96</v>
      </c>
      <c r="AQ1256" s="83" t="s">
        <v>91</v>
      </c>
      <c r="AR1256" s="167">
        <v>31.97</v>
      </c>
      <c r="AS1256" s="167">
        <v>35</v>
      </c>
      <c r="AT1256" s="168">
        <f t="shared" si="2516"/>
        <v>9.4776352830778787E-2</v>
      </c>
      <c r="AU1256" s="176">
        <f t="shared" si="2517"/>
        <v>3.0300000000000011</v>
      </c>
      <c r="AV1256" s="169">
        <f t="shared" si="2515"/>
        <v>31.660000000000004</v>
      </c>
      <c r="AW1256" s="169">
        <f t="shared" si="2518"/>
        <v>33</v>
      </c>
      <c r="AX1256" s="169"/>
      <c r="AZ1256" s="109" t="s">
        <v>110</v>
      </c>
      <c r="BA1256" s="175">
        <v>36.5</v>
      </c>
      <c r="BB1256" s="177">
        <f>BA1256/BA1255-1</f>
        <v>5.7971014492753659E-2</v>
      </c>
      <c r="BC1256" s="175">
        <f>BA1256-BA1255</f>
        <v>2</v>
      </c>
    </row>
    <row r="1257" spans="1:55" ht="14.65" thickBot="1" x14ac:dyDescent="0.5">
      <c r="A1257" s="149">
        <f>A1251</f>
        <v>45662</v>
      </c>
      <c r="B1257" s="150" t="s">
        <v>66</v>
      </c>
      <c r="C1257" s="151">
        <f>80*W1257</f>
        <v>1756</v>
      </c>
      <c r="D1257" s="152">
        <v>48</v>
      </c>
      <c r="E1257" s="152">
        <v>14</v>
      </c>
      <c r="F1257" s="152">
        <v>8</v>
      </c>
      <c r="G1257" s="152">
        <v>0</v>
      </c>
      <c r="H1257" s="152">
        <v>0</v>
      </c>
      <c r="I1257" s="152">
        <v>0</v>
      </c>
      <c r="J1257" s="152">
        <v>24</v>
      </c>
      <c r="K1257" s="152">
        <v>0</v>
      </c>
      <c r="L1257" s="163">
        <v>0</v>
      </c>
      <c r="M1257" s="154"/>
      <c r="N1257" s="152">
        <v>0</v>
      </c>
      <c r="O1257" s="152">
        <v>62</v>
      </c>
      <c r="P1257" s="152">
        <v>8</v>
      </c>
      <c r="Q1257" s="152">
        <v>0</v>
      </c>
      <c r="R1257" s="154"/>
      <c r="S1257" s="152">
        <f t="shared" si="2505"/>
        <v>70</v>
      </c>
      <c r="T1257" s="152">
        <f t="shared" si="2506"/>
        <v>70</v>
      </c>
      <c r="U1257" s="152">
        <f t="shared" si="2507"/>
        <v>24</v>
      </c>
      <c r="V1257" s="154"/>
      <c r="W1257" s="153">
        <v>21.95</v>
      </c>
      <c r="X1257" s="153">
        <f t="shared" si="2508"/>
        <v>1865.7499999999998</v>
      </c>
      <c r="Y1257" s="153">
        <f t="shared" si="2509"/>
        <v>0</v>
      </c>
      <c r="Z1257" s="153">
        <f t="shared" si="2510"/>
        <v>526.79999999999995</v>
      </c>
      <c r="AA1257" s="155">
        <f t="shared" si="2511"/>
        <v>0</v>
      </c>
      <c r="AB1257" s="155">
        <f t="shared" si="2512"/>
        <v>2392.5499999999997</v>
      </c>
      <c r="AC1257" s="156">
        <f t="shared" si="2513"/>
        <v>0</v>
      </c>
      <c r="AD1257" s="207"/>
      <c r="AE1257" s="156">
        <f t="shared" si="2514"/>
        <v>0</v>
      </c>
      <c r="AF1257" s="207"/>
      <c r="AG1257" s="8"/>
      <c r="AH1257">
        <f>SUM(AH1254:AH1256)</f>
        <v>17656.340000000004</v>
      </c>
      <c r="AQ1257" s="83" t="s">
        <v>92</v>
      </c>
      <c r="AR1257" s="167">
        <v>35.86</v>
      </c>
      <c r="AS1257" s="167">
        <v>39</v>
      </c>
      <c r="AT1257" s="168">
        <f t="shared" si="2516"/>
        <v>8.7562744004461734E-2</v>
      </c>
      <c r="AU1257" s="176">
        <f t="shared" si="2517"/>
        <v>3.1400000000000006</v>
      </c>
      <c r="AV1257" s="169">
        <f t="shared" si="2515"/>
        <v>27.770000000000003</v>
      </c>
      <c r="AW1257" s="169">
        <f t="shared" si="2518"/>
        <v>29</v>
      </c>
      <c r="AX1257" s="169"/>
      <c r="AZ1257" s="109" t="s">
        <v>111</v>
      </c>
      <c r="BA1257" s="175">
        <v>38</v>
      </c>
      <c r="BB1257" s="177">
        <f>BA1257/BA1256-1</f>
        <v>4.1095890410958846E-2</v>
      </c>
      <c r="BC1257" s="175">
        <f>BA1257-BA1256</f>
        <v>1.5</v>
      </c>
    </row>
    <row r="1258" spans="1:55" x14ac:dyDescent="0.45">
      <c r="A1258" s="129">
        <f>A1257+14</f>
        <v>45676</v>
      </c>
      <c r="B1258" s="130" t="s">
        <v>30</v>
      </c>
      <c r="C1258" s="131">
        <f>120*W1258</f>
        <v>4303.2</v>
      </c>
      <c r="D1258" s="132">
        <v>80</v>
      </c>
      <c r="E1258" s="132">
        <v>18</v>
      </c>
      <c r="F1258" s="132">
        <v>0</v>
      </c>
      <c r="G1258" s="132">
        <v>0</v>
      </c>
      <c r="H1258" s="132">
        <v>0</v>
      </c>
      <c r="I1258" s="132">
        <v>0</v>
      </c>
      <c r="J1258" s="132">
        <v>0</v>
      </c>
      <c r="K1258" s="132">
        <v>0</v>
      </c>
      <c r="L1258" s="161">
        <v>0</v>
      </c>
      <c r="M1258" s="134"/>
      <c r="N1258" s="132">
        <v>80</v>
      </c>
      <c r="O1258" s="132">
        <v>18</v>
      </c>
      <c r="P1258" s="132">
        <v>0</v>
      </c>
      <c r="Q1258" s="132">
        <v>0</v>
      </c>
      <c r="R1258" s="134"/>
      <c r="S1258" s="132">
        <f t="shared" ref="S1258:S1264" si="2519">SUM(D1258:G1258)</f>
        <v>98</v>
      </c>
      <c r="T1258" s="132">
        <f t="shared" ref="T1258:T1264" si="2520">SUM(N1258:Q1258)</f>
        <v>98</v>
      </c>
      <c r="U1258" s="132">
        <f t="shared" ref="U1258:U1264" si="2521">SUM(H1258:K1258)</f>
        <v>0</v>
      </c>
      <c r="V1258" s="134"/>
      <c r="W1258" s="133">
        <v>35.86</v>
      </c>
      <c r="X1258" s="133">
        <f t="shared" ref="X1258:X1264" si="2522">(W1258*1*D1258)+(W1258*1.5*E1258)+(W1258*2*F1258)+(W1258*1*G1258)</f>
        <v>3837.0200000000004</v>
      </c>
      <c r="Y1258" s="133">
        <f t="shared" ref="Y1258:Y1264" si="2523">(W1258*0*H1258)+(W1258*1*I1258)</f>
        <v>0</v>
      </c>
      <c r="Z1258" s="133">
        <f t="shared" ref="Z1258:Z1264" si="2524">(W1258*1*J1258)+L1258</f>
        <v>0</v>
      </c>
      <c r="AA1258" s="135">
        <f t="shared" ref="AA1258:AA1264" si="2525">(W1258*1*K1258)</f>
        <v>0</v>
      </c>
      <c r="AB1258" s="135">
        <f t="shared" ref="AB1258:AB1264" si="2526">(W1258*1*N1258)+(W1258*1.5*O1258)+(W1258*2*P1258)+(W1258*1*Q1258)</f>
        <v>3837.0200000000004</v>
      </c>
      <c r="AC1258" s="136">
        <f t="shared" ref="AC1258:AC1264" si="2527">0-Y1258-AA1258</f>
        <v>0</v>
      </c>
      <c r="AD1258" s="205"/>
      <c r="AE1258" s="136">
        <f t="shared" ref="AE1258:AE1264" si="2528">AB1258-(X1258+Z1258)</f>
        <v>0</v>
      </c>
      <c r="AF1258" s="205">
        <f>SUM(AE1258:AE1264)</f>
        <v>745.54500000000007</v>
      </c>
      <c r="AG1258" s="8"/>
      <c r="AQ1258" s="83" t="s">
        <v>93</v>
      </c>
      <c r="AR1258" s="167">
        <v>47</v>
      </c>
      <c r="AS1258" s="167">
        <v>47</v>
      </c>
      <c r="AT1258" s="168">
        <f t="shared" si="2516"/>
        <v>0</v>
      </c>
      <c r="AU1258" s="176">
        <f t="shared" si="2517"/>
        <v>0</v>
      </c>
      <c r="AV1258" s="169">
        <f t="shared" si="2515"/>
        <v>16.630000000000003</v>
      </c>
      <c r="AW1258" s="169">
        <f t="shared" si="2518"/>
        <v>21</v>
      </c>
      <c r="AX1258" s="169"/>
      <c r="AZ1258" s="109" t="s">
        <v>119</v>
      </c>
      <c r="BA1258" s="227" t="s">
        <v>120</v>
      </c>
      <c r="BB1258" s="228"/>
      <c r="BC1258" s="229"/>
    </row>
    <row r="1259" spans="1:55" x14ac:dyDescent="0.45">
      <c r="A1259" s="137">
        <f>A1258</f>
        <v>45676</v>
      </c>
      <c r="B1259" s="138" t="s">
        <v>5</v>
      </c>
      <c r="C1259" s="139">
        <f>120*W1259</f>
        <v>3836.3999999999996</v>
      </c>
      <c r="D1259" s="140">
        <v>80</v>
      </c>
      <c r="E1259" s="140">
        <v>35</v>
      </c>
      <c r="F1259" s="140">
        <v>11</v>
      </c>
      <c r="G1259" s="140">
        <v>0</v>
      </c>
      <c r="H1259" s="140">
        <v>0</v>
      </c>
      <c r="I1259" s="140">
        <v>0</v>
      </c>
      <c r="J1259" s="140">
        <v>0</v>
      </c>
      <c r="K1259" s="140">
        <v>0</v>
      </c>
      <c r="L1259" s="162">
        <v>0</v>
      </c>
      <c r="M1259" s="142"/>
      <c r="N1259" s="140">
        <v>80</v>
      </c>
      <c r="O1259" s="140">
        <v>35</v>
      </c>
      <c r="P1259" s="140">
        <v>11</v>
      </c>
      <c r="Q1259" s="140">
        <v>0</v>
      </c>
      <c r="R1259" s="142"/>
      <c r="S1259" s="140">
        <f t="shared" si="2519"/>
        <v>126</v>
      </c>
      <c r="T1259" s="140">
        <f t="shared" si="2520"/>
        <v>126</v>
      </c>
      <c r="U1259" s="140">
        <f t="shared" si="2521"/>
        <v>0</v>
      </c>
      <c r="V1259" s="142"/>
      <c r="W1259" s="141">
        <v>31.97</v>
      </c>
      <c r="X1259" s="141">
        <f t="shared" si="2522"/>
        <v>4939.3649999999998</v>
      </c>
      <c r="Y1259" s="141">
        <f t="shared" si="2523"/>
        <v>0</v>
      </c>
      <c r="Z1259" s="141">
        <f t="shared" si="2524"/>
        <v>0</v>
      </c>
      <c r="AA1259" s="143">
        <f t="shared" si="2525"/>
        <v>0</v>
      </c>
      <c r="AB1259" s="143">
        <f t="shared" si="2526"/>
        <v>4939.3649999999998</v>
      </c>
      <c r="AC1259" s="144">
        <f t="shared" si="2527"/>
        <v>0</v>
      </c>
      <c r="AD1259" s="206"/>
      <c r="AE1259" s="144">
        <f t="shared" si="2528"/>
        <v>0</v>
      </c>
      <c r="AF1259" s="206"/>
      <c r="AG1259" s="8"/>
      <c r="AQ1259" s="83" t="s">
        <v>94</v>
      </c>
      <c r="AR1259" s="167">
        <v>33.08</v>
      </c>
      <c r="AS1259" s="167">
        <v>36</v>
      </c>
      <c r="AT1259" s="168">
        <f t="shared" si="2516"/>
        <v>8.8270858524788443E-2</v>
      </c>
      <c r="AU1259" s="176">
        <f t="shared" si="2517"/>
        <v>2.9200000000000017</v>
      </c>
      <c r="AV1259" s="169">
        <f t="shared" si="2515"/>
        <v>30.550000000000004</v>
      </c>
      <c r="AW1259" s="169">
        <f t="shared" si="2518"/>
        <v>32</v>
      </c>
      <c r="AX1259" s="169"/>
    </row>
    <row r="1260" spans="1:55" x14ac:dyDescent="0.45">
      <c r="A1260" s="137">
        <f>A1258</f>
        <v>45676</v>
      </c>
      <c r="B1260" s="138" t="s">
        <v>6</v>
      </c>
      <c r="C1260" s="139">
        <f>120*W1260</f>
        <v>3969.6</v>
      </c>
      <c r="D1260" s="157">
        <f>80-4</f>
        <v>76</v>
      </c>
      <c r="E1260" s="140">
        <v>34</v>
      </c>
      <c r="F1260" s="140">
        <v>11</v>
      </c>
      <c r="G1260" s="140">
        <v>0</v>
      </c>
      <c r="H1260" s="140">
        <v>0</v>
      </c>
      <c r="I1260" s="140">
        <v>0</v>
      </c>
      <c r="J1260" s="140">
        <v>0</v>
      </c>
      <c r="K1260" s="140">
        <v>0</v>
      </c>
      <c r="L1260" s="162">
        <v>0</v>
      </c>
      <c r="M1260" s="142"/>
      <c r="N1260" s="140">
        <v>80</v>
      </c>
      <c r="O1260" s="140">
        <v>34</v>
      </c>
      <c r="P1260" s="140">
        <v>11</v>
      </c>
      <c r="Q1260" s="140">
        <v>0</v>
      </c>
      <c r="R1260" s="142"/>
      <c r="S1260" s="140">
        <f t="shared" si="2519"/>
        <v>121</v>
      </c>
      <c r="T1260" s="140">
        <f t="shared" si="2520"/>
        <v>125</v>
      </c>
      <c r="U1260" s="140">
        <f t="shared" si="2521"/>
        <v>0</v>
      </c>
      <c r="V1260" s="142"/>
      <c r="W1260" s="141">
        <v>33.08</v>
      </c>
      <c r="X1260" s="141">
        <f t="shared" si="2522"/>
        <v>4928.92</v>
      </c>
      <c r="Y1260" s="141">
        <f t="shared" si="2523"/>
        <v>0</v>
      </c>
      <c r="Z1260" s="141">
        <f t="shared" si="2524"/>
        <v>0</v>
      </c>
      <c r="AA1260" s="143">
        <f t="shared" si="2525"/>
        <v>0</v>
      </c>
      <c r="AB1260" s="143">
        <f t="shared" si="2526"/>
        <v>5061.24</v>
      </c>
      <c r="AC1260" s="144">
        <f t="shared" si="2527"/>
        <v>0</v>
      </c>
      <c r="AD1260" s="206"/>
      <c r="AE1260" s="144">
        <f t="shared" si="2528"/>
        <v>132.31999999999971</v>
      </c>
      <c r="AF1260" s="206"/>
      <c r="AG1260" s="8"/>
      <c r="AQ1260" s="83" t="s">
        <v>95</v>
      </c>
      <c r="AR1260" s="167">
        <v>33.08</v>
      </c>
      <c r="AS1260" s="167">
        <v>36</v>
      </c>
      <c r="AT1260" s="168">
        <f t="shared" si="2516"/>
        <v>8.8270858524788443E-2</v>
      </c>
      <c r="AU1260" s="176">
        <f t="shared" si="2517"/>
        <v>2.9200000000000017</v>
      </c>
      <c r="AV1260" s="169">
        <f t="shared" si="2515"/>
        <v>30.550000000000004</v>
      </c>
      <c r="AW1260" s="169">
        <f t="shared" si="2518"/>
        <v>32</v>
      </c>
      <c r="AX1260" s="169"/>
    </row>
    <row r="1261" spans="1:55" x14ac:dyDescent="0.45">
      <c r="A1261" s="137">
        <f>A1258</f>
        <v>45676</v>
      </c>
      <c r="B1261" s="145" t="s">
        <v>31</v>
      </c>
      <c r="C1261" s="139">
        <f>120*W1261</f>
        <v>3969.6</v>
      </c>
      <c r="D1261" s="140">
        <v>52</v>
      </c>
      <c r="E1261" s="140">
        <v>34.5</v>
      </c>
      <c r="F1261" s="140">
        <v>9.5</v>
      </c>
      <c r="G1261" s="140">
        <v>14.5</v>
      </c>
      <c r="H1261" s="140">
        <v>0</v>
      </c>
      <c r="I1261" s="140">
        <v>0</v>
      </c>
      <c r="J1261" s="140">
        <v>0</v>
      </c>
      <c r="K1261" s="140">
        <v>0</v>
      </c>
      <c r="L1261" s="162">
        <v>0</v>
      </c>
      <c r="M1261" s="142"/>
      <c r="N1261" s="140">
        <v>49.5</v>
      </c>
      <c r="O1261" s="140">
        <v>32</v>
      </c>
      <c r="P1261" s="140">
        <v>14.5</v>
      </c>
      <c r="Q1261" s="140">
        <v>14.5</v>
      </c>
      <c r="R1261" s="142"/>
      <c r="S1261" s="140">
        <f t="shared" si="2519"/>
        <v>110.5</v>
      </c>
      <c r="T1261" s="140">
        <f t="shared" si="2520"/>
        <v>110.5</v>
      </c>
      <c r="U1261" s="140">
        <f t="shared" si="2521"/>
        <v>0</v>
      </c>
      <c r="V1261" s="142"/>
      <c r="W1261" s="141">
        <v>33.08</v>
      </c>
      <c r="X1261" s="146">
        <f t="shared" si="2522"/>
        <v>4540.2299999999996</v>
      </c>
      <c r="Y1261" s="146">
        <f t="shared" si="2523"/>
        <v>0</v>
      </c>
      <c r="Z1261" s="146">
        <f t="shared" si="2524"/>
        <v>0</v>
      </c>
      <c r="AA1261" s="147">
        <f t="shared" si="2525"/>
        <v>0</v>
      </c>
      <c r="AB1261" s="147">
        <f t="shared" si="2526"/>
        <v>4664.28</v>
      </c>
      <c r="AC1261" s="148">
        <f t="shared" si="2527"/>
        <v>0</v>
      </c>
      <c r="AD1261" s="206"/>
      <c r="AE1261" s="148">
        <f t="shared" si="2528"/>
        <v>124.05000000000018</v>
      </c>
      <c r="AF1261" s="206"/>
      <c r="AG1261" s="8"/>
      <c r="AH1261">
        <v>26569.82</v>
      </c>
      <c r="AQ1261" s="83" t="s">
        <v>96</v>
      </c>
      <c r="AR1261" s="167">
        <v>45</v>
      </c>
      <c r="AS1261" s="167">
        <v>45</v>
      </c>
      <c r="AT1261" s="168">
        <f t="shared" si="2516"/>
        <v>0</v>
      </c>
      <c r="AU1261" s="176">
        <f t="shared" si="2517"/>
        <v>0</v>
      </c>
      <c r="AV1261" s="169">
        <f t="shared" si="2515"/>
        <v>18.630000000000003</v>
      </c>
      <c r="AW1261" s="169">
        <f t="shared" si="2518"/>
        <v>23</v>
      </c>
      <c r="AX1261" s="169"/>
    </row>
    <row r="1262" spans="1:55" x14ac:dyDescent="0.45">
      <c r="A1262" s="137">
        <f>A1258</f>
        <v>45676</v>
      </c>
      <c r="B1262" s="145" t="s">
        <v>64</v>
      </c>
      <c r="C1262" s="139">
        <f>80*W1262</f>
        <v>2000</v>
      </c>
      <c r="D1262" s="140">
        <v>49.75</v>
      </c>
      <c r="E1262" s="140">
        <v>24.5</v>
      </c>
      <c r="F1262" s="157">
        <f>9.5-9</f>
        <v>0.5</v>
      </c>
      <c r="G1262" s="140">
        <v>0</v>
      </c>
      <c r="H1262" s="140">
        <v>0</v>
      </c>
      <c r="I1262" s="140">
        <v>32</v>
      </c>
      <c r="J1262" s="140">
        <v>0</v>
      </c>
      <c r="K1262" s="140">
        <v>0</v>
      </c>
      <c r="L1262" s="162">
        <v>0</v>
      </c>
      <c r="M1262" s="142"/>
      <c r="N1262" s="140">
        <v>50</v>
      </c>
      <c r="O1262" s="140">
        <v>24.5</v>
      </c>
      <c r="P1262" s="140">
        <v>9.5</v>
      </c>
      <c r="Q1262" s="140">
        <v>0</v>
      </c>
      <c r="R1262" s="142"/>
      <c r="S1262" s="140">
        <f t="shared" si="2519"/>
        <v>74.75</v>
      </c>
      <c r="T1262" s="140">
        <f t="shared" si="2520"/>
        <v>84</v>
      </c>
      <c r="U1262" s="140">
        <f t="shared" si="2521"/>
        <v>32</v>
      </c>
      <c r="V1262" s="142"/>
      <c r="W1262" s="146">
        <v>25</v>
      </c>
      <c r="X1262" s="146">
        <f t="shared" si="2522"/>
        <v>2187.5</v>
      </c>
      <c r="Y1262" s="146">
        <f t="shared" si="2523"/>
        <v>800</v>
      </c>
      <c r="Z1262" s="146">
        <f t="shared" si="2524"/>
        <v>0</v>
      </c>
      <c r="AA1262" s="147">
        <f t="shared" si="2525"/>
        <v>0</v>
      </c>
      <c r="AB1262" s="147">
        <f t="shared" si="2526"/>
        <v>2643.75</v>
      </c>
      <c r="AC1262" s="148">
        <f t="shared" si="2527"/>
        <v>-800</v>
      </c>
      <c r="AD1262" s="206"/>
      <c r="AE1262" s="148">
        <f t="shared" si="2528"/>
        <v>456.25</v>
      </c>
      <c r="AF1262" s="206"/>
      <c r="AG1262" s="8"/>
      <c r="AH1262">
        <v>-3108.99</v>
      </c>
      <c r="AQ1262" s="83" t="s">
        <v>97</v>
      </c>
      <c r="AR1262" s="167">
        <v>26.57</v>
      </c>
      <c r="AS1262" s="167">
        <f>32-1.33</f>
        <v>30.67</v>
      </c>
      <c r="AT1262" s="168">
        <f t="shared" si="2516"/>
        <v>0.15430937147158463</v>
      </c>
      <c r="AU1262" s="176">
        <f t="shared" si="2517"/>
        <v>4.1000000000000014</v>
      </c>
      <c r="AV1262" s="169">
        <f t="shared" si="2515"/>
        <v>37.06</v>
      </c>
      <c r="AW1262" s="169">
        <f t="shared" si="2518"/>
        <v>37.33</v>
      </c>
      <c r="AX1262" s="169"/>
      <c r="AY1262" s="8"/>
      <c r="BA1262" s="178"/>
    </row>
    <row r="1263" spans="1:55" x14ac:dyDescent="0.45">
      <c r="A1263" s="137">
        <f>A1258</f>
        <v>45676</v>
      </c>
      <c r="B1263" s="145" t="s">
        <v>54</v>
      </c>
      <c r="C1263" s="139">
        <f>80*W1263</f>
        <v>2125.6</v>
      </c>
      <c r="D1263" s="140">
        <v>80</v>
      </c>
      <c r="E1263" s="140">
        <v>44.75</v>
      </c>
      <c r="F1263" s="140">
        <v>11</v>
      </c>
      <c r="G1263" s="140">
        <v>6.5</v>
      </c>
      <c r="H1263" s="140">
        <v>0</v>
      </c>
      <c r="I1263" s="140">
        <v>0</v>
      </c>
      <c r="J1263" s="140">
        <v>0</v>
      </c>
      <c r="K1263" s="140">
        <v>0</v>
      </c>
      <c r="L1263" s="162">
        <v>0</v>
      </c>
      <c r="M1263" s="142"/>
      <c r="N1263" s="140">
        <v>80</v>
      </c>
      <c r="O1263" s="140">
        <v>44.75</v>
      </c>
      <c r="P1263" s="140">
        <v>11</v>
      </c>
      <c r="Q1263" s="140">
        <v>6.5</v>
      </c>
      <c r="R1263" s="142"/>
      <c r="S1263" s="140">
        <f t="shared" si="2519"/>
        <v>142.25</v>
      </c>
      <c r="T1263" s="140">
        <f t="shared" si="2520"/>
        <v>142.25</v>
      </c>
      <c r="U1263" s="140">
        <f t="shared" si="2521"/>
        <v>0</v>
      </c>
      <c r="V1263" s="142"/>
      <c r="W1263" s="146">
        <v>26.57</v>
      </c>
      <c r="X1263" s="146">
        <f t="shared" si="2522"/>
        <v>4666.3562499999998</v>
      </c>
      <c r="Y1263" s="146">
        <f t="shared" si="2523"/>
        <v>0</v>
      </c>
      <c r="Z1263" s="146">
        <f t="shared" si="2524"/>
        <v>0</v>
      </c>
      <c r="AA1263" s="147">
        <f t="shared" si="2525"/>
        <v>0</v>
      </c>
      <c r="AB1263" s="147">
        <f t="shared" si="2526"/>
        <v>4666.3562499999998</v>
      </c>
      <c r="AC1263" s="148">
        <f t="shared" si="2527"/>
        <v>0</v>
      </c>
      <c r="AD1263" s="206"/>
      <c r="AE1263" s="148">
        <f t="shared" si="2528"/>
        <v>0</v>
      </c>
      <c r="AF1263" s="206"/>
      <c r="AG1263" s="8"/>
      <c r="AH1263">
        <v>-2403.69</v>
      </c>
      <c r="AQ1263" s="83" t="s">
        <v>98</v>
      </c>
      <c r="AR1263" s="167">
        <v>25</v>
      </c>
      <c r="AS1263" s="167">
        <v>28</v>
      </c>
      <c r="AT1263" s="168">
        <f t="shared" si="2516"/>
        <v>0.12000000000000011</v>
      </c>
      <c r="AU1263" s="176">
        <f t="shared" si="2517"/>
        <v>3</v>
      </c>
      <c r="AV1263" s="169">
        <f t="shared" si="2515"/>
        <v>38.630000000000003</v>
      </c>
      <c r="AW1263" s="169">
        <f t="shared" si="2518"/>
        <v>40</v>
      </c>
      <c r="AX1263" s="169"/>
    </row>
    <row r="1264" spans="1:55" ht="14.65" thickBot="1" x14ac:dyDescent="0.5">
      <c r="A1264" s="149">
        <f>A1258</f>
        <v>45676</v>
      </c>
      <c r="B1264" s="150" t="s">
        <v>66</v>
      </c>
      <c r="C1264" s="151">
        <f>80*W1264</f>
        <v>1756</v>
      </c>
      <c r="D1264" s="152">
        <v>80</v>
      </c>
      <c r="E1264" s="152">
        <v>32.5</v>
      </c>
      <c r="F1264" s="152">
        <v>10.5</v>
      </c>
      <c r="G1264" s="152">
        <v>0</v>
      </c>
      <c r="H1264" s="152">
        <v>0</v>
      </c>
      <c r="I1264" s="152">
        <v>0</v>
      </c>
      <c r="J1264" s="152">
        <v>0</v>
      </c>
      <c r="K1264" s="152">
        <v>0</v>
      </c>
      <c r="L1264" s="163">
        <v>0</v>
      </c>
      <c r="M1264" s="154"/>
      <c r="N1264" s="152">
        <v>80</v>
      </c>
      <c r="O1264" s="152">
        <v>33.5</v>
      </c>
      <c r="P1264" s="152">
        <v>10.5</v>
      </c>
      <c r="Q1264" s="152">
        <v>0</v>
      </c>
      <c r="R1264" s="154"/>
      <c r="S1264" s="152">
        <f t="shared" si="2519"/>
        <v>123</v>
      </c>
      <c r="T1264" s="152">
        <f t="shared" si="2520"/>
        <v>124</v>
      </c>
      <c r="U1264" s="152">
        <f t="shared" si="2521"/>
        <v>0</v>
      </c>
      <c r="V1264" s="154"/>
      <c r="W1264" s="153">
        <v>21.95</v>
      </c>
      <c r="X1264" s="153">
        <f t="shared" si="2522"/>
        <v>3287.0124999999998</v>
      </c>
      <c r="Y1264" s="153">
        <f t="shared" si="2523"/>
        <v>0</v>
      </c>
      <c r="Z1264" s="153">
        <f t="shared" si="2524"/>
        <v>0</v>
      </c>
      <c r="AA1264" s="155">
        <f t="shared" si="2525"/>
        <v>0</v>
      </c>
      <c r="AB1264" s="155">
        <f t="shared" si="2526"/>
        <v>3319.9375</v>
      </c>
      <c r="AC1264" s="156">
        <f t="shared" si="2527"/>
        <v>0</v>
      </c>
      <c r="AD1264" s="207"/>
      <c r="AE1264" s="156">
        <f t="shared" si="2528"/>
        <v>32.925000000000182</v>
      </c>
      <c r="AF1264" s="207"/>
      <c r="AG1264" s="8"/>
      <c r="AH1264">
        <f>SUM(AH1261:AH1263)</f>
        <v>21057.140000000003</v>
      </c>
      <c r="AQ1264" s="83" t="s">
        <v>99</v>
      </c>
      <c r="AR1264" s="167">
        <v>21.95</v>
      </c>
      <c r="AS1264" s="167">
        <v>27</v>
      </c>
      <c r="AT1264" s="168">
        <f>AS1264/AR1264-1</f>
        <v>0.23006833712984065</v>
      </c>
      <c r="AU1264" s="176">
        <f t="shared" si="2517"/>
        <v>5.0500000000000007</v>
      </c>
      <c r="AV1264" s="169">
        <f t="shared" si="2515"/>
        <v>41.680000000000007</v>
      </c>
      <c r="AW1264" s="169">
        <f>$AX$1264-AS1264</f>
        <v>29</v>
      </c>
      <c r="AX1264" s="169">
        <v>56</v>
      </c>
    </row>
    <row r="1265" spans="1:51" ht="14.65" thickBot="1" x14ac:dyDescent="0.5">
      <c r="A1265" s="129">
        <f>A1264+14</f>
        <v>45690</v>
      </c>
      <c r="B1265" s="130" t="s">
        <v>30</v>
      </c>
      <c r="C1265" s="131">
        <f>120*W1265</f>
        <v>4303.2</v>
      </c>
      <c r="D1265" s="132">
        <v>80</v>
      </c>
      <c r="E1265" s="132">
        <v>17</v>
      </c>
      <c r="F1265" s="132">
        <v>0</v>
      </c>
      <c r="G1265" s="132">
        <v>0</v>
      </c>
      <c r="H1265" s="132">
        <v>0</v>
      </c>
      <c r="I1265" s="132">
        <v>0</v>
      </c>
      <c r="J1265" s="132">
        <v>0</v>
      </c>
      <c r="K1265" s="132">
        <v>0</v>
      </c>
      <c r="L1265" s="161">
        <v>0</v>
      </c>
      <c r="M1265" s="134"/>
      <c r="N1265" s="132">
        <v>80</v>
      </c>
      <c r="O1265" s="132">
        <v>17</v>
      </c>
      <c r="P1265" s="132">
        <v>0</v>
      </c>
      <c r="Q1265" s="132">
        <v>0</v>
      </c>
      <c r="R1265" s="134"/>
      <c r="S1265" s="132">
        <f t="shared" ref="S1265:S1271" si="2529">SUM(D1265:G1265)</f>
        <v>97</v>
      </c>
      <c r="T1265" s="132">
        <f t="shared" ref="T1265:T1271" si="2530">SUM(N1265:Q1265)</f>
        <v>97</v>
      </c>
      <c r="U1265" s="132">
        <f t="shared" ref="U1265:U1271" si="2531">SUM(H1265:K1265)</f>
        <v>0</v>
      </c>
      <c r="V1265" s="134"/>
      <c r="W1265" s="133">
        <v>35.86</v>
      </c>
      <c r="X1265" s="133">
        <f t="shared" ref="X1265:X1271" si="2532">(W1265*1*D1265)+(W1265*1.5*E1265)+(W1265*2*F1265)+(W1265*1*G1265)</f>
        <v>3783.23</v>
      </c>
      <c r="Y1265" s="133">
        <f t="shared" ref="Y1265:Y1271" si="2533">(W1265*0*H1265)+(W1265*1*I1265)</f>
        <v>0</v>
      </c>
      <c r="Z1265" s="133">
        <f t="shared" ref="Z1265:Z1271" si="2534">(W1265*1*J1265)+L1265</f>
        <v>0</v>
      </c>
      <c r="AA1265" s="135">
        <f t="shared" ref="AA1265:AA1271" si="2535">(W1265*1*K1265)</f>
        <v>0</v>
      </c>
      <c r="AB1265" s="135">
        <f t="shared" ref="AB1265:AB1271" si="2536">(W1265*1*N1265)+(W1265*1.5*O1265)+(W1265*2*P1265)+(W1265*1*Q1265)</f>
        <v>3783.23</v>
      </c>
      <c r="AC1265" s="136">
        <f t="shared" ref="AC1265:AC1271" si="2537">0-Y1265-AA1265</f>
        <v>0</v>
      </c>
      <c r="AD1265" s="205"/>
      <c r="AE1265" s="136">
        <f t="shared" ref="AE1265:AE1271" si="2538">AB1265-(X1265+Z1265)</f>
        <v>0</v>
      </c>
      <c r="AF1265" s="205">
        <f>SUM(AE1265:AE1271)</f>
        <v>-1717.4550000000004</v>
      </c>
      <c r="AG1265" s="8"/>
      <c r="AW1265" s="173">
        <f>SUM(AW1253:AW1264)</f>
        <v>316.33</v>
      </c>
    </row>
    <row r="1266" spans="1:51" x14ac:dyDescent="0.45">
      <c r="A1266" s="137">
        <f>A1265</f>
        <v>45690</v>
      </c>
      <c r="B1266" s="138" t="s">
        <v>5</v>
      </c>
      <c r="C1266" s="139">
        <f>120*W1266</f>
        <v>3836.3999999999996</v>
      </c>
      <c r="D1266" s="140">
        <v>80</v>
      </c>
      <c r="E1266" s="140">
        <v>9.75</v>
      </c>
      <c r="F1266" s="140">
        <v>0</v>
      </c>
      <c r="G1266" s="140">
        <v>0</v>
      </c>
      <c r="H1266" s="140">
        <v>0</v>
      </c>
      <c r="I1266" s="140">
        <v>0</v>
      </c>
      <c r="J1266" s="140">
        <v>0</v>
      </c>
      <c r="K1266" s="140">
        <v>0</v>
      </c>
      <c r="L1266" s="162">
        <v>0</v>
      </c>
      <c r="M1266" s="142"/>
      <c r="N1266" s="140">
        <v>80</v>
      </c>
      <c r="O1266" s="140">
        <v>9.75</v>
      </c>
      <c r="P1266" s="140">
        <v>0</v>
      </c>
      <c r="Q1266" s="140">
        <v>0</v>
      </c>
      <c r="R1266" s="142"/>
      <c r="S1266" s="140">
        <f t="shared" si="2529"/>
        <v>89.75</v>
      </c>
      <c r="T1266" s="140">
        <f t="shared" si="2530"/>
        <v>89.75</v>
      </c>
      <c r="U1266" s="140">
        <f t="shared" si="2531"/>
        <v>0</v>
      </c>
      <c r="V1266" s="142"/>
      <c r="W1266" s="141">
        <v>31.97</v>
      </c>
      <c r="X1266" s="141">
        <f t="shared" si="2532"/>
        <v>3025.1612500000001</v>
      </c>
      <c r="Y1266" s="141">
        <f t="shared" si="2533"/>
        <v>0</v>
      </c>
      <c r="Z1266" s="141">
        <f t="shared" si="2534"/>
        <v>0</v>
      </c>
      <c r="AA1266" s="143">
        <f t="shared" si="2535"/>
        <v>0</v>
      </c>
      <c r="AB1266" s="143">
        <f t="shared" si="2536"/>
        <v>3025.1612500000001</v>
      </c>
      <c r="AC1266" s="144">
        <f t="shared" si="2537"/>
        <v>0</v>
      </c>
      <c r="AD1266" s="206"/>
      <c r="AE1266" s="144">
        <f t="shared" si="2538"/>
        <v>0</v>
      </c>
      <c r="AF1266" s="206"/>
      <c r="AG1266" s="8"/>
      <c r="AV1266" s="171" t="s">
        <v>113</v>
      </c>
      <c r="AW1266" s="172">
        <v>314.32556153846156</v>
      </c>
    </row>
    <row r="1267" spans="1:51" x14ac:dyDescent="0.45">
      <c r="A1267" s="137">
        <f>A1265</f>
        <v>45690</v>
      </c>
      <c r="B1267" s="138" t="s">
        <v>6</v>
      </c>
      <c r="C1267" s="139">
        <f>120*W1267</f>
        <v>3969.6</v>
      </c>
      <c r="D1267" s="140">
        <v>80</v>
      </c>
      <c r="E1267" s="140">
        <v>25</v>
      </c>
      <c r="F1267" s="140">
        <v>0</v>
      </c>
      <c r="G1267" s="140">
        <v>10.5</v>
      </c>
      <c r="H1267" s="140">
        <v>0</v>
      </c>
      <c r="I1267" s="140">
        <v>0</v>
      </c>
      <c r="J1267" s="140">
        <v>0</v>
      </c>
      <c r="K1267" s="140">
        <v>0</v>
      </c>
      <c r="L1267" s="162">
        <v>0</v>
      </c>
      <c r="M1267" s="142"/>
      <c r="N1267" s="140">
        <v>80</v>
      </c>
      <c r="O1267" s="140">
        <v>25</v>
      </c>
      <c r="P1267" s="140">
        <v>0</v>
      </c>
      <c r="Q1267" s="140">
        <v>10.5</v>
      </c>
      <c r="R1267" s="142"/>
      <c r="S1267" s="140">
        <f t="shared" si="2529"/>
        <v>115.5</v>
      </c>
      <c r="T1267" s="140">
        <f t="shared" si="2530"/>
        <v>115.5</v>
      </c>
      <c r="U1267" s="140">
        <f t="shared" si="2531"/>
        <v>0</v>
      </c>
      <c r="V1267" s="142"/>
      <c r="W1267" s="141">
        <v>33.08</v>
      </c>
      <c r="X1267" s="141">
        <f t="shared" si="2532"/>
        <v>4234.24</v>
      </c>
      <c r="Y1267" s="141">
        <f t="shared" si="2533"/>
        <v>0</v>
      </c>
      <c r="Z1267" s="141">
        <f t="shared" si="2534"/>
        <v>0</v>
      </c>
      <c r="AA1267" s="143">
        <f t="shared" si="2535"/>
        <v>0</v>
      </c>
      <c r="AB1267" s="143">
        <f t="shared" si="2536"/>
        <v>4234.24</v>
      </c>
      <c r="AC1267" s="144">
        <f t="shared" si="2537"/>
        <v>0</v>
      </c>
      <c r="AD1267" s="206"/>
      <c r="AE1267" s="144">
        <f t="shared" si="2538"/>
        <v>0</v>
      </c>
      <c r="AF1267" s="206"/>
      <c r="AG1267" s="8"/>
      <c r="AV1267" s="171" t="s">
        <v>114</v>
      </c>
      <c r="AW1267" s="174">
        <f>AW1265-AW1266</f>
        <v>2.0044384615384274</v>
      </c>
      <c r="AY1267" s="8"/>
    </row>
    <row r="1268" spans="1:51" x14ac:dyDescent="0.45">
      <c r="A1268" s="137">
        <f>A1265</f>
        <v>45690</v>
      </c>
      <c r="B1268" s="145" t="s">
        <v>31</v>
      </c>
      <c r="C1268" s="139">
        <f>120*W1268</f>
        <v>3969.6</v>
      </c>
      <c r="D1268" s="140">
        <v>80</v>
      </c>
      <c r="E1268" s="140">
        <v>19</v>
      </c>
      <c r="F1268" s="140">
        <v>5</v>
      </c>
      <c r="G1268" s="140">
        <v>5</v>
      </c>
      <c r="H1268" s="140">
        <v>0</v>
      </c>
      <c r="I1268" s="140">
        <v>0</v>
      </c>
      <c r="J1268" s="140">
        <v>0</v>
      </c>
      <c r="K1268" s="140">
        <v>0</v>
      </c>
      <c r="L1268" s="162">
        <v>0</v>
      </c>
      <c r="M1268" s="142"/>
      <c r="N1268" s="140">
        <v>80</v>
      </c>
      <c r="O1268" s="140">
        <v>20</v>
      </c>
      <c r="P1268" s="140">
        <v>5</v>
      </c>
      <c r="Q1268" s="140">
        <v>5</v>
      </c>
      <c r="R1268" s="142"/>
      <c r="S1268" s="140">
        <f t="shared" si="2529"/>
        <v>109</v>
      </c>
      <c r="T1268" s="140">
        <f t="shared" si="2530"/>
        <v>110</v>
      </c>
      <c r="U1268" s="140">
        <f t="shared" si="2531"/>
        <v>0</v>
      </c>
      <c r="V1268" s="142"/>
      <c r="W1268" s="141">
        <v>33.08</v>
      </c>
      <c r="X1268" s="146">
        <f t="shared" si="2532"/>
        <v>4085.3799999999997</v>
      </c>
      <c r="Y1268" s="146">
        <f t="shared" si="2533"/>
        <v>0</v>
      </c>
      <c r="Z1268" s="146">
        <f t="shared" si="2534"/>
        <v>0</v>
      </c>
      <c r="AA1268" s="147">
        <f t="shared" si="2535"/>
        <v>0</v>
      </c>
      <c r="AB1268" s="147">
        <f t="shared" si="2536"/>
        <v>4134.9999999999991</v>
      </c>
      <c r="AC1268" s="148">
        <f t="shared" si="2537"/>
        <v>0</v>
      </c>
      <c r="AD1268" s="206"/>
      <c r="AE1268" s="148">
        <f t="shared" si="2538"/>
        <v>49.619999999999436</v>
      </c>
      <c r="AF1268" s="206"/>
      <c r="AG1268" s="8"/>
      <c r="AH1268">
        <v>22643.88</v>
      </c>
      <c r="AV1268" s="171" t="s">
        <v>115</v>
      </c>
      <c r="AW1268" s="174">
        <f>AW1267*40*52</f>
        <v>4169.231999999929</v>
      </c>
      <c r="AX1268" s="8">
        <f>AW1268/2</f>
        <v>2084.6159999999645</v>
      </c>
    </row>
    <row r="1269" spans="1:51" x14ac:dyDescent="0.45">
      <c r="A1269" s="137">
        <f>A1265</f>
        <v>45690</v>
      </c>
      <c r="B1269" s="145" t="s">
        <v>64</v>
      </c>
      <c r="C1269" s="139">
        <f>80*W1269</f>
        <v>2000</v>
      </c>
      <c r="D1269" s="140">
        <v>72</v>
      </c>
      <c r="E1269" s="140">
        <v>0</v>
      </c>
      <c r="F1269" s="140">
        <v>0</v>
      </c>
      <c r="G1269" s="140">
        <v>0</v>
      </c>
      <c r="H1269" s="140">
        <v>0</v>
      </c>
      <c r="I1269" s="140">
        <v>8</v>
      </c>
      <c r="J1269" s="140">
        <v>0</v>
      </c>
      <c r="K1269" s="140">
        <v>0</v>
      </c>
      <c r="L1269" s="162">
        <v>0</v>
      </c>
      <c r="M1269" s="142"/>
      <c r="N1269" s="140">
        <v>0</v>
      </c>
      <c r="O1269" s="140">
        <v>0</v>
      </c>
      <c r="P1269" s="140">
        <v>0</v>
      </c>
      <c r="Q1269" s="140">
        <v>0</v>
      </c>
      <c r="R1269" s="142"/>
      <c r="S1269" s="140">
        <f t="shared" si="2529"/>
        <v>72</v>
      </c>
      <c r="T1269" s="140">
        <f t="shared" si="2530"/>
        <v>0</v>
      </c>
      <c r="U1269" s="140">
        <f t="shared" si="2531"/>
        <v>8</v>
      </c>
      <c r="V1269" s="142"/>
      <c r="W1269" s="146">
        <v>25</v>
      </c>
      <c r="X1269" s="146">
        <f t="shared" si="2532"/>
        <v>1800</v>
      </c>
      <c r="Y1269" s="146">
        <f t="shared" si="2533"/>
        <v>200</v>
      </c>
      <c r="Z1269" s="146">
        <f t="shared" si="2534"/>
        <v>0</v>
      </c>
      <c r="AA1269" s="147">
        <f t="shared" si="2535"/>
        <v>0</v>
      </c>
      <c r="AB1269" s="147">
        <f t="shared" si="2536"/>
        <v>0</v>
      </c>
      <c r="AC1269" s="148">
        <f t="shared" si="2537"/>
        <v>-200</v>
      </c>
      <c r="AD1269" s="206"/>
      <c r="AE1269" s="148">
        <f t="shared" si="2538"/>
        <v>-1800</v>
      </c>
      <c r="AF1269" s="206"/>
      <c r="AG1269" s="8"/>
      <c r="AH1269">
        <v>-3108.99</v>
      </c>
    </row>
    <row r="1270" spans="1:51" x14ac:dyDescent="0.45">
      <c r="A1270" s="137">
        <f>A1265</f>
        <v>45690</v>
      </c>
      <c r="B1270" s="145" t="s">
        <v>54</v>
      </c>
      <c r="C1270" s="139">
        <f>80*W1270</f>
        <v>2125.6</v>
      </c>
      <c r="D1270" s="140">
        <v>80</v>
      </c>
      <c r="E1270" s="140">
        <v>18</v>
      </c>
      <c r="F1270" s="140">
        <v>0</v>
      </c>
      <c r="G1270" s="140">
        <v>19.25</v>
      </c>
      <c r="H1270" s="140">
        <v>0</v>
      </c>
      <c r="I1270" s="140">
        <v>0</v>
      </c>
      <c r="J1270" s="140">
        <v>0</v>
      </c>
      <c r="K1270" s="140">
        <v>0</v>
      </c>
      <c r="L1270" s="162">
        <v>0</v>
      </c>
      <c r="M1270" s="142"/>
      <c r="N1270" s="140">
        <v>80</v>
      </c>
      <c r="O1270" s="140">
        <v>18</v>
      </c>
      <c r="P1270" s="140">
        <v>0</v>
      </c>
      <c r="Q1270" s="140">
        <v>19.25</v>
      </c>
      <c r="R1270" s="142"/>
      <c r="S1270" s="140">
        <f t="shared" si="2529"/>
        <v>117.25</v>
      </c>
      <c r="T1270" s="140">
        <f t="shared" si="2530"/>
        <v>117.25</v>
      </c>
      <c r="U1270" s="140">
        <f t="shared" si="2531"/>
        <v>0</v>
      </c>
      <c r="V1270" s="142"/>
      <c r="W1270" s="146">
        <v>26.57</v>
      </c>
      <c r="X1270" s="146">
        <f t="shared" si="2532"/>
        <v>3354.4624999999996</v>
      </c>
      <c r="Y1270" s="146">
        <f t="shared" si="2533"/>
        <v>0</v>
      </c>
      <c r="Z1270" s="146">
        <f t="shared" si="2534"/>
        <v>0</v>
      </c>
      <c r="AA1270" s="147">
        <f t="shared" si="2535"/>
        <v>0</v>
      </c>
      <c r="AB1270" s="147">
        <f t="shared" si="2536"/>
        <v>3354.4624999999996</v>
      </c>
      <c r="AC1270" s="148">
        <f t="shared" si="2537"/>
        <v>0</v>
      </c>
      <c r="AD1270" s="206"/>
      <c r="AE1270" s="148">
        <f t="shared" si="2538"/>
        <v>0</v>
      </c>
      <c r="AF1270" s="206"/>
      <c r="AG1270" s="8"/>
      <c r="AH1270">
        <v>-1672.88</v>
      </c>
    </row>
    <row r="1271" spans="1:51" ht="14.65" thickBot="1" x14ac:dyDescent="0.5">
      <c r="A1271" s="149">
        <f>A1265</f>
        <v>45690</v>
      </c>
      <c r="B1271" s="150" t="s">
        <v>66</v>
      </c>
      <c r="C1271" s="151">
        <f>80*W1271</f>
        <v>1756</v>
      </c>
      <c r="D1271" s="152">
        <v>80</v>
      </c>
      <c r="E1271" s="152">
        <v>11.5</v>
      </c>
      <c r="F1271" s="152">
        <v>0</v>
      </c>
      <c r="G1271" s="152">
        <v>0</v>
      </c>
      <c r="H1271" s="152">
        <v>0</v>
      </c>
      <c r="I1271" s="152">
        <v>0</v>
      </c>
      <c r="J1271" s="152">
        <v>0</v>
      </c>
      <c r="K1271" s="152">
        <v>0</v>
      </c>
      <c r="L1271" s="163">
        <v>0</v>
      </c>
      <c r="M1271" s="154"/>
      <c r="N1271" s="152">
        <v>80</v>
      </c>
      <c r="O1271" s="152">
        <v>12.5</v>
      </c>
      <c r="P1271" s="152">
        <v>0</v>
      </c>
      <c r="Q1271" s="152">
        <v>0</v>
      </c>
      <c r="R1271" s="154"/>
      <c r="S1271" s="152">
        <f t="shared" si="2529"/>
        <v>91.5</v>
      </c>
      <c r="T1271" s="152">
        <f t="shared" si="2530"/>
        <v>92.5</v>
      </c>
      <c r="U1271" s="152">
        <f t="shared" si="2531"/>
        <v>0</v>
      </c>
      <c r="V1271" s="154"/>
      <c r="W1271" s="153">
        <v>21.95</v>
      </c>
      <c r="X1271" s="153">
        <f t="shared" si="2532"/>
        <v>2134.6374999999998</v>
      </c>
      <c r="Y1271" s="153">
        <f t="shared" si="2533"/>
        <v>0</v>
      </c>
      <c r="Z1271" s="153">
        <f t="shared" si="2534"/>
        <v>0</v>
      </c>
      <c r="AA1271" s="155">
        <f t="shared" si="2535"/>
        <v>0</v>
      </c>
      <c r="AB1271" s="155">
        <f t="shared" si="2536"/>
        <v>2167.5625</v>
      </c>
      <c r="AC1271" s="156">
        <f t="shared" si="2537"/>
        <v>0</v>
      </c>
      <c r="AD1271" s="207"/>
      <c r="AE1271" s="156">
        <f t="shared" si="2538"/>
        <v>32.925000000000182</v>
      </c>
      <c r="AF1271" s="207"/>
      <c r="AG1271" s="8"/>
      <c r="AH1271">
        <f>SUM(AH1268:AH1270)</f>
        <v>17862.009999999998</v>
      </c>
    </row>
    <row r="1272" spans="1:51" x14ac:dyDescent="0.45">
      <c r="A1272" s="129">
        <f>A1271+14</f>
        <v>45704</v>
      </c>
      <c r="B1272" s="130" t="s">
        <v>30</v>
      </c>
      <c r="C1272" s="131">
        <f>120*W1272</f>
        <v>4303.2</v>
      </c>
      <c r="D1272" s="132">
        <v>80</v>
      </c>
      <c r="E1272" s="132">
        <v>9</v>
      </c>
      <c r="F1272" s="132">
        <v>0</v>
      </c>
      <c r="G1272" s="132">
        <v>0</v>
      </c>
      <c r="H1272" s="132">
        <v>0</v>
      </c>
      <c r="I1272" s="132">
        <v>0</v>
      </c>
      <c r="J1272" s="132">
        <v>0</v>
      </c>
      <c r="K1272" s="132">
        <v>0</v>
      </c>
      <c r="L1272" s="161">
        <v>0</v>
      </c>
      <c r="M1272" s="134"/>
      <c r="N1272" s="132">
        <v>80</v>
      </c>
      <c r="O1272" s="132">
        <v>9</v>
      </c>
      <c r="P1272" s="132">
        <v>0</v>
      </c>
      <c r="Q1272" s="132">
        <v>0</v>
      </c>
      <c r="R1272" s="134"/>
      <c r="S1272" s="132">
        <f t="shared" ref="S1272:S1278" si="2539">SUM(D1272:G1272)</f>
        <v>89</v>
      </c>
      <c r="T1272" s="132">
        <f t="shared" ref="T1272:T1278" si="2540">SUM(N1272:Q1272)</f>
        <v>89</v>
      </c>
      <c r="U1272" s="132">
        <f t="shared" ref="U1272:U1278" si="2541">SUM(H1272:K1272)</f>
        <v>0</v>
      </c>
      <c r="V1272" s="134"/>
      <c r="W1272" s="133">
        <v>35.86</v>
      </c>
      <c r="X1272" s="133">
        <f t="shared" ref="X1272:X1278" si="2542">(W1272*1*D1272)+(W1272*1.5*E1272)+(W1272*2*F1272)+(W1272*1*G1272)</f>
        <v>3352.9100000000003</v>
      </c>
      <c r="Y1272" s="133">
        <f t="shared" ref="Y1272:Y1278" si="2543">(W1272*0*H1272)+(W1272*1*I1272)</f>
        <v>0</v>
      </c>
      <c r="Z1272" s="133">
        <f t="shared" ref="Z1272:Z1278" si="2544">(W1272*1*J1272)+L1272</f>
        <v>0</v>
      </c>
      <c r="AA1272" s="135">
        <f t="shared" ref="AA1272:AA1278" si="2545">(W1272*1*K1272)</f>
        <v>0</v>
      </c>
      <c r="AB1272" s="135">
        <f t="shared" ref="AB1272:AB1278" si="2546">(W1272*1*N1272)+(W1272*1.5*O1272)+(W1272*2*P1272)+(W1272*1*Q1272)</f>
        <v>3352.9100000000003</v>
      </c>
      <c r="AC1272" s="136">
        <f t="shared" ref="AC1272:AC1278" si="2547">0-Y1272-AA1272</f>
        <v>0</v>
      </c>
      <c r="AD1272" s="205"/>
      <c r="AE1272" s="136">
        <f t="shared" ref="AE1272:AE1278" si="2548">AB1272-(X1272+Z1272)</f>
        <v>0</v>
      </c>
      <c r="AF1272" s="205">
        <f>SUM(AE1272:AE1278)</f>
        <v>-5449.0574999999999</v>
      </c>
      <c r="AG1272" s="8"/>
    </row>
    <row r="1273" spans="1:51" x14ac:dyDescent="0.45">
      <c r="A1273" s="137">
        <f>A1272</f>
        <v>45704</v>
      </c>
      <c r="B1273" s="138" t="s">
        <v>5</v>
      </c>
      <c r="C1273" s="139">
        <f>120*W1273</f>
        <v>3836.3999999999996</v>
      </c>
      <c r="D1273" s="140">
        <v>80</v>
      </c>
      <c r="E1273" s="140">
        <v>16.75</v>
      </c>
      <c r="F1273" s="140">
        <v>0</v>
      </c>
      <c r="G1273" s="140">
        <v>0</v>
      </c>
      <c r="H1273" s="140">
        <v>0</v>
      </c>
      <c r="I1273" s="140">
        <v>0</v>
      </c>
      <c r="J1273" s="140">
        <v>0</v>
      </c>
      <c r="K1273" s="140">
        <v>0</v>
      </c>
      <c r="L1273" s="162">
        <v>0</v>
      </c>
      <c r="M1273" s="142"/>
      <c r="N1273" s="140">
        <v>80</v>
      </c>
      <c r="O1273" s="140">
        <v>17.25</v>
      </c>
      <c r="P1273" s="140">
        <v>0</v>
      </c>
      <c r="Q1273" s="140">
        <v>0</v>
      </c>
      <c r="R1273" s="142"/>
      <c r="S1273" s="140">
        <f t="shared" si="2539"/>
        <v>96.75</v>
      </c>
      <c r="T1273" s="140">
        <f t="shared" si="2540"/>
        <v>97.25</v>
      </c>
      <c r="U1273" s="140">
        <f t="shared" si="2541"/>
        <v>0</v>
      </c>
      <c r="V1273" s="142"/>
      <c r="W1273" s="141">
        <v>31.97</v>
      </c>
      <c r="X1273" s="141">
        <f t="shared" si="2542"/>
        <v>3360.8462499999996</v>
      </c>
      <c r="Y1273" s="141">
        <f t="shared" si="2543"/>
        <v>0</v>
      </c>
      <c r="Z1273" s="141">
        <f t="shared" si="2544"/>
        <v>0</v>
      </c>
      <c r="AA1273" s="143">
        <f t="shared" si="2545"/>
        <v>0</v>
      </c>
      <c r="AB1273" s="143">
        <f t="shared" si="2546"/>
        <v>3384.82375</v>
      </c>
      <c r="AC1273" s="144">
        <f t="shared" si="2547"/>
        <v>0</v>
      </c>
      <c r="AD1273" s="206"/>
      <c r="AE1273" s="144">
        <f t="shared" si="2548"/>
        <v>23.977500000000418</v>
      </c>
      <c r="AF1273" s="206"/>
      <c r="AG1273" s="8"/>
    </row>
    <row r="1274" spans="1:51" x14ac:dyDescent="0.45">
      <c r="A1274" s="137">
        <f>A1272</f>
        <v>45704</v>
      </c>
      <c r="B1274" s="138" t="s">
        <v>6</v>
      </c>
      <c r="C1274" s="139">
        <f>120*W1274</f>
        <v>3969.6</v>
      </c>
      <c r="D1274" s="140">
        <v>33.5</v>
      </c>
      <c r="E1274" s="140">
        <v>0</v>
      </c>
      <c r="F1274" s="140">
        <v>0</v>
      </c>
      <c r="G1274" s="140">
        <v>13</v>
      </c>
      <c r="H1274" s="140">
        <v>0</v>
      </c>
      <c r="I1274" s="140">
        <v>0</v>
      </c>
      <c r="J1274" s="140">
        <v>0</v>
      </c>
      <c r="K1274" s="140">
        <v>0</v>
      </c>
      <c r="L1274" s="162">
        <v>0</v>
      </c>
      <c r="M1274" s="142"/>
      <c r="N1274" s="140">
        <v>33.5</v>
      </c>
      <c r="O1274" s="140">
        <v>0</v>
      </c>
      <c r="P1274" s="140">
        <v>0</v>
      </c>
      <c r="Q1274" s="140">
        <v>13</v>
      </c>
      <c r="R1274" s="142"/>
      <c r="S1274" s="140">
        <f t="shared" si="2539"/>
        <v>46.5</v>
      </c>
      <c r="T1274" s="140">
        <f t="shared" si="2540"/>
        <v>46.5</v>
      </c>
      <c r="U1274" s="140">
        <f t="shared" si="2541"/>
        <v>0</v>
      </c>
      <c r="V1274" s="142"/>
      <c r="W1274" s="141">
        <v>33.08</v>
      </c>
      <c r="X1274" s="141">
        <f t="shared" si="2542"/>
        <v>1538.2199999999998</v>
      </c>
      <c r="Y1274" s="141">
        <f t="shared" si="2543"/>
        <v>0</v>
      </c>
      <c r="Z1274" s="141">
        <f t="shared" si="2544"/>
        <v>0</v>
      </c>
      <c r="AA1274" s="143">
        <f t="shared" si="2545"/>
        <v>0</v>
      </c>
      <c r="AB1274" s="143">
        <f t="shared" si="2546"/>
        <v>1538.2199999999998</v>
      </c>
      <c r="AC1274" s="144">
        <f t="shared" si="2547"/>
        <v>0</v>
      </c>
      <c r="AD1274" s="206"/>
      <c r="AE1274" s="144">
        <f t="shared" si="2548"/>
        <v>0</v>
      </c>
      <c r="AF1274" s="206"/>
      <c r="AG1274" s="8"/>
    </row>
    <row r="1275" spans="1:51" x14ac:dyDescent="0.45">
      <c r="A1275" s="137">
        <f>A1272</f>
        <v>45704</v>
      </c>
      <c r="B1275" s="145" t="s">
        <v>31</v>
      </c>
      <c r="C1275" s="139">
        <f>120*W1275</f>
        <v>3969.6</v>
      </c>
      <c r="D1275" s="140">
        <v>43.5</v>
      </c>
      <c r="E1275" s="140">
        <v>19.25</v>
      </c>
      <c r="F1275" s="140">
        <v>8.5</v>
      </c>
      <c r="G1275" s="140">
        <v>5</v>
      </c>
      <c r="H1275" s="140">
        <v>0</v>
      </c>
      <c r="I1275" s="140">
        <v>0</v>
      </c>
      <c r="J1275" s="140">
        <v>0</v>
      </c>
      <c r="K1275" s="140">
        <v>0</v>
      </c>
      <c r="L1275" s="162">
        <v>0</v>
      </c>
      <c r="M1275" s="142"/>
      <c r="N1275" s="140">
        <v>43.75</v>
      </c>
      <c r="O1275" s="140">
        <v>17.75</v>
      </c>
      <c r="P1275" s="140">
        <v>8.5</v>
      </c>
      <c r="Q1275" s="140">
        <v>6.5</v>
      </c>
      <c r="R1275" s="142"/>
      <c r="S1275" s="140">
        <f t="shared" si="2539"/>
        <v>76.25</v>
      </c>
      <c r="T1275" s="140">
        <f t="shared" si="2540"/>
        <v>76.5</v>
      </c>
      <c r="U1275" s="140">
        <f t="shared" si="2541"/>
        <v>0</v>
      </c>
      <c r="V1275" s="142"/>
      <c r="W1275" s="141">
        <v>33.08</v>
      </c>
      <c r="X1275" s="146">
        <f t="shared" si="2542"/>
        <v>3121.9250000000002</v>
      </c>
      <c r="Y1275" s="146">
        <f t="shared" si="2543"/>
        <v>0</v>
      </c>
      <c r="Z1275" s="146">
        <f t="shared" si="2544"/>
        <v>0</v>
      </c>
      <c r="AA1275" s="147">
        <f t="shared" si="2545"/>
        <v>0</v>
      </c>
      <c r="AB1275" s="147">
        <f t="shared" si="2546"/>
        <v>3105.3850000000002</v>
      </c>
      <c r="AC1275" s="148">
        <f t="shared" si="2547"/>
        <v>0</v>
      </c>
      <c r="AD1275" s="206"/>
      <c r="AE1275" s="148">
        <f t="shared" si="2548"/>
        <v>-16.539999999999964</v>
      </c>
      <c r="AF1275" s="206"/>
      <c r="AG1275" s="8"/>
      <c r="AH1275">
        <v>22621.58</v>
      </c>
      <c r="AJ1275" s="170">
        <v>3862.5</v>
      </c>
    </row>
    <row r="1276" spans="1:51" x14ac:dyDescent="0.45">
      <c r="A1276" s="137">
        <f>A1272</f>
        <v>45704</v>
      </c>
      <c r="B1276" s="145" t="s">
        <v>64</v>
      </c>
      <c r="C1276" s="139">
        <f>80*W1276</f>
        <v>2000</v>
      </c>
      <c r="D1276" s="140">
        <v>70</v>
      </c>
      <c r="E1276" s="140">
        <v>18.5</v>
      </c>
      <c r="F1276" s="140">
        <v>12</v>
      </c>
      <c r="G1276" s="140">
        <v>7</v>
      </c>
      <c r="H1276" s="140">
        <v>0</v>
      </c>
      <c r="I1276" s="140">
        <v>0</v>
      </c>
      <c r="J1276" s="140">
        <v>0</v>
      </c>
      <c r="K1276" s="140">
        <v>0</v>
      </c>
      <c r="L1276" s="162">
        <v>0</v>
      </c>
      <c r="M1276" s="142"/>
      <c r="N1276" s="140">
        <v>0</v>
      </c>
      <c r="O1276" s="140">
        <v>0</v>
      </c>
      <c r="P1276" s="140">
        <v>0</v>
      </c>
      <c r="Q1276" s="140">
        <v>0</v>
      </c>
      <c r="R1276" s="142"/>
      <c r="S1276" s="140">
        <f t="shared" si="2539"/>
        <v>107.5</v>
      </c>
      <c r="T1276" s="140">
        <f t="shared" si="2540"/>
        <v>0</v>
      </c>
      <c r="U1276" s="140">
        <f t="shared" si="2541"/>
        <v>0</v>
      </c>
      <c r="V1276" s="142"/>
      <c r="W1276" s="146">
        <v>25</v>
      </c>
      <c r="X1276" s="146">
        <f>(W1276*1*D1276)+(W1276*1.5*E1276)+(W1276*2*F1276)+(W1276*1*G1276)</f>
        <v>3218.75</v>
      </c>
      <c r="Y1276" s="146">
        <f t="shared" si="2543"/>
        <v>0</v>
      </c>
      <c r="Z1276" s="146">
        <f t="shared" si="2544"/>
        <v>0</v>
      </c>
      <c r="AA1276" s="147">
        <f t="shared" si="2545"/>
        <v>0</v>
      </c>
      <c r="AB1276" s="147">
        <f t="shared" si="2546"/>
        <v>0</v>
      </c>
      <c r="AC1276" s="148">
        <f t="shared" si="2547"/>
        <v>0</v>
      </c>
      <c r="AD1276" s="206"/>
      <c r="AE1276" s="148">
        <f t="shared" si="2548"/>
        <v>-3218.75</v>
      </c>
      <c r="AF1276" s="206"/>
      <c r="AG1276" s="8"/>
      <c r="AH1276">
        <v>-3108.99</v>
      </c>
      <c r="AJ1276" s="170">
        <v>3218.75</v>
      </c>
    </row>
    <row r="1277" spans="1:51" x14ac:dyDescent="0.45">
      <c r="A1277" s="137">
        <f>A1272</f>
        <v>45704</v>
      </c>
      <c r="B1277" s="145" t="s">
        <v>54</v>
      </c>
      <c r="C1277" s="139">
        <f>80*W1277</f>
        <v>2125.6</v>
      </c>
      <c r="D1277" s="140">
        <v>80</v>
      </c>
      <c r="E1277" s="140">
        <v>33</v>
      </c>
      <c r="F1277" s="140">
        <v>12.5</v>
      </c>
      <c r="G1277" s="140">
        <v>19.5</v>
      </c>
      <c r="H1277" s="140">
        <v>0</v>
      </c>
      <c r="I1277" s="140">
        <v>0</v>
      </c>
      <c r="J1277" s="140">
        <v>0</v>
      </c>
      <c r="K1277" s="140">
        <v>0</v>
      </c>
      <c r="L1277" s="162">
        <v>0</v>
      </c>
      <c r="M1277" s="142"/>
      <c r="N1277" s="140">
        <v>80</v>
      </c>
      <c r="O1277" s="140">
        <v>32.5</v>
      </c>
      <c r="P1277" s="140">
        <v>13</v>
      </c>
      <c r="Q1277" s="140">
        <v>19.5</v>
      </c>
      <c r="R1277" s="142"/>
      <c r="S1277" s="140">
        <f t="shared" si="2539"/>
        <v>145</v>
      </c>
      <c r="T1277" s="140">
        <f t="shared" si="2540"/>
        <v>145</v>
      </c>
      <c r="U1277" s="140">
        <f t="shared" si="2541"/>
        <v>0</v>
      </c>
      <c r="V1277" s="142"/>
      <c r="W1277" s="146">
        <v>26.57</v>
      </c>
      <c r="X1277" s="146">
        <f t="shared" si="2542"/>
        <v>4623.18</v>
      </c>
      <c r="Y1277" s="146">
        <f t="shared" si="2543"/>
        <v>0</v>
      </c>
      <c r="Z1277" s="146">
        <f t="shared" si="2544"/>
        <v>0</v>
      </c>
      <c r="AA1277" s="147">
        <f t="shared" si="2545"/>
        <v>0</v>
      </c>
      <c r="AB1277" s="147">
        <f t="shared" si="2546"/>
        <v>4629.8224999999993</v>
      </c>
      <c r="AC1277" s="148">
        <f t="shared" si="2547"/>
        <v>0</v>
      </c>
      <c r="AD1277" s="206"/>
      <c r="AE1277" s="148">
        <f t="shared" si="2548"/>
        <v>6.6424999999990177</v>
      </c>
      <c r="AF1277" s="206"/>
      <c r="AG1277" s="8"/>
      <c r="AH1277">
        <v>-2261.84</v>
      </c>
      <c r="AJ1277" s="170">
        <f>AJ1275-AJ1276</f>
        <v>643.75</v>
      </c>
    </row>
    <row r="1278" spans="1:51" ht="14.65" thickBot="1" x14ac:dyDescent="0.5">
      <c r="A1278" s="149">
        <f>A1272</f>
        <v>45704</v>
      </c>
      <c r="B1278" s="150" t="s">
        <v>66</v>
      </c>
      <c r="C1278" s="151">
        <f>80*W1278</f>
        <v>1756</v>
      </c>
      <c r="D1278" s="152">
        <v>53.25</v>
      </c>
      <c r="E1278" s="152">
        <v>25.5</v>
      </c>
      <c r="F1278" s="152">
        <v>12</v>
      </c>
      <c r="G1278" s="152">
        <v>0</v>
      </c>
      <c r="H1278" s="152">
        <v>0</v>
      </c>
      <c r="I1278" s="152">
        <v>24</v>
      </c>
      <c r="J1278" s="152">
        <v>0</v>
      </c>
      <c r="K1278" s="152">
        <v>0</v>
      </c>
      <c r="L1278" s="163">
        <v>0</v>
      </c>
      <c r="M1278" s="154"/>
      <c r="N1278" s="152">
        <v>13.25</v>
      </c>
      <c r="O1278" s="152">
        <v>0</v>
      </c>
      <c r="P1278" s="152">
        <v>0</v>
      </c>
      <c r="Q1278" s="152">
        <v>0</v>
      </c>
      <c r="R1278" s="154"/>
      <c r="S1278" s="152">
        <f t="shared" si="2539"/>
        <v>90.75</v>
      </c>
      <c r="T1278" s="152">
        <f t="shared" si="2540"/>
        <v>13.25</v>
      </c>
      <c r="U1278" s="152">
        <f t="shared" si="2541"/>
        <v>24</v>
      </c>
      <c r="V1278" s="154"/>
      <c r="W1278" s="153">
        <v>21.95</v>
      </c>
      <c r="X1278" s="153">
        <f t="shared" si="2542"/>
        <v>2535.2249999999995</v>
      </c>
      <c r="Y1278" s="153">
        <f t="shared" si="2543"/>
        <v>526.79999999999995</v>
      </c>
      <c r="Z1278" s="153">
        <f t="shared" si="2544"/>
        <v>0</v>
      </c>
      <c r="AA1278" s="155">
        <f t="shared" si="2545"/>
        <v>0</v>
      </c>
      <c r="AB1278" s="155">
        <f t="shared" si="2546"/>
        <v>290.83749999999998</v>
      </c>
      <c r="AC1278" s="156">
        <f t="shared" si="2547"/>
        <v>-526.79999999999995</v>
      </c>
      <c r="AD1278" s="207"/>
      <c r="AE1278" s="156">
        <f t="shared" si="2548"/>
        <v>-2244.3874999999994</v>
      </c>
      <c r="AF1278" s="207"/>
      <c r="AG1278" s="8"/>
      <c r="AH1278">
        <f>SUM(AH1275:AH1277)</f>
        <v>17250.750000000004</v>
      </c>
    </row>
    <row r="1279" spans="1:51" x14ac:dyDescent="0.45">
      <c r="A1279" s="129">
        <f>A1278+14</f>
        <v>45718</v>
      </c>
      <c r="B1279" s="130" t="s">
        <v>30</v>
      </c>
      <c r="C1279" s="131">
        <f>120*W1279</f>
        <v>4303.2</v>
      </c>
      <c r="D1279" s="132">
        <v>72</v>
      </c>
      <c r="E1279" s="132">
        <v>19.5</v>
      </c>
      <c r="F1279" s="132">
        <v>12</v>
      </c>
      <c r="G1279" s="132">
        <v>4.5</v>
      </c>
      <c r="H1279" s="132">
        <v>0</v>
      </c>
      <c r="I1279" s="132">
        <v>0</v>
      </c>
      <c r="J1279" s="132">
        <v>8</v>
      </c>
      <c r="K1279" s="132">
        <v>0</v>
      </c>
      <c r="L1279" s="161">
        <v>0</v>
      </c>
      <c r="M1279" s="134"/>
      <c r="N1279" s="132">
        <v>80</v>
      </c>
      <c r="O1279" s="132">
        <v>11.5</v>
      </c>
      <c r="P1279" s="132">
        <v>12</v>
      </c>
      <c r="Q1279" s="132">
        <v>4.5</v>
      </c>
      <c r="R1279" s="134"/>
      <c r="S1279" s="132">
        <f t="shared" ref="S1279:S1285" si="2549">SUM(D1279:G1279)</f>
        <v>108</v>
      </c>
      <c r="T1279" s="132">
        <f t="shared" ref="T1279:T1285" si="2550">SUM(N1279:Q1279)</f>
        <v>108</v>
      </c>
      <c r="U1279" s="132">
        <f t="shared" ref="U1279:U1285" si="2551">SUM(H1279:K1279)</f>
        <v>8</v>
      </c>
      <c r="V1279" s="134"/>
      <c r="W1279" s="133">
        <v>35.86</v>
      </c>
      <c r="X1279" s="133">
        <f t="shared" ref="X1279:X1282" si="2552">(W1279*1*D1279)+(W1279*1.5*E1279)+(W1279*2*F1279)+(W1279*1*G1279)</f>
        <v>4652.835</v>
      </c>
      <c r="Y1279" s="133">
        <f t="shared" ref="Y1279:Y1285" si="2553">(W1279*0*H1279)+(W1279*1*I1279)</f>
        <v>0</v>
      </c>
      <c r="Z1279" s="133">
        <f t="shared" ref="Z1279:Z1285" si="2554">(W1279*1*J1279)+L1279</f>
        <v>286.88</v>
      </c>
      <c r="AA1279" s="135">
        <f t="shared" ref="AA1279:AA1285" si="2555">(W1279*1*K1279)</f>
        <v>0</v>
      </c>
      <c r="AB1279" s="135">
        <f t="shared" ref="AB1279:AB1285" si="2556">(W1279*1*N1279)+(W1279*1.5*O1279)+(W1279*2*P1279)+(W1279*1*Q1279)</f>
        <v>4509.3950000000004</v>
      </c>
      <c r="AC1279" s="136">
        <f t="shared" ref="AC1279:AC1285" si="2557">0-Y1279-AA1279</f>
        <v>0</v>
      </c>
      <c r="AD1279" s="205"/>
      <c r="AE1279" s="136">
        <f t="shared" ref="AE1279:AE1285" si="2558">AB1279-(X1279+Z1279)</f>
        <v>-430.31999999999971</v>
      </c>
      <c r="AF1279" s="205">
        <f>SUM(AE1279:AE1285)</f>
        <v>-6138.7749999999996</v>
      </c>
      <c r="AG1279" s="8"/>
    </row>
    <row r="1280" spans="1:51" x14ac:dyDescent="0.45">
      <c r="A1280" s="137">
        <f>A1279</f>
        <v>45718</v>
      </c>
      <c r="B1280" s="138" t="s">
        <v>5</v>
      </c>
      <c r="C1280" s="139">
        <f>120*W1280</f>
        <v>3836.3999999999996</v>
      </c>
      <c r="D1280" s="140">
        <v>70.25</v>
      </c>
      <c r="E1280" s="140">
        <v>28.5</v>
      </c>
      <c r="F1280" s="140">
        <v>0</v>
      </c>
      <c r="G1280" s="140">
        <v>0</v>
      </c>
      <c r="H1280" s="140">
        <v>0</v>
      </c>
      <c r="I1280" s="140">
        <v>8</v>
      </c>
      <c r="J1280" s="140">
        <v>8</v>
      </c>
      <c r="K1280" s="140">
        <v>0</v>
      </c>
      <c r="L1280" s="162">
        <v>0</v>
      </c>
      <c r="M1280" s="142"/>
      <c r="N1280" s="140">
        <v>79.75</v>
      </c>
      <c r="O1280" s="140">
        <v>19</v>
      </c>
      <c r="P1280" s="140">
        <v>0</v>
      </c>
      <c r="Q1280" s="140">
        <v>0</v>
      </c>
      <c r="R1280" s="142"/>
      <c r="S1280" s="140">
        <f t="shared" si="2549"/>
        <v>98.75</v>
      </c>
      <c r="T1280" s="140">
        <f t="shared" si="2550"/>
        <v>98.75</v>
      </c>
      <c r="U1280" s="140">
        <f t="shared" si="2551"/>
        <v>16</v>
      </c>
      <c r="V1280" s="142"/>
      <c r="W1280" s="141">
        <v>31.97</v>
      </c>
      <c r="X1280" s="141">
        <f t="shared" si="2552"/>
        <v>3612.6099999999997</v>
      </c>
      <c r="Y1280" s="141">
        <f t="shared" si="2553"/>
        <v>255.76</v>
      </c>
      <c r="Z1280" s="141">
        <f t="shared" si="2554"/>
        <v>255.76</v>
      </c>
      <c r="AA1280" s="143">
        <f t="shared" si="2555"/>
        <v>0</v>
      </c>
      <c r="AB1280" s="143">
        <f t="shared" si="2556"/>
        <v>3460.7525000000001</v>
      </c>
      <c r="AC1280" s="144">
        <f t="shared" si="2557"/>
        <v>-255.76</v>
      </c>
      <c r="AD1280" s="206"/>
      <c r="AE1280" s="144">
        <f t="shared" si="2558"/>
        <v>-407.61749999999984</v>
      </c>
      <c r="AF1280" s="206"/>
      <c r="AG1280" s="8"/>
    </row>
    <row r="1281" spans="1:36" x14ac:dyDescent="0.45">
      <c r="A1281" s="137">
        <f>A1279</f>
        <v>45718</v>
      </c>
      <c r="B1281" s="138" t="s">
        <v>6</v>
      </c>
      <c r="C1281" s="139">
        <f>120*W1281</f>
        <v>3969.6</v>
      </c>
      <c r="D1281" s="140">
        <v>1.5</v>
      </c>
      <c r="E1281" s="140">
        <v>0</v>
      </c>
      <c r="F1281" s="140">
        <v>0</v>
      </c>
      <c r="G1281" s="140">
        <v>0</v>
      </c>
      <c r="H1281" s="140">
        <v>0</v>
      </c>
      <c r="I1281" s="140">
        <v>0</v>
      </c>
      <c r="J1281" s="140">
        <v>0</v>
      </c>
      <c r="K1281" s="140">
        <v>0</v>
      </c>
      <c r="L1281" s="162">
        <v>0</v>
      </c>
      <c r="M1281" s="142"/>
      <c r="N1281" s="140">
        <v>0</v>
      </c>
      <c r="O1281" s="140">
        <v>0</v>
      </c>
      <c r="P1281" s="140">
        <v>0</v>
      </c>
      <c r="Q1281" s="140">
        <v>0</v>
      </c>
      <c r="R1281" s="142"/>
      <c r="S1281" s="140">
        <f t="shared" si="2549"/>
        <v>1.5</v>
      </c>
      <c r="T1281" s="140">
        <f t="shared" si="2550"/>
        <v>0</v>
      </c>
      <c r="U1281" s="140">
        <f t="shared" si="2551"/>
        <v>0</v>
      </c>
      <c r="V1281" s="142"/>
      <c r="W1281" s="141">
        <v>33.08</v>
      </c>
      <c r="X1281" s="141">
        <f t="shared" si="2552"/>
        <v>49.62</v>
      </c>
      <c r="Y1281" s="141">
        <f t="shared" si="2553"/>
        <v>0</v>
      </c>
      <c r="Z1281" s="141">
        <f t="shared" si="2554"/>
        <v>0</v>
      </c>
      <c r="AA1281" s="143">
        <f t="shared" si="2555"/>
        <v>0</v>
      </c>
      <c r="AB1281" s="143">
        <f t="shared" si="2556"/>
        <v>0</v>
      </c>
      <c r="AC1281" s="144">
        <f t="shared" si="2557"/>
        <v>0</v>
      </c>
      <c r="AD1281" s="206"/>
      <c r="AE1281" s="144">
        <f t="shared" si="2558"/>
        <v>-49.62</v>
      </c>
      <c r="AF1281" s="206"/>
      <c r="AG1281" s="8"/>
    </row>
    <row r="1282" spans="1:36" x14ac:dyDescent="0.45">
      <c r="A1282" s="137">
        <f>A1279</f>
        <v>45718</v>
      </c>
      <c r="B1282" s="145" t="s">
        <v>31</v>
      </c>
      <c r="C1282" s="139">
        <f>120*W1282</f>
        <v>3969.6</v>
      </c>
      <c r="D1282" s="140">
        <v>47.25</v>
      </c>
      <c r="E1282" s="140">
        <v>0</v>
      </c>
      <c r="F1282" s="140">
        <v>11</v>
      </c>
      <c r="G1282" s="140">
        <v>5</v>
      </c>
      <c r="H1282" s="140">
        <v>0</v>
      </c>
      <c r="I1282" s="140">
        <v>0</v>
      </c>
      <c r="J1282" s="140">
        <v>8</v>
      </c>
      <c r="K1282" s="140">
        <v>0</v>
      </c>
      <c r="L1282" s="162">
        <v>0</v>
      </c>
      <c r="M1282" s="142"/>
      <c r="N1282" s="140">
        <v>47.25</v>
      </c>
      <c r="O1282" s="140">
        <v>0</v>
      </c>
      <c r="P1282" s="140">
        <v>11.5</v>
      </c>
      <c r="Q1282" s="140">
        <v>5</v>
      </c>
      <c r="R1282" s="142"/>
      <c r="S1282" s="140">
        <f t="shared" si="2549"/>
        <v>63.25</v>
      </c>
      <c r="T1282" s="140">
        <f t="shared" si="2550"/>
        <v>63.75</v>
      </c>
      <c r="U1282" s="140">
        <f t="shared" si="2551"/>
        <v>8</v>
      </c>
      <c r="V1282" s="142"/>
      <c r="W1282" s="141">
        <v>33.08</v>
      </c>
      <c r="X1282" s="146">
        <f t="shared" si="2552"/>
        <v>2456.19</v>
      </c>
      <c r="Y1282" s="146">
        <f t="shared" si="2553"/>
        <v>0</v>
      </c>
      <c r="Z1282" s="146">
        <f t="shared" si="2554"/>
        <v>264.64</v>
      </c>
      <c r="AA1282" s="147">
        <f t="shared" si="2555"/>
        <v>0</v>
      </c>
      <c r="AB1282" s="147">
        <f t="shared" si="2556"/>
        <v>2489.27</v>
      </c>
      <c r="AC1282" s="148">
        <f t="shared" si="2557"/>
        <v>0</v>
      </c>
      <c r="AD1282" s="206"/>
      <c r="AE1282" s="148">
        <f t="shared" si="2558"/>
        <v>-231.55999999999995</v>
      </c>
      <c r="AF1282" s="206"/>
      <c r="AG1282" s="8"/>
      <c r="AH1282">
        <v>18841.580000000002</v>
      </c>
      <c r="AJ1282" s="170"/>
    </row>
    <row r="1283" spans="1:36" x14ac:dyDescent="0.45">
      <c r="A1283" s="137">
        <f>A1279</f>
        <v>45718</v>
      </c>
      <c r="B1283" s="145" t="s">
        <v>64</v>
      </c>
      <c r="C1283" s="139">
        <f>80*W1283</f>
        <v>2000</v>
      </c>
      <c r="D1283" s="140">
        <v>49</v>
      </c>
      <c r="E1283" s="140">
        <v>16</v>
      </c>
      <c r="F1283" s="140">
        <v>0</v>
      </c>
      <c r="G1283" s="140">
        <v>7</v>
      </c>
      <c r="H1283" s="140">
        <v>0</v>
      </c>
      <c r="I1283" s="140">
        <v>0</v>
      </c>
      <c r="J1283" s="140">
        <v>8</v>
      </c>
      <c r="K1283" s="140">
        <v>0</v>
      </c>
      <c r="L1283" s="162">
        <v>0</v>
      </c>
      <c r="M1283" s="142"/>
      <c r="N1283" s="140">
        <v>0</v>
      </c>
      <c r="O1283" s="140">
        <v>0</v>
      </c>
      <c r="P1283" s="140">
        <v>0</v>
      </c>
      <c r="Q1283" s="140">
        <v>0</v>
      </c>
      <c r="R1283" s="142"/>
      <c r="S1283" s="140">
        <f t="shared" si="2549"/>
        <v>72</v>
      </c>
      <c r="T1283" s="140">
        <f t="shared" si="2550"/>
        <v>0</v>
      </c>
      <c r="U1283" s="140">
        <f t="shared" si="2551"/>
        <v>8</v>
      </c>
      <c r="V1283" s="142"/>
      <c r="W1283" s="146">
        <v>25</v>
      </c>
      <c r="X1283" s="146">
        <f>(W1283*1*D1283)+(W1283*1.5*E1283)+(W1283*2*F1283)+(W1283*1*G1283)</f>
        <v>2000</v>
      </c>
      <c r="Y1283" s="146">
        <f t="shared" si="2553"/>
        <v>0</v>
      </c>
      <c r="Z1283" s="146">
        <f t="shared" si="2554"/>
        <v>200</v>
      </c>
      <c r="AA1283" s="147">
        <f t="shared" si="2555"/>
        <v>0</v>
      </c>
      <c r="AB1283" s="147">
        <f t="shared" si="2556"/>
        <v>0</v>
      </c>
      <c r="AC1283" s="148">
        <f t="shared" si="2557"/>
        <v>0</v>
      </c>
      <c r="AD1283" s="206"/>
      <c r="AE1283" s="148">
        <f t="shared" si="2558"/>
        <v>-2200</v>
      </c>
      <c r="AF1283" s="206"/>
      <c r="AG1283" s="8"/>
      <c r="AH1283">
        <v>-3108.99</v>
      </c>
      <c r="AJ1283" s="170"/>
    </row>
    <row r="1284" spans="1:36" x14ac:dyDescent="0.45">
      <c r="A1284" s="137">
        <f>A1279</f>
        <v>45718</v>
      </c>
      <c r="B1284" s="145" t="s">
        <v>54</v>
      </c>
      <c r="C1284" s="139">
        <f>80*W1284</f>
        <v>2125.6</v>
      </c>
      <c r="D1284" s="140">
        <v>48</v>
      </c>
      <c r="E1284" s="140">
        <v>12</v>
      </c>
      <c r="F1284" s="140">
        <v>0</v>
      </c>
      <c r="G1284" s="140">
        <v>6.5</v>
      </c>
      <c r="H1284" s="140">
        <v>0</v>
      </c>
      <c r="I1284" s="140">
        <v>0</v>
      </c>
      <c r="J1284" s="140">
        <v>8</v>
      </c>
      <c r="K1284" s="140">
        <v>0</v>
      </c>
      <c r="L1284" s="162">
        <v>0</v>
      </c>
      <c r="M1284" s="142"/>
      <c r="N1284" s="140">
        <v>25.5</v>
      </c>
      <c r="O1284" s="140">
        <v>0</v>
      </c>
      <c r="P1284" s="140">
        <v>0</v>
      </c>
      <c r="Q1284" s="140">
        <v>6.5</v>
      </c>
      <c r="R1284" s="142"/>
      <c r="S1284" s="140">
        <f t="shared" si="2549"/>
        <v>66.5</v>
      </c>
      <c r="T1284" s="140">
        <f t="shared" si="2550"/>
        <v>32</v>
      </c>
      <c r="U1284" s="140">
        <f t="shared" si="2551"/>
        <v>8</v>
      </c>
      <c r="V1284" s="142"/>
      <c r="W1284" s="146">
        <v>26.57</v>
      </c>
      <c r="X1284" s="146">
        <f t="shared" ref="X1284:X1289" si="2559">(W1284*1*D1284)+(W1284*1.5*E1284)+(W1284*2*F1284)+(W1284*1*G1284)</f>
        <v>1926.325</v>
      </c>
      <c r="Y1284" s="146">
        <f t="shared" si="2553"/>
        <v>0</v>
      </c>
      <c r="Z1284" s="146">
        <f t="shared" si="2554"/>
        <v>212.56</v>
      </c>
      <c r="AA1284" s="147">
        <f t="shared" si="2555"/>
        <v>0</v>
      </c>
      <c r="AB1284" s="147">
        <f t="shared" si="2556"/>
        <v>850.24</v>
      </c>
      <c r="AC1284" s="148">
        <f t="shared" si="2557"/>
        <v>0</v>
      </c>
      <c r="AD1284" s="206"/>
      <c r="AE1284" s="148">
        <f t="shared" si="2558"/>
        <v>-1288.6450000000002</v>
      </c>
      <c r="AF1284" s="206"/>
      <c r="AG1284" s="8"/>
      <c r="AH1284">
        <v>-1237.46</v>
      </c>
      <c r="AJ1284" s="170"/>
    </row>
    <row r="1285" spans="1:36" ht="14.65" thickBot="1" x14ac:dyDescent="0.5">
      <c r="A1285" s="149">
        <f>A1279</f>
        <v>45718</v>
      </c>
      <c r="B1285" s="150" t="s">
        <v>66</v>
      </c>
      <c r="C1285" s="151">
        <f>80*W1285</f>
        <v>1756</v>
      </c>
      <c r="D1285" s="152">
        <v>43</v>
      </c>
      <c r="E1285" s="152">
        <v>12.5</v>
      </c>
      <c r="F1285" s="152">
        <v>0</v>
      </c>
      <c r="G1285" s="152">
        <v>0</v>
      </c>
      <c r="H1285" s="152">
        <v>0</v>
      </c>
      <c r="I1285" s="152">
        <v>0</v>
      </c>
      <c r="J1285" s="152">
        <v>8</v>
      </c>
      <c r="K1285" s="152">
        <v>0</v>
      </c>
      <c r="L1285" s="163">
        <v>0</v>
      </c>
      <c r="M1285" s="154"/>
      <c r="N1285" s="152">
        <v>0</v>
      </c>
      <c r="O1285" s="152">
        <v>0</v>
      </c>
      <c r="P1285" s="152">
        <v>0</v>
      </c>
      <c r="Q1285" s="152">
        <v>0</v>
      </c>
      <c r="R1285" s="154"/>
      <c r="S1285" s="152">
        <f t="shared" si="2549"/>
        <v>55.5</v>
      </c>
      <c r="T1285" s="152">
        <f t="shared" si="2550"/>
        <v>0</v>
      </c>
      <c r="U1285" s="152">
        <f t="shared" si="2551"/>
        <v>8</v>
      </c>
      <c r="V1285" s="154"/>
      <c r="W1285" s="153">
        <v>21.95</v>
      </c>
      <c r="X1285" s="153">
        <f t="shared" si="2559"/>
        <v>1355.4124999999999</v>
      </c>
      <c r="Y1285" s="153">
        <f t="shared" si="2553"/>
        <v>0</v>
      </c>
      <c r="Z1285" s="153">
        <f t="shared" si="2554"/>
        <v>175.6</v>
      </c>
      <c r="AA1285" s="155">
        <f t="shared" si="2555"/>
        <v>0</v>
      </c>
      <c r="AB1285" s="155">
        <f t="shared" si="2556"/>
        <v>0</v>
      </c>
      <c r="AC1285" s="156">
        <f t="shared" si="2557"/>
        <v>0</v>
      </c>
      <c r="AD1285" s="207"/>
      <c r="AE1285" s="156">
        <f t="shared" si="2558"/>
        <v>-1531.0124999999998</v>
      </c>
      <c r="AF1285" s="207"/>
      <c r="AG1285" s="8"/>
      <c r="AH1285">
        <f>SUM(AH1282:AH1284)</f>
        <v>14495.130000000001</v>
      </c>
    </row>
    <row r="1286" spans="1:36" x14ac:dyDescent="0.45">
      <c r="A1286" s="129">
        <f>A1285+14</f>
        <v>45732</v>
      </c>
      <c r="B1286" s="130" t="s">
        <v>30</v>
      </c>
      <c r="C1286" s="131">
        <f>120*W1286</f>
        <v>4303.2</v>
      </c>
      <c r="D1286" s="132">
        <v>74.5</v>
      </c>
      <c r="E1286" s="132">
        <v>0</v>
      </c>
      <c r="F1286" s="132">
        <v>0</v>
      </c>
      <c r="G1286" s="132">
        <v>0</v>
      </c>
      <c r="H1286" s="132">
        <v>0</v>
      </c>
      <c r="I1286" s="132">
        <v>16</v>
      </c>
      <c r="J1286" s="132">
        <v>0</v>
      </c>
      <c r="K1286" s="132">
        <v>0</v>
      </c>
      <c r="L1286" s="161">
        <v>0</v>
      </c>
      <c r="M1286" s="134"/>
      <c r="N1286" s="132">
        <v>74.5</v>
      </c>
      <c r="O1286" s="132">
        <v>0</v>
      </c>
      <c r="P1286" s="132">
        <v>0</v>
      </c>
      <c r="Q1286" s="132">
        <v>0</v>
      </c>
      <c r="R1286" s="134"/>
      <c r="S1286" s="132">
        <f t="shared" ref="S1286:S1292" si="2560">SUM(D1286:G1286)</f>
        <v>74.5</v>
      </c>
      <c r="T1286" s="132">
        <f t="shared" ref="T1286:T1292" si="2561">SUM(N1286:Q1286)</f>
        <v>74.5</v>
      </c>
      <c r="U1286" s="132">
        <f t="shared" ref="U1286:U1292" si="2562">SUM(H1286:K1286)</f>
        <v>16</v>
      </c>
      <c r="V1286" s="134"/>
      <c r="W1286" s="133">
        <v>35.86</v>
      </c>
      <c r="X1286" s="133">
        <f t="shared" si="2559"/>
        <v>2671.57</v>
      </c>
      <c r="Y1286" s="133">
        <f t="shared" ref="Y1286:Y1292" si="2563">(W1286*0*H1286)+(W1286*1*I1286)</f>
        <v>573.76</v>
      </c>
      <c r="Z1286" s="133">
        <f t="shared" ref="Z1286:Z1292" si="2564">(W1286*1*J1286)+L1286</f>
        <v>0</v>
      </c>
      <c r="AA1286" s="135">
        <f t="shared" ref="AA1286:AA1292" si="2565">(W1286*1*K1286)</f>
        <v>0</v>
      </c>
      <c r="AB1286" s="135">
        <f t="shared" ref="AB1286:AB1292" si="2566">(W1286*1*N1286)+(W1286*1.5*O1286)+(W1286*2*P1286)+(W1286*1*Q1286)</f>
        <v>2671.57</v>
      </c>
      <c r="AC1286" s="136">
        <f t="shared" ref="AC1286:AC1292" si="2567">0-Y1286-AA1286</f>
        <v>-573.76</v>
      </c>
      <c r="AD1286" s="205"/>
      <c r="AE1286" s="136">
        <f t="shared" ref="AE1286:AE1292" si="2568">AB1286-(X1286+Z1286)</f>
        <v>0</v>
      </c>
      <c r="AF1286" s="205">
        <f>SUM(AE1286:AE1292)</f>
        <v>-2499.3737499999988</v>
      </c>
      <c r="AG1286" s="8"/>
    </row>
    <row r="1287" spans="1:36" x14ac:dyDescent="0.45">
      <c r="A1287" s="137">
        <f>A1286</f>
        <v>45732</v>
      </c>
      <c r="B1287" s="138" t="s">
        <v>5</v>
      </c>
      <c r="C1287" s="139">
        <f>120*W1287</f>
        <v>3836.3999999999996</v>
      </c>
      <c r="D1287" s="140">
        <v>80</v>
      </c>
      <c r="E1287" s="140">
        <v>29.75</v>
      </c>
      <c r="F1287" s="140">
        <v>0</v>
      </c>
      <c r="G1287" s="140">
        <v>0</v>
      </c>
      <c r="H1287" s="140">
        <v>0</v>
      </c>
      <c r="I1287" s="140">
        <v>0</v>
      </c>
      <c r="J1287" s="140">
        <v>0</v>
      </c>
      <c r="K1287" s="140">
        <v>0</v>
      </c>
      <c r="L1287" s="162">
        <v>0</v>
      </c>
      <c r="M1287" s="142"/>
      <c r="N1287" s="140">
        <v>80</v>
      </c>
      <c r="O1287" s="140">
        <v>29.75</v>
      </c>
      <c r="P1287" s="140">
        <v>0</v>
      </c>
      <c r="Q1287" s="140">
        <v>0</v>
      </c>
      <c r="R1287" s="142"/>
      <c r="S1287" s="140">
        <f t="shared" si="2560"/>
        <v>109.75</v>
      </c>
      <c r="T1287" s="140">
        <f t="shared" si="2561"/>
        <v>109.75</v>
      </c>
      <c r="U1287" s="140">
        <f t="shared" si="2562"/>
        <v>0</v>
      </c>
      <c r="V1287" s="142"/>
      <c r="W1287" s="141">
        <v>31.97</v>
      </c>
      <c r="X1287" s="141">
        <f t="shared" si="2559"/>
        <v>3984.2612499999996</v>
      </c>
      <c r="Y1287" s="141">
        <f t="shared" si="2563"/>
        <v>0</v>
      </c>
      <c r="Z1287" s="141">
        <f t="shared" si="2564"/>
        <v>0</v>
      </c>
      <c r="AA1287" s="143">
        <f t="shared" si="2565"/>
        <v>0</v>
      </c>
      <c r="AB1287" s="143">
        <f t="shared" si="2566"/>
        <v>3984.2612499999996</v>
      </c>
      <c r="AC1287" s="144">
        <f t="shared" si="2567"/>
        <v>0</v>
      </c>
      <c r="AD1287" s="206"/>
      <c r="AE1287" s="144">
        <f t="shared" si="2568"/>
        <v>0</v>
      </c>
      <c r="AF1287" s="206"/>
      <c r="AG1287" s="8"/>
    </row>
    <row r="1288" spans="1:36" x14ac:dyDescent="0.45">
      <c r="A1288" s="137">
        <f>A1286</f>
        <v>45732</v>
      </c>
      <c r="B1288" s="138" t="s">
        <v>6</v>
      </c>
      <c r="C1288" s="139">
        <f>120*W1288</f>
        <v>3969.6</v>
      </c>
      <c r="D1288" s="140">
        <v>46</v>
      </c>
      <c r="E1288" s="140">
        <v>10.25</v>
      </c>
      <c r="F1288" s="140">
        <v>13</v>
      </c>
      <c r="G1288" s="140">
        <v>12</v>
      </c>
      <c r="H1288" s="140">
        <v>0</v>
      </c>
      <c r="I1288" s="140">
        <v>0</v>
      </c>
      <c r="J1288" s="140">
        <v>0</v>
      </c>
      <c r="K1288" s="140">
        <v>0</v>
      </c>
      <c r="L1288" s="162">
        <v>0</v>
      </c>
      <c r="M1288" s="142"/>
      <c r="N1288" s="140">
        <v>47.5</v>
      </c>
      <c r="O1288" s="140">
        <v>7.75</v>
      </c>
      <c r="P1288" s="140">
        <v>15.5</v>
      </c>
      <c r="Q1288" s="140">
        <v>12</v>
      </c>
      <c r="R1288" s="142"/>
      <c r="S1288" s="140">
        <f t="shared" si="2560"/>
        <v>81.25</v>
      </c>
      <c r="T1288" s="140">
        <f t="shared" si="2561"/>
        <v>82.75</v>
      </c>
      <c r="U1288" s="140">
        <f t="shared" si="2562"/>
        <v>0</v>
      </c>
      <c r="V1288" s="142"/>
      <c r="W1288" s="141">
        <v>33.08</v>
      </c>
      <c r="X1288" s="141">
        <f t="shared" si="2559"/>
        <v>3287.3249999999998</v>
      </c>
      <c r="Y1288" s="141">
        <f t="shared" si="2563"/>
        <v>0</v>
      </c>
      <c r="Z1288" s="141">
        <f t="shared" si="2564"/>
        <v>0</v>
      </c>
      <c r="AA1288" s="143">
        <f t="shared" si="2565"/>
        <v>0</v>
      </c>
      <c r="AB1288" s="143">
        <f t="shared" si="2566"/>
        <v>3378.2950000000001</v>
      </c>
      <c r="AC1288" s="144">
        <f t="shared" si="2567"/>
        <v>0</v>
      </c>
      <c r="AD1288" s="206"/>
      <c r="AE1288" s="144">
        <f t="shared" si="2568"/>
        <v>90.970000000000255</v>
      </c>
      <c r="AF1288" s="206"/>
      <c r="AG1288" s="8"/>
    </row>
    <row r="1289" spans="1:36" x14ac:dyDescent="0.45">
      <c r="A1289" s="137">
        <f>A1286</f>
        <v>45732</v>
      </c>
      <c r="B1289" s="145" t="s">
        <v>31</v>
      </c>
      <c r="C1289" s="139">
        <f>120*W1289</f>
        <v>3969.6</v>
      </c>
      <c r="D1289" s="140">
        <v>80</v>
      </c>
      <c r="E1289" s="140">
        <v>44</v>
      </c>
      <c r="F1289" s="140">
        <v>5</v>
      </c>
      <c r="G1289" s="140">
        <v>8</v>
      </c>
      <c r="H1289" s="140">
        <v>0</v>
      </c>
      <c r="I1289" s="140">
        <v>0</v>
      </c>
      <c r="J1289" s="140">
        <v>0</v>
      </c>
      <c r="K1289" s="140">
        <v>0</v>
      </c>
      <c r="L1289" s="162">
        <v>0</v>
      </c>
      <c r="M1289" s="142"/>
      <c r="N1289" s="140">
        <v>80</v>
      </c>
      <c r="O1289" s="140">
        <v>44</v>
      </c>
      <c r="P1289" s="140">
        <v>5</v>
      </c>
      <c r="Q1289" s="140">
        <v>8</v>
      </c>
      <c r="R1289" s="142"/>
      <c r="S1289" s="140">
        <f t="shared" si="2560"/>
        <v>137</v>
      </c>
      <c r="T1289" s="140">
        <f t="shared" si="2561"/>
        <v>137</v>
      </c>
      <c r="U1289" s="140">
        <f t="shared" si="2562"/>
        <v>0</v>
      </c>
      <c r="V1289" s="142"/>
      <c r="W1289" s="141">
        <v>33.08</v>
      </c>
      <c r="X1289" s="146">
        <f t="shared" si="2559"/>
        <v>5425.12</v>
      </c>
      <c r="Y1289" s="146">
        <f t="shared" si="2563"/>
        <v>0</v>
      </c>
      <c r="Z1289" s="146">
        <f t="shared" si="2564"/>
        <v>0</v>
      </c>
      <c r="AA1289" s="147">
        <f t="shared" si="2565"/>
        <v>0</v>
      </c>
      <c r="AB1289" s="147">
        <f t="shared" si="2566"/>
        <v>5425.12</v>
      </c>
      <c r="AC1289" s="148">
        <f t="shared" si="2567"/>
        <v>0</v>
      </c>
      <c r="AD1289" s="206"/>
      <c r="AE1289" s="148">
        <f t="shared" si="2568"/>
        <v>0</v>
      </c>
      <c r="AF1289" s="206"/>
      <c r="AG1289" s="8"/>
      <c r="AH1289">
        <v>20211.43</v>
      </c>
      <c r="AJ1289" s="170"/>
    </row>
    <row r="1290" spans="1:36" x14ac:dyDescent="0.45">
      <c r="A1290" s="137">
        <f>A1286</f>
        <v>45732</v>
      </c>
      <c r="B1290" s="145" t="s">
        <v>64</v>
      </c>
      <c r="C1290" s="139">
        <f>80*W1290</f>
        <v>2000</v>
      </c>
      <c r="D1290" s="140">
        <v>55.5</v>
      </c>
      <c r="E1290" s="140">
        <v>0</v>
      </c>
      <c r="F1290" s="140">
        <v>0</v>
      </c>
      <c r="G1290" s="140">
        <v>4</v>
      </c>
      <c r="H1290" s="140">
        <v>0</v>
      </c>
      <c r="I1290" s="140">
        <v>0</v>
      </c>
      <c r="J1290" s="140">
        <v>0</v>
      </c>
      <c r="K1290" s="140">
        <v>0</v>
      </c>
      <c r="L1290" s="162">
        <v>0</v>
      </c>
      <c r="M1290" s="142"/>
      <c r="N1290" s="140">
        <v>0</v>
      </c>
      <c r="O1290" s="140">
        <v>0</v>
      </c>
      <c r="P1290" s="140">
        <v>0</v>
      </c>
      <c r="Q1290" s="140">
        <v>0</v>
      </c>
      <c r="R1290" s="142"/>
      <c r="S1290" s="140">
        <f t="shared" si="2560"/>
        <v>59.5</v>
      </c>
      <c r="T1290" s="140">
        <f t="shared" si="2561"/>
        <v>0</v>
      </c>
      <c r="U1290" s="140">
        <f t="shared" si="2562"/>
        <v>0</v>
      </c>
      <c r="V1290" s="142"/>
      <c r="W1290" s="146">
        <v>25</v>
      </c>
      <c r="X1290" s="146">
        <f>(W1290*1*D1290)+(W1290*1.5*E1290)+(W1290*2*F1290)+(W1290*1*G1290)</f>
        <v>1487.5</v>
      </c>
      <c r="Y1290" s="146">
        <f t="shared" si="2563"/>
        <v>0</v>
      </c>
      <c r="Z1290" s="146">
        <f t="shared" si="2564"/>
        <v>0</v>
      </c>
      <c r="AA1290" s="147">
        <f t="shared" si="2565"/>
        <v>0</v>
      </c>
      <c r="AB1290" s="147">
        <f t="shared" si="2566"/>
        <v>0</v>
      </c>
      <c r="AC1290" s="148">
        <f t="shared" si="2567"/>
        <v>0</v>
      </c>
      <c r="AD1290" s="206"/>
      <c r="AE1290" s="148">
        <f t="shared" si="2568"/>
        <v>-1487.5</v>
      </c>
      <c r="AF1290" s="206"/>
      <c r="AG1290" s="8"/>
      <c r="AH1290">
        <v>-3108.99</v>
      </c>
      <c r="AJ1290" s="170"/>
    </row>
    <row r="1291" spans="1:36" x14ac:dyDescent="0.45">
      <c r="A1291" s="137">
        <f>A1286</f>
        <v>45732</v>
      </c>
      <c r="B1291" s="145" t="s">
        <v>54</v>
      </c>
      <c r="C1291" s="139">
        <f>80*W1291</f>
        <v>2125.6</v>
      </c>
      <c r="D1291" s="140">
        <v>80</v>
      </c>
      <c r="E1291" s="140">
        <v>36.25</v>
      </c>
      <c r="F1291" s="140">
        <v>13</v>
      </c>
      <c r="G1291" s="140">
        <v>12</v>
      </c>
      <c r="H1291" s="140">
        <v>0</v>
      </c>
      <c r="I1291" s="140">
        <v>0</v>
      </c>
      <c r="J1291" s="140">
        <v>0</v>
      </c>
      <c r="K1291" s="140">
        <v>0</v>
      </c>
      <c r="L1291" s="162">
        <v>0</v>
      </c>
      <c r="M1291" s="142"/>
      <c r="N1291" s="140">
        <v>80</v>
      </c>
      <c r="O1291" s="140">
        <v>35</v>
      </c>
      <c r="P1291" s="140">
        <v>14.25</v>
      </c>
      <c r="Q1291" s="140">
        <v>12</v>
      </c>
      <c r="R1291" s="142"/>
      <c r="S1291" s="140">
        <f t="shared" si="2560"/>
        <v>141.25</v>
      </c>
      <c r="T1291" s="140">
        <f t="shared" si="2561"/>
        <v>141.25</v>
      </c>
      <c r="U1291" s="140">
        <f t="shared" si="2562"/>
        <v>0</v>
      </c>
      <c r="V1291" s="142"/>
      <c r="W1291" s="146">
        <v>26.57</v>
      </c>
      <c r="X1291" s="146">
        <f t="shared" ref="X1291:X1296" si="2569">(W1291*1*D1291)+(W1291*1.5*E1291)+(W1291*2*F1291)+(W1291*1*G1291)</f>
        <v>4580.0037499999999</v>
      </c>
      <c r="Y1291" s="146">
        <f t="shared" si="2563"/>
        <v>0</v>
      </c>
      <c r="Z1291" s="146">
        <f t="shared" si="2564"/>
        <v>0</v>
      </c>
      <c r="AA1291" s="147">
        <f t="shared" si="2565"/>
        <v>0</v>
      </c>
      <c r="AB1291" s="147">
        <f t="shared" si="2566"/>
        <v>4596.6100000000006</v>
      </c>
      <c r="AC1291" s="148">
        <f t="shared" si="2567"/>
        <v>0</v>
      </c>
      <c r="AD1291" s="206"/>
      <c r="AE1291" s="148">
        <f t="shared" si="2568"/>
        <v>16.606250000000728</v>
      </c>
      <c r="AF1291" s="206"/>
      <c r="AG1291" s="8"/>
      <c r="AH1291">
        <v>-939.21</v>
      </c>
      <c r="AJ1291" s="170"/>
    </row>
    <row r="1292" spans="1:36" ht="14.65" thickBot="1" x14ac:dyDescent="0.5">
      <c r="A1292" s="149">
        <f>A1286</f>
        <v>45732</v>
      </c>
      <c r="B1292" s="150" t="s">
        <v>66</v>
      </c>
      <c r="C1292" s="151">
        <f>80*W1292</f>
        <v>1756</v>
      </c>
      <c r="D1292" s="152">
        <v>51</v>
      </c>
      <c r="E1292" s="152">
        <v>0</v>
      </c>
      <c r="F1292" s="152">
        <v>0</v>
      </c>
      <c r="G1292" s="152">
        <v>0</v>
      </c>
      <c r="H1292" s="152">
        <v>0</v>
      </c>
      <c r="I1292" s="152">
        <v>0</v>
      </c>
      <c r="J1292" s="152">
        <v>0</v>
      </c>
      <c r="K1292" s="152">
        <v>0</v>
      </c>
      <c r="L1292" s="163">
        <v>0</v>
      </c>
      <c r="M1292" s="154"/>
      <c r="N1292" s="152">
        <v>0</v>
      </c>
      <c r="O1292" s="152">
        <v>0</v>
      </c>
      <c r="P1292" s="152">
        <v>0</v>
      </c>
      <c r="Q1292" s="152">
        <v>0</v>
      </c>
      <c r="R1292" s="154"/>
      <c r="S1292" s="152">
        <f t="shared" si="2560"/>
        <v>51</v>
      </c>
      <c r="T1292" s="152">
        <f t="shared" si="2561"/>
        <v>0</v>
      </c>
      <c r="U1292" s="152">
        <f t="shared" si="2562"/>
        <v>0</v>
      </c>
      <c r="V1292" s="154"/>
      <c r="W1292" s="153">
        <v>21.95</v>
      </c>
      <c r="X1292" s="153">
        <f t="shared" si="2569"/>
        <v>1119.45</v>
      </c>
      <c r="Y1292" s="153">
        <f t="shared" si="2563"/>
        <v>0</v>
      </c>
      <c r="Z1292" s="153">
        <f t="shared" si="2564"/>
        <v>0</v>
      </c>
      <c r="AA1292" s="155">
        <f t="shared" si="2565"/>
        <v>0</v>
      </c>
      <c r="AB1292" s="155">
        <f t="shared" si="2566"/>
        <v>0</v>
      </c>
      <c r="AC1292" s="156">
        <f t="shared" si="2567"/>
        <v>0</v>
      </c>
      <c r="AD1292" s="207"/>
      <c r="AE1292" s="156">
        <f t="shared" si="2568"/>
        <v>-1119.45</v>
      </c>
      <c r="AF1292" s="207"/>
      <c r="AG1292" s="8"/>
      <c r="AH1292">
        <f>SUM(AH1289:AH1291)</f>
        <v>16163.230000000003</v>
      </c>
    </row>
    <row r="1293" spans="1:36" x14ac:dyDescent="0.45">
      <c r="A1293" s="129">
        <f>A1292+14</f>
        <v>45746</v>
      </c>
      <c r="B1293" s="130" t="s">
        <v>30</v>
      </c>
      <c r="C1293" s="131">
        <f>120*W1293</f>
        <v>4303.2</v>
      </c>
      <c r="D1293" s="132">
        <v>80</v>
      </c>
      <c r="E1293" s="132">
        <v>27</v>
      </c>
      <c r="F1293" s="132">
        <v>9</v>
      </c>
      <c r="G1293" s="132">
        <v>0</v>
      </c>
      <c r="H1293" s="132">
        <v>0</v>
      </c>
      <c r="I1293" s="132">
        <v>0</v>
      </c>
      <c r="J1293" s="132">
        <v>0</v>
      </c>
      <c r="K1293" s="132">
        <v>0</v>
      </c>
      <c r="L1293" s="161">
        <v>0</v>
      </c>
      <c r="M1293" s="134"/>
      <c r="N1293" s="132">
        <v>80</v>
      </c>
      <c r="O1293" s="132">
        <v>27</v>
      </c>
      <c r="P1293" s="132">
        <v>9</v>
      </c>
      <c r="Q1293" s="132">
        <v>0</v>
      </c>
      <c r="R1293" s="134"/>
      <c r="S1293" s="132">
        <f t="shared" ref="S1293:S1299" si="2570">SUM(D1293:G1293)</f>
        <v>116</v>
      </c>
      <c r="T1293" s="132">
        <f t="shared" ref="T1293:T1299" si="2571">SUM(N1293:Q1293)</f>
        <v>116</v>
      </c>
      <c r="U1293" s="132">
        <f t="shared" ref="U1293:U1299" si="2572">SUM(H1293:K1293)</f>
        <v>0</v>
      </c>
      <c r="V1293" s="134"/>
      <c r="W1293" s="133">
        <v>35.86</v>
      </c>
      <c r="X1293" s="133">
        <f t="shared" si="2569"/>
        <v>4966.6100000000006</v>
      </c>
      <c r="Y1293" s="133">
        <f t="shared" ref="Y1293:Y1299" si="2573">(W1293*0*H1293)+(W1293*1*I1293)</f>
        <v>0</v>
      </c>
      <c r="Z1293" s="133">
        <f t="shared" ref="Z1293:Z1299" si="2574">(W1293*1*J1293)+L1293</f>
        <v>0</v>
      </c>
      <c r="AA1293" s="135">
        <f t="shared" ref="AA1293:AA1299" si="2575">(W1293*1*K1293)</f>
        <v>0</v>
      </c>
      <c r="AB1293" s="135">
        <f t="shared" ref="AB1293:AB1299" si="2576">(W1293*1*N1293)+(W1293*1.5*O1293)+(W1293*2*P1293)+(W1293*1*Q1293)</f>
        <v>4966.6100000000006</v>
      </c>
      <c r="AC1293" s="136">
        <f t="shared" ref="AC1293:AC1299" si="2577">0-Y1293-AA1293</f>
        <v>0</v>
      </c>
      <c r="AD1293" s="205"/>
      <c r="AE1293" s="136">
        <f t="shared" ref="AE1293:AE1299" si="2578">AB1293-(X1293+Z1293)</f>
        <v>0</v>
      </c>
      <c r="AF1293" s="205">
        <f>SUM(AE1293:AE1299)</f>
        <v>-2160.2049999999999</v>
      </c>
      <c r="AG1293" s="8"/>
    </row>
    <row r="1294" spans="1:36" x14ac:dyDescent="0.45">
      <c r="A1294" s="137">
        <f>A1293</f>
        <v>45746</v>
      </c>
      <c r="B1294" s="138" t="s">
        <v>5</v>
      </c>
      <c r="C1294" s="139">
        <f>120*W1294</f>
        <v>3836.3999999999996</v>
      </c>
      <c r="D1294" s="140">
        <v>80</v>
      </c>
      <c r="E1294" s="140">
        <v>33.5</v>
      </c>
      <c r="F1294" s="140">
        <v>10.5</v>
      </c>
      <c r="G1294" s="140">
        <v>0</v>
      </c>
      <c r="H1294" s="140">
        <v>0</v>
      </c>
      <c r="I1294" s="140">
        <v>0</v>
      </c>
      <c r="J1294" s="140">
        <v>0</v>
      </c>
      <c r="K1294" s="140">
        <v>0</v>
      </c>
      <c r="L1294" s="162">
        <v>0</v>
      </c>
      <c r="M1294" s="142"/>
      <c r="N1294" s="140">
        <v>80</v>
      </c>
      <c r="O1294" s="140">
        <v>33.5</v>
      </c>
      <c r="P1294" s="140">
        <v>10.5</v>
      </c>
      <c r="Q1294" s="140">
        <v>0</v>
      </c>
      <c r="R1294" s="142"/>
      <c r="S1294" s="140">
        <f t="shared" si="2570"/>
        <v>124</v>
      </c>
      <c r="T1294" s="140">
        <f t="shared" si="2571"/>
        <v>124</v>
      </c>
      <c r="U1294" s="140">
        <f t="shared" si="2572"/>
        <v>0</v>
      </c>
      <c r="V1294" s="142"/>
      <c r="W1294" s="141">
        <v>31.97</v>
      </c>
      <c r="X1294" s="141">
        <f t="shared" si="2569"/>
        <v>4835.4624999999996</v>
      </c>
      <c r="Y1294" s="141">
        <f t="shared" si="2573"/>
        <v>0</v>
      </c>
      <c r="Z1294" s="141">
        <f t="shared" si="2574"/>
        <v>0</v>
      </c>
      <c r="AA1294" s="143">
        <f t="shared" si="2575"/>
        <v>0</v>
      </c>
      <c r="AB1294" s="143">
        <f t="shared" si="2576"/>
        <v>4835.4624999999996</v>
      </c>
      <c r="AC1294" s="144">
        <f t="shared" si="2577"/>
        <v>0</v>
      </c>
      <c r="AD1294" s="206"/>
      <c r="AE1294" s="144">
        <f t="shared" si="2578"/>
        <v>0</v>
      </c>
      <c r="AF1294" s="206"/>
      <c r="AG1294" s="8"/>
    </row>
    <row r="1295" spans="1:36" x14ac:dyDescent="0.45">
      <c r="A1295" s="137">
        <f>A1293</f>
        <v>45746</v>
      </c>
      <c r="B1295" s="138" t="s">
        <v>6</v>
      </c>
      <c r="C1295" s="139">
        <f>120*W1295</f>
        <v>3969.6</v>
      </c>
      <c r="D1295" s="140">
        <v>80</v>
      </c>
      <c r="E1295" s="140">
        <v>37.5</v>
      </c>
      <c r="F1295" s="140">
        <v>8.5</v>
      </c>
      <c r="G1295" s="140">
        <v>12</v>
      </c>
      <c r="H1295" s="140">
        <v>0</v>
      </c>
      <c r="I1295" s="140">
        <v>0</v>
      </c>
      <c r="J1295" s="140">
        <v>0</v>
      </c>
      <c r="K1295" s="140">
        <v>0</v>
      </c>
      <c r="L1295" s="162">
        <v>0</v>
      </c>
      <c r="M1295" s="142"/>
      <c r="N1295" s="140">
        <v>80</v>
      </c>
      <c r="O1295" s="140">
        <v>36.5</v>
      </c>
      <c r="P1295" s="140">
        <v>9.5</v>
      </c>
      <c r="Q1295" s="140">
        <v>12</v>
      </c>
      <c r="R1295" s="142"/>
      <c r="S1295" s="140">
        <f t="shared" si="2570"/>
        <v>138</v>
      </c>
      <c r="T1295" s="140">
        <f t="shared" si="2571"/>
        <v>138</v>
      </c>
      <c r="U1295" s="140">
        <f t="shared" si="2572"/>
        <v>0</v>
      </c>
      <c r="V1295" s="142"/>
      <c r="W1295" s="141">
        <v>33.08</v>
      </c>
      <c r="X1295" s="141">
        <f t="shared" si="2569"/>
        <v>5466.4699999999993</v>
      </c>
      <c r="Y1295" s="141">
        <f t="shared" si="2573"/>
        <v>0</v>
      </c>
      <c r="Z1295" s="141">
        <f t="shared" si="2574"/>
        <v>0</v>
      </c>
      <c r="AA1295" s="143">
        <f t="shared" si="2575"/>
        <v>0</v>
      </c>
      <c r="AB1295" s="143">
        <f t="shared" si="2576"/>
        <v>5483.0099999999993</v>
      </c>
      <c r="AC1295" s="144">
        <f t="shared" si="2577"/>
        <v>0</v>
      </c>
      <c r="AD1295" s="206"/>
      <c r="AE1295" s="144">
        <f t="shared" si="2578"/>
        <v>16.539999999999964</v>
      </c>
      <c r="AF1295" s="206"/>
      <c r="AG1295" s="8"/>
    </row>
    <row r="1296" spans="1:36" x14ac:dyDescent="0.45">
      <c r="A1296" s="137">
        <f>A1293</f>
        <v>45746</v>
      </c>
      <c r="B1296" s="145" t="s">
        <v>31</v>
      </c>
      <c r="C1296" s="139">
        <f>120*W1296</f>
        <v>3969.6</v>
      </c>
      <c r="D1296" s="140">
        <v>40</v>
      </c>
      <c r="E1296" s="140">
        <v>10</v>
      </c>
      <c r="F1296" s="140">
        <v>0</v>
      </c>
      <c r="G1296" s="140">
        <v>14.5</v>
      </c>
      <c r="H1296" s="140">
        <v>0</v>
      </c>
      <c r="I1296" s="140">
        <v>0</v>
      </c>
      <c r="J1296" s="140">
        <v>0</v>
      </c>
      <c r="K1296" s="140">
        <v>0</v>
      </c>
      <c r="L1296" s="162">
        <v>0</v>
      </c>
      <c r="M1296" s="142"/>
      <c r="N1296" s="140">
        <v>40</v>
      </c>
      <c r="O1296" s="140">
        <v>10</v>
      </c>
      <c r="P1296" s="140">
        <v>0.5</v>
      </c>
      <c r="Q1296" s="140">
        <v>14.5</v>
      </c>
      <c r="R1296" s="142"/>
      <c r="S1296" s="140">
        <f t="shared" si="2570"/>
        <v>64.5</v>
      </c>
      <c r="T1296" s="140">
        <f t="shared" si="2571"/>
        <v>65</v>
      </c>
      <c r="U1296" s="140">
        <f t="shared" si="2572"/>
        <v>0</v>
      </c>
      <c r="V1296" s="142"/>
      <c r="W1296" s="141">
        <v>33.08</v>
      </c>
      <c r="X1296" s="146">
        <f t="shared" si="2569"/>
        <v>2299.06</v>
      </c>
      <c r="Y1296" s="146">
        <f t="shared" si="2573"/>
        <v>0</v>
      </c>
      <c r="Z1296" s="146">
        <f t="shared" si="2574"/>
        <v>0</v>
      </c>
      <c r="AA1296" s="147">
        <f t="shared" si="2575"/>
        <v>0</v>
      </c>
      <c r="AB1296" s="147">
        <f t="shared" si="2576"/>
        <v>2332.14</v>
      </c>
      <c r="AC1296" s="148">
        <f t="shared" si="2577"/>
        <v>0</v>
      </c>
      <c r="AD1296" s="206"/>
      <c r="AE1296" s="148">
        <f t="shared" si="2578"/>
        <v>33.079999999999927</v>
      </c>
      <c r="AF1296" s="206"/>
      <c r="AG1296" s="8"/>
      <c r="AH1296">
        <v>24335.71</v>
      </c>
      <c r="AJ1296" s="170"/>
    </row>
    <row r="1297" spans="1:36" x14ac:dyDescent="0.45">
      <c r="A1297" s="137">
        <f>A1293</f>
        <v>45746</v>
      </c>
      <c r="B1297" s="145" t="s">
        <v>64</v>
      </c>
      <c r="C1297" s="139">
        <f>80*W1297</f>
        <v>2000</v>
      </c>
      <c r="D1297" s="140">
        <v>70</v>
      </c>
      <c r="E1297" s="140">
        <v>9.5</v>
      </c>
      <c r="F1297" s="140">
        <v>0</v>
      </c>
      <c r="G1297" s="140">
        <v>14.5</v>
      </c>
      <c r="H1297" s="140">
        <v>0</v>
      </c>
      <c r="I1297" s="140">
        <v>0</v>
      </c>
      <c r="J1297" s="140">
        <v>0</v>
      </c>
      <c r="K1297" s="140">
        <v>0</v>
      </c>
      <c r="L1297" s="162">
        <v>0</v>
      </c>
      <c r="M1297" s="142"/>
      <c r="N1297" s="140">
        <v>40</v>
      </c>
      <c r="O1297" s="140">
        <v>10</v>
      </c>
      <c r="P1297" s="140">
        <v>0.5</v>
      </c>
      <c r="Q1297" s="140">
        <v>14.5</v>
      </c>
      <c r="R1297" s="142"/>
      <c r="S1297" s="140">
        <f t="shared" si="2570"/>
        <v>94</v>
      </c>
      <c r="T1297" s="140">
        <f t="shared" si="2571"/>
        <v>65</v>
      </c>
      <c r="U1297" s="140">
        <f t="shared" si="2572"/>
        <v>0</v>
      </c>
      <c r="V1297" s="142"/>
      <c r="W1297" s="146">
        <v>25</v>
      </c>
      <c r="X1297" s="146">
        <f>(W1297*1*D1297)+(W1297*1.5*E1297)+(W1297*2*F1297)+(W1297*1*G1297)</f>
        <v>2468.75</v>
      </c>
      <c r="Y1297" s="146">
        <f t="shared" si="2573"/>
        <v>0</v>
      </c>
      <c r="Z1297" s="146">
        <f t="shared" si="2574"/>
        <v>0</v>
      </c>
      <c r="AA1297" s="147">
        <f t="shared" si="2575"/>
        <v>0</v>
      </c>
      <c r="AB1297" s="147">
        <f t="shared" si="2576"/>
        <v>1762.5</v>
      </c>
      <c r="AC1297" s="148">
        <f t="shared" si="2577"/>
        <v>0</v>
      </c>
      <c r="AD1297" s="206"/>
      <c r="AE1297" s="148">
        <f t="shared" si="2578"/>
        <v>-706.25</v>
      </c>
      <c r="AF1297" s="206"/>
      <c r="AG1297" s="8"/>
      <c r="AH1297">
        <v>-3108.99</v>
      </c>
      <c r="AJ1297" s="170"/>
    </row>
    <row r="1298" spans="1:36" x14ac:dyDescent="0.45">
      <c r="A1298" s="137">
        <f>A1293</f>
        <v>45746</v>
      </c>
      <c r="B1298" s="145" t="s">
        <v>54</v>
      </c>
      <c r="C1298" s="139">
        <f>80*W1298</f>
        <v>2125.6</v>
      </c>
      <c r="D1298" s="140">
        <v>80</v>
      </c>
      <c r="E1298" s="140">
        <v>36.5</v>
      </c>
      <c r="F1298" s="140">
        <v>8.5</v>
      </c>
      <c r="G1298" s="140">
        <v>12</v>
      </c>
      <c r="H1298" s="140">
        <v>0</v>
      </c>
      <c r="I1298" s="140">
        <v>0</v>
      </c>
      <c r="J1298" s="140">
        <v>0</v>
      </c>
      <c r="K1298" s="140">
        <v>0</v>
      </c>
      <c r="L1298" s="162">
        <v>0</v>
      </c>
      <c r="M1298" s="142"/>
      <c r="N1298" s="140">
        <v>80</v>
      </c>
      <c r="O1298" s="140">
        <v>36.5</v>
      </c>
      <c r="P1298" s="140">
        <v>8.5</v>
      </c>
      <c r="Q1298" s="140">
        <v>12</v>
      </c>
      <c r="R1298" s="142"/>
      <c r="S1298" s="140">
        <f t="shared" si="2570"/>
        <v>137</v>
      </c>
      <c r="T1298" s="140">
        <f t="shared" si="2571"/>
        <v>137</v>
      </c>
      <c r="U1298" s="140">
        <f t="shared" si="2572"/>
        <v>0</v>
      </c>
      <c r="V1298" s="142"/>
      <c r="W1298" s="146">
        <v>26.57</v>
      </c>
      <c r="X1298" s="146">
        <f t="shared" ref="X1298:X1303" si="2579">(W1298*1*D1298)+(W1298*1.5*E1298)+(W1298*2*F1298)+(W1298*1*G1298)</f>
        <v>4350.8374999999996</v>
      </c>
      <c r="Y1298" s="146">
        <f t="shared" si="2573"/>
        <v>0</v>
      </c>
      <c r="Z1298" s="146">
        <f t="shared" si="2574"/>
        <v>0</v>
      </c>
      <c r="AA1298" s="147">
        <f t="shared" si="2575"/>
        <v>0</v>
      </c>
      <c r="AB1298" s="147">
        <f t="shared" si="2576"/>
        <v>4350.8374999999996</v>
      </c>
      <c r="AC1298" s="148">
        <f t="shared" si="2577"/>
        <v>0</v>
      </c>
      <c r="AD1298" s="206"/>
      <c r="AE1298" s="148">
        <f t="shared" si="2578"/>
        <v>0</v>
      </c>
      <c r="AF1298" s="206"/>
      <c r="AG1298" s="8"/>
      <c r="AH1298">
        <v>-1217.24</v>
      </c>
      <c r="AJ1298" s="170"/>
    </row>
    <row r="1299" spans="1:36" ht="14.65" thickBot="1" x14ac:dyDescent="0.5">
      <c r="A1299" s="149">
        <f>A1293</f>
        <v>45746</v>
      </c>
      <c r="B1299" s="150" t="s">
        <v>66</v>
      </c>
      <c r="C1299" s="151">
        <f>80*W1299</f>
        <v>1756</v>
      </c>
      <c r="D1299" s="152">
        <v>68.5</v>
      </c>
      <c r="E1299" s="152">
        <v>0</v>
      </c>
      <c r="F1299" s="152">
        <v>0</v>
      </c>
      <c r="G1299" s="152">
        <v>0</v>
      </c>
      <c r="H1299" s="152">
        <v>0</v>
      </c>
      <c r="I1299" s="152">
        <v>0</v>
      </c>
      <c r="J1299" s="152">
        <v>0</v>
      </c>
      <c r="K1299" s="152">
        <v>0</v>
      </c>
      <c r="L1299" s="163">
        <v>0</v>
      </c>
      <c r="M1299" s="154"/>
      <c r="N1299" s="152">
        <v>0</v>
      </c>
      <c r="O1299" s="152">
        <v>0</v>
      </c>
      <c r="P1299" s="152">
        <v>0</v>
      </c>
      <c r="Q1299" s="152">
        <v>0</v>
      </c>
      <c r="R1299" s="154"/>
      <c r="S1299" s="152">
        <f t="shared" si="2570"/>
        <v>68.5</v>
      </c>
      <c r="T1299" s="152">
        <f t="shared" si="2571"/>
        <v>0</v>
      </c>
      <c r="U1299" s="152">
        <f t="shared" si="2572"/>
        <v>0</v>
      </c>
      <c r="V1299" s="154"/>
      <c r="W1299" s="153">
        <v>21.95</v>
      </c>
      <c r="X1299" s="153">
        <f t="shared" si="2579"/>
        <v>1503.575</v>
      </c>
      <c r="Y1299" s="153">
        <f t="shared" si="2573"/>
        <v>0</v>
      </c>
      <c r="Z1299" s="153">
        <f t="shared" si="2574"/>
        <v>0</v>
      </c>
      <c r="AA1299" s="155">
        <f t="shared" si="2575"/>
        <v>0</v>
      </c>
      <c r="AB1299" s="155">
        <f t="shared" si="2576"/>
        <v>0</v>
      </c>
      <c r="AC1299" s="156">
        <f t="shared" si="2577"/>
        <v>0</v>
      </c>
      <c r="AD1299" s="207"/>
      <c r="AE1299" s="156">
        <f t="shared" si="2578"/>
        <v>-1503.575</v>
      </c>
      <c r="AF1299" s="207"/>
      <c r="AG1299" s="8"/>
      <c r="AH1299">
        <f>SUM(AH1296:AH1298)</f>
        <v>20009.48</v>
      </c>
    </row>
    <row r="1300" spans="1:36" x14ac:dyDescent="0.45">
      <c r="A1300" s="129">
        <f>A1299+14</f>
        <v>45760</v>
      </c>
      <c r="B1300" s="130" t="s">
        <v>30</v>
      </c>
      <c r="C1300" s="131">
        <f>120*W1300</f>
        <v>4680</v>
      </c>
      <c r="D1300" s="132">
        <v>80</v>
      </c>
      <c r="E1300" s="132">
        <v>24</v>
      </c>
      <c r="F1300" s="132">
        <v>12</v>
      </c>
      <c r="G1300" s="132">
        <v>24</v>
      </c>
      <c r="H1300" s="132">
        <v>0</v>
      </c>
      <c r="I1300" s="132">
        <v>0</v>
      </c>
      <c r="J1300" s="132">
        <v>0</v>
      </c>
      <c r="K1300" s="132">
        <v>0</v>
      </c>
      <c r="L1300" s="161">
        <v>0</v>
      </c>
      <c r="M1300" s="134"/>
      <c r="N1300" s="132">
        <v>80</v>
      </c>
      <c r="O1300" s="132">
        <v>26.5</v>
      </c>
      <c r="P1300" s="132">
        <v>12</v>
      </c>
      <c r="Q1300" s="132">
        <v>21.5</v>
      </c>
      <c r="R1300" s="134"/>
      <c r="S1300" s="132">
        <f t="shared" ref="S1300:S1306" si="2580">SUM(D1300:G1300)</f>
        <v>140</v>
      </c>
      <c r="T1300" s="132">
        <f t="shared" ref="T1300:T1306" si="2581">SUM(N1300:Q1300)</f>
        <v>140</v>
      </c>
      <c r="U1300" s="132">
        <f t="shared" ref="U1300:U1306" si="2582">SUM(H1300:K1300)</f>
        <v>0</v>
      </c>
      <c r="V1300" s="134"/>
      <c r="W1300" s="133">
        <v>39</v>
      </c>
      <c r="X1300" s="133">
        <f t="shared" si="2579"/>
        <v>6396</v>
      </c>
      <c r="Y1300" s="133">
        <f t="shared" ref="Y1300:Y1306" si="2583">(W1300*0*H1300)+(W1300*1*I1300)</f>
        <v>0</v>
      </c>
      <c r="Z1300" s="133">
        <f t="shared" ref="Z1300:Z1306" si="2584">(W1300*1*J1300)+L1300</f>
        <v>0</v>
      </c>
      <c r="AA1300" s="135">
        <f t="shared" ref="AA1300:AA1306" si="2585">(W1300*1*K1300)</f>
        <v>0</v>
      </c>
      <c r="AB1300" s="135">
        <f t="shared" ref="AB1300:AB1306" si="2586">(W1300*1*N1300)+(W1300*1.5*O1300)+(W1300*2*P1300)+(W1300*1*Q1300)</f>
        <v>6444.75</v>
      </c>
      <c r="AC1300" s="136">
        <f t="shared" ref="AC1300:AC1306" si="2587">0-Y1300-AA1300</f>
        <v>0</v>
      </c>
      <c r="AD1300" s="205"/>
      <c r="AE1300" s="136">
        <f t="shared" ref="AE1300:AE1306" si="2588">AB1300-(X1300+Z1300)</f>
        <v>48.75</v>
      </c>
      <c r="AF1300" s="205">
        <f>SUM(AE1300:AE1306)</f>
        <v>-2423.9975000000004</v>
      </c>
      <c r="AG1300" s="8"/>
    </row>
    <row r="1301" spans="1:36" x14ac:dyDescent="0.45">
      <c r="A1301" s="137">
        <f>A1300</f>
        <v>45760</v>
      </c>
      <c r="B1301" s="138" t="s">
        <v>5</v>
      </c>
      <c r="C1301" s="139">
        <f>120*W1301</f>
        <v>4200</v>
      </c>
      <c r="D1301" s="140">
        <v>80</v>
      </c>
      <c r="E1301" s="140">
        <v>40.25</v>
      </c>
      <c r="F1301" s="140">
        <v>0</v>
      </c>
      <c r="G1301" s="140">
        <v>0</v>
      </c>
      <c r="H1301" s="140">
        <v>0</v>
      </c>
      <c r="I1301" s="140">
        <v>0</v>
      </c>
      <c r="J1301" s="140">
        <v>0</v>
      </c>
      <c r="K1301" s="140">
        <v>0</v>
      </c>
      <c r="L1301" s="162">
        <v>0</v>
      </c>
      <c r="M1301" s="142"/>
      <c r="N1301" s="140">
        <v>80</v>
      </c>
      <c r="O1301" s="140">
        <v>40.25</v>
      </c>
      <c r="P1301" s="140">
        <v>0</v>
      </c>
      <c r="Q1301" s="140">
        <v>0</v>
      </c>
      <c r="R1301" s="142"/>
      <c r="S1301" s="140">
        <f t="shared" si="2580"/>
        <v>120.25</v>
      </c>
      <c r="T1301" s="140">
        <f t="shared" si="2581"/>
        <v>120.25</v>
      </c>
      <c r="U1301" s="140">
        <f t="shared" si="2582"/>
        <v>0</v>
      </c>
      <c r="V1301" s="142"/>
      <c r="W1301" s="141">
        <v>35</v>
      </c>
      <c r="X1301" s="141">
        <f t="shared" si="2579"/>
        <v>4913.125</v>
      </c>
      <c r="Y1301" s="141">
        <f t="shared" si="2583"/>
        <v>0</v>
      </c>
      <c r="Z1301" s="141">
        <f t="shared" si="2584"/>
        <v>0</v>
      </c>
      <c r="AA1301" s="143">
        <f t="shared" si="2585"/>
        <v>0</v>
      </c>
      <c r="AB1301" s="143">
        <f t="shared" si="2586"/>
        <v>4913.125</v>
      </c>
      <c r="AC1301" s="144">
        <f t="shared" si="2587"/>
        <v>0</v>
      </c>
      <c r="AD1301" s="206"/>
      <c r="AE1301" s="144">
        <f t="shared" si="2588"/>
        <v>0</v>
      </c>
      <c r="AF1301" s="206"/>
      <c r="AG1301" s="8"/>
    </row>
    <row r="1302" spans="1:36" x14ac:dyDescent="0.45">
      <c r="A1302" s="137">
        <f>A1300</f>
        <v>45760</v>
      </c>
      <c r="B1302" s="138" t="s">
        <v>6</v>
      </c>
      <c r="C1302" s="139">
        <f>120*W1302</f>
        <v>4320</v>
      </c>
      <c r="D1302" s="140">
        <v>40</v>
      </c>
      <c r="E1302" s="140">
        <v>31.25</v>
      </c>
      <c r="F1302" s="140">
        <v>12</v>
      </c>
      <c r="G1302" s="140">
        <v>1</v>
      </c>
      <c r="H1302" s="140">
        <v>0</v>
      </c>
      <c r="I1302" s="140">
        <v>0</v>
      </c>
      <c r="J1302" s="140">
        <v>0</v>
      </c>
      <c r="K1302" s="140">
        <v>0</v>
      </c>
      <c r="L1302" s="162">
        <v>0</v>
      </c>
      <c r="M1302" s="142"/>
      <c r="N1302" s="140">
        <v>40</v>
      </c>
      <c r="O1302" s="140">
        <v>29.25</v>
      </c>
      <c r="P1302" s="140">
        <v>14</v>
      </c>
      <c r="Q1302" s="140">
        <v>1</v>
      </c>
      <c r="R1302" s="142"/>
      <c r="S1302" s="140">
        <f t="shared" si="2580"/>
        <v>84.25</v>
      </c>
      <c r="T1302" s="140">
        <f t="shared" si="2581"/>
        <v>84.25</v>
      </c>
      <c r="U1302" s="140">
        <f t="shared" si="2582"/>
        <v>0</v>
      </c>
      <c r="V1302" s="142"/>
      <c r="W1302" s="141">
        <v>36</v>
      </c>
      <c r="X1302" s="141">
        <f t="shared" si="2579"/>
        <v>4027.5</v>
      </c>
      <c r="Y1302" s="141">
        <f t="shared" si="2583"/>
        <v>0</v>
      </c>
      <c r="Z1302" s="141">
        <f t="shared" si="2584"/>
        <v>0</v>
      </c>
      <c r="AA1302" s="143">
        <f t="shared" si="2585"/>
        <v>0</v>
      </c>
      <c r="AB1302" s="143">
        <f t="shared" si="2586"/>
        <v>4063.5</v>
      </c>
      <c r="AC1302" s="144">
        <f t="shared" si="2587"/>
        <v>0</v>
      </c>
      <c r="AD1302" s="206"/>
      <c r="AE1302" s="144">
        <f t="shared" si="2588"/>
        <v>36</v>
      </c>
      <c r="AF1302" s="206"/>
      <c r="AG1302" s="8"/>
    </row>
    <row r="1303" spans="1:36" x14ac:dyDescent="0.45">
      <c r="A1303" s="137">
        <f>A1300</f>
        <v>45760</v>
      </c>
      <c r="B1303" s="145" t="s">
        <v>31</v>
      </c>
      <c r="C1303" s="139">
        <f>120*W1303</f>
        <v>4320</v>
      </c>
      <c r="D1303" s="140">
        <v>16</v>
      </c>
      <c r="E1303" s="140">
        <v>0</v>
      </c>
      <c r="F1303" s="140">
        <v>0</v>
      </c>
      <c r="G1303" s="140">
        <v>9.5</v>
      </c>
      <c r="H1303" s="140">
        <v>0</v>
      </c>
      <c r="I1303" s="140">
        <v>0</v>
      </c>
      <c r="J1303" s="140">
        <v>0</v>
      </c>
      <c r="K1303" s="140">
        <v>0</v>
      </c>
      <c r="L1303" s="162">
        <v>0</v>
      </c>
      <c r="M1303" s="142"/>
      <c r="N1303" s="140">
        <v>16</v>
      </c>
      <c r="O1303" s="140">
        <v>0</v>
      </c>
      <c r="P1303" s="140">
        <v>0</v>
      </c>
      <c r="Q1303" s="140">
        <v>9.5</v>
      </c>
      <c r="R1303" s="142"/>
      <c r="S1303" s="140">
        <f t="shared" si="2580"/>
        <v>25.5</v>
      </c>
      <c r="T1303" s="140">
        <f t="shared" si="2581"/>
        <v>25.5</v>
      </c>
      <c r="U1303" s="140">
        <f t="shared" si="2582"/>
        <v>0</v>
      </c>
      <c r="V1303" s="142"/>
      <c r="W1303" s="141">
        <v>36</v>
      </c>
      <c r="X1303" s="146">
        <f t="shared" si="2579"/>
        <v>918</v>
      </c>
      <c r="Y1303" s="146">
        <f t="shared" si="2583"/>
        <v>0</v>
      </c>
      <c r="Z1303" s="146">
        <f t="shared" si="2584"/>
        <v>0</v>
      </c>
      <c r="AA1303" s="147">
        <f t="shared" si="2585"/>
        <v>0</v>
      </c>
      <c r="AB1303" s="147">
        <f t="shared" si="2586"/>
        <v>918</v>
      </c>
      <c r="AC1303" s="148">
        <f t="shared" si="2587"/>
        <v>0</v>
      </c>
      <c r="AD1303" s="206"/>
      <c r="AE1303" s="148">
        <f t="shared" si="2588"/>
        <v>0</v>
      </c>
      <c r="AF1303" s="206"/>
      <c r="AG1303" s="8"/>
      <c r="AH1303">
        <v>22494.59</v>
      </c>
      <c r="AJ1303" s="170"/>
    </row>
    <row r="1304" spans="1:36" x14ac:dyDescent="0.45">
      <c r="A1304" s="137">
        <f>A1300</f>
        <v>45760</v>
      </c>
      <c r="B1304" s="145" t="s">
        <v>64</v>
      </c>
      <c r="C1304" s="139">
        <f>80*W1304</f>
        <v>2240</v>
      </c>
      <c r="D1304" s="140">
        <v>48</v>
      </c>
      <c r="E1304" s="140">
        <v>0</v>
      </c>
      <c r="F1304" s="140">
        <v>0</v>
      </c>
      <c r="G1304" s="140">
        <v>0</v>
      </c>
      <c r="H1304" s="140">
        <v>0</v>
      </c>
      <c r="I1304" s="140">
        <v>0</v>
      </c>
      <c r="J1304" s="140">
        <v>0</v>
      </c>
      <c r="K1304" s="140">
        <v>0</v>
      </c>
      <c r="L1304" s="162">
        <v>0</v>
      </c>
      <c r="M1304" s="142"/>
      <c r="N1304" s="140">
        <v>7</v>
      </c>
      <c r="O1304" s="140">
        <v>0</v>
      </c>
      <c r="P1304" s="140">
        <v>0</v>
      </c>
      <c r="Q1304" s="140">
        <v>0</v>
      </c>
      <c r="R1304" s="142"/>
      <c r="S1304" s="140">
        <f t="shared" si="2580"/>
        <v>48</v>
      </c>
      <c r="T1304" s="140">
        <f t="shared" si="2581"/>
        <v>7</v>
      </c>
      <c r="U1304" s="140">
        <f t="shared" si="2582"/>
        <v>0</v>
      </c>
      <c r="V1304" s="142"/>
      <c r="W1304" s="146">
        <v>28</v>
      </c>
      <c r="X1304" s="146">
        <f>(W1304*1*D1304)+(W1304*1.5*E1304)+(W1304*2*F1304)+(W1304*1*G1304)</f>
        <v>1344</v>
      </c>
      <c r="Y1304" s="146">
        <f t="shared" si="2583"/>
        <v>0</v>
      </c>
      <c r="Z1304" s="146">
        <f t="shared" si="2584"/>
        <v>0</v>
      </c>
      <c r="AA1304" s="147">
        <f t="shared" si="2585"/>
        <v>0</v>
      </c>
      <c r="AB1304" s="147">
        <f t="shared" si="2586"/>
        <v>196</v>
      </c>
      <c r="AC1304" s="148">
        <f t="shared" si="2587"/>
        <v>0</v>
      </c>
      <c r="AD1304" s="206"/>
      <c r="AE1304" s="148">
        <f t="shared" si="2588"/>
        <v>-1148</v>
      </c>
      <c r="AF1304" s="206"/>
      <c r="AG1304" s="8"/>
      <c r="AH1304">
        <v>-3108.99</v>
      </c>
      <c r="AJ1304" s="170"/>
    </row>
    <row r="1305" spans="1:36" x14ac:dyDescent="0.45">
      <c r="A1305" s="137">
        <f>A1300</f>
        <v>45760</v>
      </c>
      <c r="B1305" s="145" t="s">
        <v>54</v>
      </c>
      <c r="C1305" s="139">
        <f>80*W1305</f>
        <v>2453.6000000000004</v>
      </c>
      <c r="D1305" s="140">
        <v>40</v>
      </c>
      <c r="E1305" s="140">
        <v>30.75</v>
      </c>
      <c r="F1305" s="140">
        <v>12</v>
      </c>
      <c r="G1305" s="140">
        <v>1</v>
      </c>
      <c r="H1305" s="140">
        <v>0</v>
      </c>
      <c r="I1305" s="140">
        <v>40</v>
      </c>
      <c r="J1305" s="140">
        <v>0</v>
      </c>
      <c r="K1305" s="140">
        <v>0</v>
      </c>
      <c r="L1305" s="162">
        <v>0</v>
      </c>
      <c r="M1305" s="142"/>
      <c r="N1305" s="140">
        <v>40</v>
      </c>
      <c r="O1305" s="140">
        <v>29.25</v>
      </c>
      <c r="P1305" s="140">
        <v>13.5</v>
      </c>
      <c r="Q1305" s="140">
        <v>1</v>
      </c>
      <c r="R1305" s="142"/>
      <c r="S1305" s="140">
        <f t="shared" si="2580"/>
        <v>83.75</v>
      </c>
      <c r="T1305" s="140">
        <f t="shared" si="2581"/>
        <v>83.75</v>
      </c>
      <c r="U1305" s="140">
        <f t="shared" si="2582"/>
        <v>40</v>
      </c>
      <c r="V1305" s="142"/>
      <c r="W1305" s="146">
        <v>30.67</v>
      </c>
      <c r="X1305" s="146">
        <f t="shared" ref="X1305:X1310" si="2589">(W1305*1*D1305)+(W1305*1.5*E1305)+(W1305*2*F1305)+(W1305*1*G1305)</f>
        <v>3408.2037500000006</v>
      </c>
      <c r="Y1305" s="146">
        <f t="shared" si="2583"/>
        <v>1226.8000000000002</v>
      </c>
      <c r="Z1305" s="146">
        <f t="shared" si="2584"/>
        <v>0</v>
      </c>
      <c r="AA1305" s="147">
        <f t="shared" si="2585"/>
        <v>0</v>
      </c>
      <c r="AB1305" s="147">
        <f t="shared" si="2586"/>
        <v>3431.2062500000002</v>
      </c>
      <c r="AC1305" s="148">
        <f t="shared" si="2587"/>
        <v>-1226.8000000000002</v>
      </c>
      <c r="AD1305" s="206"/>
      <c r="AE1305" s="148">
        <f t="shared" si="2588"/>
        <v>23.0024999999996</v>
      </c>
      <c r="AF1305" s="206"/>
      <c r="AG1305" s="8"/>
      <c r="AH1305">
        <v>-1132.55</v>
      </c>
      <c r="AJ1305" s="170"/>
    </row>
    <row r="1306" spans="1:36" ht="14.65" thickBot="1" x14ac:dyDescent="0.5">
      <c r="A1306" s="149">
        <f>A1300</f>
        <v>45760</v>
      </c>
      <c r="B1306" s="150" t="s">
        <v>66</v>
      </c>
      <c r="C1306" s="151">
        <f>80*W1306</f>
        <v>2160</v>
      </c>
      <c r="D1306" s="152">
        <v>51.25</v>
      </c>
      <c r="E1306" s="152">
        <v>0</v>
      </c>
      <c r="F1306" s="152">
        <v>0</v>
      </c>
      <c r="G1306" s="152">
        <v>0</v>
      </c>
      <c r="H1306" s="152">
        <v>0</v>
      </c>
      <c r="I1306" s="152">
        <v>0</v>
      </c>
      <c r="J1306" s="152">
        <v>0</v>
      </c>
      <c r="K1306" s="152">
        <v>0</v>
      </c>
      <c r="L1306" s="163">
        <v>0</v>
      </c>
      <c r="M1306" s="154"/>
      <c r="N1306" s="152">
        <v>0</v>
      </c>
      <c r="O1306" s="152">
        <v>0</v>
      </c>
      <c r="P1306" s="152">
        <v>0</v>
      </c>
      <c r="Q1306" s="152">
        <v>0</v>
      </c>
      <c r="R1306" s="154"/>
      <c r="S1306" s="152">
        <f t="shared" si="2580"/>
        <v>51.25</v>
      </c>
      <c r="T1306" s="152">
        <f t="shared" si="2581"/>
        <v>0</v>
      </c>
      <c r="U1306" s="152">
        <f t="shared" si="2582"/>
        <v>0</v>
      </c>
      <c r="V1306" s="154"/>
      <c r="W1306" s="153">
        <v>27</v>
      </c>
      <c r="X1306" s="153">
        <f t="shared" si="2589"/>
        <v>1383.75</v>
      </c>
      <c r="Y1306" s="153">
        <f t="shared" si="2583"/>
        <v>0</v>
      </c>
      <c r="Z1306" s="153">
        <f t="shared" si="2584"/>
        <v>0</v>
      </c>
      <c r="AA1306" s="155">
        <f t="shared" si="2585"/>
        <v>0</v>
      </c>
      <c r="AB1306" s="155">
        <f t="shared" si="2586"/>
        <v>0</v>
      </c>
      <c r="AC1306" s="156">
        <f t="shared" si="2587"/>
        <v>0</v>
      </c>
      <c r="AD1306" s="207"/>
      <c r="AE1306" s="156">
        <f t="shared" si="2588"/>
        <v>-1383.75</v>
      </c>
      <c r="AF1306" s="207"/>
      <c r="AG1306" s="8"/>
      <c r="AH1306">
        <f>SUM(AH1303:AH1305)</f>
        <v>18253.05</v>
      </c>
    </row>
    <row r="1307" spans="1:36" x14ac:dyDescent="0.45">
      <c r="A1307" s="129">
        <f>A1306+14</f>
        <v>45774</v>
      </c>
      <c r="B1307" s="130" t="s">
        <v>30</v>
      </c>
      <c r="C1307" s="131">
        <f>120*W1307</f>
        <v>4680</v>
      </c>
      <c r="D1307" s="132">
        <v>72</v>
      </c>
      <c r="E1307" s="132">
        <v>25</v>
      </c>
      <c r="F1307" s="132">
        <v>12</v>
      </c>
      <c r="G1307" s="132">
        <v>16</v>
      </c>
      <c r="H1307" s="132">
        <v>0</v>
      </c>
      <c r="I1307" s="132">
        <v>0</v>
      </c>
      <c r="J1307" s="132">
        <v>8</v>
      </c>
      <c r="K1307" s="132">
        <v>0</v>
      </c>
      <c r="L1307" s="161">
        <v>0</v>
      </c>
      <c r="M1307" s="134"/>
      <c r="N1307" s="132">
        <v>72</v>
      </c>
      <c r="O1307" s="132">
        <v>24</v>
      </c>
      <c r="P1307" s="132">
        <v>13</v>
      </c>
      <c r="Q1307" s="132">
        <v>16</v>
      </c>
      <c r="R1307" s="134"/>
      <c r="S1307" s="132">
        <f t="shared" ref="S1307:S1313" si="2590">SUM(D1307:G1307)</f>
        <v>125</v>
      </c>
      <c r="T1307" s="132">
        <f t="shared" ref="T1307:T1313" si="2591">SUM(N1307:Q1307)</f>
        <v>125</v>
      </c>
      <c r="U1307" s="132">
        <f t="shared" ref="U1307:U1313" si="2592">SUM(H1307:K1307)</f>
        <v>8</v>
      </c>
      <c r="V1307" s="134"/>
      <c r="W1307" s="133">
        <v>39</v>
      </c>
      <c r="X1307" s="133">
        <f t="shared" si="2589"/>
        <v>5830.5</v>
      </c>
      <c r="Y1307" s="133">
        <f t="shared" ref="Y1307:Y1313" si="2593">(W1307*0*H1307)+(W1307*1*I1307)</f>
        <v>0</v>
      </c>
      <c r="Z1307" s="133">
        <f t="shared" ref="Z1307:Z1313" si="2594">(W1307*1*J1307)+L1307</f>
        <v>312</v>
      </c>
      <c r="AA1307" s="135">
        <f t="shared" ref="AA1307:AA1313" si="2595">(W1307*1*K1307)</f>
        <v>0</v>
      </c>
      <c r="AB1307" s="135">
        <f t="shared" ref="AB1307:AB1313" si="2596">(W1307*1*N1307)+(W1307*1.5*O1307)+(W1307*2*P1307)+(W1307*1*Q1307)</f>
        <v>5850</v>
      </c>
      <c r="AC1307" s="136">
        <f t="shared" ref="AC1307:AC1313" si="2597">0-Y1307-AA1307</f>
        <v>0</v>
      </c>
      <c r="AD1307" s="205"/>
      <c r="AE1307" s="136">
        <f t="shared" ref="AE1307:AE1313" si="2598">AB1307-(X1307+Z1307)</f>
        <v>-292.5</v>
      </c>
      <c r="AF1307" s="205">
        <f>SUM(AE1307:AE1313)</f>
        <v>-3058.3587500000003</v>
      </c>
      <c r="AG1307" s="8"/>
    </row>
    <row r="1308" spans="1:36" x14ac:dyDescent="0.45">
      <c r="A1308" s="137">
        <f>A1307</f>
        <v>45774</v>
      </c>
      <c r="B1308" s="138" t="s">
        <v>5</v>
      </c>
      <c r="C1308" s="139">
        <f>120*W1308</f>
        <v>4200</v>
      </c>
      <c r="D1308" s="140">
        <v>70.5</v>
      </c>
      <c r="E1308" s="140">
        <v>4</v>
      </c>
      <c r="F1308" s="140">
        <v>0</v>
      </c>
      <c r="G1308" s="140">
        <v>0</v>
      </c>
      <c r="H1308" s="140">
        <v>0</v>
      </c>
      <c r="I1308" s="140">
        <v>8</v>
      </c>
      <c r="J1308" s="140">
        <v>8</v>
      </c>
      <c r="K1308" s="140">
        <v>0</v>
      </c>
      <c r="L1308" s="162">
        <v>0</v>
      </c>
      <c r="M1308" s="142"/>
      <c r="N1308" s="140">
        <v>70.5</v>
      </c>
      <c r="O1308" s="140">
        <v>4</v>
      </c>
      <c r="P1308" s="140">
        <v>0</v>
      </c>
      <c r="Q1308" s="140">
        <v>0</v>
      </c>
      <c r="R1308" s="142"/>
      <c r="S1308" s="140">
        <f t="shared" si="2590"/>
        <v>74.5</v>
      </c>
      <c r="T1308" s="140">
        <f t="shared" si="2591"/>
        <v>74.5</v>
      </c>
      <c r="U1308" s="140">
        <f t="shared" si="2592"/>
        <v>16</v>
      </c>
      <c r="V1308" s="142"/>
      <c r="W1308" s="141">
        <v>35</v>
      </c>
      <c r="X1308" s="141">
        <f t="shared" si="2589"/>
        <v>2677.5</v>
      </c>
      <c r="Y1308" s="141">
        <f t="shared" si="2593"/>
        <v>280</v>
      </c>
      <c r="Z1308" s="141">
        <f t="shared" si="2594"/>
        <v>280</v>
      </c>
      <c r="AA1308" s="143">
        <f t="shared" si="2595"/>
        <v>0</v>
      </c>
      <c r="AB1308" s="143">
        <f t="shared" si="2596"/>
        <v>2677.5</v>
      </c>
      <c r="AC1308" s="144">
        <f t="shared" si="2597"/>
        <v>-280</v>
      </c>
      <c r="AD1308" s="206"/>
      <c r="AE1308" s="144">
        <f t="shared" si="2598"/>
        <v>-280</v>
      </c>
      <c r="AF1308" s="206"/>
      <c r="AG1308" s="8"/>
    </row>
    <row r="1309" spans="1:36" x14ac:dyDescent="0.45">
      <c r="A1309" s="137">
        <f>A1307</f>
        <v>45774</v>
      </c>
      <c r="B1309" s="138" t="s">
        <v>6</v>
      </c>
      <c r="C1309" s="139">
        <f>120*W1309</f>
        <v>4320</v>
      </c>
      <c r="D1309" s="140">
        <v>41.25</v>
      </c>
      <c r="E1309" s="140">
        <v>0</v>
      </c>
      <c r="F1309" s="140">
        <v>0</v>
      </c>
      <c r="G1309" s="140">
        <v>6.5</v>
      </c>
      <c r="H1309" s="140">
        <v>0</v>
      </c>
      <c r="I1309" s="140">
        <v>0</v>
      </c>
      <c r="J1309" s="140">
        <v>8</v>
      </c>
      <c r="K1309" s="140">
        <v>0</v>
      </c>
      <c r="L1309" s="162">
        <v>0</v>
      </c>
      <c r="M1309" s="142"/>
      <c r="N1309" s="140">
        <v>32</v>
      </c>
      <c r="O1309" s="140">
        <v>9.25</v>
      </c>
      <c r="P1309" s="140">
        <v>0</v>
      </c>
      <c r="Q1309" s="140">
        <v>6.5</v>
      </c>
      <c r="R1309" s="142"/>
      <c r="S1309" s="140">
        <f t="shared" si="2590"/>
        <v>47.75</v>
      </c>
      <c r="T1309" s="140">
        <f t="shared" si="2591"/>
        <v>47.75</v>
      </c>
      <c r="U1309" s="140">
        <f t="shared" si="2592"/>
        <v>8</v>
      </c>
      <c r="V1309" s="142"/>
      <c r="W1309" s="141">
        <v>36</v>
      </c>
      <c r="X1309" s="141">
        <f t="shared" si="2589"/>
        <v>1719</v>
      </c>
      <c r="Y1309" s="141">
        <f t="shared" si="2593"/>
        <v>0</v>
      </c>
      <c r="Z1309" s="141">
        <f t="shared" si="2594"/>
        <v>288</v>
      </c>
      <c r="AA1309" s="143">
        <f t="shared" si="2595"/>
        <v>0</v>
      </c>
      <c r="AB1309" s="143">
        <f t="shared" si="2596"/>
        <v>1885.5</v>
      </c>
      <c r="AC1309" s="144">
        <f t="shared" si="2597"/>
        <v>0</v>
      </c>
      <c r="AD1309" s="206"/>
      <c r="AE1309" s="144">
        <f t="shared" si="2598"/>
        <v>-121.5</v>
      </c>
      <c r="AF1309" s="206"/>
      <c r="AG1309" s="8"/>
    </row>
    <row r="1310" spans="1:36" x14ac:dyDescent="0.45">
      <c r="A1310" s="137">
        <f>A1307</f>
        <v>45774</v>
      </c>
      <c r="B1310" s="145" t="s">
        <v>31</v>
      </c>
      <c r="C1310" s="139">
        <f>120*W1310</f>
        <v>4320</v>
      </c>
      <c r="D1310" s="140">
        <v>24</v>
      </c>
      <c r="E1310" s="140">
        <v>12</v>
      </c>
      <c r="F1310" s="140">
        <v>11.75</v>
      </c>
      <c r="G1310" s="140">
        <v>24.25</v>
      </c>
      <c r="H1310" s="140">
        <v>0</v>
      </c>
      <c r="I1310" s="140">
        <v>0</v>
      </c>
      <c r="J1310" s="140">
        <v>8</v>
      </c>
      <c r="K1310" s="140">
        <v>0</v>
      </c>
      <c r="L1310" s="162">
        <v>0</v>
      </c>
      <c r="M1310" s="142"/>
      <c r="N1310" s="140">
        <v>36.75</v>
      </c>
      <c r="O1310" s="140">
        <v>0</v>
      </c>
      <c r="P1310" s="140">
        <v>23.75</v>
      </c>
      <c r="Q1310" s="140">
        <v>11.5</v>
      </c>
      <c r="R1310" s="142"/>
      <c r="S1310" s="140">
        <f t="shared" si="2590"/>
        <v>72</v>
      </c>
      <c r="T1310" s="140">
        <f t="shared" si="2591"/>
        <v>72</v>
      </c>
      <c r="U1310" s="140">
        <f t="shared" si="2592"/>
        <v>8</v>
      </c>
      <c r="V1310" s="142"/>
      <c r="W1310" s="141">
        <v>36</v>
      </c>
      <c r="X1310" s="146">
        <f t="shared" si="2589"/>
        <v>3231</v>
      </c>
      <c r="Y1310" s="146">
        <f t="shared" si="2593"/>
        <v>0</v>
      </c>
      <c r="Z1310" s="146">
        <f t="shared" si="2594"/>
        <v>288</v>
      </c>
      <c r="AA1310" s="147">
        <f t="shared" si="2595"/>
        <v>0</v>
      </c>
      <c r="AB1310" s="147">
        <f t="shared" si="2596"/>
        <v>3447</v>
      </c>
      <c r="AC1310" s="148">
        <f t="shared" si="2597"/>
        <v>0</v>
      </c>
      <c r="AD1310" s="206"/>
      <c r="AE1310" s="148">
        <f t="shared" si="2598"/>
        <v>-72</v>
      </c>
      <c r="AF1310" s="206"/>
      <c r="AG1310" s="8"/>
      <c r="AH1310">
        <v>21541.82</v>
      </c>
      <c r="AJ1310" s="170"/>
    </row>
    <row r="1311" spans="1:36" x14ac:dyDescent="0.45">
      <c r="A1311" s="137">
        <f>A1307</f>
        <v>45774</v>
      </c>
      <c r="B1311" s="145" t="s">
        <v>64</v>
      </c>
      <c r="C1311" s="139">
        <f>80*W1311</f>
        <v>2240</v>
      </c>
      <c r="D1311" s="140">
        <v>65</v>
      </c>
      <c r="E1311" s="140">
        <v>0.5</v>
      </c>
      <c r="F1311" s="140">
        <v>0</v>
      </c>
      <c r="G1311" s="140">
        <v>0</v>
      </c>
      <c r="H1311" s="140">
        <v>0</v>
      </c>
      <c r="I1311" s="140">
        <v>0</v>
      </c>
      <c r="J1311" s="140">
        <v>8</v>
      </c>
      <c r="K1311" s="140">
        <v>0</v>
      </c>
      <c r="L1311" s="162">
        <v>0</v>
      </c>
      <c r="M1311" s="142"/>
      <c r="N1311" s="140">
        <v>53.75</v>
      </c>
      <c r="O1311" s="140">
        <v>0</v>
      </c>
      <c r="P1311" s="140">
        <v>0</v>
      </c>
      <c r="Q1311" s="140">
        <v>0</v>
      </c>
      <c r="R1311" s="142"/>
      <c r="S1311" s="140">
        <f t="shared" si="2590"/>
        <v>65.5</v>
      </c>
      <c r="T1311" s="140">
        <f t="shared" si="2591"/>
        <v>53.75</v>
      </c>
      <c r="U1311" s="140">
        <f t="shared" si="2592"/>
        <v>8</v>
      </c>
      <c r="V1311" s="142"/>
      <c r="W1311" s="146">
        <v>28</v>
      </c>
      <c r="X1311" s="146">
        <f>(W1311*1*D1311)+(W1311*1.5*E1311)+(W1311*2*F1311)+(W1311*1*G1311)</f>
        <v>1841</v>
      </c>
      <c r="Y1311" s="146">
        <f t="shared" si="2593"/>
        <v>0</v>
      </c>
      <c r="Z1311" s="146">
        <f t="shared" si="2594"/>
        <v>224</v>
      </c>
      <c r="AA1311" s="147">
        <f t="shared" si="2595"/>
        <v>0</v>
      </c>
      <c r="AB1311" s="147">
        <f t="shared" si="2596"/>
        <v>1505</v>
      </c>
      <c r="AC1311" s="148">
        <f t="shared" si="2597"/>
        <v>0</v>
      </c>
      <c r="AD1311" s="206"/>
      <c r="AE1311" s="148">
        <f t="shared" si="2598"/>
        <v>-560</v>
      </c>
      <c r="AF1311" s="206"/>
      <c r="AG1311" s="8"/>
      <c r="AH1311">
        <v>-3108.99</v>
      </c>
      <c r="AJ1311" s="170"/>
    </row>
    <row r="1312" spans="1:36" x14ac:dyDescent="0.45">
      <c r="A1312" s="137">
        <f>A1307</f>
        <v>45774</v>
      </c>
      <c r="B1312" s="145" t="s">
        <v>54</v>
      </c>
      <c r="C1312" s="139">
        <f>80*W1312</f>
        <v>2453.6000000000004</v>
      </c>
      <c r="D1312" s="140">
        <v>32</v>
      </c>
      <c r="E1312" s="140">
        <v>9</v>
      </c>
      <c r="F1312" s="140">
        <v>0</v>
      </c>
      <c r="G1312" s="140">
        <v>6.5</v>
      </c>
      <c r="H1312" s="140">
        <v>0</v>
      </c>
      <c r="I1312" s="140">
        <v>40</v>
      </c>
      <c r="J1312" s="140">
        <v>8</v>
      </c>
      <c r="K1312" s="140">
        <v>0</v>
      </c>
      <c r="L1312" s="162">
        <v>0</v>
      </c>
      <c r="M1312" s="142"/>
      <c r="N1312" s="140">
        <v>32</v>
      </c>
      <c r="O1312" s="140">
        <v>9.25</v>
      </c>
      <c r="P1312" s="140">
        <v>0</v>
      </c>
      <c r="Q1312" s="140">
        <v>6.5</v>
      </c>
      <c r="R1312" s="142"/>
      <c r="S1312" s="140">
        <f t="shared" si="2590"/>
        <v>47.5</v>
      </c>
      <c r="T1312" s="140">
        <f t="shared" si="2591"/>
        <v>47.75</v>
      </c>
      <c r="U1312" s="140">
        <f t="shared" si="2592"/>
        <v>48</v>
      </c>
      <c r="V1312" s="142"/>
      <c r="W1312" s="146">
        <v>30.67</v>
      </c>
      <c r="X1312" s="146">
        <f t="shared" ref="X1312:X1317" si="2599">(W1312*1*D1312)+(W1312*1.5*E1312)+(W1312*2*F1312)+(W1312*1*G1312)</f>
        <v>1594.8400000000001</v>
      </c>
      <c r="Y1312" s="146">
        <f t="shared" si="2593"/>
        <v>1226.8000000000002</v>
      </c>
      <c r="Z1312" s="146">
        <f t="shared" si="2594"/>
        <v>245.36</v>
      </c>
      <c r="AA1312" s="147">
        <f t="shared" si="2595"/>
        <v>0</v>
      </c>
      <c r="AB1312" s="147">
        <f t="shared" si="2596"/>
        <v>1606.3412500000002</v>
      </c>
      <c r="AC1312" s="148">
        <f t="shared" si="2597"/>
        <v>-1226.8000000000002</v>
      </c>
      <c r="AD1312" s="206"/>
      <c r="AE1312" s="148">
        <f t="shared" si="2598"/>
        <v>-233.8587500000001</v>
      </c>
      <c r="AF1312" s="206"/>
      <c r="AG1312" s="8"/>
      <c r="AH1312">
        <v>-1213.03</v>
      </c>
      <c r="AJ1312" s="170"/>
    </row>
    <row r="1313" spans="1:36" ht="14.65" thickBot="1" x14ac:dyDescent="0.5">
      <c r="A1313" s="149">
        <f>A1307</f>
        <v>45774</v>
      </c>
      <c r="B1313" s="150" t="s">
        <v>66</v>
      </c>
      <c r="C1313" s="151">
        <f>80*W1313</f>
        <v>2160</v>
      </c>
      <c r="D1313" s="152">
        <v>47.5</v>
      </c>
      <c r="E1313" s="152">
        <v>0</v>
      </c>
      <c r="F1313" s="152">
        <v>0</v>
      </c>
      <c r="G1313" s="152">
        <v>0</v>
      </c>
      <c r="H1313" s="152">
        <v>0</v>
      </c>
      <c r="I1313" s="152">
        <v>0</v>
      </c>
      <c r="J1313" s="152">
        <v>8</v>
      </c>
      <c r="K1313" s="152">
        <v>0</v>
      </c>
      <c r="L1313" s="163">
        <v>0</v>
      </c>
      <c r="M1313" s="154"/>
      <c r="N1313" s="152">
        <v>0</v>
      </c>
      <c r="O1313" s="152">
        <v>0</v>
      </c>
      <c r="P1313" s="152">
        <v>0</v>
      </c>
      <c r="Q1313" s="152">
        <v>0</v>
      </c>
      <c r="R1313" s="154"/>
      <c r="S1313" s="152">
        <f t="shared" si="2590"/>
        <v>47.5</v>
      </c>
      <c r="T1313" s="152">
        <f t="shared" si="2591"/>
        <v>0</v>
      </c>
      <c r="U1313" s="152">
        <f t="shared" si="2592"/>
        <v>8</v>
      </c>
      <c r="V1313" s="154"/>
      <c r="W1313" s="153">
        <v>27</v>
      </c>
      <c r="X1313" s="153">
        <f t="shared" si="2599"/>
        <v>1282.5</v>
      </c>
      <c r="Y1313" s="153">
        <f t="shared" si="2593"/>
        <v>0</v>
      </c>
      <c r="Z1313" s="153">
        <f t="shared" si="2594"/>
        <v>216</v>
      </c>
      <c r="AA1313" s="155">
        <f t="shared" si="2595"/>
        <v>0</v>
      </c>
      <c r="AB1313" s="155">
        <f t="shared" si="2596"/>
        <v>0</v>
      </c>
      <c r="AC1313" s="156">
        <f t="shared" si="2597"/>
        <v>0</v>
      </c>
      <c r="AD1313" s="207"/>
      <c r="AE1313" s="156">
        <f t="shared" si="2598"/>
        <v>-1498.5</v>
      </c>
      <c r="AF1313" s="207"/>
      <c r="AG1313" s="8"/>
      <c r="AH1313">
        <f>SUM(AH1310:AH1312)</f>
        <v>17219.800000000003</v>
      </c>
    </row>
    <row r="1314" spans="1:36" x14ac:dyDescent="0.45">
      <c r="A1314" s="129">
        <f>A1313+14</f>
        <v>45788</v>
      </c>
      <c r="B1314" s="130" t="s">
        <v>30</v>
      </c>
      <c r="C1314" s="131">
        <f>120*W1314</f>
        <v>4680</v>
      </c>
      <c r="D1314" s="132">
        <v>38</v>
      </c>
      <c r="E1314" s="132">
        <v>0</v>
      </c>
      <c r="F1314" s="132">
        <v>0</v>
      </c>
      <c r="G1314" s="132">
        <v>8</v>
      </c>
      <c r="H1314" s="132">
        <v>0</v>
      </c>
      <c r="I1314" s="132">
        <v>40</v>
      </c>
      <c r="J1314" s="132">
        <v>0</v>
      </c>
      <c r="K1314" s="132">
        <v>0</v>
      </c>
      <c r="L1314" s="161">
        <v>0</v>
      </c>
      <c r="M1314" s="134"/>
      <c r="N1314" s="132">
        <v>38</v>
      </c>
      <c r="O1314" s="132">
        <v>0</v>
      </c>
      <c r="P1314" s="132">
        <v>0</v>
      </c>
      <c r="Q1314" s="132">
        <v>8</v>
      </c>
      <c r="R1314" s="134"/>
      <c r="S1314" s="132">
        <f t="shared" ref="S1314:S1320" si="2600">SUM(D1314:G1314)</f>
        <v>46</v>
      </c>
      <c r="T1314" s="132">
        <f t="shared" ref="T1314:T1320" si="2601">SUM(N1314:Q1314)</f>
        <v>46</v>
      </c>
      <c r="U1314" s="132">
        <f t="shared" ref="U1314:U1320" si="2602">SUM(H1314:K1314)</f>
        <v>40</v>
      </c>
      <c r="V1314" s="134"/>
      <c r="W1314" s="133">
        <v>39</v>
      </c>
      <c r="X1314" s="133">
        <f t="shared" si="2599"/>
        <v>1794</v>
      </c>
      <c r="Y1314" s="133">
        <f t="shared" ref="Y1314:Y1320" si="2603">(W1314*0*H1314)+(W1314*1*I1314)</f>
        <v>1560</v>
      </c>
      <c r="Z1314" s="133">
        <f t="shared" ref="Z1314:Z1320" si="2604">(W1314*1*J1314)+L1314</f>
        <v>0</v>
      </c>
      <c r="AA1314" s="135">
        <f t="shared" ref="AA1314:AA1320" si="2605">(W1314*1*K1314)</f>
        <v>0</v>
      </c>
      <c r="AB1314" s="135">
        <f t="shared" ref="AB1314:AB1320" si="2606">(W1314*1*N1314)+(W1314*1.5*O1314)+(W1314*2*P1314)+(W1314*1*Q1314)</f>
        <v>1794</v>
      </c>
      <c r="AC1314" s="136">
        <f t="shared" ref="AC1314:AC1320" si="2607">0-Y1314-AA1314</f>
        <v>-1560</v>
      </c>
      <c r="AD1314" s="205"/>
      <c r="AE1314" s="136">
        <f t="shared" ref="AE1314:AE1320" si="2608">AB1314-(X1314+Z1314)</f>
        <v>0</v>
      </c>
      <c r="AF1314" s="205">
        <f>SUM(AE1314:AE1320)</f>
        <v>-1668</v>
      </c>
      <c r="AG1314" s="8"/>
    </row>
    <row r="1315" spans="1:36" x14ac:dyDescent="0.45">
      <c r="A1315" s="137">
        <f>A1314</f>
        <v>45788</v>
      </c>
      <c r="B1315" s="138" t="s">
        <v>5</v>
      </c>
      <c r="C1315" s="139">
        <f>120*W1315</f>
        <v>4200</v>
      </c>
      <c r="D1315" s="140">
        <v>76.5</v>
      </c>
      <c r="E1315" s="140">
        <v>0</v>
      </c>
      <c r="F1315" s="140">
        <v>0</v>
      </c>
      <c r="G1315" s="140">
        <v>0</v>
      </c>
      <c r="H1315" s="140">
        <v>0</v>
      </c>
      <c r="I1315" s="140">
        <v>8</v>
      </c>
      <c r="J1315" s="140">
        <v>0</v>
      </c>
      <c r="K1315" s="140">
        <v>0</v>
      </c>
      <c r="L1315" s="162">
        <v>0</v>
      </c>
      <c r="M1315" s="142"/>
      <c r="N1315" s="140">
        <v>75</v>
      </c>
      <c r="O1315" s="140">
        <v>1.5</v>
      </c>
      <c r="P1315" s="140">
        <v>0</v>
      </c>
      <c r="Q1315" s="140">
        <v>0</v>
      </c>
      <c r="R1315" s="142"/>
      <c r="S1315" s="140">
        <f t="shared" si="2600"/>
        <v>76.5</v>
      </c>
      <c r="T1315" s="140">
        <f t="shared" si="2601"/>
        <v>76.5</v>
      </c>
      <c r="U1315" s="140">
        <f t="shared" si="2602"/>
        <v>8</v>
      </c>
      <c r="V1315" s="142"/>
      <c r="W1315" s="141">
        <v>35</v>
      </c>
      <c r="X1315" s="141">
        <f t="shared" si="2599"/>
        <v>2677.5</v>
      </c>
      <c r="Y1315" s="141">
        <f t="shared" si="2603"/>
        <v>280</v>
      </c>
      <c r="Z1315" s="141">
        <f t="shared" si="2604"/>
        <v>0</v>
      </c>
      <c r="AA1315" s="143">
        <f t="shared" si="2605"/>
        <v>0</v>
      </c>
      <c r="AB1315" s="143">
        <f t="shared" si="2606"/>
        <v>2703.75</v>
      </c>
      <c r="AC1315" s="144">
        <f t="shared" si="2607"/>
        <v>-280</v>
      </c>
      <c r="AD1315" s="206"/>
      <c r="AE1315" s="144">
        <f t="shared" si="2608"/>
        <v>26.25</v>
      </c>
      <c r="AF1315" s="206"/>
      <c r="AG1315" s="8"/>
    </row>
    <row r="1316" spans="1:36" x14ac:dyDescent="0.45">
      <c r="A1316" s="137">
        <f>A1314</f>
        <v>45788</v>
      </c>
      <c r="B1316" s="138" t="s">
        <v>6</v>
      </c>
      <c r="C1316" s="139">
        <f>120*W1316</f>
        <v>4320</v>
      </c>
      <c r="D1316" s="140">
        <v>80</v>
      </c>
      <c r="E1316" s="140">
        <v>6.5</v>
      </c>
      <c r="F1316" s="140">
        <v>0</v>
      </c>
      <c r="G1316" s="140">
        <v>0</v>
      </c>
      <c r="H1316" s="140">
        <v>0</v>
      </c>
      <c r="I1316" s="140">
        <v>0</v>
      </c>
      <c r="J1316" s="140">
        <v>0</v>
      </c>
      <c r="K1316" s="140">
        <v>0</v>
      </c>
      <c r="L1316" s="162">
        <v>0</v>
      </c>
      <c r="M1316" s="142"/>
      <c r="N1316" s="140">
        <v>80</v>
      </c>
      <c r="O1316" s="140">
        <v>6.5</v>
      </c>
      <c r="P1316" s="140">
        <v>0</v>
      </c>
      <c r="Q1316" s="140">
        <v>0</v>
      </c>
      <c r="R1316" s="142"/>
      <c r="S1316" s="140">
        <f t="shared" si="2600"/>
        <v>86.5</v>
      </c>
      <c r="T1316" s="140">
        <f t="shared" si="2601"/>
        <v>86.5</v>
      </c>
      <c r="U1316" s="140">
        <f t="shared" si="2602"/>
        <v>0</v>
      </c>
      <c r="V1316" s="142"/>
      <c r="W1316" s="141">
        <v>36</v>
      </c>
      <c r="X1316" s="141">
        <f t="shared" si="2599"/>
        <v>3231</v>
      </c>
      <c r="Y1316" s="141">
        <f t="shared" si="2603"/>
        <v>0</v>
      </c>
      <c r="Z1316" s="141">
        <f t="shared" si="2604"/>
        <v>0</v>
      </c>
      <c r="AA1316" s="143">
        <f t="shared" si="2605"/>
        <v>0</v>
      </c>
      <c r="AB1316" s="143">
        <f t="shared" si="2606"/>
        <v>3231</v>
      </c>
      <c r="AC1316" s="144">
        <f t="shared" si="2607"/>
        <v>0</v>
      </c>
      <c r="AD1316" s="206"/>
      <c r="AE1316" s="144">
        <f t="shared" si="2608"/>
        <v>0</v>
      </c>
      <c r="AF1316" s="206"/>
      <c r="AG1316" s="8"/>
    </row>
    <row r="1317" spans="1:36" x14ac:dyDescent="0.45">
      <c r="A1317" s="137">
        <f>A1314</f>
        <v>45788</v>
      </c>
      <c r="B1317" s="145" t="s">
        <v>31</v>
      </c>
      <c r="C1317" s="139">
        <f>120*W1317</f>
        <v>4320</v>
      </c>
      <c r="D1317" s="140">
        <v>0</v>
      </c>
      <c r="E1317" s="140">
        <v>0</v>
      </c>
      <c r="F1317" s="140">
        <v>0</v>
      </c>
      <c r="G1317" s="140">
        <v>0</v>
      </c>
      <c r="H1317" s="140">
        <v>0</v>
      </c>
      <c r="I1317" s="140">
        <v>0</v>
      </c>
      <c r="J1317" s="140">
        <v>0</v>
      </c>
      <c r="K1317" s="140">
        <v>0</v>
      </c>
      <c r="L1317" s="162">
        <v>0</v>
      </c>
      <c r="M1317" s="142"/>
      <c r="N1317" s="140">
        <v>0</v>
      </c>
      <c r="O1317" s="140">
        <v>0</v>
      </c>
      <c r="P1317" s="140">
        <v>0</v>
      </c>
      <c r="Q1317" s="140">
        <v>0</v>
      </c>
      <c r="R1317" s="142"/>
      <c r="S1317" s="140">
        <f t="shared" si="2600"/>
        <v>0</v>
      </c>
      <c r="T1317" s="140">
        <f t="shared" si="2601"/>
        <v>0</v>
      </c>
      <c r="U1317" s="140">
        <f t="shared" si="2602"/>
        <v>0</v>
      </c>
      <c r="V1317" s="142"/>
      <c r="W1317" s="141">
        <v>36</v>
      </c>
      <c r="X1317" s="146">
        <f t="shared" si="2599"/>
        <v>0</v>
      </c>
      <c r="Y1317" s="146">
        <f t="shared" si="2603"/>
        <v>0</v>
      </c>
      <c r="Z1317" s="146">
        <f t="shared" si="2604"/>
        <v>0</v>
      </c>
      <c r="AA1317" s="147">
        <f t="shared" si="2605"/>
        <v>0</v>
      </c>
      <c r="AB1317" s="147">
        <f t="shared" si="2606"/>
        <v>0</v>
      </c>
      <c r="AC1317" s="148">
        <f t="shared" si="2607"/>
        <v>0</v>
      </c>
      <c r="AD1317" s="206"/>
      <c r="AE1317" s="148">
        <f t="shared" si="2608"/>
        <v>0</v>
      </c>
      <c r="AF1317" s="206"/>
      <c r="AG1317" s="8"/>
      <c r="AH1317">
        <v>16201.44</v>
      </c>
      <c r="AJ1317" s="170"/>
    </row>
    <row r="1318" spans="1:36" x14ac:dyDescent="0.45">
      <c r="A1318" s="137">
        <f>A1314</f>
        <v>45788</v>
      </c>
      <c r="B1318" s="145" t="s">
        <v>64</v>
      </c>
      <c r="C1318" s="139">
        <f>80*W1318</f>
        <v>2240</v>
      </c>
      <c r="D1318" s="140">
        <v>71.25</v>
      </c>
      <c r="E1318" s="140">
        <v>5</v>
      </c>
      <c r="F1318" s="140">
        <v>0</v>
      </c>
      <c r="G1318" s="140">
        <v>0</v>
      </c>
      <c r="H1318" s="140">
        <v>0</v>
      </c>
      <c r="I1318" s="140">
        <v>8</v>
      </c>
      <c r="J1318" s="140">
        <v>0</v>
      </c>
      <c r="K1318" s="140">
        <v>0</v>
      </c>
      <c r="L1318" s="162">
        <v>0</v>
      </c>
      <c r="M1318" s="142"/>
      <c r="N1318" s="140">
        <v>71.25</v>
      </c>
      <c r="O1318" s="140">
        <v>5</v>
      </c>
      <c r="P1318" s="140">
        <v>0</v>
      </c>
      <c r="Q1318" s="140">
        <v>0</v>
      </c>
      <c r="R1318" s="142"/>
      <c r="S1318" s="140">
        <f t="shared" si="2600"/>
        <v>76.25</v>
      </c>
      <c r="T1318" s="140">
        <f t="shared" si="2601"/>
        <v>76.25</v>
      </c>
      <c r="U1318" s="140">
        <f t="shared" si="2602"/>
        <v>8</v>
      </c>
      <c r="V1318" s="142"/>
      <c r="W1318" s="146">
        <v>28</v>
      </c>
      <c r="X1318" s="146">
        <f>(W1318*1*D1318)+(W1318*1.5*E1318)+(W1318*2*F1318)+(W1318*1*G1318)</f>
        <v>2205</v>
      </c>
      <c r="Y1318" s="146">
        <f t="shared" si="2603"/>
        <v>224</v>
      </c>
      <c r="Z1318" s="146">
        <f t="shared" si="2604"/>
        <v>0</v>
      </c>
      <c r="AA1318" s="147">
        <f t="shared" si="2605"/>
        <v>0</v>
      </c>
      <c r="AB1318" s="147">
        <f t="shared" si="2606"/>
        <v>2205</v>
      </c>
      <c r="AC1318" s="148">
        <f t="shared" si="2607"/>
        <v>-224</v>
      </c>
      <c r="AD1318" s="206"/>
      <c r="AE1318" s="148">
        <f t="shared" si="2608"/>
        <v>0</v>
      </c>
      <c r="AF1318" s="206"/>
      <c r="AG1318" s="8"/>
      <c r="AH1318">
        <v>-3108.99</v>
      </c>
      <c r="AJ1318" s="170"/>
    </row>
    <row r="1319" spans="1:36" x14ac:dyDescent="0.45">
      <c r="A1319" s="137">
        <f>A1314</f>
        <v>45788</v>
      </c>
      <c r="B1319" s="145" t="s">
        <v>54</v>
      </c>
      <c r="C1319" s="139">
        <f>80*W1319</f>
        <v>2453.6000000000004</v>
      </c>
      <c r="D1319" s="140">
        <v>0</v>
      </c>
      <c r="E1319" s="140">
        <v>0</v>
      </c>
      <c r="F1319" s="140">
        <v>0</v>
      </c>
      <c r="G1319" s="140">
        <v>0</v>
      </c>
      <c r="H1319" s="140">
        <v>0</v>
      </c>
      <c r="I1319" s="140">
        <v>0</v>
      </c>
      <c r="J1319" s="140">
        <v>0</v>
      </c>
      <c r="K1319" s="140">
        <v>0</v>
      </c>
      <c r="L1319" s="162">
        <v>0</v>
      </c>
      <c r="M1319" s="142"/>
      <c r="N1319" s="140">
        <v>0</v>
      </c>
      <c r="O1319" s="140">
        <v>0</v>
      </c>
      <c r="P1319" s="140">
        <v>0</v>
      </c>
      <c r="Q1319" s="140">
        <v>0</v>
      </c>
      <c r="R1319" s="142"/>
      <c r="S1319" s="140">
        <f t="shared" si="2600"/>
        <v>0</v>
      </c>
      <c r="T1319" s="140">
        <f t="shared" si="2601"/>
        <v>0</v>
      </c>
      <c r="U1319" s="140">
        <f t="shared" si="2602"/>
        <v>0</v>
      </c>
      <c r="V1319" s="142"/>
      <c r="W1319" s="146">
        <v>30.67</v>
      </c>
      <c r="X1319" s="146">
        <f t="shared" ref="X1319:X1324" si="2609">(W1319*1*D1319)+(W1319*1.5*E1319)+(W1319*2*F1319)+(W1319*1*G1319)</f>
        <v>0</v>
      </c>
      <c r="Y1319" s="146">
        <f t="shared" si="2603"/>
        <v>0</v>
      </c>
      <c r="Z1319" s="146">
        <f t="shared" si="2604"/>
        <v>0</v>
      </c>
      <c r="AA1319" s="147">
        <f t="shared" si="2605"/>
        <v>0</v>
      </c>
      <c r="AB1319" s="147">
        <f t="shared" si="2606"/>
        <v>0</v>
      </c>
      <c r="AC1319" s="148">
        <f t="shared" si="2607"/>
        <v>0</v>
      </c>
      <c r="AD1319" s="206"/>
      <c r="AE1319" s="148">
        <f t="shared" si="2608"/>
        <v>0</v>
      </c>
      <c r="AF1319" s="206"/>
      <c r="AG1319" s="8"/>
      <c r="AH1319">
        <v>-1357.65</v>
      </c>
      <c r="AJ1319" s="170"/>
    </row>
    <row r="1320" spans="1:36" ht="14.65" thickBot="1" x14ac:dyDescent="0.5">
      <c r="A1320" s="149">
        <f>A1314</f>
        <v>45788</v>
      </c>
      <c r="B1320" s="150" t="s">
        <v>66</v>
      </c>
      <c r="C1320" s="151">
        <f>80*W1320</f>
        <v>2160</v>
      </c>
      <c r="D1320" s="152">
        <v>62.75</v>
      </c>
      <c r="E1320" s="152">
        <v>0</v>
      </c>
      <c r="F1320" s="152">
        <v>0</v>
      </c>
      <c r="G1320" s="152">
        <v>0</v>
      </c>
      <c r="H1320" s="152">
        <v>0</v>
      </c>
      <c r="I1320" s="152">
        <v>0</v>
      </c>
      <c r="J1320" s="152">
        <v>0</v>
      </c>
      <c r="K1320" s="152">
        <v>0</v>
      </c>
      <c r="L1320" s="163">
        <v>0</v>
      </c>
      <c r="M1320" s="154"/>
      <c r="N1320" s="152">
        <v>0</v>
      </c>
      <c r="O1320" s="152">
        <v>0</v>
      </c>
      <c r="P1320" s="152">
        <v>0</v>
      </c>
      <c r="Q1320" s="152">
        <v>0</v>
      </c>
      <c r="R1320" s="154"/>
      <c r="S1320" s="152">
        <f t="shared" si="2600"/>
        <v>62.75</v>
      </c>
      <c r="T1320" s="152">
        <f t="shared" si="2601"/>
        <v>0</v>
      </c>
      <c r="U1320" s="152">
        <f t="shared" si="2602"/>
        <v>0</v>
      </c>
      <c r="V1320" s="154"/>
      <c r="W1320" s="153">
        <v>27</v>
      </c>
      <c r="X1320" s="153">
        <f t="shared" si="2609"/>
        <v>1694.25</v>
      </c>
      <c r="Y1320" s="153">
        <f t="shared" si="2603"/>
        <v>0</v>
      </c>
      <c r="Z1320" s="153">
        <f t="shared" si="2604"/>
        <v>0</v>
      </c>
      <c r="AA1320" s="155">
        <f t="shared" si="2605"/>
        <v>0</v>
      </c>
      <c r="AB1320" s="155">
        <f t="shared" si="2606"/>
        <v>0</v>
      </c>
      <c r="AC1320" s="156">
        <f t="shared" si="2607"/>
        <v>0</v>
      </c>
      <c r="AD1320" s="207"/>
      <c r="AE1320" s="156">
        <f t="shared" si="2608"/>
        <v>-1694.25</v>
      </c>
      <c r="AF1320" s="207"/>
      <c r="AG1320" s="8"/>
      <c r="AH1320">
        <f>SUM(AH1317:AH1319)</f>
        <v>11734.800000000001</v>
      </c>
    </row>
    <row r="1321" spans="1:36" x14ac:dyDescent="0.45">
      <c r="A1321" s="129">
        <f>A1320+14</f>
        <v>45802</v>
      </c>
      <c r="B1321" s="130" t="s">
        <v>30</v>
      </c>
      <c r="C1321" s="131">
        <f>120*W1321</f>
        <v>4680</v>
      </c>
      <c r="D1321" s="132">
        <v>35</v>
      </c>
      <c r="E1321" s="132">
        <v>0</v>
      </c>
      <c r="F1321" s="132">
        <v>0</v>
      </c>
      <c r="G1321" s="132">
        <v>0</v>
      </c>
      <c r="H1321" s="132">
        <v>0</v>
      </c>
      <c r="I1321" s="132">
        <v>0</v>
      </c>
      <c r="J1321" s="132">
        <v>8</v>
      </c>
      <c r="K1321" s="132">
        <v>0</v>
      </c>
      <c r="L1321" s="161">
        <v>0</v>
      </c>
      <c r="M1321" s="134"/>
      <c r="N1321" s="132">
        <v>32</v>
      </c>
      <c r="O1321" s="132">
        <v>3</v>
      </c>
      <c r="P1321" s="132">
        <v>0</v>
      </c>
      <c r="Q1321" s="132">
        <v>0</v>
      </c>
      <c r="R1321" s="134"/>
      <c r="S1321" s="132">
        <f t="shared" ref="S1321:S1327" si="2610">SUM(D1321:G1321)</f>
        <v>35</v>
      </c>
      <c r="T1321" s="132">
        <f t="shared" ref="T1321:T1327" si="2611">SUM(N1321:Q1321)</f>
        <v>35</v>
      </c>
      <c r="U1321" s="132">
        <f t="shared" ref="U1321:U1327" si="2612">SUM(H1321:K1321)</f>
        <v>8</v>
      </c>
      <c r="V1321" s="134"/>
      <c r="W1321" s="133">
        <v>39</v>
      </c>
      <c r="X1321" s="133">
        <f t="shared" si="2609"/>
        <v>1365</v>
      </c>
      <c r="Y1321" s="133">
        <f t="shared" ref="Y1321:Y1327" si="2613">(W1321*0*H1321)+(W1321*1*I1321)</f>
        <v>0</v>
      </c>
      <c r="Z1321" s="133">
        <f t="shared" ref="Z1321:Z1327" si="2614">(W1321*1*J1321)+L1321</f>
        <v>312</v>
      </c>
      <c r="AA1321" s="135">
        <f t="shared" ref="AA1321:AA1327" si="2615">(W1321*1*K1321)</f>
        <v>0</v>
      </c>
      <c r="AB1321" s="135">
        <f t="shared" ref="AB1321:AB1327" si="2616">(W1321*1*N1321)+(W1321*1.5*O1321)+(W1321*2*P1321)+(W1321*1*Q1321)</f>
        <v>1423.5</v>
      </c>
      <c r="AC1321" s="136">
        <f t="shared" ref="AC1321:AC1327" si="2617">0-Y1321-AA1321</f>
        <v>0</v>
      </c>
      <c r="AD1321" s="205"/>
      <c r="AE1321" s="136">
        <f t="shared" ref="AE1321:AE1327" si="2618">AB1321-(X1321+Z1321)</f>
        <v>-253.5</v>
      </c>
      <c r="AF1321" s="205">
        <f>SUM(AE1321:AE1327)</f>
        <v>-6893.87</v>
      </c>
      <c r="AG1321" s="8"/>
    </row>
    <row r="1322" spans="1:36" x14ac:dyDescent="0.45">
      <c r="A1322" s="137">
        <f>A1321</f>
        <v>45802</v>
      </c>
      <c r="B1322" s="138" t="s">
        <v>5</v>
      </c>
      <c r="C1322" s="139">
        <f>120*W1322</f>
        <v>4200</v>
      </c>
      <c r="D1322" s="140">
        <v>52.5</v>
      </c>
      <c r="E1322" s="140">
        <v>0</v>
      </c>
      <c r="F1322" s="140">
        <v>0</v>
      </c>
      <c r="G1322" s="140">
        <v>0</v>
      </c>
      <c r="H1322" s="140">
        <v>0</v>
      </c>
      <c r="I1322" s="140">
        <v>18</v>
      </c>
      <c r="J1322" s="140">
        <v>8</v>
      </c>
      <c r="K1322" s="140">
        <v>0</v>
      </c>
      <c r="L1322" s="162">
        <v>0</v>
      </c>
      <c r="M1322" s="142"/>
      <c r="N1322" s="140">
        <v>32.5</v>
      </c>
      <c r="O1322" s="140">
        <v>0</v>
      </c>
      <c r="P1322" s="140">
        <v>0</v>
      </c>
      <c r="Q1322" s="140">
        <v>0</v>
      </c>
      <c r="R1322" s="142"/>
      <c r="S1322" s="140">
        <f t="shared" si="2610"/>
        <v>52.5</v>
      </c>
      <c r="T1322" s="140">
        <f t="shared" si="2611"/>
        <v>32.5</v>
      </c>
      <c r="U1322" s="140">
        <f t="shared" si="2612"/>
        <v>26</v>
      </c>
      <c r="V1322" s="142"/>
      <c r="W1322" s="141">
        <v>35</v>
      </c>
      <c r="X1322" s="141">
        <f t="shared" si="2609"/>
        <v>1837.5</v>
      </c>
      <c r="Y1322" s="141">
        <f t="shared" si="2613"/>
        <v>630</v>
      </c>
      <c r="Z1322" s="141">
        <f t="shared" si="2614"/>
        <v>280</v>
      </c>
      <c r="AA1322" s="143">
        <f t="shared" si="2615"/>
        <v>0</v>
      </c>
      <c r="AB1322" s="143">
        <f t="shared" si="2616"/>
        <v>1137.5</v>
      </c>
      <c r="AC1322" s="144">
        <f t="shared" si="2617"/>
        <v>-630</v>
      </c>
      <c r="AD1322" s="206"/>
      <c r="AE1322" s="144">
        <f t="shared" si="2618"/>
        <v>-980</v>
      </c>
      <c r="AF1322" s="206"/>
      <c r="AG1322" s="8"/>
    </row>
    <row r="1323" spans="1:36" x14ac:dyDescent="0.45">
      <c r="A1323" s="137">
        <f>A1321</f>
        <v>45802</v>
      </c>
      <c r="B1323" s="138" t="s">
        <v>6</v>
      </c>
      <c r="C1323" s="139">
        <f>120*W1323</f>
        <v>4320</v>
      </c>
      <c r="D1323" s="140">
        <v>40</v>
      </c>
      <c r="E1323" s="140">
        <v>0.5</v>
      </c>
      <c r="F1323" s="140">
        <v>0</v>
      </c>
      <c r="G1323" s="140">
        <v>0</v>
      </c>
      <c r="H1323" s="140">
        <v>0</v>
      </c>
      <c r="I1323" s="140">
        <v>0</v>
      </c>
      <c r="J1323" s="140">
        <v>8</v>
      </c>
      <c r="K1323" s="140">
        <v>0</v>
      </c>
      <c r="L1323" s="162">
        <v>0</v>
      </c>
      <c r="M1323" s="142"/>
      <c r="N1323" s="140">
        <v>40</v>
      </c>
      <c r="O1323" s="140">
        <v>0.5</v>
      </c>
      <c r="P1323" s="140">
        <v>0</v>
      </c>
      <c r="Q1323" s="140">
        <v>0</v>
      </c>
      <c r="R1323" s="142"/>
      <c r="S1323" s="140">
        <f t="shared" si="2610"/>
        <v>40.5</v>
      </c>
      <c r="T1323" s="140">
        <f t="shared" si="2611"/>
        <v>40.5</v>
      </c>
      <c r="U1323" s="140">
        <f t="shared" si="2612"/>
        <v>8</v>
      </c>
      <c r="V1323" s="142"/>
      <c r="W1323" s="141">
        <v>36</v>
      </c>
      <c r="X1323" s="141">
        <f t="shared" si="2609"/>
        <v>1467</v>
      </c>
      <c r="Y1323" s="141">
        <f t="shared" si="2613"/>
        <v>0</v>
      </c>
      <c r="Z1323" s="141">
        <f t="shared" si="2614"/>
        <v>288</v>
      </c>
      <c r="AA1323" s="143">
        <f t="shared" si="2615"/>
        <v>0</v>
      </c>
      <c r="AB1323" s="143">
        <f t="shared" si="2616"/>
        <v>1467</v>
      </c>
      <c r="AC1323" s="144">
        <f t="shared" si="2617"/>
        <v>0</v>
      </c>
      <c r="AD1323" s="206"/>
      <c r="AE1323" s="144">
        <f t="shared" si="2618"/>
        <v>-288</v>
      </c>
      <c r="AF1323" s="206"/>
      <c r="AG1323" s="8"/>
    </row>
    <row r="1324" spans="1:36" x14ac:dyDescent="0.45">
      <c r="A1324" s="137">
        <f>A1321</f>
        <v>45802</v>
      </c>
      <c r="B1324" s="145" t="s">
        <v>31</v>
      </c>
      <c r="C1324" s="139">
        <f>120*W1324</f>
        <v>4320</v>
      </c>
      <c r="D1324" s="140">
        <v>0</v>
      </c>
      <c r="E1324" s="140">
        <v>0</v>
      </c>
      <c r="F1324" s="140">
        <v>0</v>
      </c>
      <c r="G1324" s="140">
        <v>0</v>
      </c>
      <c r="H1324" s="140">
        <v>0</v>
      </c>
      <c r="I1324" s="140">
        <v>0</v>
      </c>
      <c r="J1324" s="140">
        <v>0</v>
      </c>
      <c r="K1324" s="140">
        <v>0</v>
      </c>
      <c r="L1324" s="162">
        <v>0</v>
      </c>
      <c r="M1324" s="142"/>
      <c r="N1324" s="140">
        <v>0</v>
      </c>
      <c r="O1324" s="140">
        <v>0</v>
      </c>
      <c r="P1324" s="140">
        <v>0</v>
      </c>
      <c r="Q1324" s="140">
        <v>0</v>
      </c>
      <c r="R1324" s="142"/>
      <c r="S1324" s="140">
        <f t="shared" si="2610"/>
        <v>0</v>
      </c>
      <c r="T1324" s="140">
        <f t="shared" si="2611"/>
        <v>0</v>
      </c>
      <c r="U1324" s="140">
        <f t="shared" si="2612"/>
        <v>0</v>
      </c>
      <c r="V1324" s="142"/>
      <c r="W1324" s="141">
        <v>36</v>
      </c>
      <c r="X1324" s="146">
        <f t="shared" si="2609"/>
        <v>0</v>
      </c>
      <c r="Y1324" s="146">
        <f t="shared" si="2613"/>
        <v>0</v>
      </c>
      <c r="Z1324" s="146">
        <f t="shared" si="2614"/>
        <v>0</v>
      </c>
      <c r="AA1324" s="147">
        <f t="shared" si="2615"/>
        <v>0</v>
      </c>
      <c r="AB1324" s="147">
        <f t="shared" si="2616"/>
        <v>0</v>
      </c>
      <c r="AC1324" s="148">
        <f t="shared" si="2617"/>
        <v>0</v>
      </c>
      <c r="AD1324" s="206"/>
      <c r="AE1324" s="148">
        <f t="shared" si="2618"/>
        <v>0</v>
      </c>
      <c r="AF1324" s="206"/>
      <c r="AG1324" s="8"/>
      <c r="AH1324">
        <v>15128.03</v>
      </c>
      <c r="AJ1324" s="170"/>
    </row>
    <row r="1325" spans="1:36" x14ac:dyDescent="0.45">
      <c r="A1325" s="137">
        <f>A1321</f>
        <v>45802</v>
      </c>
      <c r="B1325" s="145" t="s">
        <v>64</v>
      </c>
      <c r="C1325" s="139">
        <f>80*W1325</f>
        <v>2240</v>
      </c>
      <c r="D1325" s="140">
        <v>51</v>
      </c>
      <c r="E1325" s="140">
        <v>0</v>
      </c>
      <c r="F1325" s="140">
        <v>0</v>
      </c>
      <c r="G1325" s="140">
        <v>0</v>
      </c>
      <c r="H1325" s="140">
        <v>0</v>
      </c>
      <c r="I1325" s="140">
        <v>0</v>
      </c>
      <c r="J1325" s="140">
        <v>8</v>
      </c>
      <c r="K1325" s="140">
        <v>8</v>
      </c>
      <c r="L1325" s="162">
        <v>0</v>
      </c>
      <c r="M1325" s="142"/>
      <c r="N1325" s="140">
        <v>0</v>
      </c>
      <c r="O1325" s="140">
        <v>0</v>
      </c>
      <c r="P1325" s="140">
        <v>0</v>
      </c>
      <c r="Q1325" s="140">
        <v>0</v>
      </c>
      <c r="R1325" s="142"/>
      <c r="S1325" s="140">
        <f t="shared" si="2610"/>
        <v>51</v>
      </c>
      <c r="T1325" s="140">
        <f t="shared" si="2611"/>
        <v>0</v>
      </c>
      <c r="U1325" s="140">
        <f t="shared" si="2612"/>
        <v>16</v>
      </c>
      <c r="V1325" s="142"/>
      <c r="W1325" s="146">
        <v>28</v>
      </c>
      <c r="X1325" s="146">
        <f>(W1325*1*D1325)+(W1325*1.5*E1325)+(W1325*2*F1325)+(W1325*1*G1325)</f>
        <v>1428</v>
      </c>
      <c r="Y1325" s="146">
        <f t="shared" si="2613"/>
        <v>0</v>
      </c>
      <c r="Z1325" s="146">
        <f t="shared" si="2614"/>
        <v>224</v>
      </c>
      <c r="AA1325" s="147">
        <f t="shared" si="2615"/>
        <v>224</v>
      </c>
      <c r="AB1325" s="147">
        <f t="shared" si="2616"/>
        <v>0</v>
      </c>
      <c r="AC1325" s="148">
        <f t="shared" si="2617"/>
        <v>-224</v>
      </c>
      <c r="AD1325" s="206"/>
      <c r="AE1325" s="148">
        <f t="shared" si="2618"/>
        <v>-1652</v>
      </c>
      <c r="AF1325" s="206"/>
      <c r="AG1325" s="8"/>
      <c r="AH1325">
        <v>-3108.99</v>
      </c>
      <c r="AJ1325" s="170"/>
    </row>
    <row r="1326" spans="1:36" x14ac:dyDescent="0.45">
      <c r="A1326" s="137">
        <f>A1321</f>
        <v>45802</v>
      </c>
      <c r="B1326" s="145" t="s">
        <v>54</v>
      </c>
      <c r="C1326" s="139">
        <f>80*W1326</f>
        <v>2453.6000000000004</v>
      </c>
      <c r="D1326" s="140">
        <v>53</v>
      </c>
      <c r="E1326" s="140">
        <v>0</v>
      </c>
      <c r="F1326" s="140">
        <v>0</v>
      </c>
      <c r="G1326" s="140">
        <v>0</v>
      </c>
      <c r="H1326" s="140">
        <v>0</v>
      </c>
      <c r="I1326" s="140">
        <v>0</v>
      </c>
      <c r="J1326" s="140">
        <v>8</v>
      </c>
      <c r="K1326" s="140">
        <v>0</v>
      </c>
      <c r="L1326" s="162">
        <v>0</v>
      </c>
      <c r="M1326" s="142"/>
      <c r="N1326" s="140">
        <v>0</v>
      </c>
      <c r="O1326" s="140">
        <v>0</v>
      </c>
      <c r="P1326" s="140">
        <v>0</v>
      </c>
      <c r="Q1326" s="140">
        <v>0</v>
      </c>
      <c r="R1326" s="142"/>
      <c r="S1326" s="140">
        <f t="shared" si="2610"/>
        <v>53</v>
      </c>
      <c r="T1326" s="140">
        <f t="shared" si="2611"/>
        <v>0</v>
      </c>
      <c r="U1326" s="140">
        <f t="shared" si="2612"/>
        <v>8</v>
      </c>
      <c r="V1326" s="142"/>
      <c r="W1326" s="146">
        <v>30.67</v>
      </c>
      <c r="X1326" s="146">
        <f t="shared" ref="X1326:X1331" si="2619">(W1326*1*D1326)+(W1326*1.5*E1326)+(W1326*2*F1326)+(W1326*1*G1326)</f>
        <v>1625.51</v>
      </c>
      <c r="Y1326" s="146">
        <f t="shared" si="2613"/>
        <v>0</v>
      </c>
      <c r="Z1326" s="146">
        <f t="shared" si="2614"/>
        <v>245.36</v>
      </c>
      <c r="AA1326" s="147">
        <f t="shared" si="2615"/>
        <v>0</v>
      </c>
      <c r="AB1326" s="147">
        <f t="shared" si="2616"/>
        <v>0</v>
      </c>
      <c r="AC1326" s="148">
        <f t="shared" si="2617"/>
        <v>0</v>
      </c>
      <c r="AD1326" s="206"/>
      <c r="AE1326" s="148">
        <f t="shared" si="2618"/>
        <v>-1870.87</v>
      </c>
      <c r="AF1326" s="206"/>
      <c r="AG1326" s="8"/>
      <c r="AH1326">
        <v>-1466.59</v>
      </c>
      <c r="AJ1326" s="170"/>
    </row>
    <row r="1327" spans="1:36" ht="14.65" thickBot="1" x14ac:dyDescent="0.5">
      <c r="A1327" s="149">
        <f>A1321</f>
        <v>45802</v>
      </c>
      <c r="B1327" s="150" t="s">
        <v>66</v>
      </c>
      <c r="C1327" s="151">
        <f>80*W1327</f>
        <v>2160</v>
      </c>
      <c r="D1327" s="152">
        <v>60.5</v>
      </c>
      <c r="E1327" s="152">
        <v>0</v>
      </c>
      <c r="F1327" s="152">
        <v>0</v>
      </c>
      <c r="G1327" s="152">
        <v>0</v>
      </c>
      <c r="H1327" s="152">
        <v>0</v>
      </c>
      <c r="I1327" s="152">
        <v>0</v>
      </c>
      <c r="J1327" s="152">
        <v>8</v>
      </c>
      <c r="K1327" s="152">
        <v>0</v>
      </c>
      <c r="L1327" s="163">
        <v>0</v>
      </c>
      <c r="M1327" s="154"/>
      <c r="N1327" s="152">
        <v>0</v>
      </c>
      <c r="O1327" s="152">
        <v>0</v>
      </c>
      <c r="P1327" s="152">
        <v>0</v>
      </c>
      <c r="Q1327" s="152">
        <v>0</v>
      </c>
      <c r="R1327" s="154"/>
      <c r="S1327" s="152">
        <f t="shared" si="2610"/>
        <v>60.5</v>
      </c>
      <c r="T1327" s="152">
        <f t="shared" si="2611"/>
        <v>0</v>
      </c>
      <c r="U1327" s="152">
        <f t="shared" si="2612"/>
        <v>8</v>
      </c>
      <c r="V1327" s="154"/>
      <c r="W1327" s="153">
        <v>27</v>
      </c>
      <c r="X1327" s="153">
        <f t="shared" si="2619"/>
        <v>1633.5</v>
      </c>
      <c r="Y1327" s="153">
        <f t="shared" si="2613"/>
        <v>0</v>
      </c>
      <c r="Z1327" s="153">
        <f t="shared" si="2614"/>
        <v>216</v>
      </c>
      <c r="AA1327" s="155">
        <f t="shared" si="2615"/>
        <v>0</v>
      </c>
      <c r="AB1327" s="155">
        <f t="shared" si="2616"/>
        <v>0</v>
      </c>
      <c r="AC1327" s="156">
        <f t="shared" si="2617"/>
        <v>0</v>
      </c>
      <c r="AD1327" s="207"/>
      <c r="AE1327" s="156">
        <f t="shared" si="2618"/>
        <v>-1849.5</v>
      </c>
      <c r="AF1327" s="207"/>
      <c r="AG1327" s="8"/>
      <c r="AH1327">
        <f>SUM(AH1324:AH1326)</f>
        <v>10552.45</v>
      </c>
    </row>
    <row r="1328" spans="1:36" x14ac:dyDescent="0.45">
      <c r="A1328" s="129">
        <f>A1327+14</f>
        <v>45816</v>
      </c>
      <c r="B1328" s="130" t="s">
        <v>30</v>
      </c>
      <c r="C1328" s="131">
        <f>120*W1328</f>
        <v>4680</v>
      </c>
      <c r="D1328" s="132">
        <v>76</v>
      </c>
      <c r="E1328" s="132">
        <v>3</v>
      </c>
      <c r="F1328" s="132">
        <v>0</v>
      </c>
      <c r="G1328" s="132">
        <v>28</v>
      </c>
      <c r="H1328" s="132">
        <v>0</v>
      </c>
      <c r="I1328" s="132">
        <v>0</v>
      </c>
      <c r="J1328" s="132">
        <v>0</v>
      </c>
      <c r="K1328" s="132">
        <v>0</v>
      </c>
      <c r="L1328" s="161">
        <v>0</v>
      </c>
      <c r="M1328" s="134"/>
      <c r="N1328" s="132">
        <v>78.5</v>
      </c>
      <c r="O1328" s="132">
        <v>4.5</v>
      </c>
      <c r="P1328" s="132">
        <v>0</v>
      </c>
      <c r="Q1328" s="132">
        <v>24</v>
      </c>
      <c r="R1328" s="134"/>
      <c r="S1328" s="132">
        <f t="shared" ref="S1328:S1334" si="2620">SUM(D1328:G1328)</f>
        <v>107</v>
      </c>
      <c r="T1328" s="132">
        <f t="shared" ref="T1328:T1334" si="2621">SUM(N1328:Q1328)</f>
        <v>107</v>
      </c>
      <c r="U1328" s="132">
        <f t="shared" ref="U1328:U1334" si="2622">SUM(H1328:K1328)</f>
        <v>0</v>
      </c>
      <c r="V1328" s="134"/>
      <c r="W1328" s="133">
        <v>39</v>
      </c>
      <c r="X1328" s="133">
        <f t="shared" si="2619"/>
        <v>4231.5</v>
      </c>
      <c r="Y1328" s="133">
        <f t="shared" ref="Y1328:Y1334" si="2623">(W1328*0*H1328)+(W1328*1*I1328)</f>
        <v>0</v>
      </c>
      <c r="Z1328" s="133">
        <f t="shared" ref="Z1328:Z1334" si="2624">(W1328*1*J1328)+L1328</f>
        <v>0</v>
      </c>
      <c r="AA1328" s="135">
        <f t="shared" ref="AA1328:AA1334" si="2625">(W1328*1*K1328)</f>
        <v>0</v>
      </c>
      <c r="AB1328" s="135">
        <f t="shared" ref="AB1328:AB1334" si="2626">(W1328*1*N1328)+(W1328*1.5*O1328)+(W1328*2*P1328)+(W1328*1*Q1328)</f>
        <v>4260.75</v>
      </c>
      <c r="AC1328" s="136">
        <f t="shared" ref="AC1328:AC1334" si="2627">0-Y1328-AA1328</f>
        <v>0</v>
      </c>
      <c r="AD1328" s="205"/>
      <c r="AE1328" s="136">
        <f t="shared" ref="AE1328:AE1334" si="2628">AB1328-(X1328+Z1328)</f>
        <v>29.25</v>
      </c>
      <c r="AF1328" s="205">
        <f>SUM(AE1328:AE1334)</f>
        <v>-3140.1550000000002</v>
      </c>
      <c r="AG1328" s="8"/>
    </row>
    <row r="1329" spans="1:36" x14ac:dyDescent="0.45">
      <c r="A1329" s="137">
        <f>A1328</f>
        <v>45816</v>
      </c>
      <c r="B1329" s="138" t="s">
        <v>5</v>
      </c>
      <c r="C1329" s="139">
        <f>120*W1329</f>
        <v>4200</v>
      </c>
      <c r="D1329" s="140">
        <v>69.5</v>
      </c>
      <c r="E1329" s="140">
        <v>28</v>
      </c>
      <c r="F1329" s="140">
        <v>0</v>
      </c>
      <c r="G1329" s="140">
        <v>0</v>
      </c>
      <c r="H1329" s="140">
        <v>0</v>
      </c>
      <c r="I1329" s="140">
        <v>0</v>
      </c>
      <c r="J1329" s="140">
        <v>0</v>
      </c>
      <c r="K1329" s="140">
        <v>0</v>
      </c>
      <c r="L1329" s="162">
        <v>0</v>
      </c>
      <c r="M1329" s="142"/>
      <c r="N1329" s="140">
        <v>40</v>
      </c>
      <c r="O1329" s="140">
        <v>28</v>
      </c>
      <c r="P1329" s="140">
        <v>0</v>
      </c>
      <c r="Q1329" s="140">
        <v>0</v>
      </c>
      <c r="R1329" s="142"/>
      <c r="S1329" s="140">
        <f t="shared" si="2620"/>
        <v>97.5</v>
      </c>
      <c r="T1329" s="140">
        <f t="shared" si="2621"/>
        <v>68</v>
      </c>
      <c r="U1329" s="140">
        <f t="shared" si="2622"/>
        <v>0</v>
      </c>
      <c r="V1329" s="142"/>
      <c r="W1329" s="141">
        <v>35</v>
      </c>
      <c r="X1329" s="141">
        <f t="shared" si="2619"/>
        <v>3902.5</v>
      </c>
      <c r="Y1329" s="141">
        <f t="shared" si="2623"/>
        <v>0</v>
      </c>
      <c r="Z1329" s="141">
        <f t="shared" si="2624"/>
        <v>0</v>
      </c>
      <c r="AA1329" s="143">
        <f t="shared" si="2625"/>
        <v>0</v>
      </c>
      <c r="AB1329" s="143">
        <f t="shared" si="2626"/>
        <v>2870</v>
      </c>
      <c r="AC1329" s="144">
        <f t="shared" si="2627"/>
        <v>0</v>
      </c>
      <c r="AD1329" s="206"/>
      <c r="AE1329" s="144">
        <f t="shared" si="2628"/>
        <v>-1032.5</v>
      </c>
      <c r="AF1329" s="206"/>
      <c r="AG1329" s="8"/>
    </row>
    <row r="1330" spans="1:36" x14ac:dyDescent="0.45">
      <c r="A1330" s="137">
        <f>A1328</f>
        <v>45816</v>
      </c>
      <c r="B1330" s="138" t="s">
        <v>6</v>
      </c>
      <c r="C1330" s="139">
        <f>120*W1330</f>
        <v>4320</v>
      </c>
      <c r="D1330" s="140">
        <v>80</v>
      </c>
      <c r="E1330" s="140">
        <v>25</v>
      </c>
      <c r="F1330" s="140">
        <v>12</v>
      </c>
      <c r="G1330" s="140">
        <v>13.5</v>
      </c>
      <c r="H1330" s="140">
        <v>0</v>
      </c>
      <c r="I1330" s="140">
        <v>0</v>
      </c>
      <c r="J1330" s="140">
        <v>0</v>
      </c>
      <c r="K1330" s="140">
        <v>0</v>
      </c>
      <c r="L1330" s="162">
        <v>0</v>
      </c>
      <c r="M1330" s="142"/>
      <c r="N1330" s="140">
        <v>80</v>
      </c>
      <c r="O1330" s="140">
        <v>24.5</v>
      </c>
      <c r="P1330" s="140">
        <v>12</v>
      </c>
      <c r="Q1330" s="140">
        <v>14</v>
      </c>
      <c r="R1330" s="142"/>
      <c r="S1330" s="140">
        <f t="shared" si="2620"/>
        <v>130.5</v>
      </c>
      <c r="T1330" s="140">
        <f t="shared" si="2621"/>
        <v>130.5</v>
      </c>
      <c r="U1330" s="140">
        <f t="shared" si="2622"/>
        <v>0</v>
      </c>
      <c r="V1330" s="142"/>
      <c r="W1330" s="141">
        <v>36</v>
      </c>
      <c r="X1330" s="141">
        <f t="shared" si="2619"/>
        <v>5580</v>
      </c>
      <c r="Y1330" s="141">
        <f t="shared" si="2623"/>
        <v>0</v>
      </c>
      <c r="Z1330" s="141">
        <f t="shared" si="2624"/>
        <v>0</v>
      </c>
      <c r="AA1330" s="143">
        <f t="shared" si="2625"/>
        <v>0</v>
      </c>
      <c r="AB1330" s="143">
        <f t="shared" si="2626"/>
        <v>5571</v>
      </c>
      <c r="AC1330" s="144">
        <f t="shared" si="2627"/>
        <v>0</v>
      </c>
      <c r="AD1330" s="206"/>
      <c r="AE1330" s="144">
        <f t="shared" si="2628"/>
        <v>-9</v>
      </c>
      <c r="AF1330" s="206"/>
      <c r="AG1330" s="8"/>
    </row>
    <row r="1331" spans="1:36" x14ac:dyDescent="0.45">
      <c r="A1331" s="137">
        <f>A1328</f>
        <v>45816</v>
      </c>
      <c r="B1331" s="145" t="s">
        <v>31</v>
      </c>
      <c r="C1331" s="139">
        <f>120*W1331</f>
        <v>4320</v>
      </c>
      <c r="D1331" s="140">
        <v>20</v>
      </c>
      <c r="E1331" s="140">
        <v>0</v>
      </c>
      <c r="F1331" s="140">
        <v>12</v>
      </c>
      <c r="G1331" s="140">
        <v>4</v>
      </c>
      <c r="H1331" s="140">
        <v>0</v>
      </c>
      <c r="I1331" s="140">
        <v>0</v>
      </c>
      <c r="J1331" s="140">
        <v>0</v>
      </c>
      <c r="K1331" s="140">
        <v>0</v>
      </c>
      <c r="L1331" s="162">
        <v>0</v>
      </c>
      <c r="M1331" s="142"/>
      <c r="N1331" s="140">
        <v>20</v>
      </c>
      <c r="O1331" s="140">
        <v>0</v>
      </c>
      <c r="P1331" s="140">
        <v>12</v>
      </c>
      <c r="Q1331" s="140">
        <v>4</v>
      </c>
      <c r="R1331" s="142"/>
      <c r="S1331" s="140">
        <f t="shared" si="2620"/>
        <v>36</v>
      </c>
      <c r="T1331" s="140">
        <f t="shared" si="2621"/>
        <v>36</v>
      </c>
      <c r="U1331" s="140">
        <f t="shared" si="2622"/>
        <v>0</v>
      </c>
      <c r="V1331" s="142"/>
      <c r="W1331" s="141">
        <v>36</v>
      </c>
      <c r="X1331" s="146">
        <f t="shared" si="2619"/>
        <v>1728</v>
      </c>
      <c r="Y1331" s="146">
        <f t="shared" si="2623"/>
        <v>0</v>
      </c>
      <c r="Z1331" s="146">
        <f t="shared" si="2624"/>
        <v>0</v>
      </c>
      <c r="AA1331" s="147">
        <f t="shared" si="2625"/>
        <v>0</v>
      </c>
      <c r="AB1331" s="147">
        <f t="shared" si="2626"/>
        <v>1728</v>
      </c>
      <c r="AC1331" s="148">
        <f t="shared" si="2627"/>
        <v>0</v>
      </c>
      <c r="AD1331" s="206"/>
      <c r="AE1331" s="148">
        <f t="shared" si="2628"/>
        <v>0</v>
      </c>
      <c r="AF1331" s="206"/>
      <c r="AG1331" s="8"/>
      <c r="AH1331">
        <v>24506</v>
      </c>
      <c r="AJ1331" s="170"/>
    </row>
    <row r="1332" spans="1:36" x14ac:dyDescent="0.45">
      <c r="A1332" s="137">
        <f>A1328</f>
        <v>45816</v>
      </c>
      <c r="B1332" s="145" t="s">
        <v>64</v>
      </c>
      <c r="C1332" s="139">
        <f>80*W1332</f>
        <v>2240</v>
      </c>
      <c r="D1332" s="140">
        <v>79.75</v>
      </c>
      <c r="E1332" s="140">
        <v>32</v>
      </c>
      <c r="F1332" s="140">
        <v>24</v>
      </c>
      <c r="G1332" s="140">
        <v>10</v>
      </c>
      <c r="H1332" s="140">
        <v>0</v>
      </c>
      <c r="I1332" s="140">
        <v>0</v>
      </c>
      <c r="J1332" s="140">
        <v>0</v>
      </c>
      <c r="K1332" s="140">
        <v>0</v>
      </c>
      <c r="L1332" s="162">
        <v>0</v>
      </c>
      <c r="M1332" s="142"/>
      <c r="N1332" s="140">
        <v>76</v>
      </c>
      <c r="O1332" s="140">
        <v>32</v>
      </c>
      <c r="P1332" s="140">
        <v>24</v>
      </c>
      <c r="Q1332" s="140">
        <v>10</v>
      </c>
      <c r="R1332" s="142"/>
      <c r="S1332" s="140">
        <f t="shared" si="2620"/>
        <v>145.75</v>
      </c>
      <c r="T1332" s="140">
        <f t="shared" si="2621"/>
        <v>142</v>
      </c>
      <c r="U1332" s="140">
        <f t="shared" si="2622"/>
        <v>0</v>
      </c>
      <c r="V1332" s="142"/>
      <c r="W1332" s="146">
        <v>28</v>
      </c>
      <c r="X1332" s="146">
        <f>(W1332*1*D1332)+(W1332*1.5*E1332)+(W1332*2*F1332)+(W1332*1*G1332)</f>
        <v>5201</v>
      </c>
      <c r="Y1332" s="146">
        <f t="shared" si="2623"/>
        <v>0</v>
      </c>
      <c r="Z1332" s="146">
        <f t="shared" si="2624"/>
        <v>0</v>
      </c>
      <c r="AA1332" s="147">
        <f t="shared" si="2625"/>
        <v>0</v>
      </c>
      <c r="AB1332" s="147">
        <f t="shared" si="2626"/>
        <v>5096</v>
      </c>
      <c r="AC1332" s="148">
        <f t="shared" si="2627"/>
        <v>0</v>
      </c>
      <c r="AD1332" s="206"/>
      <c r="AE1332" s="148">
        <f t="shared" si="2628"/>
        <v>-105</v>
      </c>
      <c r="AF1332" s="206"/>
      <c r="AG1332" s="8"/>
      <c r="AH1332">
        <v>-3108.99</v>
      </c>
      <c r="AJ1332" s="170"/>
    </row>
    <row r="1333" spans="1:36" x14ac:dyDescent="0.45">
      <c r="A1333" s="137">
        <f>A1328</f>
        <v>45816</v>
      </c>
      <c r="B1333" s="145" t="s">
        <v>54</v>
      </c>
      <c r="C1333" s="139">
        <f>80*W1333</f>
        <v>2453.6000000000004</v>
      </c>
      <c r="D1333" s="140">
        <v>63</v>
      </c>
      <c r="E1333" s="140">
        <v>19</v>
      </c>
      <c r="F1333" s="140">
        <v>12</v>
      </c>
      <c r="G1333" s="140">
        <v>18</v>
      </c>
      <c r="H1333" s="140">
        <v>0</v>
      </c>
      <c r="I1333" s="140">
        <v>0</v>
      </c>
      <c r="J1333" s="140">
        <v>0</v>
      </c>
      <c r="K1333" s="140">
        <v>0</v>
      </c>
      <c r="L1333" s="162">
        <v>0</v>
      </c>
      <c r="M1333" s="142"/>
      <c r="N1333" s="140">
        <v>52</v>
      </c>
      <c r="O1333" s="140">
        <v>12</v>
      </c>
      <c r="P1333" s="140">
        <v>12</v>
      </c>
      <c r="Q1333" s="140">
        <v>18</v>
      </c>
      <c r="R1333" s="142"/>
      <c r="S1333" s="140">
        <f t="shared" si="2620"/>
        <v>112</v>
      </c>
      <c r="T1333" s="140">
        <f t="shared" si="2621"/>
        <v>94</v>
      </c>
      <c r="U1333" s="140">
        <f t="shared" si="2622"/>
        <v>0</v>
      </c>
      <c r="V1333" s="142"/>
      <c r="W1333" s="146">
        <v>30.67</v>
      </c>
      <c r="X1333" s="146">
        <f t="shared" ref="X1333:X1338" si="2629">(W1333*1*D1333)+(W1333*1.5*E1333)+(W1333*2*F1333)+(W1333*1*G1333)</f>
        <v>4094.4450000000002</v>
      </c>
      <c r="Y1333" s="146">
        <f t="shared" si="2623"/>
        <v>0</v>
      </c>
      <c r="Z1333" s="146">
        <f t="shared" si="2624"/>
        <v>0</v>
      </c>
      <c r="AA1333" s="147">
        <f t="shared" si="2625"/>
        <v>0</v>
      </c>
      <c r="AB1333" s="147">
        <f t="shared" si="2626"/>
        <v>3435.04</v>
      </c>
      <c r="AC1333" s="148">
        <f t="shared" si="2627"/>
        <v>0</v>
      </c>
      <c r="AD1333" s="206"/>
      <c r="AE1333" s="148">
        <f t="shared" si="2628"/>
        <v>-659.4050000000002</v>
      </c>
      <c r="AF1333" s="206"/>
      <c r="AG1333" s="8"/>
      <c r="AH1333">
        <v>-1272.8800000000001</v>
      </c>
      <c r="AJ1333" s="170"/>
    </row>
    <row r="1334" spans="1:36" ht="14.65" thickBot="1" x14ac:dyDescent="0.5">
      <c r="A1334" s="149">
        <f>A1328</f>
        <v>45816</v>
      </c>
      <c r="B1334" s="150" t="s">
        <v>66</v>
      </c>
      <c r="C1334" s="151">
        <f>80*W1334</f>
        <v>2160</v>
      </c>
      <c r="D1334" s="152">
        <v>50.5</v>
      </c>
      <c r="E1334" s="152">
        <v>0</v>
      </c>
      <c r="F1334" s="152">
        <v>0</v>
      </c>
      <c r="G1334" s="152">
        <v>0</v>
      </c>
      <c r="H1334" s="152">
        <v>0</v>
      </c>
      <c r="I1334" s="152">
        <v>8</v>
      </c>
      <c r="J1334" s="152">
        <v>0</v>
      </c>
      <c r="K1334" s="152">
        <v>0</v>
      </c>
      <c r="L1334" s="163">
        <v>0</v>
      </c>
      <c r="M1334" s="154"/>
      <c r="N1334" s="152">
        <v>0</v>
      </c>
      <c r="O1334" s="152">
        <v>0</v>
      </c>
      <c r="P1334" s="152">
        <v>0</v>
      </c>
      <c r="Q1334" s="152">
        <v>0</v>
      </c>
      <c r="R1334" s="154"/>
      <c r="S1334" s="152">
        <f t="shared" si="2620"/>
        <v>50.5</v>
      </c>
      <c r="T1334" s="152">
        <f t="shared" si="2621"/>
        <v>0</v>
      </c>
      <c r="U1334" s="152">
        <f t="shared" si="2622"/>
        <v>8</v>
      </c>
      <c r="V1334" s="154"/>
      <c r="W1334" s="153">
        <v>27</v>
      </c>
      <c r="X1334" s="153">
        <f t="shared" si="2629"/>
        <v>1363.5</v>
      </c>
      <c r="Y1334" s="153">
        <f t="shared" si="2623"/>
        <v>216</v>
      </c>
      <c r="Z1334" s="153">
        <f t="shared" si="2624"/>
        <v>0</v>
      </c>
      <c r="AA1334" s="155">
        <f t="shared" si="2625"/>
        <v>0</v>
      </c>
      <c r="AB1334" s="155">
        <f t="shared" si="2626"/>
        <v>0</v>
      </c>
      <c r="AC1334" s="156">
        <f t="shared" si="2627"/>
        <v>-216</v>
      </c>
      <c r="AD1334" s="207"/>
      <c r="AE1334" s="156">
        <f t="shared" si="2628"/>
        <v>-1363.5</v>
      </c>
      <c r="AF1334" s="207"/>
      <c r="AG1334" s="8"/>
      <c r="AH1334">
        <f>SUM(AH1331:AH1333)</f>
        <v>20124.13</v>
      </c>
    </row>
    <row r="1335" spans="1:36" x14ac:dyDescent="0.45">
      <c r="A1335" s="129">
        <f>A1334+14</f>
        <v>45830</v>
      </c>
      <c r="B1335" s="130" t="s">
        <v>30</v>
      </c>
      <c r="C1335" s="131">
        <f>120*W1335</f>
        <v>4680</v>
      </c>
      <c r="D1335" s="132">
        <v>80</v>
      </c>
      <c r="E1335" s="132">
        <v>0</v>
      </c>
      <c r="F1335" s="132">
        <v>0</v>
      </c>
      <c r="G1335" s="132">
        <v>0</v>
      </c>
      <c r="H1335" s="132">
        <v>0</v>
      </c>
      <c r="I1335" s="132">
        <v>0</v>
      </c>
      <c r="J1335" s="132">
        <v>0</v>
      </c>
      <c r="K1335" s="132">
        <v>0</v>
      </c>
      <c r="L1335" s="161">
        <v>0</v>
      </c>
      <c r="M1335" s="134"/>
      <c r="N1335" s="132">
        <v>80</v>
      </c>
      <c r="O1335" s="132">
        <v>0</v>
      </c>
      <c r="P1335" s="132">
        <v>0</v>
      </c>
      <c r="Q1335" s="132">
        <v>0</v>
      </c>
      <c r="R1335" s="134"/>
      <c r="S1335" s="132">
        <f t="shared" ref="S1335:S1341" si="2630">SUM(D1335:G1335)</f>
        <v>80</v>
      </c>
      <c r="T1335" s="132">
        <f t="shared" ref="T1335:T1341" si="2631">SUM(N1335:Q1335)</f>
        <v>80</v>
      </c>
      <c r="U1335" s="132">
        <f t="shared" ref="U1335:U1341" si="2632">SUM(H1335:K1335)</f>
        <v>0</v>
      </c>
      <c r="V1335" s="134"/>
      <c r="W1335" s="133">
        <v>39</v>
      </c>
      <c r="X1335" s="133">
        <f t="shared" si="2629"/>
        <v>3120</v>
      </c>
      <c r="Y1335" s="133">
        <f t="shared" ref="Y1335:Y1341" si="2633">(W1335*0*H1335)+(W1335*1*I1335)</f>
        <v>0</v>
      </c>
      <c r="Z1335" s="133">
        <f t="shared" ref="Z1335:Z1341" si="2634">(W1335*1*J1335)+L1335</f>
        <v>0</v>
      </c>
      <c r="AA1335" s="135">
        <f t="shared" ref="AA1335:AA1341" si="2635">(W1335*1*K1335)</f>
        <v>0</v>
      </c>
      <c r="AB1335" s="135">
        <f t="shared" ref="AB1335:AB1341" si="2636">(W1335*1*N1335)+(W1335*1.5*O1335)+(W1335*2*P1335)+(W1335*1*Q1335)</f>
        <v>3120</v>
      </c>
      <c r="AC1335" s="136">
        <f t="shared" ref="AC1335:AC1341" si="2637">0-Y1335-AA1335</f>
        <v>0</v>
      </c>
      <c r="AD1335" s="205"/>
      <c r="AE1335" s="136">
        <f t="shared" ref="AE1335:AE1341" si="2638">AB1335-(X1335+Z1335)</f>
        <v>0</v>
      </c>
      <c r="AF1335" s="205">
        <f>SUM(AE1335:AE1341)</f>
        <v>-2531.7474999999995</v>
      </c>
      <c r="AG1335" s="8"/>
    </row>
    <row r="1336" spans="1:36" x14ac:dyDescent="0.45">
      <c r="A1336" s="137">
        <f>A1335</f>
        <v>45830</v>
      </c>
      <c r="B1336" s="138" t="s">
        <v>5</v>
      </c>
      <c r="C1336" s="139">
        <f>120*W1336</f>
        <v>4200</v>
      </c>
      <c r="D1336" s="140">
        <v>78</v>
      </c>
      <c r="E1336" s="140">
        <v>0</v>
      </c>
      <c r="F1336" s="140">
        <v>0</v>
      </c>
      <c r="G1336" s="140">
        <v>0</v>
      </c>
      <c r="H1336" s="140">
        <v>0</v>
      </c>
      <c r="I1336" s="140">
        <v>0</v>
      </c>
      <c r="J1336" s="140">
        <v>0</v>
      </c>
      <c r="K1336" s="140">
        <v>0</v>
      </c>
      <c r="L1336" s="162">
        <v>0</v>
      </c>
      <c r="M1336" s="142"/>
      <c r="N1336" s="140">
        <v>70</v>
      </c>
      <c r="O1336" s="140">
        <v>0</v>
      </c>
      <c r="P1336" s="140">
        <v>0</v>
      </c>
      <c r="Q1336" s="140">
        <v>0</v>
      </c>
      <c r="R1336" s="142"/>
      <c r="S1336" s="140">
        <f t="shared" si="2630"/>
        <v>78</v>
      </c>
      <c r="T1336" s="140">
        <f t="shared" si="2631"/>
        <v>70</v>
      </c>
      <c r="U1336" s="140">
        <f t="shared" si="2632"/>
        <v>0</v>
      </c>
      <c r="V1336" s="142"/>
      <c r="W1336" s="141">
        <v>35</v>
      </c>
      <c r="X1336" s="141">
        <f t="shared" si="2629"/>
        <v>2730</v>
      </c>
      <c r="Y1336" s="141">
        <f t="shared" si="2633"/>
        <v>0</v>
      </c>
      <c r="Z1336" s="141">
        <f t="shared" si="2634"/>
        <v>0</v>
      </c>
      <c r="AA1336" s="143">
        <f t="shared" si="2635"/>
        <v>0</v>
      </c>
      <c r="AB1336" s="143">
        <f t="shared" si="2636"/>
        <v>2450</v>
      </c>
      <c r="AC1336" s="144">
        <f t="shared" si="2637"/>
        <v>0</v>
      </c>
      <c r="AD1336" s="206"/>
      <c r="AE1336" s="144">
        <f t="shared" si="2638"/>
        <v>-280</v>
      </c>
      <c r="AF1336" s="206"/>
      <c r="AG1336" s="8"/>
    </row>
    <row r="1337" spans="1:36" x14ac:dyDescent="0.45">
      <c r="A1337" s="137">
        <f>A1335</f>
        <v>45830</v>
      </c>
      <c r="B1337" s="138" t="s">
        <v>6</v>
      </c>
      <c r="C1337" s="139">
        <f>120*W1337</f>
        <v>4320</v>
      </c>
      <c r="D1337" s="140">
        <v>1</v>
      </c>
      <c r="E1337" s="140">
        <v>13.75</v>
      </c>
      <c r="F1337" s="140">
        <v>0</v>
      </c>
      <c r="G1337" s="140">
        <v>5.5</v>
      </c>
      <c r="H1337" s="140">
        <v>0</v>
      </c>
      <c r="I1337" s="140">
        <v>0</v>
      </c>
      <c r="J1337" s="140">
        <v>0</v>
      </c>
      <c r="K1337" s="140">
        <v>0</v>
      </c>
      <c r="L1337" s="162">
        <v>0</v>
      </c>
      <c r="M1337" s="142"/>
      <c r="N1337" s="140">
        <v>0.5</v>
      </c>
      <c r="O1337" s="140">
        <v>0</v>
      </c>
      <c r="P1337" s="140">
        <v>13.75</v>
      </c>
      <c r="Q1337" s="140">
        <v>6</v>
      </c>
      <c r="R1337" s="142"/>
      <c r="S1337" s="140">
        <f t="shared" si="2630"/>
        <v>20.25</v>
      </c>
      <c r="T1337" s="140">
        <f t="shared" si="2631"/>
        <v>20.25</v>
      </c>
      <c r="U1337" s="140">
        <f t="shared" si="2632"/>
        <v>0</v>
      </c>
      <c r="V1337" s="142"/>
      <c r="W1337" s="141">
        <v>36</v>
      </c>
      <c r="X1337" s="141">
        <f t="shared" si="2629"/>
        <v>976.5</v>
      </c>
      <c r="Y1337" s="141">
        <f t="shared" si="2633"/>
        <v>0</v>
      </c>
      <c r="Z1337" s="141">
        <f t="shared" si="2634"/>
        <v>0</v>
      </c>
      <c r="AA1337" s="143">
        <f t="shared" si="2635"/>
        <v>0</v>
      </c>
      <c r="AB1337" s="143">
        <f t="shared" si="2636"/>
        <v>1224</v>
      </c>
      <c r="AC1337" s="144">
        <f t="shared" si="2637"/>
        <v>0</v>
      </c>
      <c r="AD1337" s="206"/>
      <c r="AE1337" s="144">
        <f t="shared" si="2638"/>
        <v>247.5</v>
      </c>
      <c r="AF1337" s="206"/>
      <c r="AG1337" s="8"/>
    </row>
    <row r="1338" spans="1:36" x14ac:dyDescent="0.45">
      <c r="A1338" s="137">
        <f>A1335</f>
        <v>45830</v>
      </c>
      <c r="B1338" s="145" t="s">
        <v>31</v>
      </c>
      <c r="C1338" s="139">
        <f>120*W1338</f>
        <v>4320</v>
      </c>
      <c r="D1338" s="140">
        <v>52</v>
      </c>
      <c r="E1338" s="140">
        <v>5</v>
      </c>
      <c r="F1338" s="140">
        <v>11</v>
      </c>
      <c r="G1338" s="140">
        <v>11.25</v>
      </c>
      <c r="H1338" s="140">
        <v>0</v>
      </c>
      <c r="I1338" s="140">
        <v>0</v>
      </c>
      <c r="J1338" s="140">
        <v>0</v>
      </c>
      <c r="K1338" s="140">
        <v>0</v>
      </c>
      <c r="L1338" s="162">
        <v>0</v>
      </c>
      <c r="M1338" s="142"/>
      <c r="N1338" s="140">
        <v>52</v>
      </c>
      <c r="O1338" s="140">
        <v>4.75</v>
      </c>
      <c r="P1338" s="140">
        <v>11</v>
      </c>
      <c r="Q1338" s="140">
        <v>11.5</v>
      </c>
      <c r="R1338" s="142"/>
      <c r="S1338" s="140">
        <f t="shared" si="2630"/>
        <v>79.25</v>
      </c>
      <c r="T1338" s="140">
        <f t="shared" si="2631"/>
        <v>79.25</v>
      </c>
      <c r="U1338" s="140">
        <f t="shared" si="2632"/>
        <v>0</v>
      </c>
      <c r="V1338" s="142"/>
      <c r="W1338" s="141">
        <v>36</v>
      </c>
      <c r="X1338" s="146">
        <f t="shared" si="2629"/>
        <v>3339</v>
      </c>
      <c r="Y1338" s="146">
        <f t="shared" si="2633"/>
        <v>0</v>
      </c>
      <c r="Z1338" s="146">
        <f t="shared" si="2634"/>
        <v>0</v>
      </c>
      <c r="AA1338" s="147">
        <f t="shared" si="2635"/>
        <v>0</v>
      </c>
      <c r="AB1338" s="147">
        <f t="shared" si="2636"/>
        <v>3334.5</v>
      </c>
      <c r="AC1338" s="148">
        <f t="shared" si="2637"/>
        <v>0</v>
      </c>
      <c r="AD1338" s="206"/>
      <c r="AE1338" s="148">
        <f t="shared" si="2638"/>
        <v>-4.5</v>
      </c>
      <c r="AF1338" s="206"/>
      <c r="AG1338" s="8"/>
      <c r="AH1338">
        <v>18682.77</v>
      </c>
      <c r="AJ1338" s="170"/>
    </row>
    <row r="1339" spans="1:36" x14ac:dyDescent="0.45">
      <c r="A1339" s="137">
        <f>A1335</f>
        <v>45830</v>
      </c>
      <c r="B1339" s="145" t="s">
        <v>64</v>
      </c>
      <c r="C1339" s="139">
        <f>80*W1339</f>
        <v>2240</v>
      </c>
      <c r="D1339" s="140">
        <v>40.25</v>
      </c>
      <c r="E1339" s="140">
        <v>0</v>
      </c>
      <c r="F1339" s="140">
        <v>0</v>
      </c>
      <c r="G1339" s="140">
        <v>9.5</v>
      </c>
      <c r="H1339" s="140">
        <v>0</v>
      </c>
      <c r="I1339" s="140">
        <v>32</v>
      </c>
      <c r="J1339" s="140">
        <v>0</v>
      </c>
      <c r="K1339" s="140">
        <v>0</v>
      </c>
      <c r="L1339" s="162">
        <v>0</v>
      </c>
      <c r="M1339" s="142"/>
      <c r="N1339" s="140">
        <v>24</v>
      </c>
      <c r="O1339" s="140">
        <v>0</v>
      </c>
      <c r="P1339" s="140">
        <v>0</v>
      </c>
      <c r="Q1339" s="140">
        <v>9.5</v>
      </c>
      <c r="R1339" s="142"/>
      <c r="S1339" s="140">
        <f t="shared" si="2630"/>
        <v>49.75</v>
      </c>
      <c r="T1339" s="140">
        <f t="shared" si="2631"/>
        <v>33.5</v>
      </c>
      <c r="U1339" s="140">
        <f t="shared" si="2632"/>
        <v>32</v>
      </c>
      <c r="V1339" s="142"/>
      <c r="W1339" s="146">
        <v>28</v>
      </c>
      <c r="X1339" s="146">
        <f>(W1339*1*D1339)+(W1339*1.5*E1339)+(W1339*2*F1339)+(W1339*1*G1339)</f>
        <v>1393</v>
      </c>
      <c r="Y1339" s="146">
        <f t="shared" si="2633"/>
        <v>896</v>
      </c>
      <c r="Z1339" s="146">
        <f t="shared" si="2634"/>
        <v>0</v>
      </c>
      <c r="AA1339" s="147">
        <f t="shared" si="2635"/>
        <v>0</v>
      </c>
      <c r="AB1339" s="147">
        <f t="shared" si="2636"/>
        <v>938</v>
      </c>
      <c r="AC1339" s="148">
        <f t="shared" si="2637"/>
        <v>-896</v>
      </c>
      <c r="AD1339" s="206"/>
      <c r="AE1339" s="148">
        <f t="shared" si="2638"/>
        <v>-455</v>
      </c>
      <c r="AF1339" s="206"/>
      <c r="AG1339" s="8"/>
      <c r="AH1339">
        <v>-3108.99</v>
      </c>
      <c r="AJ1339" s="170"/>
    </row>
    <row r="1340" spans="1:36" x14ac:dyDescent="0.45">
      <c r="A1340" s="137">
        <f>A1335</f>
        <v>45830</v>
      </c>
      <c r="B1340" s="145" t="s">
        <v>54</v>
      </c>
      <c r="C1340" s="139">
        <f>80*W1340</f>
        <v>2453.6000000000004</v>
      </c>
      <c r="D1340" s="140">
        <v>40.25</v>
      </c>
      <c r="E1340" s="140">
        <v>0</v>
      </c>
      <c r="F1340" s="140">
        <v>13.75</v>
      </c>
      <c r="G1340" s="140">
        <v>9.5</v>
      </c>
      <c r="H1340" s="140">
        <v>0</v>
      </c>
      <c r="I1340" s="140">
        <v>0</v>
      </c>
      <c r="J1340" s="140">
        <v>0</v>
      </c>
      <c r="K1340" s="140">
        <v>0</v>
      </c>
      <c r="L1340" s="162">
        <v>0</v>
      </c>
      <c r="M1340" s="142"/>
      <c r="N1340" s="140">
        <v>15.5</v>
      </c>
      <c r="O1340" s="140">
        <v>0</v>
      </c>
      <c r="P1340" s="140">
        <v>13.75</v>
      </c>
      <c r="Q1340" s="140">
        <v>10</v>
      </c>
      <c r="R1340" s="142"/>
      <c r="S1340" s="140">
        <f t="shared" si="2630"/>
        <v>63.5</v>
      </c>
      <c r="T1340" s="140">
        <f t="shared" si="2631"/>
        <v>39.25</v>
      </c>
      <c r="U1340" s="140">
        <f t="shared" si="2632"/>
        <v>0</v>
      </c>
      <c r="V1340" s="142"/>
      <c r="W1340" s="146">
        <v>30.67</v>
      </c>
      <c r="X1340" s="146">
        <f t="shared" ref="X1340:X1345" si="2639">(W1340*1*D1340)+(W1340*1.5*E1340)+(W1340*2*F1340)+(W1340*1*G1340)</f>
        <v>2369.2574999999997</v>
      </c>
      <c r="Y1340" s="146">
        <f t="shared" si="2633"/>
        <v>0</v>
      </c>
      <c r="Z1340" s="146">
        <f t="shared" si="2634"/>
        <v>0</v>
      </c>
      <c r="AA1340" s="147">
        <f t="shared" si="2635"/>
        <v>0</v>
      </c>
      <c r="AB1340" s="147">
        <f t="shared" si="2636"/>
        <v>1625.5100000000002</v>
      </c>
      <c r="AC1340" s="148">
        <f t="shared" si="2637"/>
        <v>0</v>
      </c>
      <c r="AD1340" s="206"/>
      <c r="AE1340" s="148">
        <f t="shared" si="2638"/>
        <v>-743.74749999999949</v>
      </c>
      <c r="AF1340" s="206"/>
      <c r="AG1340" s="8"/>
      <c r="AH1340">
        <v>-1536.41</v>
      </c>
      <c r="AJ1340" s="170"/>
    </row>
    <row r="1341" spans="1:36" ht="14.65" thickBot="1" x14ac:dyDescent="0.5">
      <c r="A1341" s="149">
        <f>A1335</f>
        <v>45830</v>
      </c>
      <c r="B1341" s="150" t="s">
        <v>66</v>
      </c>
      <c r="C1341" s="151">
        <f>80*W1341</f>
        <v>2160</v>
      </c>
      <c r="D1341" s="152">
        <v>72</v>
      </c>
      <c r="E1341" s="152">
        <v>0</v>
      </c>
      <c r="F1341" s="152">
        <v>0</v>
      </c>
      <c r="G1341" s="152">
        <v>0</v>
      </c>
      <c r="H1341" s="152">
        <v>0</v>
      </c>
      <c r="I1341" s="152">
        <v>0</v>
      </c>
      <c r="J1341" s="152">
        <v>0</v>
      </c>
      <c r="K1341" s="152">
        <v>0</v>
      </c>
      <c r="L1341" s="163">
        <v>0</v>
      </c>
      <c r="M1341" s="154"/>
      <c r="N1341" s="152">
        <v>24</v>
      </c>
      <c r="O1341" s="152">
        <v>0</v>
      </c>
      <c r="P1341" s="152">
        <v>0</v>
      </c>
      <c r="Q1341" s="152">
        <v>0</v>
      </c>
      <c r="R1341" s="154"/>
      <c r="S1341" s="152">
        <f t="shared" si="2630"/>
        <v>72</v>
      </c>
      <c r="T1341" s="152">
        <f t="shared" si="2631"/>
        <v>24</v>
      </c>
      <c r="U1341" s="152">
        <f t="shared" si="2632"/>
        <v>0</v>
      </c>
      <c r="V1341" s="154"/>
      <c r="W1341" s="153">
        <v>27</v>
      </c>
      <c r="X1341" s="153">
        <f t="shared" si="2639"/>
        <v>1944</v>
      </c>
      <c r="Y1341" s="153">
        <f t="shared" si="2633"/>
        <v>0</v>
      </c>
      <c r="Z1341" s="153">
        <f t="shared" si="2634"/>
        <v>0</v>
      </c>
      <c r="AA1341" s="155">
        <f t="shared" si="2635"/>
        <v>0</v>
      </c>
      <c r="AB1341" s="155">
        <f t="shared" si="2636"/>
        <v>648</v>
      </c>
      <c r="AC1341" s="156">
        <f t="shared" si="2637"/>
        <v>0</v>
      </c>
      <c r="AD1341" s="207"/>
      <c r="AE1341" s="156">
        <f t="shared" si="2638"/>
        <v>-1296</v>
      </c>
      <c r="AF1341" s="207"/>
      <c r="AG1341" s="8"/>
      <c r="AH1341">
        <f>SUM(AH1338:AH1340)</f>
        <v>14037.37</v>
      </c>
    </row>
    <row r="1342" spans="1:36" x14ac:dyDescent="0.45">
      <c r="A1342" s="129">
        <f>A1341+14</f>
        <v>45844</v>
      </c>
      <c r="B1342" s="130" t="s">
        <v>30</v>
      </c>
      <c r="C1342" s="131">
        <f>120*W1342</f>
        <v>4680</v>
      </c>
      <c r="D1342" s="132">
        <v>72</v>
      </c>
      <c r="E1342" s="132">
        <v>26.25</v>
      </c>
      <c r="F1342" s="132">
        <v>12</v>
      </c>
      <c r="G1342" s="132">
        <v>17.5</v>
      </c>
      <c r="H1342" s="132">
        <v>0</v>
      </c>
      <c r="I1342" s="132">
        <v>0</v>
      </c>
      <c r="J1342" s="132">
        <v>8</v>
      </c>
      <c r="K1342" s="132">
        <v>0</v>
      </c>
      <c r="L1342" s="161">
        <v>0</v>
      </c>
      <c r="M1342" s="134"/>
      <c r="N1342" s="132">
        <v>72</v>
      </c>
      <c r="O1342" s="132">
        <v>25.25</v>
      </c>
      <c r="P1342" s="132">
        <v>12</v>
      </c>
      <c r="Q1342" s="132">
        <v>18.5</v>
      </c>
      <c r="R1342" s="134"/>
      <c r="S1342" s="132">
        <f t="shared" ref="S1342:S1348" si="2640">SUM(D1342:G1342)</f>
        <v>127.75</v>
      </c>
      <c r="T1342" s="132">
        <f t="shared" ref="T1342:T1348" si="2641">SUM(N1342:Q1342)</f>
        <v>127.75</v>
      </c>
      <c r="U1342" s="132">
        <f t="shared" ref="U1342:U1348" si="2642">SUM(H1342:K1342)</f>
        <v>8</v>
      </c>
      <c r="V1342" s="134"/>
      <c r="W1342" s="133">
        <v>39</v>
      </c>
      <c r="X1342" s="133">
        <f t="shared" si="2639"/>
        <v>5962.125</v>
      </c>
      <c r="Y1342" s="133">
        <f t="shared" ref="Y1342:Y1348" si="2643">(W1342*0*H1342)+(W1342*1*I1342)</f>
        <v>0</v>
      </c>
      <c r="Z1342" s="133">
        <f t="shared" ref="Z1342:Z1348" si="2644">(W1342*1*J1342)+L1342</f>
        <v>312</v>
      </c>
      <c r="AA1342" s="135">
        <f t="shared" ref="AA1342:AA1348" si="2645">(W1342*1*K1342)</f>
        <v>0</v>
      </c>
      <c r="AB1342" s="135">
        <f t="shared" ref="AB1342:AB1348" si="2646">(W1342*1*N1342)+(W1342*1.5*O1342)+(W1342*2*P1342)+(W1342*1*Q1342)</f>
        <v>5942.625</v>
      </c>
      <c r="AC1342" s="136">
        <f t="shared" ref="AC1342:AC1348" si="2647">0-Y1342-AA1342</f>
        <v>0</v>
      </c>
      <c r="AD1342" s="205"/>
      <c r="AE1342" s="136">
        <f t="shared" ref="AE1342:AE1348" si="2648">AB1342-(X1342+Z1342)</f>
        <v>-331.5</v>
      </c>
      <c r="AF1342" s="205">
        <f>SUM(AE1342:AE1348)</f>
        <v>-1266.2537499999989</v>
      </c>
      <c r="AG1342" s="8"/>
    </row>
    <row r="1343" spans="1:36" x14ac:dyDescent="0.45">
      <c r="A1343" s="137">
        <f>A1342</f>
        <v>45844</v>
      </c>
      <c r="B1343" s="138" t="s">
        <v>5</v>
      </c>
      <c r="C1343" s="139">
        <f>120*W1343</f>
        <v>4200</v>
      </c>
      <c r="D1343" s="140">
        <v>40</v>
      </c>
      <c r="E1343" s="140">
        <v>44</v>
      </c>
      <c r="F1343" s="140">
        <v>24</v>
      </c>
      <c r="G1343" s="140">
        <v>2.5</v>
      </c>
      <c r="H1343" s="140">
        <v>0</v>
      </c>
      <c r="I1343" s="140">
        <v>0</v>
      </c>
      <c r="J1343" s="140">
        <v>8</v>
      </c>
      <c r="K1343" s="140">
        <v>32</v>
      </c>
      <c r="L1343" s="162">
        <v>0</v>
      </c>
      <c r="M1343" s="142"/>
      <c r="N1343" s="140">
        <v>50</v>
      </c>
      <c r="O1343" s="140">
        <v>16</v>
      </c>
      <c r="P1343" s="140">
        <v>42</v>
      </c>
      <c r="Q1343" s="140">
        <v>2.5</v>
      </c>
      <c r="R1343" s="142"/>
      <c r="S1343" s="140">
        <f t="shared" si="2640"/>
        <v>110.5</v>
      </c>
      <c r="T1343" s="140">
        <f t="shared" si="2641"/>
        <v>110.5</v>
      </c>
      <c r="U1343" s="140">
        <f t="shared" si="2642"/>
        <v>40</v>
      </c>
      <c r="V1343" s="142"/>
      <c r="W1343" s="141">
        <v>35</v>
      </c>
      <c r="X1343" s="141">
        <f t="shared" si="2639"/>
        <v>5477.5</v>
      </c>
      <c r="Y1343" s="141">
        <f t="shared" si="2643"/>
        <v>0</v>
      </c>
      <c r="Z1343" s="141">
        <f t="shared" si="2644"/>
        <v>280</v>
      </c>
      <c r="AA1343" s="143">
        <f t="shared" si="2645"/>
        <v>1120</v>
      </c>
      <c r="AB1343" s="143">
        <f t="shared" si="2646"/>
        <v>5617.5</v>
      </c>
      <c r="AC1343" s="144">
        <f t="shared" si="2647"/>
        <v>-1120</v>
      </c>
      <c r="AD1343" s="206"/>
      <c r="AE1343" s="144">
        <f t="shared" si="2648"/>
        <v>-140</v>
      </c>
      <c r="AF1343" s="206"/>
      <c r="AG1343" s="8"/>
    </row>
    <row r="1344" spans="1:36" x14ac:dyDescent="0.45">
      <c r="A1344" s="137">
        <f>A1342</f>
        <v>45844</v>
      </c>
      <c r="B1344" s="138" t="s">
        <v>6</v>
      </c>
      <c r="C1344" s="139">
        <f>120*W1344</f>
        <v>4320</v>
      </c>
      <c r="D1344" s="140">
        <v>59.5</v>
      </c>
      <c r="E1344" s="140">
        <v>23.25</v>
      </c>
      <c r="F1344" s="140">
        <v>12</v>
      </c>
      <c r="G1344" s="140">
        <v>10</v>
      </c>
      <c r="H1344" s="140">
        <v>0</v>
      </c>
      <c r="I1344" s="140">
        <v>0</v>
      </c>
      <c r="J1344" s="140">
        <v>8</v>
      </c>
      <c r="K1344" s="140">
        <v>6.875</v>
      </c>
      <c r="L1344" s="162">
        <v>0</v>
      </c>
      <c r="M1344" s="142"/>
      <c r="N1344" s="140">
        <v>59</v>
      </c>
      <c r="O1344" s="140">
        <v>23.25</v>
      </c>
      <c r="P1344" s="140">
        <v>12</v>
      </c>
      <c r="Q1344" s="140">
        <v>10.5</v>
      </c>
      <c r="R1344" s="142"/>
      <c r="S1344" s="140">
        <f t="shared" si="2640"/>
        <v>104.75</v>
      </c>
      <c r="T1344" s="140">
        <f t="shared" si="2641"/>
        <v>104.75</v>
      </c>
      <c r="U1344" s="140">
        <f t="shared" si="2642"/>
        <v>14.875</v>
      </c>
      <c r="V1344" s="142"/>
      <c r="W1344" s="141">
        <v>36</v>
      </c>
      <c r="X1344" s="141">
        <f t="shared" si="2639"/>
        <v>4621.5</v>
      </c>
      <c r="Y1344" s="141">
        <f t="shared" si="2643"/>
        <v>0</v>
      </c>
      <c r="Z1344" s="141">
        <f t="shared" si="2644"/>
        <v>288</v>
      </c>
      <c r="AA1344" s="143">
        <f t="shared" si="2645"/>
        <v>247.5</v>
      </c>
      <c r="AB1344" s="143">
        <f t="shared" si="2646"/>
        <v>4621.5</v>
      </c>
      <c r="AC1344" s="144">
        <f t="shared" si="2647"/>
        <v>-247.5</v>
      </c>
      <c r="AD1344" s="206"/>
      <c r="AE1344" s="144">
        <f t="shared" si="2648"/>
        <v>-288</v>
      </c>
      <c r="AF1344" s="206"/>
      <c r="AG1344" s="8"/>
    </row>
    <row r="1345" spans="1:36" x14ac:dyDescent="0.45">
      <c r="A1345" s="137">
        <f>A1342</f>
        <v>45844</v>
      </c>
      <c r="B1345" s="145" t="s">
        <v>31</v>
      </c>
      <c r="C1345" s="139">
        <f>120*W1345</f>
        <v>4320</v>
      </c>
      <c r="D1345" s="140">
        <v>35.5</v>
      </c>
      <c r="E1345" s="140">
        <v>12</v>
      </c>
      <c r="F1345" s="140">
        <v>8</v>
      </c>
      <c r="G1345" s="140">
        <v>15.5</v>
      </c>
      <c r="H1345" s="140">
        <v>0</v>
      </c>
      <c r="I1345" s="140">
        <v>0</v>
      </c>
      <c r="J1345" s="140">
        <v>8</v>
      </c>
      <c r="K1345" s="140">
        <v>0</v>
      </c>
      <c r="L1345" s="162">
        <v>0</v>
      </c>
      <c r="M1345" s="142"/>
      <c r="N1345" s="140">
        <v>34.5</v>
      </c>
      <c r="O1345" s="140">
        <v>12</v>
      </c>
      <c r="P1345" s="140">
        <v>8</v>
      </c>
      <c r="Q1345" s="140">
        <v>16.5</v>
      </c>
      <c r="R1345" s="142"/>
      <c r="S1345" s="140">
        <f t="shared" si="2640"/>
        <v>71</v>
      </c>
      <c r="T1345" s="140">
        <f t="shared" si="2641"/>
        <v>71</v>
      </c>
      <c r="U1345" s="140">
        <f t="shared" si="2642"/>
        <v>8</v>
      </c>
      <c r="V1345" s="142"/>
      <c r="W1345" s="141">
        <v>36</v>
      </c>
      <c r="X1345" s="146">
        <f t="shared" si="2639"/>
        <v>3060</v>
      </c>
      <c r="Y1345" s="146">
        <f t="shared" si="2643"/>
        <v>0</v>
      </c>
      <c r="Z1345" s="146">
        <f t="shared" si="2644"/>
        <v>288</v>
      </c>
      <c r="AA1345" s="147">
        <f t="shared" si="2645"/>
        <v>0</v>
      </c>
      <c r="AB1345" s="147">
        <f t="shared" si="2646"/>
        <v>3060</v>
      </c>
      <c r="AC1345" s="148">
        <f t="shared" si="2647"/>
        <v>0</v>
      </c>
      <c r="AD1345" s="206"/>
      <c r="AE1345" s="148">
        <f t="shared" si="2648"/>
        <v>-288</v>
      </c>
      <c r="AF1345" s="206"/>
      <c r="AG1345" s="8"/>
      <c r="AH1345">
        <v>31644.31</v>
      </c>
      <c r="AJ1345" s="170"/>
    </row>
    <row r="1346" spans="1:36" x14ac:dyDescent="0.45">
      <c r="A1346" s="137">
        <f>A1342</f>
        <v>45844</v>
      </c>
      <c r="B1346" s="145" t="s">
        <v>64</v>
      </c>
      <c r="C1346" s="139">
        <f>80*W1346</f>
        <v>2240</v>
      </c>
      <c r="D1346" s="140">
        <v>47</v>
      </c>
      <c r="E1346" s="140">
        <v>40</v>
      </c>
      <c r="F1346" s="140">
        <v>24</v>
      </c>
      <c r="G1346" s="140">
        <v>7</v>
      </c>
      <c r="H1346" s="140">
        <v>0</v>
      </c>
      <c r="I1346" s="140">
        <v>0</v>
      </c>
      <c r="J1346" s="140">
        <v>8</v>
      </c>
      <c r="K1346" s="140">
        <v>21.5</v>
      </c>
      <c r="L1346" s="162">
        <v>0</v>
      </c>
      <c r="M1346" s="142"/>
      <c r="N1346" s="140">
        <v>47</v>
      </c>
      <c r="O1346" s="140">
        <v>28</v>
      </c>
      <c r="P1346" s="140">
        <v>36</v>
      </c>
      <c r="Q1346" s="140">
        <v>7</v>
      </c>
      <c r="R1346" s="142"/>
      <c r="S1346" s="140">
        <f t="shared" si="2640"/>
        <v>118</v>
      </c>
      <c r="T1346" s="140">
        <f t="shared" si="2641"/>
        <v>118</v>
      </c>
      <c r="U1346" s="140">
        <f t="shared" si="2642"/>
        <v>29.5</v>
      </c>
      <c r="V1346" s="142"/>
      <c r="W1346" s="146">
        <v>28</v>
      </c>
      <c r="X1346" s="146">
        <f>(W1346*1*D1346)+(W1346*1.5*E1346)+(W1346*2*F1346)+(W1346*1*G1346)</f>
        <v>4536</v>
      </c>
      <c r="Y1346" s="146">
        <f t="shared" si="2643"/>
        <v>0</v>
      </c>
      <c r="Z1346" s="146">
        <f t="shared" si="2644"/>
        <v>224</v>
      </c>
      <c r="AA1346" s="147">
        <f t="shared" si="2645"/>
        <v>602</v>
      </c>
      <c r="AB1346" s="147">
        <f t="shared" si="2646"/>
        <v>4704</v>
      </c>
      <c r="AC1346" s="148">
        <f t="shared" si="2647"/>
        <v>-602</v>
      </c>
      <c r="AD1346" s="206"/>
      <c r="AE1346" s="148">
        <f t="shared" si="2648"/>
        <v>-56</v>
      </c>
      <c r="AF1346" s="206"/>
      <c r="AG1346" s="8"/>
      <c r="AH1346">
        <v>-3632.35</v>
      </c>
      <c r="AJ1346" s="170"/>
    </row>
    <row r="1347" spans="1:36" x14ac:dyDescent="0.45">
      <c r="A1347" s="137">
        <f>A1342</f>
        <v>45844</v>
      </c>
      <c r="B1347" s="145" t="s">
        <v>54</v>
      </c>
      <c r="C1347" s="139">
        <f>80*W1347</f>
        <v>2453.6000000000004</v>
      </c>
      <c r="D1347" s="140">
        <v>58</v>
      </c>
      <c r="E1347" s="140">
        <v>34.25</v>
      </c>
      <c r="F1347" s="140">
        <v>30</v>
      </c>
      <c r="G1347" s="140">
        <v>15</v>
      </c>
      <c r="H1347" s="140">
        <v>0</v>
      </c>
      <c r="I1347" s="140">
        <v>0</v>
      </c>
      <c r="J1347" s="140">
        <v>8</v>
      </c>
      <c r="K1347" s="140">
        <v>14</v>
      </c>
      <c r="L1347" s="162">
        <v>0</v>
      </c>
      <c r="M1347" s="142"/>
      <c r="N1347" s="140">
        <v>62.75</v>
      </c>
      <c r="O1347" s="140">
        <v>10</v>
      </c>
      <c r="P1347" s="140">
        <v>48.5</v>
      </c>
      <c r="Q1347" s="140">
        <v>16.5</v>
      </c>
      <c r="R1347" s="142"/>
      <c r="S1347" s="140">
        <f t="shared" si="2640"/>
        <v>137.25</v>
      </c>
      <c r="T1347" s="140">
        <f t="shared" si="2641"/>
        <v>137.75</v>
      </c>
      <c r="U1347" s="140">
        <f t="shared" si="2642"/>
        <v>22</v>
      </c>
      <c r="V1347" s="142"/>
      <c r="W1347" s="146">
        <v>30.67</v>
      </c>
      <c r="X1347" s="146">
        <f t="shared" ref="X1347:X1352" si="2649">(W1347*1*D1347)+(W1347*1.5*E1347)+(W1347*2*F1347)+(W1347*1*G1347)</f>
        <v>5654.78125</v>
      </c>
      <c r="Y1347" s="146">
        <f t="shared" si="2643"/>
        <v>0</v>
      </c>
      <c r="Z1347" s="146">
        <f t="shared" si="2644"/>
        <v>245.36</v>
      </c>
      <c r="AA1347" s="147">
        <f t="shared" si="2645"/>
        <v>429.38</v>
      </c>
      <c r="AB1347" s="147">
        <f t="shared" si="2646"/>
        <v>5865.6375000000007</v>
      </c>
      <c r="AC1347" s="148">
        <f t="shared" si="2647"/>
        <v>-429.38</v>
      </c>
      <c r="AD1347" s="206"/>
      <c r="AE1347" s="148">
        <f t="shared" si="2648"/>
        <v>-34.503749999998945</v>
      </c>
      <c r="AF1347" s="206"/>
      <c r="AG1347" s="8"/>
      <c r="AH1347">
        <v>-3122.96</v>
      </c>
      <c r="AJ1347" s="170"/>
    </row>
    <row r="1348" spans="1:36" ht="14.65" thickBot="1" x14ac:dyDescent="0.5">
      <c r="A1348" s="149">
        <f>A1342</f>
        <v>45844</v>
      </c>
      <c r="B1348" s="150" t="s">
        <v>66</v>
      </c>
      <c r="C1348" s="151">
        <f>80*W1348</f>
        <v>2160</v>
      </c>
      <c r="D1348" s="152">
        <v>41.5</v>
      </c>
      <c r="E1348" s="152">
        <v>45.5</v>
      </c>
      <c r="F1348" s="152">
        <v>24</v>
      </c>
      <c r="G1348" s="152">
        <v>7</v>
      </c>
      <c r="H1348" s="152">
        <v>0</v>
      </c>
      <c r="I1348" s="152">
        <v>0</v>
      </c>
      <c r="J1348" s="152">
        <v>8</v>
      </c>
      <c r="K1348" s="152">
        <v>30.5</v>
      </c>
      <c r="L1348" s="163">
        <v>0</v>
      </c>
      <c r="M1348" s="154"/>
      <c r="N1348" s="152">
        <v>47</v>
      </c>
      <c r="O1348" s="152">
        <v>28</v>
      </c>
      <c r="P1348" s="152">
        <v>36</v>
      </c>
      <c r="Q1348" s="152">
        <v>7</v>
      </c>
      <c r="R1348" s="154"/>
      <c r="S1348" s="152">
        <f t="shared" si="2640"/>
        <v>118</v>
      </c>
      <c r="T1348" s="152">
        <f t="shared" si="2641"/>
        <v>118</v>
      </c>
      <c r="U1348" s="152">
        <f t="shared" si="2642"/>
        <v>38.5</v>
      </c>
      <c r="V1348" s="154"/>
      <c r="W1348" s="153">
        <v>27</v>
      </c>
      <c r="X1348" s="153">
        <f t="shared" si="2649"/>
        <v>4448.25</v>
      </c>
      <c r="Y1348" s="153">
        <f t="shared" si="2643"/>
        <v>0</v>
      </c>
      <c r="Z1348" s="153">
        <f t="shared" si="2644"/>
        <v>216</v>
      </c>
      <c r="AA1348" s="155">
        <f t="shared" si="2645"/>
        <v>823.5</v>
      </c>
      <c r="AB1348" s="155">
        <f t="shared" si="2646"/>
        <v>4536</v>
      </c>
      <c r="AC1348" s="156">
        <f t="shared" si="2647"/>
        <v>-823.5</v>
      </c>
      <c r="AD1348" s="207"/>
      <c r="AE1348" s="156">
        <f t="shared" si="2648"/>
        <v>-128.25</v>
      </c>
      <c r="AF1348" s="207"/>
      <c r="AG1348" s="8"/>
      <c r="AH1348">
        <f>SUM(AH1345:AH1347)</f>
        <v>24889.000000000004</v>
      </c>
    </row>
    <row r="1349" spans="1:36" x14ac:dyDescent="0.45">
      <c r="A1349" s="129">
        <f>A1348+14</f>
        <v>45858</v>
      </c>
      <c r="B1349" s="130" t="s">
        <v>30</v>
      </c>
      <c r="C1349" s="131">
        <f>120*W1349</f>
        <v>4680</v>
      </c>
      <c r="D1349" s="132">
        <v>80</v>
      </c>
      <c r="E1349" s="132">
        <v>34.5</v>
      </c>
      <c r="F1349" s="132">
        <v>3.5</v>
      </c>
      <c r="G1349" s="132">
        <v>9.5</v>
      </c>
      <c r="H1349" s="132">
        <v>0</v>
      </c>
      <c r="I1349" s="132">
        <v>0</v>
      </c>
      <c r="J1349" s="132">
        <v>0</v>
      </c>
      <c r="K1349" s="132">
        <v>0</v>
      </c>
      <c r="L1349" s="161">
        <v>0</v>
      </c>
      <c r="M1349" s="134"/>
      <c r="N1349" s="132">
        <v>80</v>
      </c>
      <c r="O1349" s="132">
        <v>34.5</v>
      </c>
      <c r="P1349" s="132">
        <v>3.5</v>
      </c>
      <c r="Q1349" s="132">
        <v>9.5</v>
      </c>
      <c r="R1349" s="134"/>
      <c r="S1349" s="132">
        <f t="shared" ref="S1349:S1355" si="2650">SUM(D1349:G1349)</f>
        <v>127.5</v>
      </c>
      <c r="T1349" s="132">
        <f t="shared" ref="T1349:T1355" si="2651">SUM(N1349:Q1349)</f>
        <v>127.5</v>
      </c>
      <c r="U1349" s="132">
        <f t="shared" ref="U1349:U1355" si="2652">SUM(H1349:K1349)</f>
        <v>0</v>
      </c>
      <c r="V1349" s="134"/>
      <c r="W1349" s="133">
        <v>39</v>
      </c>
      <c r="X1349" s="133">
        <f t="shared" si="2649"/>
        <v>5781.75</v>
      </c>
      <c r="Y1349" s="133">
        <f t="shared" ref="Y1349:Y1355" si="2653">(W1349*0*H1349)+(W1349*1*I1349)</f>
        <v>0</v>
      </c>
      <c r="Z1349" s="133">
        <f t="shared" ref="Z1349:Z1355" si="2654">(W1349*1*J1349)+L1349</f>
        <v>0</v>
      </c>
      <c r="AA1349" s="135">
        <f t="shared" ref="AA1349:AA1355" si="2655">(W1349*1*K1349)</f>
        <v>0</v>
      </c>
      <c r="AB1349" s="135">
        <f t="shared" ref="AB1349:AB1355" si="2656">(W1349*1*N1349)+(W1349*1.5*O1349)+(W1349*2*P1349)+(W1349*1*Q1349)</f>
        <v>5781.75</v>
      </c>
      <c r="AC1349" s="136">
        <f t="shared" ref="AC1349:AC1355" si="2657">0-Y1349-AA1349</f>
        <v>0</v>
      </c>
      <c r="AD1349" s="205"/>
      <c r="AE1349" s="136">
        <f t="shared" ref="AE1349:AE1355" si="2658">AB1349-(X1349+Z1349)</f>
        <v>0</v>
      </c>
      <c r="AF1349" s="205">
        <f>SUM(AE1349:AE1355)</f>
        <v>158.54999999999995</v>
      </c>
      <c r="AG1349" s="8"/>
    </row>
    <row r="1350" spans="1:36" x14ac:dyDescent="0.45">
      <c r="A1350" s="137">
        <f>A1349</f>
        <v>45858</v>
      </c>
      <c r="B1350" s="138" t="s">
        <v>5</v>
      </c>
      <c r="C1350" s="139">
        <f>120*W1350</f>
        <v>4200</v>
      </c>
      <c r="D1350" s="140">
        <v>40</v>
      </c>
      <c r="E1350" s="140">
        <v>21.75</v>
      </c>
      <c r="F1350" s="140">
        <v>0</v>
      </c>
      <c r="G1350" s="140">
        <v>2.5</v>
      </c>
      <c r="H1350" s="140">
        <v>0</v>
      </c>
      <c r="I1350" s="140">
        <v>40</v>
      </c>
      <c r="J1350" s="140">
        <v>0</v>
      </c>
      <c r="K1350" s="140">
        <v>0</v>
      </c>
      <c r="L1350" s="162">
        <v>0</v>
      </c>
      <c r="M1350" s="142"/>
      <c r="N1350" s="140">
        <v>40</v>
      </c>
      <c r="O1350" s="140">
        <v>21.75</v>
      </c>
      <c r="P1350" s="140">
        <v>0</v>
      </c>
      <c r="Q1350" s="140">
        <v>2.5</v>
      </c>
      <c r="R1350" s="142"/>
      <c r="S1350" s="140">
        <f t="shared" si="2650"/>
        <v>64.25</v>
      </c>
      <c r="T1350" s="140">
        <f t="shared" si="2651"/>
        <v>64.25</v>
      </c>
      <c r="U1350" s="140">
        <f t="shared" si="2652"/>
        <v>40</v>
      </c>
      <c r="V1350" s="142"/>
      <c r="W1350" s="141">
        <v>35</v>
      </c>
      <c r="X1350" s="141">
        <f t="shared" si="2649"/>
        <v>2629.375</v>
      </c>
      <c r="Y1350" s="141">
        <f t="shared" si="2653"/>
        <v>1400</v>
      </c>
      <c r="Z1350" s="141">
        <f t="shared" si="2654"/>
        <v>0</v>
      </c>
      <c r="AA1350" s="143">
        <f t="shared" si="2655"/>
        <v>0</v>
      </c>
      <c r="AB1350" s="143">
        <f t="shared" si="2656"/>
        <v>2629.375</v>
      </c>
      <c r="AC1350" s="144">
        <f t="shared" si="2657"/>
        <v>-1400</v>
      </c>
      <c r="AD1350" s="206"/>
      <c r="AE1350" s="144">
        <f t="shared" si="2658"/>
        <v>0</v>
      </c>
      <c r="AF1350" s="206"/>
      <c r="AG1350" s="8"/>
    </row>
    <row r="1351" spans="1:36" x14ac:dyDescent="0.45">
      <c r="A1351" s="137">
        <f>A1349</f>
        <v>45858</v>
      </c>
      <c r="B1351" s="138" t="s">
        <v>6</v>
      </c>
      <c r="C1351" s="139">
        <f>120*W1351</f>
        <v>4320</v>
      </c>
      <c r="D1351" s="140">
        <v>37.5</v>
      </c>
      <c r="E1351" s="140">
        <v>0</v>
      </c>
      <c r="F1351" s="140">
        <v>0</v>
      </c>
      <c r="G1351" s="140">
        <v>9.5</v>
      </c>
      <c r="H1351" s="140">
        <v>0</v>
      </c>
      <c r="I1351" s="140">
        <v>0</v>
      </c>
      <c r="J1351" s="140">
        <v>0</v>
      </c>
      <c r="K1351" s="140">
        <v>0</v>
      </c>
      <c r="L1351" s="162">
        <v>0</v>
      </c>
      <c r="M1351" s="142"/>
      <c r="N1351" s="140">
        <v>36</v>
      </c>
      <c r="O1351" s="140">
        <v>0</v>
      </c>
      <c r="P1351" s="140">
        <v>1.5</v>
      </c>
      <c r="Q1351" s="140">
        <v>9.5</v>
      </c>
      <c r="R1351" s="142"/>
      <c r="S1351" s="140">
        <f t="shared" si="2650"/>
        <v>47</v>
      </c>
      <c r="T1351" s="140">
        <f t="shared" si="2651"/>
        <v>47</v>
      </c>
      <c r="U1351" s="140">
        <f t="shared" si="2652"/>
        <v>0</v>
      </c>
      <c r="V1351" s="142"/>
      <c r="W1351" s="141">
        <v>36</v>
      </c>
      <c r="X1351" s="141">
        <f t="shared" si="2649"/>
        <v>1692</v>
      </c>
      <c r="Y1351" s="141">
        <f t="shared" si="2653"/>
        <v>0</v>
      </c>
      <c r="Z1351" s="141">
        <f t="shared" si="2654"/>
        <v>0</v>
      </c>
      <c r="AA1351" s="143">
        <f t="shared" si="2655"/>
        <v>0</v>
      </c>
      <c r="AB1351" s="143">
        <f t="shared" si="2656"/>
        <v>1746</v>
      </c>
      <c r="AC1351" s="144">
        <f t="shared" si="2657"/>
        <v>0</v>
      </c>
      <c r="AD1351" s="206"/>
      <c r="AE1351" s="144">
        <f t="shared" si="2658"/>
        <v>54</v>
      </c>
      <c r="AF1351" s="206"/>
      <c r="AG1351" s="8"/>
    </row>
    <row r="1352" spans="1:36" x14ac:dyDescent="0.45">
      <c r="A1352" s="137">
        <f>A1349</f>
        <v>45858</v>
      </c>
      <c r="B1352" s="145" t="s">
        <v>31</v>
      </c>
      <c r="C1352" s="139">
        <f>120*W1352</f>
        <v>4320</v>
      </c>
      <c r="D1352" s="140">
        <v>80</v>
      </c>
      <c r="E1352" s="140">
        <v>10</v>
      </c>
      <c r="F1352" s="140">
        <v>0</v>
      </c>
      <c r="G1352" s="140">
        <v>13</v>
      </c>
      <c r="H1352" s="140">
        <v>0</v>
      </c>
      <c r="I1352" s="140">
        <v>0</v>
      </c>
      <c r="J1352" s="140">
        <v>0</v>
      </c>
      <c r="K1352" s="140">
        <v>0</v>
      </c>
      <c r="L1352" s="162">
        <v>0</v>
      </c>
      <c r="M1352" s="142"/>
      <c r="N1352" s="140">
        <v>80</v>
      </c>
      <c r="O1352" s="140">
        <v>9</v>
      </c>
      <c r="P1352" s="140">
        <v>1</v>
      </c>
      <c r="Q1352" s="140">
        <v>13</v>
      </c>
      <c r="R1352" s="142"/>
      <c r="S1352" s="140">
        <f t="shared" si="2650"/>
        <v>103</v>
      </c>
      <c r="T1352" s="140">
        <f t="shared" si="2651"/>
        <v>103</v>
      </c>
      <c r="U1352" s="140">
        <f t="shared" si="2652"/>
        <v>0</v>
      </c>
      <c r="V1352" s="142"/>
      <c r="W1352" s="141">
        <v>36</v>
      </c>
      <c r="X1352" s="146">
        <f t="shared" si="2649"/>
        <v>3888</v>
      </c>
      <c r="Y1352" s="146">
        <f t="shared" si="2653"/>
        <v>0</v>
      </c>
      <c r="Z1352" s="146">
        <f t="shared" si="2654"/>
        <v>0</v>
      </c>
      <c r="AA1352" s="147">
        <f t="shared" si="2655"/>
        <v>0</v>
      </c>
      <c r="AB1352" s="147">
        <f t="shared" si="2656"/>
        <v>3906</v>
      </c>
      <c r="AC1352" s="148">
        <f t="shared" si="2657"/>
        <v>0</v>
      </c>
      <c r="AD1352" s="206"/>
      <c r="AE1352" s="148">
        <f t="shared" si="2658"/>
        <v>18</v>
      </c>
      <c r="AF1352" s="206"/>
      <c r="AG1352" s="8"/>
      <c r="AH1352">
        <v>23514.2</v>
      </c>
      <c r="AJ1352" s="170"/>
    </row>
    <row r="1353" spans="1:36" x14ac:dyDescent="0.45">
      <c r="A1353" s="137">
        <f>A1349</f>
        <v>45858</v>
      </c>
      <c r="B1353" s="145" t="s">
        <v>64</v>
      </c>
      <c r="C1353" s="139">
        <f>80*W1353</f>
        <v>2240</v>
      </c>
      <c r="D1353" s="140">
        <v>78</v>
      </c>
      <c r="E1353" s="140">
        <v>6</v>
      </c>
      <c r="F1353" s="140">
        <v>12</v>
      </c>
      <c r="G1353" s="140">
        <v>12.5</v>
      </c>
      <c r="H1353" s="140">
        <v>0</v>
      </c>
      <c r="I1353" s="140">
        <v>0</v>
      </c>
      <c r="J1353" s="140">
        <v>0</v>
      </c>
      <c r="K1353" s="140">
        <v>0</v>
      </c>
      <c r="L1353" s="162">
        <v>0</v>
      </c>
      <c r="M1353" s="142"/>
      <c r="N1353" s="140">
        <v>78</v>
      </c>
      <c r="O1353" s="140">
        <v>7</v>
      </c>
      <c r="P1353" s="140">
        <v>12</v>
      </c>
      <c r="Q1353" s="140">
        <v>12.5</v>
      </c>
      <c r="R1353" s="142"/>
      <c r="S1353" s="140">
        <f t="shared" si="2650"/>
        <v>108.5</v>
      </c>
      <c r="T1353" s="140">
        <f t="shared" si="2651"/>
        <v>109.5</v>
      </c>
      <c r="U1353" s="140">
        <f t="shared" si="2652"/>
        <v>0</v>
      </c>
      <c r="V1353" s="142"/>
      <c r="W1353" s="146">
        <v>28</v>
      </c>
      <c r="X1353" s="146">
        <f>(W1353*1*D1353)+(W1353*1.5*E1353)+(W1353*2*F1353)+(W1353*1*G1353)</f>
        <v>3458</v>
      </c>
      <c r="Y1353" s="146">
        <f t="shared" si="2653"/>
        <v>0</v>
      </c>
      <c r="Z1353" s="146">
        <f t="shared" si="2654"/>
        <v>0</v>
      </c>
      <c r="AA1353" s="147">
        <f t="shared" si="2655"/>
        <v>0</v>
      </c>
      <c r="AB1353" s="147">
        <f t="shared" si="2656"/>
        <v>3500</v>
      </c>
      <c r="AC1353" s="148">
        <f t="shared" si="2657"/>
        <v>0</v>
      </c>
      <c r="AD1353" s="206"/>
      <c r="AE1353" s="148">
        <f t="shared" si="2658"/>
        <v>42</v>
      </c>
      <c r="AF1353" s="206"/>
      <c r="AG1353" s="8"/>
      <c r="AH1353">
        <v>-1796.34</v>
      </c>
      <c r="AJ1353" s="170"/>
    </row>
    <row r="1354" spans="1:36" x14ac:dyDescent="0.45">
      <c r="A1354" s="137">
        <f>A1349</f>
        <v>45858</v>
      </c>
      <c r="B1354" s="145" t="s">
        <v>54</v>
      </c>
      <c r="C1354" s="139">
        <f>80*W1354</f>
        <v>2453.6000000000004</v>
      </c>
      <c r="D1354" s="140">
        <v>80</v>
      </c>
      <c r="E1354" s="140">
        <v>12</v>
      </c>
      <c r="F1354" s="140">
        <v>0</v>
      </c>
      <c r="G1354" s="140">
        <v>6</v>
      </c>
      <c r="H1354" s="140">
        <v>0</v>
      </c>
      <c r="I1354" s="140">
        <v>0</v>
      </c>
      <c r="J1354" s="140">
        <v>0</v>
      </c>
      <c r="K1354" s="140">
        <v>0</v>
      </c>
      <c r="L1354" s="162">
        <v>0</v>
      </c>
      <c r="M1354" s="142"/>
      <c r="N1354" s="140">
        <v>80</v>
      </c>
      <c r="O1354" s="140">
        <v>12</v>
      </c>
      <c r="P1354" s="140">
        <v>0</v>
      </c>
      <c r="Q1354" s="140">
        <v>6</v>
      </c>
      <c r="R1354" s="142"/>
      <c r="S1354" s="140">
        <f t="shared" si="2650"/>
        <v>98</v>
      </c>
      <c r="T1354" s="140">
        <f t="shared" si="2651"/>
        <v>98</v>
      </c>
      <c r="U1354" s="140">
        <f t="shared" si="2652"/>
        <v>0</v>
      </c>
      <c r="V1354" s="142"/>
      <c r="W1354" s="146">
        <v>30.67</v>
      </c>
      <c r="X1354" s="146">
        <f t="shared" ref="X1354:X1359" si="2659">(W1354*1*D1354)+(W1354*1.5*E1354)+(W1354*2*F1354)+(W1354*1*G1354)</f>
        <v>3189.6800000000003</v>
      </c>
      <c r="Y1354" s="146">
        <f t="shared" si="2653"/>
        <v>0</v>
      </c>
      <c r="Z1354" s="146">
        <f t="shared" si="2654"/>
        <v>0</v>
      </c>
      <c r="AA1354" s="147">
        <f t="shared" si="2655"/>
        <v>0</v>
      </c>
      <c r="AB1354" s="147">
        <f t="shared" si="2656"/>
        <v>3189.6800000000003</v>
      </c>
      <c r="AC1354" s="148">
        <f t="shared" si="2657"/>
        <v>0</v>
      </c>
      <c r="AD1354" s="206"/>
      <c r="AE1354" s="148">
        <f t="shared" si="2658"/>
        <v>0</v>
      </c>
      <c r="AF1354" s="206"/>
      <c r="AG1354" s="8"/>
      <c r="AH1354">
        <v>-3122.96</v>
      </c>
      <c r="AJ1354" s="170"/>
    </row>
    <row r="1355" spans="1:36" ht="14.65" thickBot="1" x14ac:dyDescent="0.5">
      <c r="A1355" s="149">
        <f>A1349</f>
        <v>45858</v>
      </c>
      <c r="B1355" s="150" t="s">
        <v>66</v>
      </c>
      <c r="C1355" s="151">
        <f>80*W1355</f>
        <v>2160</v>
      </c>
      <c r="D1355" s="152">
        <v>52</v>
      </c>
      <c r="E1355" s="152">
        <v>2.15</v>
      </c>
      <c r="F1355" s="152">
        <v>0</v>
      </c>
      <c r="G1355" s="152">
        <v>6</v>
      </c>
      <c r="H1355" s="152">
        <v>0</v>
      </c>
      <c r="I1355" s="152">
        <v>0</v>
      </c>
      <c r="J1355" s="152">
        <v>0</v>
      </c>
      <c r="K1355" s="152">
        <v>24</v>
      </c>
      <c r="L1355" s="163">
        <v>0</v>
      </c>
      <c r="M1355" s="154"/>
      <c r="N1355" s="152">
        <v>52</v>
      </c>
      <c r="O1355" s="152">
        <v>3.25</v>
      </c>
      <c r="P1355" s="152">
        <v>0</v>
      </c>
      <c r="Q1355" s="152">
        <v>6</v>
      </c>
      <c r="R1355" s="154"/>
      <c r="S1355" s="152">
        <f t="shared" si="2650"/>
        <v>60.15</v>
      </c>
      <c r="T1355" s="152">
        <f t="shared" si="2651"/>
        <v>61.25</v>
      </c>
      <c r="U1355" s="152">
        <f t="shared" si="2652"/>
        <v>24</v>
      </c>
      <c r="V1355" s="154"/>
      <c r="W1355" s="153">
        <v>27</v>
      </c>
      <c r="X1355" s="153">
        <f t="shared" si="2659"/>
        <v>1653.075</v>
      </c>
      <c r="Y1355" s="153">
        <f t="shared" si="2653"/>
        <v>0</v>
      </c>
      <c r="Z1355" s="153">
        <f t="shared" si="2654"/>
        <v>0</v>
      </c>
      <c r="AA1355" s="155">
        <f t="shared" si="2655"/>
        <v>648</v>
      </c>
      <c r="AB1355" s="155">
        <f t="shared" si="2656"/>
        <v>1697.625</v>
      </c>
      <c r="AC1355" s="156">
        <f t="shared" si="2657"/>
        <v>-648</v>
      </c>
      <c r="AD1355" s="207"/>
      <c r="AE1355" s="156">
        <f t="shared" si="2658"/>
        <v>44.549999999999955</v>
      </c>
      <c r="AF1355" s="207"/>
      <c r="AG1355" s="8"/>
      <c r="AH1355">
        <f>SUM(AH1352:AH1354)</f>
        <v>18594.900000000001</v>
      </c>
    </row>
    <row r="1356" spans="1:36" x14ac:dyDescent="0.45">
      <c r="A1356" s="129">
        <f>A1355+14</f>
        <v>45872</v>
      </c>
      <c r="B1356" s="130" t="s">
        <v>30</v>
      </c>
      <c r="C1356" s="131">
        <f>120*W1356</f>
        <v>4680</v>
      </c>
      <c r="D1356" s="132">
        <v>74</v>
      </c>
      <c r="E1356" s="132">
        <v>14.5</v>
      </c>
      <c r="F1356" s="132">
        <v>0</v>
      </c>
      <c r="G1356" s="132">
        <v>0</v>
      </c>
      <c r="H1356" s="132">
        <v>0</v>
      </c>
      <c r="I1356" s="132">
        <v>0</v>
      </c>
      <c r="J1356" s="132">
        <v>0</v>
      </c>
      <c r="K1356" s="132">
        <v>0</v>
      </c>
      <c r="L1356" s="161">
        <v>0</v>
      </c>
      <c r="M1356" s="134"/>
      <c r="N1356" s="132">
        <v>74</v>
      </c>
      <c r="O1356" s="132">
        <v>14.5</v>
      </c>
      <c r="P1356" s="132">
        <v>0</v>
      </c>
      <c r="Q1356" s="132">
        <v>0</v>
      </c>
      <c r="R1356" s="134"/>
      <c r="S1356" s="132">
        <f t="shared" ref="S1356:S1362" si="2660">SUM(D1356:G1356)</f>
        <v>88.5</v>
      </c>
      <c r="T1356" s="132">
        <f t="shared" ref="T1356:T1362" si="2661">SUM(N1356:Q1356)</f>
        <v>88.5</v>
      </c>
      <c r="U1356" s="132">
        <f t="shared" ref="U1356:U1362" si="2662">SUM(H1356:K1356)</f>
        <v>0</v>
      </c>
      <c r="V1356" s="134"/>
      <c r="W1356" s="133">
        <v>39</v>
      </c>
      <c r="X1356" s="133">
        <f t="shared" si="2659"/>
        <v>3734.25</v>
      </c>
      <c r="Y1356" s="133">
        <f t="shared" ref="Y1356:Y1362" si="2663">(W1356*0*H1356)+(W1356*1*I1356)</f>
        <v>0</v>
      </c>
      <c r="Z1356" s="133">
        <f t="shared" ref="Z1356:Z1362" si="2664">(W1356*1*J1356)+L1356</f>
        <v>0</v>
      </c>
      <c r="AA1356" s="135">
        <f t="shared" ref="AA1356:AA1362" si="2665">(W1356*1*K1356)</f>
        <v>0</v>
      </c>
      <c r="AB1356" s="135">
        <f t="shared" ref="AB1356:AB1362" si="2666">(W1356*1*N1356)+(W1356*1.5*O1356)+(W1356*2*P1356)+(W1356*1*Q1356)</f>
        <v>3734.25</v>
      </c>
      <c r="AC1356" s="136">
        <f t="shared" ref="AC1356:AC1362" si="2667">0-Y1356-AA1356</f>
        <v>0</v>
      </c>
      <c r="AD1356" s="205"/>
      <c r="AE1356" s="136">
        <f t="shared" ref="AE1356:AE1362" si="2668">AB1356-(X1356+Z1356)</f>
        <v>0</v>
      </c>
      <c r="AF1356" s="205">
        <f>SUM(AE1356:AE1362)</f>
        <v>0</v>
      </c>
      <c r="AG1356" s="8"/>
    </row>
    <row r="1357" spans="1:36" x14ac:dyDescent="0.45">
      <c r="A1357" s="137">
        <f>A1356</f>
        <v>45872</v>
      </c>
      <c r="B1357" s="138" t="s">
        <v>5</v>
      </c>
      <c r="C1357" s="139">
        <f>120*W1357</f>
        <v>4200</v>
      </c>
      <c r="D1357" s="140">
        <v>64.5</v>
      </c>
      <c r="E1357" s="140">
        <v>8.5</v>
      </c>
      <c r="F1357" s="140">
        <v>0</v>
      </c>
      <c r="G1357" s="140">
        <v>0</v>
      </c>
      <c r="H1357" s="140">
        <v>0</v>
      </c>
      <c r="I1357" s="140">
        <v>0</v>
      </c>
      <c r="J1357" s="140">
        <v>0</v>
      </c>
      <c r="K1357" s="140">
        <v>0</v>
      </c>
      <c r="L1357" s="162">
        <v>0</v>
      </c>
      <c r="M1357" s="142"/>
      <c r="N1357" s="140">
        <v>64.5</v>
      </c>
      <c r="O1357" s="140">
        <v>8.5</v>
      </c>
      <c r="P1357" s="140">
        <v>0</v>
      </c>
      <c r="Q1357" s="140">
        <v>0</v>
      </c>
      <c r="R1357" s="142"/>
      <c r="S1357" s="140">
        <f t="shared" si="2660"/>
        <v>73</v>
      </c>
      <c r="T1357" s="140">
        <f t="shared" si="2661"/>
        <v>73</v>
      </c>
      <c r="U1357" s="140">
        <f t="shared" si="2662"/>
        <v>0</v>
      </c>
      <c r="V1357" s="142"/>
      <c r="W1357" s="141">
        <v>35</v>
      </c>
      <c r="X1357" s="141">
        <f t="shared" si="2659"/>
        <v>2703.75</v>
      </c>
      <c r="Y1357" s="141">
        <f t="shared" si="2663"/>
        <v>0</v>
      </c>
      <c r="Z1357" s="141">
        <f t="shared" si="2664"/>
        <v>0</v>
      </c>
      <c r="AA1357" s="143">
        <f t="shared" si="2665"/>
        <v>0</v>
      </c>
      <c r="AB1357" s="143">
        <f t="shared" si="2666"/>
        <v>2703.75</v>
      </c>
      <c r="AC1357" s="144">
        <f t="shared" si="2667"/>
        <v>0</v>
      </c>
      <c r="AD1357" s="206"/>
      <c r="AE1357" s="144">
        <f t="shared" si="2668"/>
        <v>0</v>
      </c>
      <c r="AF1357" s="206"/>
      <c r="AG1357" s="8"/>
    </row>
    <row r="1358" spans="1:36" x14ac:dyDescent="0.45">
      <c r="A1358" s="137">
        <f>A1356</f>
        <v>45872</v>
      </c>
      <c r="B1358" s="138" t="s">
        <v>6</v>
      </c>
      <c r="C1358" s="139">
        <f>120*W1358</f>
        <v>4320</v>
      </c>
      <c r="D1358" s="140">
        <v>68.5</v>
      </c>
      <c r="E1358" s="140">
        <v>8.5</v>
      </c>
      <c r="F1358" s="140">
        <v>0</v>
      </c>
      <c r="G1358" s="140">
        <v>0</v>
      </c>
      <c r="H1358" s="140">
        <v>0</v>
      </c>
      <c r="I1358" s="140">
        <v>0</v>
      </c>
      <c r="J1358" s="140">
        <v>0</v>
      </c>
      <c r="K1358" s="140">
        <v>0</v>
      </c>
      <c r="L1358" s="162">
        <v>0</v>
      </c>
      <c r="M1358" s="142"/>
      <c r="N1358" s="140">
        <v>68.5</v>
      </c>
      <c r="O1358" s="140">
        <v>8.5</v>
      </c>
      <c r="P1358" s="140">
        <v>0</v>
      </c>
      <c r="Q1358" s="140">
        <v>0</v>
      </c>
      <c r="R1358" s="142"/>
      <c r="S1358" s="140">
        <f t="shared" si="2660"/>
        <v>77</v>
      </c>
      <c r="T1358" s="140">
        <f t="shared" si="2661"/>
        <v>77</v>
      </c>
      <c r="U1358" s="140">
        <f t="shared" si="2662"/>
        <v>0</v>
      </c>
      <c r="V1358" s="142"/>
      <c r="W1358" s="141">
        <v>36</v>
      </c>
      <c r="X1358" s="141">
        <f t="shared" si="2659"/>
        <v>2925</v>
      </c>
      <c r="Y1358" s="141">
        <f t="shared" si="2663"/>
        <v>0</v>
      </c>
      <c r="Z1358" s="141">
        <f t="shared" si="2664"/>
        <v>0</v>
      </c>
      <c r="AA1358" s="143">
        <f t="shared" si="2665"/>
        <v>0</v>
      </c>
      <c r="AB1358" s="143">
        <f t="shared" si="2666"/>
        <v>2925</v>
      </c>
      <c r="AC1358" s="144">
        <f t="shared" si="2667"/>
        <v>0</v>
      </c>
      <c r="AD1358" s="206"/>
      <c r="AE1358" s="144">
        <f t="shared" si="2668"/>
        <v>0</v>
      </c>
      <c r="AF1358" s="206"/>
      <c r="AG1358" s="8"/>
    </row>
    <row r="1359" spans="1:36" x14ac:dyDescent="0.45">
      <c r="A1359" s="137">
        <f>A1356</f>
        <v>45872</v>
      </c>
      <c r="B1359" s="145" t="s">
        <v>31</v>
      </c>
      <c r="C1359" s="139">
        <f>120*W1359</f>
        <v>4320</v>
      </c>
      <c r="D1359" s="140">
        <v>80</v>
      </c>
      <c r="E1359" s="140">
        <v>7</v>
      </c>
      <c r="F1359" s="140">
        <v>0</v>
      </c>
      <c r="G1359" s="140">
        <v>0</v>
      </c>
      <c r="H1359" s="140">
        <v>0</v>
      </c>
      <c r="I1359" s="140">
        <v>0</v>
      </c>
      <c r="J1359" s="140">
        <v>0</v>
      </c>
      <c r="K1359" s="140">
        <v>0</v>
      </c>
      <c r="L1359" s="162">
        <v>0</v>
      </c>
      <c r="M1359" s="142"/>
      <c r="N1359" s="140">
        <v>80</v>
      </c>
      <c r="O1359" s="140">
        <v>7</v>
      </c>
      <c r="P1359" s="140">
        <v>0</v>
      </c>
      <c r="Q1359" s="140">
        <v>0</v>
      </c>
      <c r="R1359" s="142"/>
      <c r="S1359" s="140">
        <f t="shared" si="2660"/>
        <v>87</v>
      </c>
      <c r="T1359" s="140">
        <f t="shared" si="2661"/>
        <v>87</v>
      </c>
      <c r="U1359" s="140">
        <f t="shared" si="2662"/>
        <v>0</v>
      </c>
      <c r="V1359" s="142"/>
      <c r="W1359" s="141">
        <v>36</v>
      </c>
      <c r="X1359" s="146">
        <f t="shared" si="2659"/>
        <v>3258</v>
      </c>
      <c r="Y1359" s="146">
        <f t="shared" si="2663"/>
        <v>0</v>
      </c>
      <c r="Z1359" s="146">
        <f t="shared" si="2664"/>
        <v>0</v>
      </c>
      <c r="AA1359" s="147">
        <f t="shared" si="2665"/>
        <v>0</v>
      </c>
      <c r="AB1359" s="147">
        <f t="shared" si="2666"/>
        <v>3258</v>
      </c>
      <c r="AC1359" s="148">
        <f t="shared" si="2667"/>
        <v>0</v>
      </c>
      <c r="AD1359" s="206"/>
      <c r="AE1359" s="148">
        <f t="shared" si="2668"/>
        <v>0</v>
      </c>
      <c r="AF1359" s="206"/>
      <c r="AG1359" s="8"/>
      <c r="AH1359">
        <v>21888.19</v>
      </c>
      <c r="AJ1359" s="170"/>
    </row>
    <row r="1360" spans="1:36" x14ac:dyDescent="0.45">
      <c r="A1360" s="137">
        <f>A1356</f>
        <v>45872</v>
      </c>
      <c r="B1360" s="145" t="s">
        <v>64</v>
      </c>
      <c r="C1360" s="139">
        <f>80*W1360</f>
        <v>2240</v>
      </c>
      <c r="D1360" s="140">
        <v>80</v>
      </c>
      <c r="E1360" s="140">
        <v>9</v>
      </c>
      <c r="F1360" s="140">
        <v>0</v>
      </c>
      <c r="G1360" s="140">
        <v>1.5</v>
      </c>
      <c r="H1360" s="140">
        <v>0</v>
      </c>
      <c r="I1360" s="140">
        <v>0</v>
      </c>
      <c r="J1360" s="140">
        <v>0</v>
      </c>
      <c r="K1360" s="140">
        <v>0</v>
      </c>
      <c r="L1360" s="162">
        <v>0</v>
      </c>
      <c r="M1360" s="142"/>
      <c r="N1360" s="140">
        <v>80</v>
      </c>
      <c r="O1360" s="140">
        <v>9</v>
      </c>
      <c r="P1360" s="140">
        <v>0</v>
      </c>
      <c r="Q1360" s="140">
        <v>1.5</v>
      </c>
      <c r="R1360" s="142"/>
      <c r="S1360" s="140">
        <f t="shared" si="2660"/>
        <v>90.5</v>
      </c>
      <c r="T1360" s="140">
        <f t="shared" si="2661"/>
        <v>90.5</v>
      </c>
      <c r="U1360" s="140">
        <f t="shared" si="2662"/>
        <v>0</v>
      </c>
      <c r="V1360" s="142"/>
      <c r="W1360" s="146">
        <v>28</v>
      </c>
      <c r="X1360" s="146">
        <f>(W1360*1*D1360)+(W1360*1.5*E1360)+(W1360*2*F1360)+(W1360*1*G1360)</f>
        <v>2660</v>
      </c>
      <c r="Y1360" s="146">
        <f t="shared" si="2663"/>
        <v>0</v>
      </c>
      <c r="Z1360" s="146">
        <f t="shared" si="2664"/>
        <v>0</v>
      </c>
      <c r="AA1360" s="147">
        <f t="shared" si="2665"/>
        <v>0</v>
      </c>
      <c r="AB1360" s="147">
        <f t="shared" si="2666"/>
        <v>2660</v>
      </c>
      <c r="AC1360" s="148">
        <f t="shared" si="2667"/>
        <v>0</v>
      </c>
      <c r="AD1360" s="206"/>
      <c r="AE1360" s="148">
        <f t="shared" si="2668"/>
        <v>0</v>
      </c>
      <c r="AF1360" s="206"/>
      <c r="AG1360" s="8"/>
      <c r="AH1360">
        <v>-1913.98</v>
      </c>
      <c r="AJ1360" s="170"/>
    </row>
    <row r="1361" spans="1:36" x14ac:dyDescent="0.45">
      <c r="A1361" s="137">
        <f>A1356</f>
        <v>45872</v>
      </c>
      <c r="B1361" s="145" t="s">
        <v>54</v>
      </c>
      <c r="C1361" s="139">
        <f>80*W1361</f>
        <v>2453.6000000000004</v>
      </c>
      <c r="D1361" s="140">
        <v>80</v>
      </c>
      <c r="E1361" s="140">
        <v>23.75</v>
      </c>
      <c r="F1361" s="140">
        <v>0</v>
      </c>
      <c r="G1361" s="140">
        <v>0</v>
      </c>
      <c r="H1361" s="140">
        <v>0</v>
      </c>
      <c r="I1361" s="140">
        <v>0</v>
      </c>
      <c r="J1361" s="140">
        <v>0</v>
      </c>
      <c r="K1361" s="140">
        <v>0</v>
      </c>
      <c r="L1361" s="162">
        <v>0</v>
      </c>
      <c r="M1361" s="142"/>
      <c r="N1361" s="140">
        <v>80</v>
      </c>
      <c r="O1361" s="140">
        <v>23.75</v>
      </c>
      <c r="P1361" s="140">
        <v>0</v>
      </c>
      <c r="Q1361" s="140">
        <v>0</v>
      </c>
      <c r="R1361" s="142"/>
      <c r="S1361" s="140">
        <f t="shared" si="2660"/>
        <v>103.75</v>
      </c>
      <c r="T1361" s="140">
        <f t="shared" si="2661"/>
        <v>103.75</v>
      </c>
      <c r="U1361" s="140">
        <f t="shared" si="2662"/>
        <v>0</v>
      </c>
      <c r="V1361" s="142"/>
      <c r="W1361" s="146">
        <v>30.67</v>
      </c>
      <c r="X1361" s="146">
        <f t="shared" ref="X1361:X1366" si="2669">(W1361*1*D1361)+(W1361*1.5*E1361)+(W1361*2*F1361)+(W1361*1*G1361)</f>
        <v>3546.2187500000005</v>
      </c>
      <c r="Y1361" s="146">
        <f t="shared" si="2663"/>
        <v>0</v>
      </c>
      <c r="Z1361" s="146">
        <f t="shared" si="2664"/>
        <v>0</v>
      </c>
      <c r="AA1361" s="147">
        <f t="shared" si="2665"/>
        <v>0</v>
      </c>
      <c r="AB1361" s="147">
        <f t="shared" si="2666"/>
        <v>3546.2187500000005</v>
      </c>
      <c r="AC1361" s="148">
        <f t="shared" si="2667"/>
        <v>0</v>
      </c>
      <c r="AD1361" s="206"/>
      <c r="AE1361" s="148">
        <f t="shared" si="2668"/>
        <v>0</v>
      </c>
      <c r="AF1361" s="206"/>
      <c r="AG1361" s="8"/>
      <c r="AH1361">
        <v>-3122.96</v>
      </c>
      <c r="AJ1361" s="170"/>
    </row>
    <row r="1362" spans="1:36" ht="14.65" thickBot="1" x14ac:dyDescent="0.5">
      <c r="A1362" s="149">
        <f>A1356</f>
        <v>45872</v>
      </c>
      <c r="B1362" s="150" t="s">
        <v>66</v>
      </c>
      <c r="C1362" s="151">
        <f>80*W1362</f>
        <v>2160</v>
      </c>
      <c r="D1362" s="152">
        <v>80</v>
      </c>
      <c r="E1362" s="152">
        <v>8</v>
      </c>
      <c r="F1362" s="152">
        <v>0</v>
      </c>
      <c r="G1362" s="152">
        <v>0</v>
      </c>
      <c r="H1362" s="152">
        <v>0</v>
      </c>
      <c r="I1362" s="152">
        <v>0</v>
      </c>
      <c r="J1362" s="152">
        <v>0</v>
      </c>
      <c r="K1362" s="152">
        <v>0</v>
      </c>
      <c r="L1362" s="163">
        <v>0</v>
      </c>
      <c r="M1362" s="154"/>
      <c r="N1362" s="152">
        <v>80</v>
      </c>
      <c r="O1362" s="152">
        <v>8</v>
      </c>
      <c r="P1362" s="152">
        <v>0</v>
      </c>
      <c r="Q1362" s="152">
        <v>0</v>
      </c>
      <c r="R1362" s="154"/>
      <c r="S1362" s="152">
        <f t="shared" si="2660"/>
        <v>88</v>
      </c>
      <c r="T1362" s="152">
        <f t="shared" si="2661"/>
        <v>88</v>
      </c>
      <c r="U1362" s="152">
        <f t="shared" si="2662"/>
        <v>0</v>
      </c>
      <c r="V1362" s="154"/>
      <c r="W1362" s="153">
        <v>27</v>
      </c>
      <c r="X1362" s="153">
        <f t="shared" si="2669"/>
        <v>2484</v>
      </c>
      <c r="Y1362" s="153">
        <f t="shared" si="2663"/>
        <v>0</v>
      </c>
      <c r="Z1362" s="153">
        <f t="shared" si="2664"/>
        <v>0</v>
      </c>
      <c r="AA1362" s="155">
        <f t="shared" si="2665"/>
        <v>0</v>
      </c>
      <c r="AB1362" s="155">
        <f t="shared" si="2666"/>
        <v>2484</v>
      </c>
      <c r="AC1362" s="156">
        <f t="shared" si="2667"/>
        <v>0</v>
      </c>
      <c r="AD1362" s="207"/>
      <c r="AE1362" s="156">
        <f t="shared" si="2668"/>
        <v>0</v>
      </c>
      <c r="AF1362" s="207"/>
      <c r="AG1362" s="8"/>
      <c r="AH1362">
        <f>SUM(AH1359:AH1361)</f>
        <v>16851.25</v>
      </c>
    </row>
    <row r="1363" spans="1:36" x14ac:dyDescent="0.45">
      <c r="A1363" s="129">
        <f>A1362+14</f>
        <v>45886</v>
      </c>
      <c r="B1363" s="130" t="s">
        <v>30</v>
      </c>
      <c r="C1363" s="131">
        <f>120*W1363</f>
        <v>4680</v>
      </c>
      <c r="D1363" s="132">
        <v>0</v>
      </c>
      <c r="E1363" s="132">
        <v>0</v>
      </c>
      <c r="F1363" s="132">
        <v>0</v>
      </c>
      <c r="G1363" s="132">
        <v>0</v>
      </c>
      <c r="H1363" s="132">
        <v>0</v>
      </c>
      <c r="I1363" s="132">
        <v>40</v>
      </c>
      <c r="J1363" s="132">
        <v>0</v>
      </c>
      <c r="K1363" s="132">
        <v>0</v>
      </c>
      <c r="L1363" s="161">
        <v>0</v>
      </c>
      <c r="M1363" s="134"/>
      <c r="N1363" s="132">
        <v>0</v>
      </c>
      <c r="O1363" s="132">
        <v>0</v>
      </c>
      <c r="P1363" s="132">
        <v>0</v>
      </c>
      <c r="Q1363" s="132">
        <v>0</v>
      </c>
      <c r="R1363" s="134"/>
      <c r="S1363" s="132">
        <f t="shared" ref="S1363:S1369" si="2670">SUM(D1363:G1363)</f>
        <v>0</v>
      </c>
      <c r="T1363" s="132">
        <f t="shared" ref="T1363:T1369" si="2671">SUM(N1363:Q1363)</f>
        <v>0</v>
      </c>
      <c r="U1363" s="132">
        <f t="shared" ref="U1363:U1369" si="2672">SUM(H1363:K1363)</f>
        <v>40</v>
      </c>
      <c r="V1363" s="134"/>
      <c r="W1363" s="133">
        <v>39</v>
      </c>
      <c r="X1363" s="133">
        <f t="shared" si="2669"/>
        <v>0</v>
      </c>
      <c r="Y1363" s="133">
        <f t="shared" ref="Y1363:Y1369" si="2673">(W1363*0*H1363)+(W1363*1*I1363)</f>
        <v>1560</v>
      </c>
      <c r="Z1363" s="133">
        <f t="shared" ref="Z1363:Z1369" si="2674">(W1363*1*J1363)+L1363</f>
        <v>0</v>
      </c>
      <c r="AA1363" s="135">
        <f t="shared" ref="AA1363:AA1369" si="2675">(W1363*1*K1363)</f>
        <v>0</v>
      </c>
      <c r="AB1363" s="135">
        <f t="shared" ref="AB1363:AB1369" si="2676">(W1363*1*N1363)+(W1363*1.5*O1363)+(W1363*2*P1363)+(W1363*1*Q1363)</f>
        <v>0</v>
      </c>
      <c r="AC1363" s="136">
        <f t="shared" ref="AC1363:AC1369" si="2677">0-Y1363-AA1363</f>
        <v>-1560</v>
      </c>
      <c r="AD1363" s="205"/>
      <c r="AE1363" s="136">
        <f t="shared" ref="AE1363:AE1369" si="2678">AB1363-(X1363+Z1363)</f>
        <v>0</v>
      </c>
      <c r="AF1363" s="205">
        <f>SUM(AE1363:AE1369)</f>
        <v>-179.94500000000016</v>
      </c>
      <c r="AG1363" s="8"/>
    </row>
    <row r="1364" spans="1:36" x14ac:dyDescent="0.45">
      <c r="A1364" s="137">
        <f>A1363</f>
        <v>45886</v>
      </c>
      <c r="B1364" s="138" t="s">
        <v>5</v>
      </c>
      <c r="C1364" s="139">
        <f>120*W1364</f>
        <v>4200</v>
      </c>
      <c r="D1364" s="140">
        <v>0</v>
      </c>
      <c r="E1364" s="140">
        <v>0</v>
      </c>
      <c r="F1364" s="140">
        <v>0</v>
      </c>
      <c r="G1364" s="140">
        <v>0</v>
      </c>
      <c r="H1364" s="140">
        <v>0</v>
      </c>
      <c r="I1364" s="140">
        <v>80</v>
      </c>
      <c r="J1364" s="140">
        <v>0</v>
      </c>
      <c r="K1364" s="140">
        <v>0</v>
      </c>
      <c r="L1364" s="162">
        <v>0</v>
      </c>
      <c r="M1364" s="142"/>
      <c r="N1364" s="140">
        <v>0</v>
      </c>
      <c r="O1364" s="140">
        <v>0</v>
      </c>
      <c r="P1364" s="140">
        <v>0</v>
      </c>
      <c r="Q1364" s="140">
        <v>0</v>
      </c>
      <c r="R1364" s="142"/>
      <c r="S1364" s="140">
        <f t="shared" si="2670"/>
        <v>0</v>
      </c>
      <c r="T1364" s="140">
        <f t="shared" si="2671"/>
        <v>0</v>
      </c>
      <c r="U1364" s="140">
        <f t="shared" si="2672"/>
        <v>80</v>
      </c>
      <c r="V1364" s="142"/>
      <c r="W1364" s="141">
        <v>35</v>
      </c>
      <c r="X1364" s="141">
        <f t="shared" si="2669"/>
        <v>0</v>
      </c>
      <c r="Y1364" s="141">
        <f t="shared" si="2673"/>
        <v>2800</v>
      </c>
      <c r="Z1364" s="141">
        <f t="shared" si="2674"/>
        <v>0</v>
      </c>
      <c r="AA1364" s="143">
        <f t="shared" si="2675"/>
        <v>0</v>
      </c>
      <c r="AB1364" s="143">
        <f t="shared" si="2676"/>
        <v>0</v>
      </c>
      <c r="AC1364" s="144">
        <f t="shared" si="2677"/>
        <v>-2800</v>
      </c>
      <c r="AD1364" s="206"/>
      <c r="AE1364" s="144">
        <f t="shared" si="2678"/>
        <v>0</v>
      </c>
      <c r="AF1364" s="206"/>
      <c r="AG1364" s="8"/>
    </row>
    <row r="1365" spans="1:36" x14ac:dyDescent="0.45">
      <c r="A1365" s="137">
        <f>A1363</f>
        <v>45886</v>
      </c>
      <c r="B1365" s="138" t="s">
        <v>6</v>
      </c>
      <c r="C1365" s="139">
        <f>120*W1365</f>
        <v>4320</v>
      </c>
      <c r="D1365" s="140">
        <v>80</v>
      </c>
      <c r="E1365" s="140">
        <v>10.5</v>
      </c>
      <c r="F1365" s="140">
        <v>8.5</v>
      </c>
      <c r="G1365" s="140">
        <v>0</v>
      </c>
      <c r="H1365" s="140">
        <v>0</v>
      </c>
      <c r="I1365" s="140">
        <v>0</v>
      </c>
      <c r="J1365" s="140">
        <v>0</v>
      </c>
      <c r="K1365" s="140">
        <v>0</v>
      </c>
      <c r="L1365" s="162">
        <v>0</v>
      </c>
      <c r="M1365" s="142"/>
      <c r="N1365" s="140">
        <v>72</v>
      </c>
      <c r="O1365" s="140">
        <v>18.5</v>
      </c>
      <c r="P1365" s="140">
        <v>8.5</v>
      </c>
      <c r="Q1365" s="140">
        <v>0</v>
      </c>
      <c r="R1365" s="142"/>
      <c r="S1365" s="140">
        <f t="shared" si="2670"/>
        <v>99</v>
      </c>
      <c r="T1365" s="140">
        <f t="shared" si="2671"/>
        <v>99</v>
      </c>
      <c r="U1365" s="140">
        <f t="shared" si="2672"/>
        <v>0</v>
      </c>
      <c r="V1365" s="142"/>
      <c r="W1365" s="141">
        <v>36</v>
      </c>
      <c r="X1365" s="141">
        <f t="shared" si="2669"/>
        <v>4059</v>
      </c>
      <c r="Y1365" s="141">
        <f t="shared" si="2673"/>
        <v>0</v>
      </c>
      <c r="Z1365" s="141">
        <f t="shared" si="2674"/>
        <v>0</v>
      </c>
      <c r="AA1365" s="143">
        <f t="shared" si="2675"/>
        <v>0</v>
      </c>
      <c r="AB1365" s="143">
        <f t="shared" si="2676"/>
        <v>4203</v>
      </c>
      <c r="AC1365" s="144">
        <f t="shared" si="2677"/>
        <v>0</v>
      </c>
      <c r="AD1365" s="206"/>
      <c r="AE1365" s="144">
        <f t="shared" si="2678"/>
        <v>144</v>
      </c>
      <c r="AF1365" s="206"/>
      <c r="AG1365" s="8"/>
    </row>
    <row r="1366" spans="1:36" x14ac:dyDescent="0.45">
      <c r="A1366" s="137">
        <f>A1363</f>
        <v>45886</v>
      </c>
      <c r="B1366" s="145" t="s">
        <v>31</v>
      </c>
      <c r="C1366" s="139">
        <f>120*W1366</f>
        <v>4320</v>
      </c>
      <c r="D1366" s="140">
        <v>74</v>
      </c>
      <c r="E1366" s="140">
        <v>5</v>
      </c>
      <c r="F1366" s="140">
        <v>7.5</v>
      </c>
      <c r="G1366" s="140">
        <v>3</v>
      </c>
      <c r="H1366" s="140">
        <v>0</v>
      </c>
      <c r="I1366" s="140">
        <v>0</v>
      </c>
      <c r="J1366" s="140">
        <v>0</v>
      </c>
      <c r="K1366" s="140">
        <v>0</v>
      </c>
      <c r="L1366" s="162">
        <v>0</v>
      </c>
      <c r="M1366" s="142"/>
      <c r="N1366" s="140">
        <v>72</v>
      </c>
      <c r="O1366" s="140">
        <v>7</v>
      </c>
      <c r="P1366" s="140">
        <v>10.5</v>
      </c>
      <c r="Q1366" s="140">
        <v>0</v>
      </c>
      <c r="R1366" s="142"/>
      <c r="S1366" s="140">
        <f t="shared" si="2670"/>
        <v>89.5</v>
      </c>
      <c r="T1366" s="140">
        <f t="shared" si="2671"/>
        <v>89.5</v>
      </c>
      <c r="U1366" s="140">
        <f t="shared" si="2672"/>
        <v>0</v>
      </c>
      <c r="V1366" s="142"/>
      <c r="W1366" s="141">
        <v>36</v>
      </c>
      <c r="X1366" s="146">
        <f t="shared" si="2669"/>
        <v>3582</v>
      </c>
      <c r="Y1366" s="146">
        <f t="shared" si="2673"/>
        <v>0</v>
      </c>
      <c r="Z1366" s="146">
        <f t="shared" si="2674"/>
        <v>0</v>
      </c>
      <c r="AA1366" s="147">
        <f t="shared" si="2675"/>
        <v>0</v>
      </c>
      <c r="AB1366" s="147">
        <f t="shared" si="2676"/>
        <v>3726</v>
      </c>
      <c r="AC1366" s="148">
        <f t="shared" si="2677"/>
        <v>0</v>
      </c>
      <c r="AD1366" s="206"/>
      <c r="AE1366" s="148">
        <f t="shared" si="2678"/>
        <v>144</v>
      </c>
      <c r="AF1366" s="206"/>
      <c r="AG1366" s="8"/>
      <c r="AH1366">
        <v>22402.720000000001</v>
      </c>
      <c r="AJ1366" s="170"/>
    </row>
    <row r="1367" spans="1:36" x14ac:dyDescent="0.45">
      <c r="A1367" s="137">
        <f>A1363</f>
        <v>45886</v>
      </c>
      <c r="B1367" s="145" t="s">
        <v>64</v>
      </c>
      <c r="C1367" s="139">
        <f>80*W1367</f>
        <v>2240</v>
      </c>
      <c r="D1367" s="140">
        <v>72</v>
      </c>
      <c r="E1367" s="140">
        <v>2.5</v>
      </c>
      <c r="F1367" s="140">
        <v>13.5</v>
      </c>
      <c r="G1367" s="140">
        <v>8</v>
      </c>
      <c r="H1367" s="140">
        <v>0</v>
      </c>
      <c r="I1367" s="140">
        <v>8</v>
      </c>
      <c r="J1367" s="140">
        <v>0</v>
      </c>
      <c r="K1367" s="140">
        <v>0</v>
      </c>
      <c r="L1367" s="162">
        <v>0</v>
      </c>
      <c r="M1367" s="142"/>
      <c r="N1367" s="140">
        <v>72</v>
      </c>
      <c r="O1367" s="140">
        <v>2.5</v>
      </c>
      <c r="P1367" s="140">
        <v>13.5</v>
      </c>
      <c r="Q1367" s="140">
        <v>8</v>
      </c>
      <c r="R1367" s="142"/>
      <c r="S1367" s="140">
        <f t="shared" si="2670"/>
        <v>96</v>
      </c>
      <c r="T1367" s="140">
        <f t="shared" si="2671"/>
        <v>96</v>
      </c>
      <c r="U1367" s="140">
        <f t="shared" si="2672"/>
        <v>8</v>
      </c>
      <c r="V1367" s="142"/>
      <c r="W1367" s="146">
        <v>28</v>
      </c>
      <c r="X1367" s="146">
        <f>(W1367*1*D1367)+(W1367*1.5*E1367)+(W1367*2*F1367)+(W1367*1*G1367)</f>
        <v>3101</v>
      </c>
      <c r="Y1367" s="146">
        <f t="shared" si="2673"/>
        <v>224</v>
      </c>
      <c r="Z1367" s="146">
        <f t="shared" si="2674"/>
        <v>0</v>
      </c>
      <c r="AA1367" s="147">
        <f t="shared" si="2675"/>
        <v>0</v>
      </c>
      <c r="AB1367" s="147">
        <f t="shared" si="2676"/>
        <v>3101</v>
      </c>
      <c r="AC1367" s="148">
        <f t="shared" si="2677"/>
        <v>-224</v>
      </c>
      <c r="AD1367" s="206"/>
      <c r="AE1367" s="148">
        <f t="shared" si="2678"/>
        <v>0</v>
      </c>
      <c r="AF1367" s="206"/>
      <c r="AG1367" s="8"/>
      <c r="AH1367">
        <v>-2159.42</v>
      </c>
      <c r="AJ1367" s="170"/>
    </row>
    <row r="1368" spans="1:36" x14ac:dyDescent="0.45">
      <c r="A1368" s="137">
        <f>A1363</f>
        <v>45886</v>
      </c>
      <c r="B1368" s="145" t="s">
        <v>54</v>
      </c>
      <c r="C1368" s="139">
        <f>80*W1368</f>
        <v>2453.6000000000004</v>
      </c>
      <c r="D1368" s="140">
        <v>80</v>
      </c>
      <c r="E1368" s="140">
        <v>22.75</v>
      </c>
      <c r="F1368" s="140">
        <v>1</v>
      </c>
      <c r="G1368" s="140">
        <v>0</v>
      </c>
      <c r="H1368" s="140">
        <v>0</v>
      </c>
      <c r="I1368" s="140">
        <v>0</v>
      </c>
      <c r="J1368" s="140">
        <v>0</v>
      </c>
      <c r="K1368" s="140">
        <v>0</v>
      </c>
      <c r="L1368" s="162">
        <v>0</v>
      </c>
      <c r="M1368" s="142"/>
      <c r="N1368" s="140">
        <v>72</v>
      </c>
      <c r="O1368" s="140">
        <v>30.75</v>
      </c>
      <c r="P1368" s="140">
        <v>1</v>
      </c>
      <c r="Q1368" s="140">
        <v>0</v>
      </c>
      <c r="R1368" s="142"/>
      <c r="S1368" s="140">
        <f t="shared" si="2670"/>
        <v>103.75</v>
      </c>
      <c r="T1368" s="140">
        <f t="shared" si="2671"/>
        <v>103.75</v>
      </c>
      <c r="U1368" s="140">
        <f t="shared" si="2672"/>
        <v>0</v>
      </c>
      <c r="V1368" s="142"/>
      <c r="W1368" s="146">
        <v>30.67</v>
      </c>
      <c r="X1368" s="146">
        <f t="shared" ref="X1368:X1373" si="2679">(W1368*1*D1368)+(W1368*1.5*E1368)+(W1368*2*F1368)+(W1368*1*G1368)</f>
        <v>3561.5537500000005</v>
      </c>
      <c r="Y1368" s="146">
        <f t="shared" si="2673"/>
        <v>0</v>
      </c>
      <c r="Z1368" s="146">
        <f t="shared" si="2674"/>
        <v>0</v>
      </c>
      <c r="AA1368" s="147">
        <f t="shared" si="2675"/>
        <v>0</v>
      </c>
      <c r="AB1368" s="147">
        <f t="shared" si="2676"/>
        <v>3684.2337500000003</v>
      </c>
      <c r="AC1368" s="148">
        <f t="shared" si="2677"/>
        <v>0</v>
      </c>
      <c r="AD1368" s="206"/>
      <c r="AE1368" s="148">
        <f t="shared" si="2678"/>
        <v>122.67999999999984</v>
      </c>
      <c r="AF1368" s="206"/>
      <c r="AG1368" s="8"/>
      <c r="AH1368">
        <v>-3250.21</v>
      </c>
      <c r="AJ1368" s="170"/>
    </row>
    <row r="1369" spans="1:36" ht="14.65" thickBot="1" x14ac:dyDescent="0.5">
      <c r="A1369" s="149">
        <f>A1363</f>
        <v>45886</v>
      </c>
      <c r="B1369" s="150" t="s">
        <v>66</v>
      </c>
      <c r="C1369" s="151">
        <f>80*W1369</f>
        <v>2160</v>
      </c>
      <c r="D1369" s="152">
        <v>80</v>
      </c>
      <c r="E1369" s="152">
        <v>17.75</v>
      </c>
      <c r="F1369" s="152">
        <v>0</v>
      </c>
      <c r="G1369" s="152">
        <v>0</v>
      </c>
      <c r="H1369" s="152">
        <v>0</v>
      </c>
      <c r="I1369" s="152">
        <v>0</v>
      </c>
      <c r="J1369" s="152">
        <v>0</v>
      </c>
      <c r="K1369" s="152">
        <v>0</v>
      </c>
      <c r="L1369" s="163">
        <v>0</v>
      </c>
      <c r="M1369" s="154"/>
      <c r="N1369" s="152">
        <v>72</v>
      </c>
      <c r="O1369" s="152">
        <v>8.5</v>
      </c>
      <c r="P1369" s="152">
        <v>0</v>
      </c>
      <c r="Q1369" s="152">
        <v>0</v>
      </c>
      <c r="R1369" s="154"/>
      <c r="S1369" s="152">
        <f t="shared" si="2670"/>
        <v>97.75</v>
      </c>
      <c r="T1369" s="152">
        <f t="shared" si="2671"/>
        <v>80.5</v>
      </c>
      <c r="U1369" s="152">
        <f t="shared" si="2672"/>
        <v>0</v>
      </c>
      <c r="V1369" s="154"/>
      <c r="W1369" s="153">
        <v>27</v>
      </c>
      <c r="X1369" s="153">
        <f t="shared" si="2679"/>
        <v>2878.875</v>
      </c>
      <c r="Y1369" s="153">
        <f t="shared" si="2673"/>
        <v>0</v>
      </c>
      <c r="Z1369" s="153">
        <f t="shared" si="2674"/>
        <v>0</v>
      </c>
      <c r="AA1369" s="155">
        <f t="shared" si="2675"/>
        <v>0</v>
      </c>
      <c r="AB1369" s="155">
        <f t="shared" si="2676"/>
        <v>2288.25</v>
      </c>
      <c r="AC1369" s="156">
        <f t="shared" si="2677"/>
        <v>0</v>
      </c>
      <c r="AD1369" s="207"/>
      <c r="AE1369" s="156">
        <f t="shared" si="2678"/>
        <v>-590.625</v>
      </c>
      <c r="AF1369" s="207"/>
      <c r="AG1369" s="8"/>
      <c r="AH1369">
        <f>SUM(AH1366:AH1368)</f>
        <v>16993.090000000004</v>
      </c>
    </row>
    <row r="1370" spans="1:36" x14ac:dyDescent="0.45">
      <c r="A1370" s="129">
        <f>A1369+14</f>
        <v>45900</v>
      </c>
      <c r="B1370" s="130" t="s">
        <v>30</v>
      </c>
      <c r="C1370" s="131">
        <f>120*W1370</f>
        <v>4680</v>
      </c>
      <c r="D1370" s="132">
        <v>0</v>
      </c>
      <c r="E1370" s="132">
        <v>0</v>
      </c>
      <c r="F1370" s="132">
        <v>0</v>
      </c>
      <c r="G1370" s="132">
        <v>0</v>
      </c>
      <c r="H1370" s="132">
        <v>0</v>
      </c>
      <c r="I1370" s="132">
        <v>0</v>
      </c>
      <c r="J1370" s="132">
        <v>0</v>
      </c>
      <c r="K1370" s="132">
        <v>0</v>
      </c>
      <c r="L1370" s="161">
        <v>0</v>
      </c>
      <c r="M1370" s="134"/>
      <c r="N1370" s="132">
        <v>0</v>
      </c>
      <c r="O1370" s="132">
        <v>0</v>
      </c>
      <c r="P1370" s="132">
        <v>0</v>
      </c>
      <c r="Q1370" s="132">
        <v>0</v>
      </c>
      <c r="R1370" s="134"/>
      <c r="S1370" s="132">
        <f t="shared" ref="S1370:S1376" si="2680">SUM(D1370:G1370)</f>
        <v>0</v>
      </c>
      <c r="T1370" s="132">
        <f t="shared" ref="T1370:T1376" si="2681">SUM(N1370:Q1370)</f>
        <v>0</v>
      </c>
      <c r="U1370" s="132">
        <f t="shared" ref="U1370:U1376" si="2682">SUM(H1370:K1370)</f>
        <v>0</v>
      </c>
      <c r="V1370" s="134"/>
      <c r="W1370" s="133">
        <v>39</v>
      </c>
      <c r="X1370" s="133">
        <f t="shared" si="2679"/>
        <v>0</v>
      </c>
      <c r="Y1370" s="133">
        <f t="shared" ref="Y1370:Y1376" si="2683">(W1370*0*H1370)+(W1370*1*I1370)</f>
        <v>0</v>
      </c>
      <c r="Z1370" s="133">
        <f t="shared" ref="Z1370:Z1376" si="2684">(W1370*1*J1370)+L1370</f>
        <v>0</v>
      </c>
      <c r="AA1370" s="135">
        <f t="shared" ref="AA1370:AA1376" si="2685">(W1370*1*K1370)</f>
        <v>0</v>
      </c>
      <c r="AB1370" s="135">
        <f t="shared" ref="AB1370:AB1376" si="2686">(W1370*1*N1370)+(W1370*1.5*O1370)+(W1370*2*P1370)+(W1370*1*Q1370)</f>
        <v>0</v>
      </c>
      <c r="AC1370" s="136">
        <f t="shared" ref="AC1370:AC1376" si="2687">0-Y1370-AA1370</f>
        <v>0</v>
      </c>
      <c r="AD1370" s="205"/>
      <c r="AE1370" s="136">
        <f t="shared" ref="AE1370:AE1376" si="2688">AB1370-(X1370+Z1370)</f>
        <v>0</v>
      </c>
      <c r="AF1370" s="205">
        <f>SUM(AE1370:AE1376)</f>
        <v>77</v>
      </c>
      <c r="AG1370" s="8"/>
    </row>
    <row r="1371" spans="1:36" x14ac:dyDescent="0.45">
      <c r="A1371" s="137">
        <f>A1370</f>
        <v>45900</v>
      </c>
      <c r="B1371" s="138" t="s">
        <v>5</v>
      </c>
      <c r="C1371" s="139">
        <f>120*W1371</f>
        <v>4200</v>
      </c>
      <c r="D1371" s="140">
        <v>80</v>
      </c>
      <c r="E1371" s="140">
        <v>45.5</v>
      </c>
      <c r="F1371" s="140">
        <v>27.5</v>
      </c>
      <c r="G1371" s="140">
        <v>6.5</v>
      </c>
      <c r="H1371" s="140">
        <v>0</v>
      </c>
      <c r="I1371" s="140">
        <v>0</v>
      </c>
      <c r="J1371" s="140">
        <v>0</v>
      </c>
      <c r="K1371" s="140">
        <v>0</v>
      </c>
      <c r="L1371" s="162">
        <v>0</v>
      </c>
      <c r="M1371" s="142"/>
      <c r="N1371" s="140">
        <v>80</v>
      </c>
      <c r="O1371" s="140">
        <v>45.5</v>
      </c>
      <c r="P1371" s="140">
        <v>27.5</v>
      </c>
      <c r="Q1371" s="140">
        <v>6.5</v>
      </c>
      <c r="R1371" s="142"/>
      <c r="S1371" s="140">
        <f t="shared" si="2680"/>
        <v>159.5</v>
      </c>
      <c r="T1371" s="140">
        <f t="shared" si="2681"/>
        <v>159.5</v>
      </c>
      <c r="U1371" s="140">
        <f t="shared" si="2682"/>
        <v>0</v>
      </c>
      <c r="V1371" s="142"/>
      <c r="W1371" s="141">
        <v>35</v>
      </c>
      <c r="X1371" s="141">
        <f t="shared" si="2679"/>
        <v>7341.25</v>
      </c>
      <c r="Y1371" s="141">
        <f t="shared" si="2683"/>
        <v>0</v>
      </c>
      <c r="Z1371" s="141">
        <f t="shared" si="2684"/>
        <v>0</v>
      </c>
      <c r="AA1371" s="143">
        <f t="shared" si="2685"/>
        <v>0</v>
      </c>
      <c r="AB1371" s="143">
        <f t="shared" si="2686"/>
        <v>7341.25</v>
      </c>
      <c r="AC1371" s="144">
        <f t="shared" si="2687"/>
        <v>0</v>
      </c>
      <c r="AD1371" s="206"/>
      <c r="AE1371" s="144">
        <f t="shared" si="2688"/>
        <v>0</v>
      </c>
      <c r="AF1371" s="206"/>
      <c r="AG1371" s="8"/>
    </row>
    <row r="1372" spans="1:36" x14ac:dyDescent="0.45">
      <c r="A1372" s="137">
        <f>A1370</f>
        <v>45900</v>
      </c>
      <c r="B1372" s="138" t="s">
        <v>6</v>
      </c>
      <c r="C1372" s="139">
        <f>120*W1372</f>
        <v>4320</v>
      </c>
      <c r="D1372" s="140">
        <v>80</v>
      </c>
      <c r="E1372" s="140">
        <v>20.75</v>
      </c>
      <c r="F1372" s="140">
        <v>15.5</v>
      </c>
      <c r="G1372" s="140">
        <v>18</v>
      </c>
      <c r="H1372" s="140">
        <v>0</v>
      </c>
      <c r="I1372" s="140">
        <v>0</v>
      </c>
      <c r="J1372" s="140">
        <v>0</v>
      </c>
      <c r="K1372" s="140">
        <v>0</v>
      </c>
      <c r="L1372" s="162">
        <v>0</v>
      </c>
      <c r="M1372" s="142"/>
      <c r="N1372" s="140">
        <v>80</v>
      </c>
      <c r="O1372" s="140">
        <v>20.75</v>
      </c>
      <c r="P1372" s="140">
        <v>15.5</v>
      </c>
      <c r="Q1372" s="140">
        <v>18</v>
      </c>
      <c r="R1372" s="142"/>
      <c r="S1372" s="140">
        <f t="shared" si="2680"/>
        <v>134.25</v>
      </c>
      <c r="T1372" s="140">
        <f t="shared" si="2681"/>
        <v>134.25</v>
      </c>
      <c r="U1372" s="140">
        <f t="shared" si="2682"/>
        <v>0</v>
      </c>
      <c r="V1372" s="142"/>
      <c r="W1372" s="141">
        <v>36</v>
      </c>
      <c r="X1372" s="141">
        <f t="shared" si="2679"/>
        <v>5764.5</v>
      </c>
      <c r="Y1372" s="141">
        <f t="shared" si="2683"/>
        <v>0</v>
      </c>
      <c r="Z1372" s="141">
        <f t="shared" si="2684"/>
        <v>0</v>
      </c>
      <c r="AA1372" s="143">
        <f t="shared" si="2685"/>
        <v>0</v>
      </c>
      <c r="AB1372" s="143">
        <f t="shared" si="2686"/>
        <v>5764.5</v>
      </c>
      <c r="AC1372" s="144">
        <f t="shared" si="2687"/>
        <v>0</v>
      </c>
      <c r="AD1372" s="206"/>
      <c r="AE1372" s="144">
        <f t="shared" si="2688"/>
        <v>0</v>
      </c>
      <c r="AF1372" s="206"/>
      <c r="AG1372" s="8"/>
    </row>
    <row r="1373" spans="1:36" x14ac:dyDescent="0.45">
      <c r="A1373" s="137">
        <f>A1370</f>
        <v>45900</v>
      </c>
      <c r="B1373" s="145" t="s">
        <v>31</v>
      </c>
      <c r="C1373" s="139">
        <f>120*W1373</f>
        <v>4320</v>
      </c>
      <c r="D1373" s="140">
        <v>40</v>
      </c>
      <c r="E1373" s="140">
        <v>14.5</v>
      </c>
      <c r="F1373" s="140">
        <v>0</v>
      </c>
      <c r="G1373" s="140">
        <v>3</v>
      </c>
      <c r="H1373" s="140">
        <v>0</v>
      </c>
      <c r="I1373" s="140">
        <v>0</v>
      </c>
      <c r="J1373" s="140">
        <v>0</v>
      </c>
      <c r="K1373" s="140">
        <v>0</v>
      </c>
      <c r="L1373" s="162">
        <v>0</v>
      </c>
      <c r="M1373" s="142"/>
      <c r="N1373" s="140">
        <v>40</v>
      </c>
      <c r="O1373" s="140">
        <v>11</v>
      </c>
      <c r="P1373" s="140">
        <v>3.5</v>
      </c>
      <c r="Q1373" s="140">
        <v>3</v>
      </c>
      <c r="R1373" s="142"/>
      <c r="S1373" s="140">
        <f t="shared" si="2680"/>
        <v>57.5</v>
      </c>
      <c r="T1373" s="140">
        <f t="shared" si="2681"/>
        <v>57.5</v>
      </c>
      <c r="U1373" s="140">
        <f t="shared" si="2682"/>
        <v>0</v>
      </c>
      <c r="V1373" s="142"/>
      <c r="W1373" s="141">
        <v>36</v>
      </c>
      <c r="X1373" s="146">
        <f t="shared" si="2679"/>
        <v>2331</v>
      </c>
      <c r="Y1373" s="146">
        <f t="shared" si="2683"/>
        <v>0</v>
      </c>
      <c r="Z1373" s="146">
        <f t="shared" si="2684"/>
        <v>0</v>
      </c>
      <c r="AA1373" s="147">
        <f t="shared" si="2685"/>
        <v>0</v>
      </c>
      <c r="AB1373" s="147">
        <f t="shared" si="2686"/>
        <v>2394</v>
      </c>
      <c r="AC1373" s="148">
        <f t="shared" si="2687"/>
        <v>0</v>
      </c>
      <c r="AD1373" s="206"/>
      <c r="AE1373" s="148">
        <f t="shared" si="2688"/>
        <v>63</v>
      </c>
      <c r="AF1373" s="206"/>
      <c r="AG1373" s="8"/>
      <c r="AH1373">
        <v>27172.92</v>
      </c>
      <c r="AJ1373" s="170"/>
    </row>
    <row r="1374" spans="1:36" x14ac:dyDescent="0.45">
      <c r="A1374" s="137">
        <f>A1370</f>
        <v>45900</v>
      </c>
      <c r="B1374" s="145" t="s">
        <v>64</v>
      </c>
      <c r="C1374" s="139">
        <f>80*W1374</f>
        <v>2240</v>
      </c>
      <c r="D1374" s="140">
        <v>80</v>
      </c>
      <c r="E1374" s="140">
        <v>24</v>
      </c>
      <c r="F1374" s="140">
        <v>0</v>
      </c>
      <c r="G1374" s="140">
        <v>11</v>
      </c>
      <c r="H1374" s="140">
        <v>0</v>
      </c>
      <c r="I1374" s="140">
        <v>0</v>
      </c>
      <c r="J1374" s="140">
        <v>0</v>
      </c>
      <c r="K1374" s="140">
        <v>0</v>
      </c>
      <c r="L1374" s="162">
        <v>0</v>
      </c>
      <c r="M1374" s="142"/>
      <c r="N1374" s="140">
        <v>80</v>
      </c>
      <c r="O1374" s="140">
        <v>23</v>
      </c>
      <c r="P1374" s="140">
        <v>1</v>
      </c>
      <c r="Q1374" s="140">
        <v>11</v>
      </c>
      <c r="R1374" s="142"/>
      <c r="S1374" s="140">
        <f t="shared" si="2680"/>
        <v>115</v>
      </c>
      <c r="T1374" s="140">
        <f t="shared" si="2681"/>
        <v>115</v>
      </c>
      <c r="U1374" s="140">
        <f t="shared" si="2682"/>
        <v>0</v>
      </c>
      <c r="V1374" s="142"/>
      <c r="W1374" s="146">
        <v>28</v>
      </c>
      <c r="X1374" s="146">
        <f>(W1374*1*D1374)+(W1374*1.5*E1374)+(W1374*2*F1374)+(W1374*1*G1374)</f>
        <v>3556</v>
      </c>
      <c r="Y1374" s="146">
        <f t="shared" si="2683"/>
        <v>0</v>
      </c>
      <c r="Z1374" s="146">
        <f t="shared" si="2684"/>
        <v>0</v>
      </c>
      <c r="AA1374" s="147">
        <f t="shared" si="2685"/>
        <v>0</v>
      </c>
      <c r="AB1374" s="147">
        <f t="shared" si="2686"/>
        <v>3570</v>
      </c>
      <c r="AC1374" s="148">
        <f t="shared" si="2687"/>
        <v>0</v>
      </c>
      <c r="AD1374" s="206"/>
      <c r="AE1374" s="148">
        <f t="shared" si="2688"/>
        <v>14</v>
      </c>
      <c r="AF1374" s="206"/>
      <c r="AG1374" s="8"/>
      <c r="AH1374">
        <v>-2516.9499999999998</v>
      </c>
      <c r="AJ1374" s="170"/>
    </row>
    <row r="1375" spans="1:36" x14ac:dyDescent="0.45">
      <c r="A1375" s="137">
        <f>A1370</f>
        <v>45900</v>
      </c>
      <c r="B1375" s="145" t="s">
        <v>54</v>
      </c>
      <c r="C1375" s="139">
        <f>80*W1375</f>
        <v>2453.6000000000004</v>
      </c>
      <c r="D1375" s="140">
        <v>80</v>
      </c>
      <c r="E1375" s="140">
        <v>28.75</v>
      </c>
      <c r="F1375" s="140">
        <v>6</v>
      </c>
      <c r="G1375" s="140">
        <v>12</v>
      </c>
      <c r="H1375" s="140">
        <v>0</v>
      </c>
      <c r="I1375" s="140">
        <v>0</v>
      </c>
      <c r="J1375" s="140">
        <v>0</v>
      </c>
      <c r="K1375" s="140">
        <v>0</v>
      </c>
      <c r="L1375" s="162">
        <v>0</v>
      </c>
      <c r="M1375" s="142"/>
      <c r="N1375" s="140">
        <v>80</v>
      </c>
      <c r="O1375" s="140">
        <v>28.75</v>
      </c>
      <c r="P1375" s="140">
        <v>6</v>
      </c>
      <c r="Q1375" s="140">
        <v>12</v>
      </c>
      <c r="R1375" s="142"/>
      <c r="S1375" s="140">
        <f t="shared" si="2680"/>
        <v>126.75</v>
      </c>
      <c r="T1375" s="140">
        <f t="shared" si="2681"/>
        <v>126.75</v>
      </c>
      <c r="U1375" s="140">
        <f t="shared" si="2682"/>
        <v>0</v>
      </c>
      <c r="V1375" s="142"/>
      <c r="W1375" s="146">
        <v>30.67</v>
      </c>
      <c r="X1375" s="146">
        <f t="shared" ref="X1375:X1380" si="2689">(W1375*1*D1375)+(W1375*1.5*E1375)+(W1375*2*F1375)+(W1375*1*G1375)</f>
        <v>4512.3237500000005</v>
      </c>
      <c r="Y1375" s="146">
        <f t="shared" si="2683"/>
        <v>0</v>
      </c>
      <c r="Z1375" s="146">
        <f t="shared" si="2684"/>
        <v>0</v>
      </c>
      <c r="AA1375" s="147">
        <f t="shared" si="2685"/>
        <v>0</v>
      </c>
      <c r="AB1375" s="147">
        <f t="shared" si="2686"/>
        <v>4512.3237500000005</v>
      </c>
      <c r="AC1375" s="148">
        <f t="shared" si="2687"/>
        <v>0</v>
      </c>
      <c r="AD1375" s="206"/>
      <c r="AE1375" s="148">
        <f t="shared" si="2688"/>
        <v>0</v>
      </c>
      <c r="AF1375" s="206"/>
      <c r="AG1375" s="8"/>
      <c r="AH1375">
        <v>-3243.32</v>
      </c>
      <c r="AJ1375" s="170"/>
    </row>
    <row r="1376" spans="1:36" ht="14.65" thickBot="1" x14ac:dyDescent="0.5">
      <c r="A1376" s="149">
        <f>A1370</f>
        <v>45900</v>
      </c>
      <c r="B1376" s="150" t="s">
        <v>66</v>
      </c>
      <c r="C1376" s="151">
        <f>80*W1376</f>
        <v>2160</v>
      </c>
      <c r="D1376" s="152">
        <v>80</v>
      </c>
      <c r="E1376" s="152">
        <v>28.25</v>
      </c>
      <c r="F1376" s="152">
        <v>0</v>
      </c>
      <c r="G1376" s="152">
        <v>0</v>
      </c>
      <c r="H1376" s="152">
        <v>0</v>
      </c>
      <c r="I1376" s="152">
        <v>0</v>
      </c>
      <c r="J1376" s="152">
        <v>0</v>
      </c>
      <c r="K1376" s="152">
        <v>3.5</v>
      </c>
      <c r="L1376" s="163">
        <v>0</v>
      </c>
      <c r="M1376" s="154"/>
      <c r="N1376" s="152">
        <v>80</v>
      </c>
      <c r="O1376" s="152">
        <v>28.25</v>
      </c>
      <c r="P1376" s="152">
        <v>0</v>
      </c>
      <c r="Q1376" s="152">
        <v>0</v>
      </c>
      <c r="R1376" s="154"/>
      <c r="S1376" s="152">
        <f t="shared" si="2680"/>
        <v>108.25</v>
      </c>
      <c r="T1376" s="152">
        <f t="shared" si="2681"/>
        <v>108.25</v>
      </c>
      <c r="U1376" s="152">
        <f t="shared" si="2682"/>
        <v>3.5</v>
      </c>
      <c r="V1376" s="154"/>
      <c r="W1376" s="153">
        <v>27</v>
      </c>
      <c r="X1376" s="153">
        <f t="shared" si="2689"/>
        <v>3304.125</v>
      </c>
      <c r="Y1376" s="153">
        <f t="shared" si="2683"/>
        <v>0</v>
      </c>
      <c r="Z1376" s="153">
        <f t="shared" si="2684"/>
        <v>0</v>
      </c>
      <c r="AA1376" s="155">
        <f t="shared" si="2685"/>
        <v>94.5</v>
      </c>
      <c r="AB1376" s="155">
        <f t="shared" si="2686"/>
        <v>3304.125</v>
      </c>
      <c r="AC1376" s="156">
        <f t="shared" si="2687"/>
        <v>-94.5</v>
      </c>
      <c r="AD1376" s="207"/>
      <c r="AE1376" s="156">
        <f t="shared" si="2688"/>
        <v>0</v>
      </c>
      <c r="AF1376" s="207"/>
      <c r="AG1376" s="8"/>
      <c r="AH1376">
        <f>SUM(AH1373:AH1375)</f>
        <v>21412.649999999998</v>
      </c>
    </row>
    <row r="1377" spans="1:36" x14ac:dyDescent="0.45">
      <c r="A1377" s="129">
        <f>A1376+14</f>
        <v>45914</v>
      </c>
      <c r="B1377" s="130" t="s">
        <v>30</v>
      </c>
      <c r="C1377" s="131">
        <f>120*W1377</f>
        <v>4680</v>
      </c>
      <c r="D1377" s="132">
        <v>72</v>
      </c>
      <c r="E1377" s="132">
        <v>28</v>
      </c>
      <c r="F1377" s="132">
        <v>0</v>
      </c>
      <c r="G1377" s="132">
        <v>14</v>
      </c>
      <c r="H1377" s="132">
        <v>0</v>
      </c>
      <c r="I1377" s="132">
        <v>0</v>
      </c>
      <c r="J1377" s="132">
        <v>8</v>
      </c>
      <c r="K1377" s="132">
        <v>0</v>
      </c>
      <c r="L1377" s="161">
        <v>0</v>
      </c>
      <c r="M1377" s="134"/>
      <c r="N1377" s="132">
        <v>72</v>
      </c>
      <c r="O1377" s="132">
        <v>28.5</v>
      </c>
      <c r="P1377" s="132">
        <v>0</v>
      </c>
      <c r="Q1377" s="132">
        <v>14</v>
      </c>
      <c r="R1377" s="134"/>
      <c r="S1377" s="132">
        <f t="shared" ref="S1377:S1383" si="2690">SUM(D1377:G1377)</f>
        <v>114</v>
      </c>
      <c r="T1377" s="132">
        <f t="shared" ref="T1377:T1383" si="2691">SUM(N1377:Q1377)</f>
        <v>114.5</v>
      </c>
      <c r="U1377" s="132">
        <f t="shared" ref="U1377:U1383" si="2692">SUM(H1377:K1377)</f>
        <v>8</v>
      </c>
      <c r="V1377" s="134"/>
      <c r="W1377" s="133">
        <v>39</v>
      </c>
      <c r="X1377" s="133">
        <f t="shared" si="2689"/>
        <v>4992</v>
      </c>
      <c r="Y1377" s="133">
        <f t="shared" ref="Y1377:Y1383" si="2693">(W1377*0*H1377)+(W1377*1*I1377)</f>
        <v>0</v>
      </c>
      <c r="Z1377" s="133">
        <f t="shared" ref="Z1377:Z1383" si="2694">(W1377*1*J1377)+L1377</f>
        <v>312</v>
      </c>
      <c r="AA1377" s="135">
        <f t="shared" ref="AA1377:AA1383" si="2695">(W1377*1*K1377)</f>
        <v>0</v>
      </c>
      <c r="AB1377" s="135">
        <f t="shared" ref="AB1377:AB1383" si="2696">(W1377*1*N1377)+(W1377*1.5*O1377)+(W1377*2*P1377)+(W1377*1*Q1377)</f>
        <v>5021.25</v>
      </c>
      <c r="AC1377" s="136">
        <f t="shared" ref="AC1377:AC1383" si="2697">0-Y1377-AA1377</f>
        <v>0</v>
      </c>
      <c r="AD1377" s="205"/>
      <c r="AE1377" s="136">
        <f t="shared" ref="AE1377:AE1383" si="2698">AB1377-(X1377+Z1377)</f>
        <v>-282.75</v>
      </c>
      <c r="AF1377" s="205">
        <f>SUM(AE1377:AE1383)</f>
        <v>-1194.1099999999997</v>
      </c>
      <c r="AG1377" s="8"/>
    </row>
    <row r="1378" spans="1:36" x14ac:dyDescent="0.45">
      <c r="A1378" s="137">
        <f>A1377</f>
        <v>45914</v>
      </c>
      <c r="B1378" s="138" t="s">
        <v>5</v>
      </c>
      <c r="C1378" s="139">
        <f>120*W1378</f>
        <v>4200</v>
      </c>
      <c r="D1378" s="140">
        <v>72</v>
      </c>
      <c r="E1378" s="140">
        <v>23.5</v>
      </c>
      <c r="F1378" s="140">
        <v>0</v>
      </c>
      <c r="G1378" s="140">
        <v>9</v>
      </c>
      <c r="H1378" s="140">
        <v>0</v>
      </c>
      <c r="I1378" s="140">
        <v>0</v>
      </c>
      <c r="J1378" s="140">
        <v>8</v>
      </c>
      <c r="K1378" s="140">
        <v>0</v>
      </c>
      <c r="L1378" s="162">
        <v>0</v>
      </c>
      <c r="M1378" s="142"/>
      <c r="N1378" s="140">
        <v>72</v>
      </c>
      <c r="O1378" s="140">
        <v>5.5</v>
      </c>
      <c r="P1378" s="140">
        <v>18</v>
      </c>
      <c r="Q1378" s="140">
        <v>9</v>
      </c>
      <c r="R1378" s="142"/>
      <c r="S1378" s="140">
        <f t="shared" si="2690"/>
        <v>104.5</v>
      </c>
      <c r="T1378" s="140">
        <f t="shared" si="2691"/>
        <v>104.5</v>
      </c>
      <c r="U1378" s="140">
        <f t="shared" si="2692"/>
        <v>8</v>
      </c>
      <c r="V1378" s="142"/>
      <c r="W1378" s="141">
        <v>35</v>
      </c>
      <c r="X1378" s="141">
        <f t="shared" si="2689"/>
        <v>4068.75</v>
      </c>
      <c r="Y1378" s="141">
        <f t="shared" si="2693"/>
        <v>0</v>
      </c>
      <c r="Z1378" s="141">
        <f t="shared" si="2694"/>
        <v>280</v>
      </c>
      <c r="AA1378" s="143">
        <f t="shared" si="2695"/>
        <v>0</v>
      </c>
      <c r="AB1378" s="143">
        <f t="shared" si="2696"/>
        <v>4383.75</v>
      </c>
      <c r="AC1378" s="144">
        <f t="shared" si="2697"/>
        <v>0</v>
      </c>
      <c r="AD1378" s="206"/>
      <c r="AE1378" s="144">
        <f t="shared" si="2698"/>
        <v>35</v>
      </c>
      <c r="AF1378" s="206"/>
      <c r="AG1378" s="8"/>
    </row>
    <row r="1379" spans="1:36" x14ac:dyDescent="0.45">
      <c r="A1379" s="137">
        <f>A1377</f>
        <v>45914</v>
      </c>
      <c r="B1379" s="138" t="s">
        <v>6</v>
      </c>
      <c r="C1379" s="139">
        <f>120*W1379</f>
        <v>4320</v>
      </c>
      <c r="D1379" s="140">
        <v>54</v>
      </c>
      <c r="E1379" s="140">
        <v>17</v>
      </c>
      <c r="F1379" s="140">
        <v>0</v>
      </c>
      <c r="G1379" s="140">
        <v>10</v>
      </c>
      <c r="H1379" s="140">
        <v>0</v>
      </c>
      <c r="I1379" s="140">
        <v>0</v>
      </c>
      <c r="J1379" s="140">
        <v>8</v>
      </c>
      <c r="K1379" s="140">
        <v>0</v>
      </c>
      <c r="L1379" s="162">
        <v>0</v>
      </c>
      <c r="M1379" s="142"/>
      <c r="N1379" s="140">
        <v>53.5</v>
      </c>
      <c r="O1379" s="140">
        <v>0</v>
      </c>
      <c r="P1379" s="140">
        <v>17</v>
      </c>
      <c r="Q1379" s="140">
        <v>10.5</v>
      </c>
      <c r="R1379" s="142"/>
      <c r="S1379" s="140">
        <f t="shared" si="2690"/>
        <v>81</v>
      </c>
      <c r="T1379" s="140">
        <f t="shared" si="2691"/>
        <v>81</v>
      </c>
      <c r="U1379" s="140">
        <f t="shared" si="2692"/>
        <v>8</v>
      </c>
      <c r="V1379" s="142"/>
      <c r="W1379" s="141">
        <v>36</v>
      </c>
      <c r="X1379" s="141">
        <f t="shared" si="2689"/>
        <v>3222</v>
      </c>
      <c r="Y1379" s="141">
        <f t="shared" si="2693"/>
        <v>0</v>
      </c>
      <c r="Z1379" s="141">
        <f t="shared" si="2694"/>
        <v>288</v>
      </c>
      <c r="AA1379" s="143">
        <f t="shared" si="2695"/>
        <v>0</v>
      </c>
      <c r="AB1379" s="143">
        <f t="shared" si="2696"/>
        <v>3528</v>
      </c>
      <c r="AC1379" s="144">
        <f t="shared" si="2697"/>
        <v>0</v>
      </c>
      <c r="AD1379" s="206"/>
      <c r="AE1379" s="144">
        <f t="shared" si="2698"/>
        <v>18</v>
      </c>
      <c r="AF1379" s="206"/>
      <c r="AG1379" s="8"/>
    </row>
    <row r="1380" spans="1:36" x14ac:dyDescent="0.45">
      <c r="A1380" s="137">
        <f>A1377</f>
        <v>45914</v>
      </c>
      <c r="B1380" s="145" t="s">
        <v>31</v>
      </c>
      <c r="C1380" s="139">
        <f>120*W1380</f>
        <v>4320</v>
      </c>
      <c r="D1380" s="140">
        <v>72</v>
      </c>
      <c r="E1380" s="140">
        <v>29.5</v>
      </c>
      <c r="F1380" s="140">
        <v>12</v>
      </c>
      <c r="G1380" s="140">
        <v>6</v>
      </c>
      <c r="H1380" s="140">
        <v>0</v>
      </c>
      <c r="I1380" s="140">
        <v>0</v>
      </c>
      <c r="J1380" s="140">
        <v>8</v>
      </c>
      <c r="K1380" s="140">
        <v>0</v>
      </c>
      <c r="L1380" s="162">
        <v>0</v>
      </c>
      <c r="M1380" s="142"/>
      <c r="N1380" s="140">
        <v>72</v>
      </c>
      <c r="O1380" s="140">
        <v>29</v>
      </c>
      <c r="P1380" s="140">
        <v>12.5</v>
      </c>
      <c r="Q1380" s="140">
        <v>6</v>
      </c>
      <c r="R1380" s="142"/>
      <c r="S1380" s="140">
        <f t="shared" si="2690"/>
        <v>119.5</v>
      </c>
      <c r="T1380" s="140">
        <f t="shared" si="2691"/>
        <v>119.5</v>
      </c>
      <c r="U1380" s="140">
        <f t="shared" si="2692"/>
        <v>8</v>
      </c>
      <c r="V1380" s="142"/>
      <c r="W1380" s="141">
        <v>36</v>
      </c>
      <c r="X1380" s="146">
        <f t="shared" si="2689"/>
        <v>5265</v>
      </c>
      <c r="Y1380" s="146">
        <f t="shared" si="2693"/>
        <v>0</v>
      </c>
      <c r="Z1380" s="146">
        <f t="shared" si="2694"/>
        <v>288</v>
      </c>
      <c r="AA1380" s="147">
        <f t="shared" si="2695"/>
        <v>0</v>
      </c>
      <c r="AB1380" s="147">
        <f t="shared" si="2696"/>
        <v>5274</v>
      </c>
      <c r="AC1380" s="148">
        <f t="shared" si="2697"/>
        <v>0</v>
      </c>
      <c r="AD1380" s="206"/>
      <c r="AE1380" s="148">
        <f t="shared" si="2698"/>
        <v>-279</v>
      </c>
      <c r="AF1380" s="206"/>
      <c r="AG1380" s="8"/>
      <c r="AH1380">
        <v>27719.91</v>
      </c>
      <c r="AJ1380" s="170"/>
    </row>
    <row r="1381" spans="1:36" x14ac:dyDescent="0.45">
      <c r="A1381" s="137">
        <f>A1377</f>
        <v>45914</v>
      </c>
      <c r="B1381" s="145" t="s">
        <v>64</v>
      </c>
      <c r="C1381" s="139">
        <f>80*W1381</f>
        <v>2240</v>
      </c>
      <c r="D1381" s="140">
        <v>72</v>
      </c>
      <c r="E1381" s="140">
        <v>24</v>
      </c>
      <c r="F1381" s="140">
        <v>12</v>
      </c>
      <c r="G1381" s="140">
        <v>4</v>
      </c>
      <c r="H1381" s="140">
        <v>0</v>
      </c>
      <c r="I1381" s="140">
        <v>0</v>
      </c>
      <c r="J1381" s="140">
        <v>8</v>
      </c>
      <c r="K1381" s="140">
        <v>0</v>
      </c>
      <c r="L1381" s="162">
        <v>0</v>
      </c>
      <c r="M1381" s="142"/>
      <c r="N1381" s="140">
        <v>72</v>
      </c>
      <c r="O1381" s="140">
        <v>24</v>
      </c>
      <c r="P1381" s="140">
        <v>12</v>
      </c>
      <c r="Q1381" s="140">
        <v>4</v>
      </c>
      <c r="R1381" s="142"/>
      <c r="S1381" s="140">
        <f t="shared" si="2690"/>
        <v>112</v>
      </c>
      <c r="T1381" s="140">
        <f t="shared" si="2691"/>
        <v>112</v>
      </c>
      <c r="U1381" s="140">
        <f t="shared" si="2692"/>
        <v>8</v>
      </c>
      <c r="V1381" s="142"/>
      <c r="W1381" s="146">
        <v>28</v>
      </c>
      <c r="X1381" s="146">
        <f>(W1381*1*D1381)+(W1381*1.5*E1381)+(W1381*2*F1381)+(W1381*1*G1381)</f>
        <v>3808</v>
      </c>
      <c r="Y1381" s="146">
        <f t="shared" si="2693"/>
        <v>0</v>
      </c>
      <c r="Z1381" s="146">
        <f t="shared" si="2694"/>
        <v>224</v>
      </c>
      <c r="AA1381" s="147">
        <f t="shared" si="2695"/>
        <v>0</v>
      </c>
      <c r="AB1381" s="147">
        <f t="shared" si="2696"/>
        <v>3808</v>
      </c>
      <c r="AC1381" s="148">
        <f t="shared" si="2697"/>
        <v>0</v>
      </c>
      <c r="AD1381" s="206"/>
      <c r="AE1381" s="148">
        <f t="shared" si="2698"/>
        <v>-224</v>
      </c>
      <c r="AF1381" s="206"/>
      <c r="AG1381" s="8"/>
      <c r="AH1381">
        <v>-2011.31</v>
      </c>
      <c r="AJ1381" s="170"/>
    </row>
    <row r="1382" spans="1:36" x14ac:dyDescent="0.45">
      <c r="A1382" s="137">
        <f>A1377</f>
        <v>45914</v>
      </c>
      <c r="B1382" s="145" t="s">
        <v>54</v>
      </c>
      <c r="C1382" s="139">
        <f>80*W1382</f>
        <v>2453.6000000000004</v>
      </c>
      <c r="D1382" s="140">
        <v>72</v>
      </c>
      <c r="E1382" s="140">
        <v>31.25</v>
      </c>
      <c r="F1382" s="140">
        <v>8.25</v>
      </c>
      <c r="G1382" s="140">
        <v>0</v>
      </c>
      <c r="H1382" s="140">
        <v>0</v>
      </c>
      <c r="I1382" s="140">
        <v>0</v>
      </c>
      <c r="J1382" s="140">
        <v>8</v>
      </c>
      <c r="K1382" s="140">
        <v>0</v>
      </c>
      <c r="L1382" s="162">
        <v>0</v>
      </c>
      <c r="M1382" s="142"/>
      <c r="N1382" s="140">
        <v>72</v>
      </c>
      <c r="O1382" s="140">
        <v>31.25</v>
      </c>
      <c r="P1382" s="140">
        <v>8.25</v>
      </c>
      <c r="Q1382" s="140">
        <v>0</v>
      </c>
      <c r="R1382" s="142"/>
      <c r="S1382" s="140">
        <f t="shared" si="2690"/>
        <v>111.5</v>
      </c>
      <c r="T1382" s="140">
        <f t="shared" si="2691"/>
        <v>111.5</v>
      </c>
      <c r="U1382" s="140">
        <f t="shared" si="2692"/>
        <v>8</v>
      </c>
      <c r="V1382" s="142"/>
      <c r="W1382" s="146">
        <v>30.67</v>
      </c>
      <c r="X1382" s="146">
        <f t="shared" ref="X1382:X1387" si="2699">(W1382*1*D1382)+(W1382*1.5*E1382)+(W1382*2*F1382)+(W1382*1*G1382)</f>
        <v>4151.9512500000001</v>
      </c>
      <c r="Y1382" s="146">
        <f t="shared" si="2693"/>
        <v>0</v>
      </c>
      <c r="Z1382" s="146">
        <f t="shared" si="2694"/>
        <v>245.36</v>
      </c>
      <c r="AA1382" s="147">
        <f t="shared" si="2695"/>
        <v>0</v>
      </c>
      <c r="AB1382" s="147">
        <f t="shared" si="2696"/>
        <v>4151.9512500000001</v>
      </c>
      <c r="AC1382" s="148">
        <f t="shared" si="2697"/>
        <v>0</v>
      </c>
      <c r="AD1382" s="206"/>
      <c r="AE1382" s="148">
        <f t="shared" si="2698"/>
        <v>-245.35999999999967</v>
      </c>
      <c r="AF1382" s="206"/>
      <c r="AG1382" s="8"/>
      <c r="AH1382">
        <v>-3262.35</v>
      </c>
      <c r="AJ1382" s="170"/>
    </row>
    <row r="1383" spans="1:36" ht="14.65" thickBot="1" x14ac:dyDescent="0.5">
      <c r="A1383" s="149">
        <f>A1377</f>
        <v>45914</v>
      </c>
      <c r="B1383" s="150" t="s">
        <v>66</v>
      </c>
      <c r="C1383" s="151">
        <f>80*W1383</f>
        <v>2160</v>
      </c>
      <c r="D1383" s="152">
        <v>72</v>
      </c>
      <c r="E1383" s="152">
        <v>11.75</v>
      </c>
      <c r="F1383" s="152">
        <v>0</v>
      </c>
      <c r="G1383" s="152">
        <v>0</v>
      </c>
      <c r="H1383" s="152">
        <v>0</v>
      </c>
      <c r="I1383" s="152">
        <v>0</v>
      </c>
      <c r="J1383" s="152">
        <v>8</v>
      </c>
      <c r="K1383" s="152">
        <v>0</v>
      </c>
      <c r="L1383" s="163">
        <v>0</v>
      </c>
      <c r="M1383" s="154"/>
      <c r="N1383" s="152">
        <v>72</v>
      </c>
      <c r="O1383" s="152">
        <v>11.75</v>
      </c>
      <c r="P1383" s="152">
        <v>0</v>
      </c>
      <c r="Q1383" s="152">
        <v>0</v>
      </c>
      <c r="R1383" s="154"/>
      <c r="S1383" s="152">
        <f t="shared" si="2690"/>
        <v>83.75</v>
      </c>
      <c r="T1383" s="152">
        <f t="shared" si="2691"/>
        <v>83.75</v>
      </c>
      <c r="U1383" s="152">
        <f t="shared" si="2692"/>
        <v>8</v>
      </c>
      <c r="V1383" s="154"/>
      <c r="W1383" s="153">
        <v>27</v>
      </c>
      <c r="X1383" s="153">
        <f t="shared" si="2699"/>
        <v>2419.875</v>
      </c>
      <c r="Y1383" s="153">
        <f t="shared" si="2693"/>
        <v>0</v>
      </c>
      <c r="Z1383" s="153">
        <f t="shared" si="2694"/>
        <v>216</v>
      </c>
      <c r="AA1383" s="155">
        <f t="shared" si="2695"/>
        <v>0</v>
      </c>
      <c r="AB1383" s="155">
        <f t="shared" si="2696"/>
        <v>2419.875</v>
      </c>
      <c r="AC1383" s="156">
        <f t="shared" si="2697"/>
        <v>0</v>
      </c>
      <c r="AD1383" s="207"/>
      <c r="AE1383" s="156">
        <f t="shared" si="2698"/>
        <v>-216</v>
      </c>
      <c r="AF1383" s="207"/>
      <c r="AG1383" s="8"/>
      <c r="AH1383">
        <f>SUM(AH1380:AH1382)</f>
        <v>22446.25</v>
      </c>
    </row>
    <row r="1384" spans="1:36" x14ac:dyDescent="0.45">
      <c r="A1384" s="129">
        <f>A1383+14</f>
        <v>45928</v>
      </c>
      <c r="B1384" s="130" t="s">
        <v>30</v>
      </c>
      <c r="C1384" s="131">
        <f>120*W1384</f>
        <v>4680</v>
      </c>
      <c r="D1384" s="132">
        <v>80</v>
      </c>
      <c r="E1384" s="132">
        <v>24</v>
      </c>
      <c r="F1384" s="132">
        <v>12</v>
      </c>
      <c r="G1384" s="132">
        <v>20</v>
      </c>
      <c r="H1384" s="132">
        <v>0</v>
      </c>
      <c r="I1384" s="132">
        <v>0</v>
      </c>
      <c r="J1384" s="132">
        <v>0</v>
      </c>
      <c r="K1384" s="132">
        <v>0</v>
      </c>
      <c r="L1384" s="161">
        <v>0</v>
      </c>
      <c r="M1384" s="134"/>
      <c r="N1384" s="132">
        <v>80</v>
      </c>
      <c r="O1384" s="132">
        <v>20.5</v>
      </c>
      <c r="P1384" s="132">
        <v>15.5</v>
      </c>
      <c r="Q1384" s="132">
        <v>20</v>
      </c>
      <c r="R1384" s="134"/>
      <c r="S1384" s="132">
        <f t="shared" ref="S1384:S1390" si="2700">SUM(D1384:G1384)</f>
        <v>136</v>
      </c>
      <c r="T1384" s="132">
        <f t="shared" ref="T1384:T1390" si="2701">SUM(N1384:Q1384)</f>
        <v>136</v>
      </c>
      <c r="U1384" s="132">
        <f t="shared" ref="U1384:U1390" si="2702">SUM(H1384:K1384)</f>
        <v>0</v>
      </c>
      <c r="V1384" s="134"/>
      <c r="W1384" s="133">
        <v>39</v>
      </c>
      <c r="X1384" s="133">
        <f t="shared" si="2699"/>
        <v>6240</v>
      </c>
      <c r="Y1384" s="133">
        <f t="shared" ref="Y1384:Y1390" si="2703">(W1384*0*H1384)+(W1384*1*I1384)</f>
        <v>0</v>
      </c>
      <c r="Z1384" s="133">
        <f t="shared" ref="Z1384:Z1390" si="2704">(W1384*1*J1384)+L1384</f>
        <v>0</v>
      </c>
      <c r="AA1384" s="135">
        <f t="shared" ref="AA1384:AA1390" si="2705">(W1384*1*K1384)</f>
        <v>0</v>
      </c>
      <c r="AB1384" s="135">
        <f t="shared" ref="AB1384:AB1390" si="2706">(W1384*1*N1384)+(W1384*1.5*O1384)+(W1384*2*P1384)+(W1384*1*Q1384)</f>
        <v>6308.25</v>
      </c>
      <c r="AC1384" s="136">
        <f t="shared" ref="AC1384:AC1390" si="2707">0-Y1384-AA1384</f>
        <v>0</v>
      </c>
      <c r="AD1384" s="205"/>
      <c r="AE1384" s="136">
        <f t="shared" ref="AE1384:AE1390" si="2708">AB1384-(X1384+Z1384)</f>
        <v>68.25</v>
      </c>
      <c r="AF1384" s="205">
        <f>SUM(AE1384:AE1390)</f>
        <v>307.75</v>
      </c>
      <c r="AG1384" s="8"/>
    </row>
    <row r="1385" spans="1:36" x14ac:dyDescent="0.45">
      <c r="A1385" s="137">
        <f>A1384</f>
        <v>45928</v>
      </c>
      <c r="B1385" s="138" t="s">
        <v>5</v>
      </c>
      <c r="C1385" s="139">
        <f>120*W1385</f>
        <v>4200</v>
      </c>
      <c r="D1385" s="140">
        <v>80</v>
      </c>
      <c r="E1385" s="140">
        <v>17</v>
      </c>
      <c r="F1385" s="140">
        <v>0</v>
      </c>
      <c r="G1385" s="140">
        <v>14</v>
      </c>
      <c r="H1385" s="140">
        <v>0</v>
      </c>
      <c r="I1385" s="140">
        <v>0</v>
      </c>
      <c r="J1385" s="140">
        <v>0</v>
      </c>
      <c r="K1385" s="140">
        <v>0</v>
      </c>
      <c r="L1385" s="162">
        <v>0</v>
      </c>
      <c r="M1385" s="142"/>
      <c r="N1385" s="140">
        <v>80</v>
      </c>
      <c r="O1385" s="140">
        <v>24</v>
      </c>
      <c r="P1385" s="140">
        <v>0</v>
      </c>
      <c r="Q1385" s="140">
        <v>7</v>
      </c>
      <c r="R1385" s="142"/>
      <c r="S1385" s="140">
        <f t="shared" si="2700"/>
        <v>111</v>
      </c>
      <c r="T1385" s="140">
        <f t="shared" si="2701"/>
        <v>111</v>
      </c>
      <c r="U1385" s="140">
        <f t="shared" si="2702"/>
        <v>0</v>
      </c>
      <c r="V1385" s="142"/>
      <c r="W1385" s="141">
        <v>35</v>
      </c>
      <c r="X1385" s="141">
        <f t="shared" si="2699"/>
        <v>4182.5</v>
      </c>
      <c r="Y1385" s="141">
        <f t="shared" si="2703"/>
        <v>0</v>
      </c>
      <c r="Z1385" s="141">
        <f t="shared" si="2704"/>
        <v>0</v>
      </c>
      <c r="AA1385" s="143">
        <f t="shared" si="2705"/>
        <v>0</v>
      </c>
      <c r="AB1385" s="143">
        <f t="shared" si="2706"/>
        <v>4305</v>
      </c>
      <c r="AC1385" s="144">
        <f t="shared" si="2707"/>
        <v>0</v>
      </c>
      <c r="AD1385" s="206"/>
      <c r="AE1385" s="144">
        <f t="shared" si="2708"/>
        <v>122.5</v>
      </c>
      <c r="AF1385" s="206"/>
      <c r="AG1385" s="8"/>
    </row>
    <row r="1386" spans="1:36" x14ac:dyDescent="0.45">
      <c r="A1386" s="137">
        <f>A1384</f>
        <v>45928</v>
      </c>
      <c r="B1386" s="138" t="s">
        <v>6</v>
      </c>
      <c r="C1386" s="139">
        <f>120*W1386</f>
        <v>4320</v>
      </c>
      <c r="D1386" s="140">
        <v>80</v>
      </c>
      <c r="E1386" s="140">
        <v>37.5</v>
      </c>
      <c r="F1386" s="140">
        <v>12</v>
      </c>
      <c r="G1386" s="140">
        <v>14</v>
      </c>
      <c r="H1386" s="140">
        <v>0</v>
      </c>
      <c r="I1386" s="140">
        <v>0</v>
      </c>
      <c r="J1386" s="140">
        <v>0</v>
      </c>
      <c r="K1386" s="140">
        <v>0</v>
      </c>
      <c r="L1386" s="162">
        <v>0</v>
      </c>
      <c r="M1386" s="142"/>
      <c r="N1386" s="140">
        <v>80</v>
      </c>
      <c r="O1386" s="140">
        <v>44</v>
      </c>
      <c r="P1386" s="140">
        <v>12</v>
      </c>
      <c r="Q1386" s="140">
        <v>7.5</v>
      </c>
      <c r="R1386" s="142"/>
      <c r="S1386" s="140">
        <f t="shared" si="2700"/>
        <v>143.5</v>
      </c>
      <c r="T1386" s="140">
        <f t="shared" si="2701"/>
        <v>143.5</v>
      </c>
      <c r="U1386" s="140">
        <f t="shared" si="2702"/>
        <v>0</v>
      </c>
      <c r="V1386" s="142"/>
      <c r="W1386" s="141">
        <v>36</v>
      </c>
      <c r="X1386" s="141">
        <f t="shared" si="2699"/>
        <v>6273</v>
      </c>
      <c r="Y1386" s="141">
        <f t="shared" si="2703"/>
        <v>0</v>
      </c>
      <c r="Z1386" s="141">
        <f t="shared" si="2704"/>
        <v>0</v>
      </c>
      <c r="AA1386" s="143">
        <f t="shared" si="2705"/>
        <v>0</v>
      </c>
      <c r="AB1386" s="143">
        <f t="shared" si="2706"/>
        <v>6390</v>
      </c>
      <c r="AC1386" s="144">
        <f t="shared" si="2707"/>
        <v>0</v>
      </c>
      <c r="AD1386" s="206"/>
      <c r="AE1386" s="144">
        <f t="shared" si="2708"/>
        <v>117</v>
      </c>
      <c r="AF1386" s="206"/>
      <c r="AG1386" s="8"/>
    </row>
    <row r="1387" spans="1:36" x14ac:dyDescent="0.45">
      <c r="A1387" s="137">
        <f>A1384</f>
        <v>45928</v>
      </c>
      <c r="B1387" s="145" t="s">
        <v>31</v>
      </c>
      <c r="C1387" s="139">
        <f>120*W1387</f>
        <v>4320</v>
      </c>
      <c r="D1387" s="140">
        <v>80</v>
      </c>
      <c r="E1387" s="140">
        <v>19.25</v>
      </c>
      <c r="F1387" s="140">
        <v>0</v>
      </c>
      <c r="G1387" s="140">
        <v>4</v>
      </c>
      <c r="H1387" s="140">
        <v>0</v>
      </c>
      <c r="I1387" s="140">
        <v>0</v>
      </c>
      <c r="J1387" s="140">
        <v>0</v>
      </c>
      <c r="K1387" s="140">
        <v>0</v>
      </c>
      <c r="L1387" s="162">
        <v>0</v>
      </c>
      <c r="M1387" s="142"/>
      <c r="N1387" s="140">
        <v>80</v>
      </c>
      <c r="O1387" s="140">
        <v>19.25</v>
      </c>
      <c r="P1387" s="140">
        <v>0</v>
      </c>
      <c r="Q1387" s="140">
        <v>4</v>
      </c>
      <c r="R1387" s="142"/>
      <c r="S1387" s="140">
        <f t="shared" si="2700"/>
        <v>103.25</v>
      </c>
      <c r="T1387" s="140">
        <f t="shared" si="2701"/>
        <v>103.25</v>
      </c>
      <c r="U1387" s="140">
        <f t="shared" si="2702"/>
        <v>0</v>
      </c>
      <c r="V1387" s="142"/>
      <c r="W1387" s="141">
        <v>36</v>
      </c>
      <c r="X1387" s="146">
        <f t="shared" si="2699"/>
        <v>4063.5</v>
      </c>
      <c r="Y1387" s="146">
        <f t="shared" si="2703"/>
        <v>0</v>
      </c>
      <c r="Z1387" s="146">
        <f t="shared" si="2704"/>
        <v>0</v>
      </c>
      <c r="AA1387" s="147">
        <f t="shared" si="2705"/>
        <v>0</v>
      </c>
      <c r="AB1387" s="147">
        <f t="shared" si="2706"/>
        <v>4063.5</v>
      </c>
      <c r="AC1387" s="148">
        <f t="shared" si="2707"/>
        <v>0</v>
      </c>
      <c r="AD1387" s="206"/>
      <c r="AE1387" s="148">
        <f t="shared" si="2708"/>
        <v>0</v>
      </c>
      <c r="AF1387" s="206"/>
      <c r="AG1387" s="8"/>
      <c r="AH1387">
        <v>26344.94</v>
      </c>
      <c r="AJ1387" s="170"/>
    </row>
    <row r="1388" spans="1:36" x14ac:dyDescent="0.45">
      <c r="A1388" s="137">
        <f>A1384</f>
        <v>45928</v>
      </c>
      <c r="B1388" s="145" t="s">
        <v>64</v>
      </c>
      <c r="C1388" s="139">
        <f>80*W1388</f>
        <v>2240</v>
      </c>
      <c r="D1388" s="140">
        <v>80</v>
      </c>
      <c r="E1388" s="140">
        <v>18</v>
      </c>
      <c r="F1388" s="140">
        <v>0</v>
      </c>
      <c r="G1388" s="140">
        <v>4</v>
      </c>
      <c r="H1388" s="140">
        <v>0</v>
      </c>
      <c r="I1388" s="140">
        <v>0</v>
      </c>
      <c r="J1388" s="140">
        <v>0</v>
      </c>
      <c r="K1388" s="140">
        <v>0</v>
      </c>
      <c r="L1388" s="162">
        <v>0</v>
      </c>
      <c r="M1388" s="142"/>
      <c r="N1388" s="140">
        <v>80</v>
      </c>
      <c r="O1388" s="140">
        <v>18</v>
      </c>
      <c r="P1388" s="140">
        <v>0</v>
      </c>
      <c r="Q1388" s="140">
        <v>4</v>
      </c>
      <c r="R1388" s="142"/>
      <c r="S1388" s="140">
        <f t="shared" si="2700"/>
        <v>102</v>
      </c>
      <c r="T1388" s="140">
        <f t="shared" si="2701"/>
        <v>102</v>
      </c>
      <c r="U1388" s="140">
        <f t="shared" si="2702"/>
        <v>0</v>
      </c>
      <c r="V1388" s="142"/>
      <c r="W1388" s="146">
        <v>28</v>
      </c>
      <c r="X1388" s="146">
        <f>(W1388*1*D1388)+(W1388*1.5*E1388)+(W1388*2*F1388)+(W1388*1*G1388)</f>
        <v>3108</v>
      </c>
      <c r="Y1388" s="146">
        <f t="shared" si="2703"/>
        <v>0</v>
      </c>
      <c r="Z1388" s="146">
        <f t="shared" si="2704"/>
        <v>0</v>
      </c>
      <c r="AA1388" s="147">
        <f t="shared" si="2705"/>
        <v>0</v>
      </c>
      <c r="AB1388" s="147">
        <f t="shared" si="2706"/>
        <v>3108</v>
      </c>
      <c r="AC1388" s="148">
        <f t="shared" si="2707"/>
        <v>0</v>
      </c>
      <c r="AD1388" s="206"/>
      <c r="AE1388" s="148">
        <f t="shared" si="2708"/>
        <v>0</v>
      </c>
      <c r="AF1388" s="206"/>
      <c r="AG1388" s="8"/>
      <c r="AH1388">
        <v>-1751.19</v>
      </c>
      <c r="AJ1388" s="170"/>
    </row>
    <row r="1389" spans="1:36" x14ac:dyDescent="0.45">
      <c r="A1389" s="137">
        <f>A1384</f>
        <v>45928</v>
      </c>
      <c r="B1389" s="145" t="s">
        <v>54</v>
      </c>
      <c r="C1389" s="139">
        <f>80*W1389</f>
        <v>2453.6000000000004</v>
      </c>
      <c r="D1389" s="140">
        <v>40</v>
      </c>
      <c r="E1389" s="140">
        <v>5.25</v>
      </c>
      <c r="F1389" s="140">
        <v>0</v>
      </c>
      <c r="G1389" s="140">
        <v>0</v>
      </c>
      <c r="H1389" s="140">
        <v>0</v>
      </c>
      <c r="I1389" s="140">
        <v>0</v>
      </c>
      <c r="J1389" s="140">
        <v>0</v>
      </c>
      <c r="K1389" s="140">
        <v>0</v>
      </c>
      <c r="L1389" s="162">
        <v>0</v>
      </c>
      <c r="M1389" s="142"/>
      <c r="N1389" s="140">
        <v>40</v>
      </c>
      <c r="O1389" s="140">
        <v>5.25</v>
      </c>
      <c r="P1389" s="140">
        <v>0</v>
      </c>
      <c r="Q1389" s="140">
        <v>0</v>
      </c>
      <c r="R1389" s="142"/>
      <c r="S1389" s="140">
        <f t="shared" si="2700"/>
        <v>45.25</v>
      </c>
      <c r="T1389" s="140">
        <f t="shared" si="2701"/>
        <v>45.25</v>
      </c>
      <c r="U1389" s="140">
        <f t="shared" si="2702"/>
        <v>0</v>
      </c>
      <c r="V1389" s="142"/>
      <c r="W1389" s="146">
        <v>30.67</v>
      </c>
      <c r="X1389" s="146">
        <f t="shared" ref="X1389:X1394" si="2709">(W1389*1*D1389)+(W1389*1.5*E1389)+(W1389*2*F1389)+(W1389*1*G1389)</f>
        <v>1468.3262500000001</v>
      </c>
      <c r="Y1389" s="146">
        <f t="shared" si="2703"/>
        <v>0</v>
      </c>
      <c r="Z1389" s="146">
        <f t="shared" si="2704"/>
        <v>0</v>
      </c>
      <c r="AA1389" s="147">
        <f t="shared" si="2705"/>
        <v>0</v>
      </c>
      <c r="AB1389" s="147">
        <f t="shared" si="2706"/>
        <v>1468.3262500000001</v>
      </c>
      <c r="AC1389" s="148">
        <f t="shared" si="2707"/>
        <v>0</v>
      </c>
      <c r="AD1389" s="206"/>
      <c r="AE1389" s="148">
        <f t="shared" si="2708"/>
        <v>0</v>
      </c>
      <c r="AF1389" s="206"/>
      <c r="AG1389" s="8"/>
      <c r="AH1389">
        <v>-3356.01</v>
      </c>
      <c r="AJ1389" s="170"/>
    </row>
    <row r="1390" spans="1:36" ht="14.65" thickBot="1" x14ac:dyDescent="0.5">
      <c r="A1390" s="149">
        <f>A1384</f>
        <v>45928</v>
      </c>
      <c r="B1390" s="150" t="s">
        <v>66</v>
      </c>
      <c r="C1390" s="151">
        <f>80*W1390</f>
        <v>2160</v>
      </c>
      <c r="D1390" s="152">
        <v>72</v>
      </c>
      <c r="E1390" s="152">
        <v>1.75</v>
      </c>
      <c r="F1390" s="152">
        <v>0</v>
      </c>
      <c r="G1390" s="152">
        <v>0</v>
      </c>
      <c r="H1390" s="152">
        <v>0</v>
      </c>
      <c r="I1390" s="152">
        <v>8</v>
      </c>
      <c r="J1390" s="152">
        <v>0</v>
      </c>
      <c r="K1390" s="152">
        <v>0</v>
      </c>
      <c r="L1390" s="163">
        <v>0</v>
      </c>
      <c r="M1390" s="154"/>
      <c r="N1390" s="152">
        <v>72</v>
      </c>
      <c r="O1390" s="152">
        <v>1.75</v>
      </c>
      <c r="P1390" s="152">
        <v>0</v>
      </c>
      <c r="Q1390" s="152">
        <v>0</v>
      </c>
      <c r="R1390" s="154"/>
      <c r="S1390" s="152">
        <f t="shared" si="2700"/>
        <v>73.75</v>
      </c>
      <c r="T1390" s="152">
        <f t="shared" si="2701"/>
        <v>73.75</v>
      </c>
      <c r="U1390" s="152">
        <f t="shared" si="2702"/>
        <v>8</v>
      </c>
      <c r="V1390" s="154"/>
      <c r="W1390" s="153">
        <v>27</v>
      </c>
      <c r="X1390" s="153">
        <f t="shared" si="2709"/>
        <v>2014.875</v>
      </c>
      <c r="Y1390" s="153">
        <f t="shared" si="2703"/>
        <v>216</v>
      </c>
      <c r="Z1390" s="153">
        <f t="shared" si="2704"/>
        <v>0</v>
      </c>
      <c r="AA1390" s="155">
        <f t="shared" si="2705"/>
        <v>0</v>
      </c>
      <c r="AB1390" s="155">
        <f t="shared" si="2706"/>
        <v>2014.875</v>
      </c>
      <c r="AC1390" s="156">
        <f t="shared" si="2707"/>
        <v>-216</v>
      </c>
      <c r="AD1390" s="207"/>
      <c r="AE1390" s="156">
        <f t="shared" si="2708"/>
        <v>0</v>
      </c>
      <c r="AF1390" s="207"/>
      <c r="AG1390" s="8"/>
      <c r="AH1390">
        <f>SUM(AH1387:AH1389)</f>
        <v>21237.739999999998</v>
      </c>
    </row>
    <row r="1391" spans="1:36" x14ac:dyDescent="0.45">
      <c r="A1391" s="129">
        <f>A1390+14</f>
        <v>45942</v>
      </c>
      <c r="B1391" s="130" t="s">
        <v>30</v>
      </c>
      <c r="C1391" s="131">
        <f>120*W1391</f>
        <v>4680</v>
      </c>
      <c r="D1391" s="132">
        <v>80</v>
      </c>
      <c r="E1391" s="132">
        <v>45</v>
      </c>
      <c r="F1391" s="132">
        <v>12</v>
      </c>
      <c r="G1391" s="132">
        <v>13</v>
      </c>
      <c r="H1391" s="132">
        <v>0</v>
      </c>
      <c r="I1391" s="132">
        <v>0</v>
      </c>
      <c r="J1391" s="132">
        <v>0</v>
      </c>
      <c r="K1391" s="132">
        <v>0</v>
      </c>
      <c r="L1391" s="161">
        <v>0</v>
      </c>
      <c r="M1391" s="134"/>
      <c r="N1391" s="132">
        <v>80</v>
      </c>
      <c r="O1391" s="132">
        <v>38</v>
      </c>
      <c r="P1391" s="132">
        <v>18</v>
      </c>
      <c r="Q1391" s="132">
        <v>14</v>
      </c>
      <c r="R1391" s="134"/>
      <c r="S1391" s="132">
        <f t="shared" ref="S1391:S1397" si="2710">SUM(D1391:G1391)</f>
        <v>150</v>
      </c>
      <c r="T1391" s="132">
        <f t="shared" ref="T1391:T1397" si="2711">SUM(N1391:Q1391)</f>
        <v>150</v>
      </c>
      <c r="U1391" s="132">
        <f t="shared" ref="U1391:U1397" si="2712">SUM(H1391:K1391)</f>
        <v>0</v>
      </c>
      <c r="V1391" s="134"/>
      <c r="W1391" s="133">
        <v>39</v>
      </c>
      <c r="X1391" s="133">
        <f t="shared" si="2709"/>
        <v>7195.5</v>
      </c>
      <c r="Y1391" s="133">
        <f t="shared" ref="Y1391:Y1397" si="2713">(W1391*0*H1391)+(W1391*1*I1391)</f>
        <v>0</v>
      </c>
      <c r="Z1391" s="133">
        <f t="shared" ref="Z1391:Z1397" si="2714">(W1391*1*J1391)+L1391</f>
        <v>0</v>
      </c>
      <c r="AA1391" s="135">
        <f t="shared" ref="AA1391:AA1397" si="2715">(W1391*1*K1391)</f>
        <v>0</v>
      </c>
      <c r="AB1391" s="135">
        <f t="shared" ref="AB1391:AB1397" si="2716">(W1391*1*N1391)+(W1391*1.5*O1391)+(W1391*2*P1391)+(W1391*1*Q1391)</f>
        <v>7293</v>
      </c>
      <c r="AC1391" s="136">
        <f t="shared" ref="AC1391:AC1397" si="2717">0-Y1391-AA1391</f>
        <v>0</v>
      </c>
      <c r="AD1391" s="205"/>
      <c r="AE1391" s="136">
        <f t="shared" ref="AE1391:AE1397" si="2718">AB1391-(X1391+Z1391)</f>
        <v>97.5</v>
      </c>
      <c r="AF1391" s="205">
        <f>SUM(AE1391:AE1397)</f>
        <v>60.25</v>
      </c>
      <c r="AG1391" s="8"/>
    </row>
    <row r="1392" spans="1:36" x14ac:dyDescent="0.45">
      <c r="A1392" s="137">
        <f>A1391</f>
        <v>45942</v>
      </c>
      <c r="B1392" s="138" t="s">
        <v>5</v>
      </c>
      <c r="C1392" s="139">
        <f>120*W1392</f>
        <v>4200</v>
      </c>
      <c r="D1392" s="140">
        <v>80</v>
      </c>
      <c r="E1392" s="140">
        <v>2.25</v>
      </c>
      <c r="F1392" s="140">
        <v>0</v>
      </c>
      <c r="G1392" s="140">
        <v>0</v>
      </c>
      <c r="H1392" s="140">
        <v>0</v>
      </c>
      <c r="I1392" s="140">
        <v>0</v>
      </c>
      <c r="J1392" s="140">
        <v>0</v>
      </c>
      <c r="K1392" s="140">
        <v>0</v>
      </c>
      <c r="L1392" s="162">
        <v>0</v>
      </c>
      <c r="M1392" s="142"/>
      <c r="N1392" s="140">
        <v>80</v>
      </c>
      <c r="O1392" s="140">
        <v>0.25</v>
      </c>
      <c r="P1392" s="140">
        <v>0</v>
      </c>
      <c r="Q1392" s="140">
        <v>2</v>
      </c>
      <c r="R1392" s="142"/>
      <c r="S1392" s="140">
        <f t="shared" si="2710"/>
        <v>82.25</v>
      </c>
      <c r="T1392" s="140">
        <f t="shared" si="2711"/>
        <v>82.25</v>
      </c>
      <c r="U1392" s="140">
        <f t="shared" si="2712"/>
        <v>0</v>
      </c>
      <c r="V1392" s="142"/>
      <c r="W1392" s="141">
        <v>35</v>
      </c>
      <c r="X1392" s="141">
        <f t="shared" si="2709"/>
        <v>2918.125</v>
      </c>
      <c r="Y1392" s="141">
        <f t="shared" si="2713"/>
        <v>0</v>
      </c>
      <c r="Z1392" s="141">
        <f t="shared" si="2714"/>
        <v>0</v>
      </c>
      <c r="AA1392" s="143">
        <f t="shared" si="2715"/>
        <v>0</v>
      </c>
      <c r="AB1392" s="143">
        <f t="shared" si="2716"/>
        <v>2883.125</v>
      </c>
      <c r="AC1392" s="144">
        <f t="shared" si="2717"/>
        <v>0</v>
      </c>
      <c r="AD1392" s="206"/>
      <c r="AE1392" s="144">
        <f t="shared" si="2718"/>
        <v>-35</v>
      </c>
      <c r="AF1392" s="206"/>
      <c r="AG1392" s="8"/>
    </row>
    <row r="1393" spans="1:36" x14ac:dyDescent="0.45">
      <c r="A1393" s="137">
        <f>A1391</f>
        <v>45942</v>
      </c>
      <c r="B1393" s="138" t="s">
        <v>6</v>
      </c>
      <c r="C1393" s="139">
        <f>120*W1393</f>
        <v>4320</v>
      </c>
      <c r="D1393" s="140">
        <v>78</v>
      </c>
      <c r="E1393" s="140">
        <v>20</v>
      </c>
      <c r="F1393" s="140">
        <v>9.5</v>
      </c>
      <c r="G1393" s="140">
        <v>11.5</v>
      </c>
      <c r="H1393" s="140">
        <v>0</v>
      </c>
      <c r="I1393" s="140">
        <v>0</v>
      </c>
      <c r="J1393" s="140">
        <v>0</v>
      </c>
      <c r="K1393" s="140">
        <v>0</v>
      </c>
      <c r="L1393" s="162">
        <v>0</v>
      </c>
      <c r="M1393" s="142"/>
      <c r="N1393" s="140">
        <v>78</v>
      </c>
      <c r="O1393" s="140">
        <v>20</v>
      </c>
      <c r="P1393" s="140">
        <v>9.5</v>
      </c>
      <c r="Q1393" s="140">
        <v>11.5</v>
      </c>
      <c r="R1393" s="142"/>
      <c r="S1393" s="140">
        <f t="shared" si="2710"/>
        <v>119</v>
      </c>
      <c r="T1393" s="140">
        <f t="shared" si="2711"/>
        <v>119</v>
      </c>
      <c r="U1393" s="140">
        <f t="shared" si="2712"/>
        <v>0</v>
      </c>
      <c r="V1393" s="142"/>
      <c r="W1393" s="141">
        <v>36</v>
      </c>
      <c r="X1393" s="141">
        <f t="shared" si="2709"/>
        <v>4986</v>
      </c>
      <c r="Y1393" s="141">
        <f t="shared" si="2713"/>
        <v>0</v>
      </c>
      <c r="Z1393" s="141">
        <f t="shared" si="2714"/>
        <v>0</v>
      </c>
      <c r="AA1393" s="143">
        <f t="shared" si="2715"/>
        <v>0</v>
      </c>
      <c r="AB1393" s="143">
        <f t="shared" si="2716"/>
        <v>4986</v>
      </c>
      <c r="AC1393" s="144">
        <f t="shared" si="2717"/>
        <v>0</v>
      </c>
      <c r="AD1393" s="206"/>
      <c r="AE1393" s="144">
        <f t="shared" si="2718"/>
        <v>0</v>
      </c>
      <c r="AF1393" s="206"/>
      <c r="AG1393" s="8"/>
    </row>
    <row r="1394" spans="1:36" x14ac:dyDescent="0.45">
      <c r="A1394" s="137">
        <f>A1391</f>
        <v>45942</v>
      </c>
      <c r="B1394" s="145" t="s">
        <v>31</v>
      </c>
      <c r="C1394" s="139">
        <f>120*W1394</f>
        <v>4320</v>
      </c>
      <c r="D1394" s="140">
        <v>80</v>
      </c>
      <c r="E1394" s="140">
        <v>10</v>
      </c>
      <c r="F1394" s="140">
        <v>0</v>
      </c>
      <c r="G1394" s="140">
        <v>4</v>
      </c>
      <c r="H1394" s="140">
        <v>0</v>
      </c>
      <c r="I1394" s="140">
        <v>0</v>
      </c>
      <c r="J1394" s="140">
        <v>0</v>
      </c>
      <c r="K1394" s="140">
        <v>0</v>
      </c>
      <c r="L1394" s="162">
        <v>0</v>
      </c>
      <c r="M1394" s="142"/>
      <c r="N1394" s="140">
        <v>80</v>
      </c>
      <c r="O1394" s="140">
        <v>10</v>
      </c>
      <c r="P1394" s="140">
        <v>0</v>
      </c>
      <c r="Q1394" s="140">
        <v>4</v>
      </c>
      <c r="R1394" s="142"/>
      <c r="S1394" s="140">
        <f t="shared" si="2710"/>
        <v>94</v>
      </c>
      <c r="T1394" s="140">
        <f t="shared" si="2711"/>
        <v>94</v>
      </c>
      <c r="U1394" s="140">
        <f t="shared" si="2712"/>
        <v>0</v>
      </c>
      <c r="V1394" s="142"/>
      <c r="W1394" s="141">
        <v>36</v>
      </c>
      <c r="X1394" s="146">
        <f t="shared" si="2709"/>
        <v>3564</v>
      </c>
      <c r="Y1394" s="146">
        <f t="shared" si="2713"/>
        <v>0</v>
      </c>
      <c r="Z1394" s="146">
        <f t="shared" si="2714"/>
        <v>0</v>
      </c>
      <c r="AA1394" s="147">
        <f t="shared" si="2715"/>
        <v>0</v>
      </c>
      <c r="AB1394" s="147">
        <f t="shared" si="2716"/>
        <v>3564</v>
      </c>
      <c r="AC1394" s="148">
        <f t="shared" si="2717"/>
        <v>0</v>
      </c>
      <c r="AD1394" s="206"/>
      <c r="AE1394" s="148">
        <f t="shared" si="2718"/>
        <v>0</v>
      </c>
      <c r="AF1394" s="206"/>
      <c r="AG1394" s="8"/>
      <c r="AH1394">
        <v>27705.38</v>
      </c>
      <c r="AJ1394" s="170"/>
    </row>
    <row r="1395" spans="1:36" x14ac:dyDescent="0.45">
      <c r="A1395" s="137">
        <f>A1391</f>
        <v>45942</v>
      </c>
      <c r="B1395" s="145" t="s">
        <v>64</v>
      </c>
      <c r="C1395" s="139">
        <f>80*W1395</f>
        <v>2400</v>
      </c>
      <c r="D1395" s="140">
        <v>80</v>
      </c>
      <c r="E1395" s="140">
        <v>7</v>
      </c>
      <c r="F1395" s="140">
        <v>0</v>
      </c>
      <c r="G1395" s="140">
        <v>8</v>
      </c>
      <c r="H1395" s="140">
        <v>0</v>
      </c>
      <c r="I1395" s="140">
        <v>0</v>
      </c>
      <c r="J1395" s="140">
        <v>0</v>
      </c>
      <c r="K1395" s="140">
        <v>0</v>
      </c>
      <c r="L1395" s="162">
        <v>0</v>
      </c>
      <c r="M1395" s="142"/>
      <c r="N1395" s="140">
        <v>80</v>
      </c>
      <c r="O1395" s="140">
        <v>6.25</v>
      </c>
      <c r="P1395" s="140">
        <v>0.75</v>
      </c>
      <c r="Q1395" s="140">
        <v>8</v>
      </c>
      <c r="R1395" s="142"/>
      <c r="S1395" s="140">
        <f t="shared" si="2710"/>
        <v>95</v>
      </c>
      <c r="T1395" s="140">
        <f t="shared" si="2711"/>
        <v>95</v>
      </c>
      <c r="U1395" s="140">
        <f t="shared" si="2712"/>
        <v>0</v>
      </c>
      <c r="V1395" s="142"/>
      <c r="W1395" s="146">
        <v>30</v>
      </c>
      <c r="X1395" s="146">
        <f>(W1395*1*D1395)+(W1395*1.5*E1395)+(W1395*2*F1395)+(W1395*1*G1395)</f>
        <v>2955</v>
      </c>
      <c r="Y1395" s="146">
        <f t="shared" si="2713"/>
        <v>0</v>
      </c>
      <c r="Z1395" s="146">
        <f t="shared" si="2714"/>
        <v>0</v>
      </c>
      <c r="AA1395" s="147">
        <f t="shared" si="2715"/>
        <v>0</v>
      </c>
      <c r="AB1395" s="147">
        <f t="shared" si="2716"/>
        <v>2966.25</v>
      </c>
      <c r="AC1395" s="148">
        <f t="shared" si="2717"/>
        <v>0</v>
      </c>
      <c r="AD1395" s="206"/>
      <c r="AE1395" s="148">
        <f t="shared" si="2718"/>
        <v>11.25</v>
      </c>
      <c r="AF1395" s="206"/>
      <c r="AG1395" s="8"/>
      <c r="AH1395">
        <v>-2272.1999999999998</v>
      </c>
      <c r="AJ1395" s="170"/>
    </row>
    <row r="1396" spans="1:36" x14ac:dyDescent="0.45">
      <c r="A1396" s="137">
        <f>A1391</f>
        <v>45942</v>
      </c>
      <c r="B1396" s="145" t="s">
        <v>54</v>
      </c>
      <c r="C1396" s="139">
        <f>80*W1396</f>
        <v>2453.6000000000004</v>
      </c>
      <c r="D1396" s="140">
        <v>40</v>
      </c>
      <c r="E1396" s="140">
        <v>11.75</v>
      </c>
      <c r="F1396" s="140">
        <v>0</v>
      </c>
      <c r="G1396" s="140">
        <v>0</v>
      </c>
      <c r="H1396" s="140">
        <v>0</v>
      </c>
      <c r="I1396" s="140">
        <v>80</v>
      </c>
      <c r="J1396" s="140">
        <v>0</v>
      </c>
      <c r="K1396" s="140">
        <v>0</v>
      </c>
      <c r="L1396" s="162">
        <v>0</v>
      </c>
      <c r="M1396" s="142"/>
      <c r="N1396" s="140">
        <v>40</v>
      </c>
      <c r="O1396" s="140">
        <v>11.75</v>
      </c>
      <c r="P1396" s="140">
        <v>0</v>
      </c>
      <c r="Q1396" s="140">
        <v>0</v>
      </c>
      <c r="R1396" s="142"/>
      <c r="S1396" s="140">
        <f t="shared" si="2710"/>
        <v>51.75</v>
      </c>
      <c r="T1396" s="140">
        <f t="shared" si="2711"/>
        <v>51.75</v>
      </c>
      <c r="U1396" s="140">
        <f t="shared" si="2712"/>
        <v>80</v>
      </c>
      <c r="V1396" s="142"/>
      <c r="W1396" s="146">
        <v>30.67</v>
      </c>
      <c r="X1396" s="146">
        <f t="shared" ref="X1396:X1401" si="2719">(W1396*1*D1396)+(W1396*1.5*E1396)+(W1396*2*F1396)+(W1396*1*G1396)</f>
        <v>1767.3587500000003</v>
      </c>
      <c r="Y1396" s="146">
        <f t="shared" si="2713"/>
        <v>2453.6000000000004</v>
      </c>
      <c r="Z1396" s="146">
        <f t="shared" si="2714"/>
        <v>0</v>
      </c>
      <c r="AA1396" s="147">
        <f t="shared" si="2715"/>
        <v>0</v>
      </c>
      <c r="AB1396" s="147">
        <f t="shared" si="2716"/>
        <v>1767.3587500000003</v>
      </c>
      <c r="AC1396" s="148">
        <f t="shared" si="2717"/>
        <v>-2453.6000000000004</v>
      </c>
      <c r="AD1396" s="206"/>
      <c r="AE1396" s="148">
        <f t="shared" si="2718"/>
        <v>0</v>
      </c>
      <c r="AF1396" s="206"/>
      <c r="AG1396" s="8"/>
      <c r="AH1396">
        <v>-3356.01</v>
      </c>
      <c r="AJ1396" s="170"/>
    </row>
    <row r="1397" spans="1:36" ht="14.65" thickBot="1" x14ac:dyDescent="0.5">
      <c r="A1397" s="149">
        <f>A1391</f>
        <v>45942</v>
      </c>
      <c r="B1397" s="150" t="s">
        <v>66</v>
      </c>
      <c r="C1397" s="151">
        <f>80*W1397</f>
        <v>2160</v>
      </c>
      <c r="D1397" s="152">
        <v>74.25</v>
      </c>
      <c r="E1397" s="152">
        <v>3.5</v>
      </c>
      <c r="F1397" s="152">
        <v>11</v>
      </c>
      <c r="G1397" s="152">
        <v>6</v>
      </c>
      <c r="H1397" s="152">
        <v>0</v>
      </c>
      <c r="I1397" s="152">
        <v>0</v>
      </c>
      <c r="J1397" s="152">
        <v>0</v>
      </c>
      <c r="K1397" s="152">
        <v>5.75</v>
      </c>
      <c r="L1397" s="163">
        <v>0</v>
      </c>
      <c r="M1397" s="154"/>
      <c r="N1397" s="152">
        <v>74.25</v>
      </c>
      <c r="O1397" s="152">
        <v>2.5</v>
      </c>
      <c r="P1397" s="152">
        <v>11</v>
      </c>
      <c r="Q1397" s="152">
        <v>7</v>
      </c>
      <c r="R1397" s="154"/>
      <c r="S1397" s="152">
        <f t="shared" si="2710"/>
        <v>94.75</v>
      </c>
      <c r="T1397" s="152">
        <f t="shared" si="2711"/>
        <v>94.75</v>
      </c>
      <c r="U1397" s="152">
        <f t="shared" si="2712"/>
        <v>5.75</v>
      </c>
      <c r="V1397" s="154"/>
      <c r="W1397" s="153">
        <v>27</v>
      </c>
      <c r="X1397" s="153">
        <f t="shared" si="2719"/>
        <v>2902.5</v>
      </c>
      <c r="Y1397" s="153">
        <f t="shared" si="2713"/>
        <v>0</v>
      </c>
      <c r="Z1397" s="153">
        <f t="shared" si="2714"/>
        <v>0</v>
      </c>
      <c r="AA1397" s="155">
        <f t="shared" si="2715"/>
        <v>155.25</v>
      </c>
      <c r="AB1397" s="155">
        <f t="shared" si="2716"/>
        <v>2889</v>
      </c>
      <c r="AC1397" s="156">
        <f t="shared" si="2717"/>
        <v>-155.25</v>
      </c>
      <c r="AD1397" s="207"/>
      <c r="AE1397" s="156">
        <f t="shared" si="2718"/>
        <v>-13.5</v>
      </c>
      <c r="AF1397" s="207"/>
      <c r="AG1397" s="8"/>
      <c r="AH1397">
        <f>SUM(AH1394:AH1396)</f>
        <v>22077.17</v>
      </c>
    </row>
    <row r="1398" spans="1:36" x14ac:dyDescent="0.45">
      <c r="A1398" s="129">
        <f>A1397+14</f>
        <v>45956</v>
      </c>
      <c r="B1398" s="130" t="s">
        <v>30</v>
      </c>
      <c r="C1398" s="131">
        <f>120*W1398</f>
        <v>4680</v>
      </c>
      <c r="D1398" s="132">
        <v>72</v>
      </c>
      <c r="E1398" s="132">
        <v>2</v>
      </c>
      <c r="F1398" s="132">
        <v>0</v>
      </c>
      <c r="G1398" s="132">
        <v>15.25</v>
      </c>
      <c r="H1398" s="132">
        <v>0</v>
      </c>
      <c r="I1398" s="132">
        <v>0</v>
      </c>
      <c r="J1398" s="132">
        <v>8</v>
      </c>
      <c r="K1398" s="132">
        <v>0</v>
      </c>
      <c r="L1398" s="161">
        <v>0</v>
      </c>
      <c r="M1398" s="134"/>
      <c r="N1398" s="132">
        <v>72</v>
      </c>
      <c r="O1398" s="132">
        <v>2</v>
      </c>
      <c r="P1398" s="132">
        <v>0</v>
      </c>
      <c r="Q1398" s="132">
        <v>15.25</v>
      </c>
      <c r="R1398" s="134"/>
      <c r="S1398" s="132">
        <f t="shared" ref="S1398:S1404" si="2720">SUM(D1398:G1398)</f>
        <v>89.25</v>
      </c>
      <c r="T1398" s="132">
        <f t="shared" ref="T1398:T1404" si="2721">SUM(N1398:Q1398)</f>
        <v>89.25</v>
      </c>
      <c r="U1398" s="132">
        <f t="shared" ref="U1398:U1404" si="2722">SUM(H1398:K1398)</f>
        <v>8</v>
      </c>
      <c r="V1398" s="134"/>
      <c r="W1398" s="133">
        <v>39</v>
      </c>
      <c r="X1398" s="133">
        <f t="shared" si="2719"/>
        <v>3519.75</v>
      </c>
      <c r="Y1398" s="133">
        <f t="shared" ref="Y1398:Y1404" si="2723">(W1398*0*H1398)+(W1398*1*I1398)</f>
        <v>0</v>
      </c>
      <c r="Z1398" s="133">
        <f t="shared" ref="Z1398:Z1404" si="2724">(W1398*1*J1398)+L1398</f>
        <v>312</v>
      </c>
      <c r="AA1398" s="135">
        <f t="shared" ref="AA1398:AA1404" si="2725">(W1398*1*K1398)</f>
        <v>0</v>
      </c>
      <c r="AB1398" s="135">
        <f t="shared" ref="AB1398:AB1404" si="2726">(W1398*1*N1398)+(W1398*1.5*O1398)+(W1398*2*P1398)+(W1398*1*Q1398)</f>
        <v>3519.75</v>
      </c>
      <c r="AC1398" s="136">
        <f t="shared" ref="AC1398:AC1404" si="2727">0-Y1398-AA1398</f>
        <v>0</v>
      </c>
      <c r="AD1398" s="205"/>
      <c r="AE1398" s="136">
        <f t="shared" ref="AE1398:AE1404" si="2728">AB1398-(X1398+Z1398)</f>
        <v>-312</v>
      </c>
      <c r="AF1398" s="205">
        <f>SUM(AE1398:AE1404)</f>
        <v>-1698.3600000000001</v>
      </c>
      <c r="AG1398" s="8"/>
    </row>
    <row r="1399" spans="1:36" x14ac:dyDescent="0.45">
      <c r="A1399" s="137">
        <f>A1398</f>
        <v>45956</v>
      </c>
      <c r="B1399" s="138" t="s">
        <v>5</v>
      </c>
      <c r="C1399" s="139">
        <f>120*W1399</f>
        <v>4200</v>
      </c>
      <c r="D1399" s="140">
        <v>72</v>
      </c>
      <c r="E1399" s="140">
        <v>17.5</v>
      </c>
      <c r="F1399" s="140">
        <v>0</v>
      </c>
      <c r="G1399" s="140">
        <v>0</v>
      </c>
      <c r="H1399" s="140">
        <v>0</v>
      </c>
      <c r="I1399" s="140">
        <v>0</v>
      </c>
      <c r="J1399" s="140">
        <v>8</v>
      </c>
      <c r="K1399" s="140">
        <v>0</v>
      </c>
      <c r="L1399" s="162">
        <v>0</v>
      </c>
      <c r="M1399" s="142"/>
      <c r="N1399" s="140">
        <v>72</v>
      </c>
      <c r="O1399" s="140">
        <v>17.5</v>
      </c>
      <c r="P1399" s="140">
        <v>0</v>
      </c>
      <c r="Q1399" s="140">
        <v>0</v>
      </c>
      <c r="R1399" s="142"/>
      <c r="S1399" s="140">
        <f t="shared" si="2720"/>
        <v>89.5</v>
      </c>
      <c r="T1399" s="140">
        <f t="shared" si="2721"/>
        <v>89.5</v>
      </c>
      <c r="U1399" s="140">
        <f t="shared" si="2722"/>
        <v>8</v>
      </c>
      <c r="V1399" s="142"/>
      <c r="W1399" s="141">
        <v>35</v>
      </c>
      <c r="X1399" s="141">
        <f t="shared" si="2719"/>
        <v>3438.75</v>
      </c>
      <c r="Y1399" s="141">
        <f t="shared" si="2723"/>
        <v>0</v>
      </c>
      <c r="Z1399" s="141">
        <f t="shared" si="2724"/>
        <v>280</v>
      </c>
      <c r="AA1399" s="143">
        <f t="shared" si="2725"/>
        <v>0</v>
      </c>
      <c r="AB1399" s="143">
        <f t="shared" si="2726"/>
        <v>3438.75</v>
      </c>
      <c r="AC1399" s="144">
        <f t="shared" si="2727"/>
        <v>0</v>
      </c>
      <c r="AD1399" s="206"/>
      <c r="AE1399" s="144">
        <f t="shared" si="2728"/>
        <v>-280</v>
      </c>
      <c r="AF1399" s="206"/>
      <c r="AG1399" s="8"/>
    </row>
    <row r="1400" spans="1:36" x14ac:dyDescent="0.45">
      <c r="A1400" s="137">
        <f>A1398</f>
        <v>45956</v>
      </c>
      <c r="B1400" s="138" t="s">
        <v>6</v>
      </c>
      <c r="C1400" s="139">
        <f>120*W1400</f>
        <v>4320</v>
      </c>
      <c r="D1400" s="140">
        <v>46.25</v>
      </c>
      <c r="E1400" s="140">
        <v>19</v>
      </c>
      <c r="F1400" s="140">
        <v>0</v>
      </c>
      <c r="G1400" s="140">
        <v>9</v>
      </c>
      <c r="H1400" s="140">
        <v>0</v>
      </c>
      <c r="I1400" s="140">
        <v>0</v>
      </c>
      <c r="J1400" s="140">
        <v>8</v>
      </c>
      <c r="K1400" s="140">
        <v>0</v>
      </c>
      <c r="L1400" s="162">
        <v>0</v>
      </c>
      <c r="M1400" s="142"/>
      <c r="N1400" s="140">
        <v>48.25</v>
      </c>
      <c r="O1400" s="140">
        <v>4.5</v>
      </c>
      <c r="P1400" s="140">
        <v>12</v>
      </c>
      <c r="Q1400" s="140">
        <v>9.5</v>
      </c>
      <c r="R1400" s="142"/>
      <c r="S1400" s="140">
        <f t="shared" si="2720"/>
        <v>74.25</v>
      </c>
      <c r="T1400" s="140">
        <f t="shared" si="2721"/>
        <v>74.25</v>
      </c>
      <c r="U1400" s="140">
        <f t="shared" si="2722"/>
        <v>8</v>
      </c>
      <c r="V1400" s="142"/>
      <c r="W1400" s="141">
        <v>36</v>
      </c>
      <c r="X1400" s="141">
        <f t="shared" si="2719"/>
        <v>3015</v>
      </c>
      <c r="Y1400" s="141">
        <f t="shared" si="2723"/>
        <v>0</v>
      </c>
      <c r="Z1400" s="141">
        <f t="shared" si="2724"/>
        <v>288</v>
      </c>
      <c r="AA1400" s="143">
        <f t="shared" si="2725"/>
        <v>0</v>
      </c>
      <c r="AB1400" s="143">
        <f t="shared" si="2726"/>
        <v>3186</v>
      </c>
      <c r="AC1400" s="144">
        <f t="shared" si="2727"/>
        <v>0</v>
      </c>
      <c r="AD1400" s="206"/>
      <c r="AE1400" s="144">
        <f t="shared" si="2728"/>
        <v>-117</v>
      </c>
      <c r="AF1400" s="206"/>
      <c r="AG1400" s="8"/>
    </row>
    <row r="1401" spans="1:36" x14ac:dyDescent="0.45">
      <c r="A1401" s="137">
        <f>A1398</f>
        <v>45956</v>
      </c>
      <c r="B1401" s="145" t="s">
        <v>31</v>
      </c>
      <c r="C1401" s="139">
        <f>120*W1401</f>
        <v>4320</v>
      </c>
      <c r="D1401" s="140">
        <v>72</v>
      </c>
      <c r="E1401" s="140">
        <v>6</v>
      </c>
      <c r="F1401" s="140">
        <v>0</v>
      </c>
      <c r="G1401" s="140">
        <v>11</v>
      </c>
      <c r="H1401" s="140">
        <v>0</v>
      </c>
      <c r="I1401" s="140">
        <v>0</v>
      </c>
      <c r="J1401" s="140">
        <v>8</v>
      </c>
      <c r="K1401" s="140">
        <v>0</v>
      </c>
      <c r="L1401" s="162">
        <v>0</v>
      </c>
      <c r="M1401" s="142"/>
      <c r="N1401" s="140">
        <v>72</v>
      </c>
      <c r="O1401" s="140">
        <v>6</v>
      </c>
      <c r="P1401" s="140">
        <v>0</v>
      </c>
      <c r="Q1401" s="140">
        <v>11</v>
      </c>
      <c r="R1401" s="142"/>
      <c r="S1401" s="140">
        <f t="shared" si="2720"/>
        <v>89</v>
      </c>
      <c r="T1401" s="140">
        <f t="shared" si="2721"/>
        <v>89</v>
      </c>
      <c r="U1401" s="140">
        <f t="shared" si="2722"/>
        <v>8</v>
      </c>
      <c r="V1401" s="142"/>
      <c r="W1401" s="141">
        <v>36</v>
      </c>
      <c r="X1401" s="146">
        <f t="shared" si="2719"/>
        <v>3312</v>
      </c>
      <c r="Y1401" s="146">
        <f t="shared" si="2723"/>
        <v>0</v>
      </c>
      <c r="Z1401" s="146">
        <f t="shared" si="2724"/>
        <v>288</v>
      </c>
      <c r="AA1401" s="147">
        <f t="shared" si="2725"/>
        <v>0</v>
      </c>
      <c r="AB1401" s="147">
        <f t="shared" si="2726"/>
        <v>3312</v>
      </c>
      <c r="AC1401" s="148">
        <f t="shared" si="2727"/>
        <v>0</v>
      </c>
      <c r="AD1401" s="206"/>
      <c r="AE1401" s="148">
        <f t="shared" si="2728"/>
        <v>-288</v>
      </c>
      <c r="AF1401" s="206"/>
      <c r="AG1401" s="8"/>
      <c r="AH1401">
        <v>25240.85</v>
      </c>
      <c r="AJ1401" s="170"/>
    </row>
    <row r="1402" spans="1:36" x14ac:dyDescent="0.45">
      <c r="A1402" s="137">
        <f>A1398</f>
        <v>45956</v>
      </c>
      <c r="B1402" s="145" t="s">
        <v>64</v>
      </c>
      <c r="C1402" s="139">
        <f>80*W1402</f>
        <v>2400</v>
      </c>
      <c r="D1402" s="140">
        <v>72</v>
      </c>
      <c r="E1402" s="140">
        <v>11.5</v>
      </c>
      <c r="F1402" s="140">
        <v>0</v>
      </c>
      <c r="G1402" s="140">
        <v>2</v>
      </c>
      <c r="H1402" s="140">
        <v>0</v>
      </c>
      <c r="I1402" s="140">
        <v>0</v>
      </c>
      <c r="J1402" s="140">
        <v>8</v>
      </c>
      <c r="K1402" s="140">
        <v>0</v>
      </c>
      <c r="L1402" s="162">
        <v>0</v>
      </c>
      <c r="M1402" s="142"/>
      <c r="N1402" s="140">
        <v>72</v>
      </c>
      <c r="O1402" s="140">
        <v>11.5</v>
      </c>
      <c r="P1402" s="140">
        <v>0</v>
      </c>
      <c r="Q1402" s="140">
        <v>2</v>
      </c>
      <c r="R1402" s="142"/>
      <c r="S1402" s="140">
        <f t="shared" si="2720"/>
        <v>85.5</v>
      </c>
      <c r="T1402" s="140">
        <f t="shared" si="2721"/>
        <v>85.5</v>
      </c>
      <c r="U1402" s="140">
        <f t="shared" si="2722"/>
        <v>8</v>
      </c>
      <c r="V1402" s="142"/>
      <c r="W1402" s="146">
        <v>30</v>
      </c>
      <c r="X1402" s="146">
        <f>(W1402*1*D1402)+(W1402*1.5*E1402)+(W1402*2*F1402)+(W1402*1*G1402)</f>
        <v>2737.5</v>
      </c>
      <c r="Y1402" s="146">
        <f t="shared" si="2723"/>
        <v>0</v>
      </c>
      <c r="Z1402" s="146">
        <f t="shared" si="2724"/>
        <v>240</v>
      </c>
      <c r="AA1402" s="147">
        <f t="shared" si="2725"/>
        <v>0</v>
      </c>
      <c r="AB1402" s="147">
        <f t="shared" si="2726"/>
        <v>2737.5</v>
      </c>
      <c r="AC1402" s="148">
        <f t="shared" si="2727"/>
        <v>0</v>
      </c>
      <c r="AD1402" s="206"/>
      <c r="AE1402" s="148">
        <f t="shared" si="2728"/>
        <v>-240</v>
      </c>
      <c r="AF1402" s="206"/>
      <c r="AG1402" s="8"/>
      <c r="AH1402">
        <v>-2223.27</v>
      </c>
      <c r="AJ1402" s="170"/>
    </row>
    <row r="1403" spans="1:36" x14ac:dyDescent="0.45">
      <c r="A1403" s="137">
        <f>A1398</f>
        <v>45956</v>
      </c>
      <c r="B1403" s="145" t="s">
        <v>54</v>
      </c>
      <c r="C1403" s="139">
        <f>80*W1403</f>
        <v>2453.6000000000004</v>
      </c>
      <c r="D1403" s="140">
        <v>72</v>
      </c>
      <c r="E1403" s="140">
        <v>31</v>
      </c>
      <c r="F1403" s="140">
        <v>0</v>
      </c>
      <c r="G1403" s="140">
        <v>0</v>
      </c>
      <c r="H1403" s="140">
        <v>0</v>
      </c>
      <c r="I1403" s="140">
        <v>0</v>
      </c>
      <c r="J1403" s="140">
        <v>8</v>
      </c>
      <c r="K1403" s="140">
        <v>0</v>
      </c>
      <c r="L1403" s="162">
        <v>0</v>
      </c>
      <c r="M1403" s="142"/>
      <c r="N1403" s="140">
        <v>72</v>
      </c>
      <c r="O1403" s="140">
        <v>31</v>
      </c>
      <c r="P1403" s="140">
        <v>0</v>
      </c>
      <c r="Q1403" s="140">
        <v>0</v>
      </c>
      <c r="R1403" s="142"/>
      <c r="S1403" s="140">
        <f t="shared" si="2720"/>
        <v>103</v>
      </c>
      <c r="T1403" s="140">
        <f t="shared" si="2721"/>
        <v>103</v>
      </c>
      <c r="U1403" s="140">
        <f t="shared" si="2722"/>
        <v>8</v>
      </c>
      <c r="V1403" s="142"/>
      <c r="W1403" s="146">
        <v>30.67</v>
      </c>
      <c r="X1403" s="146">
        <f t="shared" ref="X1403:X1408" si="2729">(W1403*1*D1403)+(W1403*1.5*E1403)+(W1403*2*F1403)+(W1403*1*G1403)</f>
        <v>3634.3950000000004</v>
      </c>
      <c r="Y1403" s="146">
        <f t="shared" si="2723"/>
        <v>0</v>
      </c>
      <c r="Z1403" s="146">
        <f t="shared" si="2724"/>
        <v>245.36</v>
      </c>
      <c r="AA1403" s="147">
        <f t="shared" si="2725"/>
        <v>0</v>
      </c>
      <c r="AB1403" s="147">
        <f t="shared" si="2726"/>
        <v>3634.3950000000004</v>
      </c>
      <c r="AC1403" s="148">
        <f t="shared" si="2727"/>
        <v>0</v>
      </c>
      <c r="AD1403" s="206"/>
      <c r="AE1403" s="148">
        <f t="shared" si="2728"/>
        <v>-245.36000000000013</v>
      </c>
      <c r="AF1403" s="206"/>
      <c r="AG1403" s="8"/>
      <c r="AH1403">
        <v>-3356.01</v>
      </c>
      <c r="AJ1403" s="170"/>
    </row>
    <row r="1404" spans="1:36" ht="14.65" thickBot="1" x14ac:dyDescent="0.5">
      <c r="A1404" s="149">
        <f>A1398</f>
        <v>45956</v>
      </c>
      <c r="B1404" s="150" t="s">
        <v>66</v>
      </c>
      <c r="C1404" s="151">
        <f>80*W1404</f>
        <v>2160</v>
      </c>
      <c r="D1404" s="152">
        <v>56</v>
      </c>
      <c r="E1404" s="152">
        <v>17.25</v>
      </c>
      <c r="F1404" s="152">
        <v>0</v>
      </c>
      <c r="G1404" s="152">
        <v>0</v>
      </c>
      <c r="H1404" s="152">
        <v>0</v>
      </c>
      <c r="I1404" s="152">
        <v>16</v>
      </c>
      <c r="J1404" s="152">
        <v>8</v>
      </c>
      <c r="K1404" s="152">
        <v>3</v>
      </c>
      <c r="L1404" s="163">
        <v>0</v>
      </c>
      <c r="M1404" s="154"/>
      <c r="N1404" s="152">
        <v>56</v>
      </c>
      <c r="O1404" s="152">
        <v>17.25</v>
      </c>
      <c r="P1404" s="152">
        <v>0</v>
      </c>
      <c r="Q1404" s="152">
        <v>0</v>
      </c>
      <c r="R1404" s="154"/>
      <c r="S1404" s="152">
        <f t="shared" si="2720"/>
        <v>73.25</v>
      </c>
      <c r="T1404" s="152">
        <f t="shared" si="2721"/>
        <v>73.25</v>
      </c>
      <c r="U1404" s="152">
        <f t="shared" si="2722"/>
        <v>27</v>
      </c>
      <c r="V1404" s="154"/>
      <c r="W1404" s="153">
        <v>27</v>
      </c>
      <c r="X1404" s="153">
        <f t="shared" si="2729"/>
        <v>2210.625</v>
      </c>
      <c r="Y1404" s="153">
        <f t="shared" si="2723"/>
        <v>432</v>
      </c>
      <c r="Z1404" s="153">
        <f t="shared" si="2724"/>
        <v>216</v>
      </c>
      <c r="AA1404" s="155">
        <f t="shared" si="2725"/>
        <v>81</v>
      </c>
      <c r="AB1404" s="155">
        <f t="shared" si="2726"/>
        <v>2210.625</v>
      </c>
      <c r="AC1404" s="156">
        <f t="shared" si="2727"/>
        <v>-513</v>
      </c>
      <c r="AD1404" s="207"/>
      <c r="AE1404" s="156">
        <f t="shared" si="2728"/>
        <v>-216</v>
      </c>
      <c r="AF1404" s="207"/>
      <c r="AG1404" s="8"/>
      <c r="AH1404">
        <f>SUM(AH1401:AH1403)</f>
        <v>19661.57</v>
      </c>
    </row>
    <row r="1405" spans="1:36" x14ac:dyDescent="0.45">
      <c r="A1405" s="129">
        <f>A1404+14</f>
        <v>45970</v>
      </c>
      <c r="B1405" s="130" t="s">
        <v>30</v>
      </c>
      <c r="C1405" s="131">
        <f>120*W1405</f>
        <v>4680</v>
      </c>
      <c r="D1405" s="132">
        <v>80</v>
      </c>
      <c r="E1405" s="132">
        <v>6.5</v>
      </c>
      <c r="F1405" s="132">
        <v>0</v>
      </c>
      <c r="G1405" s="132">
        <v>0</v>
      </c>
      <c r="H1405" s="132">
        <v>0</v>
      </c>
      <c r="I1405" s="132">
        <v>0</v>
      </c>
      <c r="J1405" s="132">
        <v>0</v>
      </c>
      <c r="K1405" s="132">
        <v>1</v>
      </c>
      <c r="L1405" s="161">
        <v>0</v>
      </c>
      <c r="M1405" s="134"/>
      <c r="N1405" s="132">
        <v>80</v>
      </c>
      <c r="O1405" s="132">
        <v>6.5</v>
      </c>
      <c r="P1405" s="132">
        <v>0</v>
      </c>
      <c r="Q1405" s="132">
        <v>0</v>
      </c>
      <c r="R1405" s="134"/>
      <c r="S1405" s="132">
        <f t="shared" ref="S1405:S1411" si="2730">SUM(D1405:G1405)</f>
        <v>86.5</v>
      </c>
      <c r="T1405" s="132">
        <f t="shared" ref="T1405:T1411" si="2731">SUM(N1405:Q1405)</f>
        <v>86.5</v>
      </c>
      <c r="U1405" s="132">
        <f t="shared" ref="U1405:U1411" si="2732">SUM(H1405:K1405)</f>
        <v>1</v>
      </c>
      <c r="V1405" s="134"/>
      <c r="W1405" s="133">
        <v>39</v>
      </c>
      <c r="X1405" s="133">
        <f t="shared" si="2729"/>
        <v>3500.25</v>
      </c>
      <c r="Y1405" s="133">
        <f t="shared" ref="Y1405:Y1411" si="2733">(W1405*0*H1405)+(W1405*1*I1405)</f>
        <v>0</v>
      </c>
      <c r="Z1405" s="133">
        <f t="shared" ref="Z1405:Z1411" si="2734">(W1405*1*J1405)+L1405</f>
        <v>0</v>
      </c>
      <c r="AA1405" s="135">
        <f t="shared" ref="AA1405:AA1411" si="2735">(W1405*1*K1405)</f>
        <v>39</v>
      </c>
      <c r="AB1405" s="135">
        <f t="shared" ref="AB1405:AB1411" si="2736">(W1405*1*N1405)+(W1405*1.5*O1405)+(W1405*2*P1405)+(W1405*1*Q1405)</f>
        <v>3500.25</v>
      </c>
      <c r="AC1405" s="136">
        <f t="shared" ref="AC1405:AC1411" si="2737">0-Y1405-AA1405</f>
        <v>-39</v>
      </c>
      <c r="AD1405" s="205"/>
      <c r="AE1405" s="136">
        <f t="shared" ref="AE1405:AE1411" si="2738">AB1405-(X1405+Z1405)</f>
        <v>0</v>
      </c>
      <c r="AF1405" s="205">
        <f>SUM(AE1405:AE1411)</f>
        <v>-96.1274999999996</v>
      </c>
      <c r="AG1405" s="8"/>
    </row>
    <row r="1406" spans="1:36" x14ac:dyDescent="0.45">
      <c r="A1406" s="137">
        <f>A1405</f>
        <v>45970</v>
      </c>
      <c r="B1406" s="138" t="s">
        <v>5</v>
      </c>
      <c r="C1406" s="139">
        <f>120*W1406</f>
        <v>4200</v>
      </c>
      <c r="D1406" s="140">
        <v>80</v>
      </c>
      <c r="E1406" s="140">
        <v>15</v>
      </c>
      <c r="F1406" s="140">
        <v>0</v>
      </c>
      <c r="G1406" s="140">
        <v>0</v>
      </c>
      <c r="H1406" s="140">
        <v>0</v>
      </c>
      <c r="I1406" s="140">
        <v>0</v>
      </c>
      <c r="J1406" s="140">
        <v>0</v>
      </c>
      <c r="K1406" s="140">
        <v>0</v>
      </c>
      <c r="L1406" s="162">
        <v>0</v>
      </c>
      <c r="M1406" s="142"/>
      <c r="N1406" s="140">
        <v>78.75</v>
      </c>
      <c r="O1406" s="140">
        <v>8.25</v>
      </c>
      <c r="P1406" s="140">
        <v>0</v>
      </c>
      <c r="Q1406" s="140">
        <v>8</v>
      </c>
      <c r="R1406" s="142"/>
      <c r="S1406" s="140">
        <f t="shared" si="2730"/>
        <v>95</v>
      </c>
      <c r="T1406" s="140">
        <f t="shared" si="2731"/>
        <v>95</v>
      </c>
      <c r="U1406" s="140">
        <f t="shared" si="2732"/>
        <v>0</v>
      </c>
      <c r="V1406" s="142"/>
      <c r="W1406" s="141">
        <v>35</v>
      </c>
      <c r="X1406" s="141">
        <f t="shared" si="2729"/>
        <v>3587.5</v>
      </c>
      <c r="Y1406" s="141">
        <f t="shared" si="2733"/>
        <v>0</v>
      </c>
      <c r="Z1406" s="141">
        <f t="shared" si="2734"/>
        <v>0</v>
      </c>
      <c r="AA1406" s="143">
        <f t="shared" si="2735"/>
        <v>0</v>
      </c>
      <c r="AB1406" s="143">
        <f t="shared" si="2736"/>
        <v>3469.375</v>
      </c>
      <c r="AC1406" s="144">
        <f t="shared" si="2737"/>
        <v>0</v>
      </c>
      <c r="AD1406" s="206"/>
      <c r="AE1406" s="144">
        <f t="shared" si="2738"/>
        <v>-118.125</v>
      </c>
      <c r="AF1406" s="206"/>
      <c r="AG1406" s="8"/>
    </row>
    <row r="1407" spans="1:36" x14ac:dyDescent="0.45">
      <c r="A1407" s="137">
        <f>A1405</f>
        <v>45970</v>
      </c>
      <c r="B1407" s="138" t="s">
        <v>6</v>
      </c>
      <c r="C1407" s="139">
        <f>120*W1407</f>
        <v>4320</v>
      </c>
      <c r="D1407" s="140">
        <v>42.5</v>
      </c>
      <c r="E1407" s="140">
        <v>0</v>
      </c>
      <c r="F1407" s="140">
        <v>0</v>
      </c>
      <c r="G1407" s="140">
        <v>0</v>
      </c>
      <c r="H1407" s="140">
        <v>0</v>
      </c>
      <c r="I1407" s="140">
        <v>0</v>
      </c>
      <c r="J1407" s="140">
        <v>0</v>
      </c>
      <c r="K1407" s="140">
        <v>1</v>
      </c>
      <c r="L1407" s="162">
        <v>0</v>
      </c>
      <c r="M1407" s="142"/>
      <c r="N1407" s="140">
        <v>42.5</v>
      </c>
      <c r="O1407" s="140">
        <v>0</v>
      </c>
      <c r="P1407" s="140">
        <v>0</v>
      </c>
      <c r="Q1407" s="140">
        <v>0</v>
      </c>
      <c r="R1407" s="142"/>
      <c r="S1407" s="140">
        <f t="shared" si="2730"/>
        <v>42.5</v>
      </c>
      <c r="T1407" s="140">
        <f t="shared" si="2731"/>
        <v>42.5</v>
      </c>
      <c r="U1407" s="140">
        <f t="shared" si="2732"/>
        <v>1</v>
      </c>
      <c r="V1407" s="142"/>
      <c r="W1407" s="141">
        <v>36</v>
      </c>
      <c r="X1407" s="141">
        <f t="shared" si="2729"/>
        <v>1530</v>
      </c>
      <c r="Y1407" s="141">
        <f t="shared" si="2733"/>
        <v>0</v>
      </c>
      <c r="Z1407" s="141">
        <f t="shared" si="2734"/>
        <v>0</v>
      </c>
      <c r="AA1407" s="143">
        <f t="shared" si="2735"/>
        <v>36</v>
      </c>
      <c r="AB1407" s="143">
        <f t="shared" si="2736"/>
        <v>1530</v>
      </c>
      <c r="AC1407" s="144">
        <f t="shared" si="2737"/>
        <v>-36</v>
      </c>
      <c r="AD1407" s="206"/>
      <c r="AE1407" s="144">
        <f t="shared" si="2738"/>
        <v>0</v>
      </c>
      <c r="AF1407" s="206"/>
      <c r="AG1407" s="8"/>
    </row>
    <row r="1408" spans="1:36" x14ac:dyDescent="0.45">
      <c r="A1408" s="137">
        <f>A1405</f>
        <v>45970</v>
      </c>
      <c r="B1408" s="145" t="s">
        <v>31</v>
      </c>
      <c r="C1408" s="139">
        <f>120*W1408</f>
        <v>4320</v>
      </c>
      <c r="D1408" s="140">
        <v>78.75</v>
      </c>
      <c r="E1408" s="140">
        <v>19.5</v>
      </c>
      <c r="F1408" s="140">
        <v>12</v>
      </c>
      <c r="G1408" s="140">
        <v>19</v>
      </c>
      <c r="H1408" s="140">
        <v>0</v>
      </c>
      <c r="I1408" s="140">
        <v>0</v>
      </c>
      <c r="J1408" s="140">
        <v>0</v>
      </c>
      <c r="K1408" s="140">
        <v>0</v>
      </c>
      <c r="L1408" s="162">
        <v>0</v>
      </c>
      <c r="M1408" s="142"/>
      <c r="N1408" s="140">
        <v>78.75</v>
      </c>
      <c r="O1408" s="140">
        <v>16</v>
      </c>
      <c r="P1408" s="140">
        <v>15</v>
      </c>
      <c r="Q1408" s="140">
        <v>19.5</v>
      </c>
      <c r="R1408" s="142"/>
      <c r="S1408" s="140">
        <f t="shared" si="2730"/>
        <v>129.25</v>
      </c>
      <c r="T1408" s="140">
        <f t="shared" si="2731"/>
        <v>129.25</v>
      </c>
      <c r="U1408" s="140">
        <f t="shared" si="2732"/>
        <v>0</v>
      </c>
      <c r="V1408" s="142"/>
      <c r="W1408" s="141">
        <v>36</v>
      </c>
      <c r="X1408" s="146">
        <f t="shared" si="2729"/>
        <v>5436</v>
      </c>
      <c r="Y1408" s="146">
        <f t="shared" si="2733"/>
        <v>0</v>
      </c>
      <c r="Z1408" s="146">
        <f t="shared" si="2734"/>
        <v>0</v>
      </c>
      <c r="AA1408" s="147">
        <f t="shared" si="2735"/>
        <v>0</v>
      </c>
      <c r="AB1408" s="147">
        <f t="shared" si="2736"/>
        <v>5481</v>
      </c>
      <c r="AC1408" s="148">
        <f t="shared" si="2737"/>
        <v>0</v>
      </c>
      <c r="AD1408" s="206"/>
      <c r="AE1408" s="148">
        <f t="shared" si="2738"/>
        <v>45</v>
      </c>
      <c r="AF1408" s="206"/>
      <c r="AG1408" s="8"/>
      <c r="AH1408">
        <v>25277.06</v>
      </c>
      <c r="AJ1408" s="170"/>
    </row>
    <row r="1409" spans="1:36" x14ac:dyDescent="0.45">
      <c r="A1409" s="137">
        <f>A1405</f>
        <v>45970</v>
      </c>
      <c r="B1409" s="145" t="s">
        <v>64</v>
      </c>
      <c r="C1409" s="139">
        <f>80*W1409</f>
        <v>2400</v>
      </c>
      <c r="D1409" s="140">
        <v>80</v>
      </c>
      <c r="E1409" s="140">
        <v>14</v>
      </c>
      <c r="F1409" s="140">
        <v>0</v>
      </c>
      <c r="G1409" s="140">
        <v>0</v>
      </c>
      <c r="H1409" s="140">
        <v>0</v>
      </c>
      <c r="I1409" s="140">
        <v>0</v>
      </c>
      <c r="J1409" s="140">
        <v>0</v>
      </c>
      <c r="K1409" s="140">
        <v>0</v>
      </c>
      <c r="L1409" s="162">
        <v>0</v>
      </c>
      <c r="M1409" s="142"/>
      <c r="N1409" s="140">
        <v>80</v>
      </c>
      <c r="O1409" s="140">
        <v>14</v>
      </c>
      <c r="P1409" s="140">
        <v>0</v>
      </c>
      <c r="Q1409" s="140">
        <v>0</v>
      </c>
      <c r="R1409" s="142"/>
      <c r="S1409" s="140">
        <f t="shared" si="2730"/>
        <v>94</v>
      </c>
      <c r="T1409" s="140">
        <f t="shared" si="2731"/>
        <v>94</v>
      </c>
      <c r="U1409" s="140">
        <f t="shared" si="2732"/>
        <v>0</v>
      </c>
      <c r="V1409" s="142"/>
      <c r="W1409" s="146">
        <v>30</v>
      </c>
      <c r="X1409" s="146">
        <f>(W1409*1*D1409)+(W1409*1.5*E1409)+(W1409*2*F1409)+(W1409*1*G1409)</f>
        <v>3030</v>
      </c>
      <c r="Y1409" s="146">
        <f t="shared" si="2733"/>
        <v>0</v>
      </c>
      <c r="Z1409" s="146">
        <f t="shared" si="2734"/>
        <v>0</v>
      </c>
      <c r="AA1409" s="147">
        <f t="shared" si="2735"/>
        <v>0</v>
      </c>
      <c r="AB1409" s="147">
        <f t="shared" si="2736"/>
        <v>3030</v>
      </c>
      <c r="AC1409" s="148">
        <f t="shared" si="2737"/>
        <v>0</v>
      </c>
      <c r="AD1409" s="206"/>
      <c r="AE1409" s="148">
        <f t="shared" si="2738"/>
        <v>0</v>
      </c>
      <c r="AF1409" s="206"/>
      <c r="AG1409" s="8"/>
      <c r="AH1409">
        <v>-2837.32</v>
      </c>
      <c r="AJ1409" s="170"/>
    </row>
    <row r="1410" spans="1:36" x14ac:dyDescent="0.45">
      <c r="A1410" s="137">
        <f>A1405</f>
        <v>45970</v>
      </c>
      <c r="B1410" s="145" t="s">
        <v>54</v>
      </c>
      <c r="C1410" s="139">
        <f>80*W1410</f>
        <v>2453.6000000000004</v>
      </c>
      <c r="D1410" s="140">
        <v>80</v>
      </c>
      <c r="E1410" s="140">
        <v>25.75</v>
      </c>
      <c r="F1410" s="140">
        <v>0</v>
      </c>
      <c r="G1410" s="140">
        <v>0</v>
      </c>
      <c r="H1410" s="140">
        <v>0</v>
      </c>
      <c r="I1410" s="140">
        <v>0</v>
      </c>
      <c r="J1410" s="140">
        <v>0</v>
      </c>
      <c r="K1410" s="140">
        <v>0</v>
      </c>
      <c r="L1410" s="162">
        <v>0</v>
      </c>
      <c r="M1410" s="142"/>
      <c r="N1410" s="140">
        <v>80</v>
      </c>
      <c r="O1410" s="140">
        <v>25.25</v>
      </c>
      <c r="P1410" s="140">
        <v>0</v>
      </c>
      <c r="Q1410" s="140">
        <v>0</v>
      </c>
      <c r="R1410" s="142"/>
      <c r="S1410" s="140">
        <f t="shared" si="2730"/>
        <v>105.75</v>
      </c>
      <c r="T1410" s="140">
        <f t="shared" si="2731"/>
        <v>105.25</v>
      </c>
      <c r="U1410" s="140">
        <f t="shared" si="2732"/>
        <v>0</v>
      </c>
      <c r="V1410" s="142"/>
      <c r="W1410" s="146">
        <v>30.67</v>
      </c>
      <c r="X1410" s="146">
        <f t="shared" ref="X1410:X1415" si="2739">(W1410*1*D1410)+(W1410*1.5*E1410)+(W1410*2*F1410)+(W1410*1*G1410)</f>
        <v>3638.2287500000002</v>
      </c>
      <c r="Y1410" s="146">
        <f t="shared" si="2733"/>
        <v>0</v>
      </c>
      <c r="Z1410" s="146">
        <f t="shared" si="2734"/>
        <v>0</v>
      </c>
      <c r="AA1410" s="147">
        <f t="shared" si="2735"/>
        <v>0</v>
      </c>
      <c r="AB1410" s="147">
        <f t="shared" si="2736"/>
        <v>3615.2262500000006</v>
      </c>
      <c r="AC1410" s="148">
        <f t="shared" si="2737"/>
        <v>0</v>
      </c>
      <c r="AD1410" s="206"/>
      <c r="AE1410" s="148">
        <f t="shared" si="2738"/>
        <v>-23.0024999999996</v>
      </c>
      <c r="AF1410" s="206"/>
      <c r="AG1410" s="8"/>
      <c r="AH1410">
        <v>-3356.01</v>
      </c>
      <c r="AJ1410" s="170"/>
    </row>
    <row r="1411" spans="1:36" ht="14.65" thickBot="1" x14ac:dyDescent="0.5">
      <c r="A1411" s="149">
        <f>A1405</f>
        <v>45970</v>
      </c>
      <c r="B1411" s="150" t="s">
        <v>66</v>
      </c>
      <c r="C1411" s="151">
        <f>80*W1411</f>
        <v>2160</v>
      </c>
      <c r="D1411" s="152">
        <v>80</v>
      </c>
      <c r="E1411" s="152">
        <v>34.25</v>
      </c>
      <c r="F1411" s="152">
        <v>0</v>
      </c>
      <c r="G1411" s="152">
        <v>0</v>
      </c>
      <c r="H1411" s="152">
        <v>0</v>
      </c>
      <c r="I1411" s="152">
        <v>0</v>
      </c>
      <c r="J1411" s="152">
        <v>0</v>
      </c>
      <c r="K1411" s="152">
        <v>9.25</v>
      </c>
      <c r="L1411" s="163">
        <v>0</v>
      </c>
      <c r="M1411" s="154"/>
      <c r="N1411" s="152">
        <v>80</v>
      </c>
      <c r="O1411" s="152">
        <v>34.25</v>
      </c>
      <c r="P1411" s="152">
        <v>0</v>
      </c>
      <c r="Q1411" s="152">
        <v>0</v>
      </c>
      <c r="R1411" s="154"/>
      <c r="S1411" s="152">
        <f t="shared" si="2730"/>
        <v>114.25</v>
      </c>
      <c r="T1411" s="152">
        <f t="shared" si="2731"/>
        <v>114.25</v>
      </c>
      <c r="U1411" s="152">
        <f t="shared" si="2732"/>
        <v>9.25</v>
      </c>
      <c r="V1411" s="154"/>
      <c r="W1411" s="153">
        <v>27</v>
      </c>
      <c r="X1411" s="153">
        <f t="shared" si="2739"/>
        <v>3547.125</v>
      </c>
      <c r="Y1411" s="153">
        <f t="shared" si="2733"/>
        <v>0</v>
      </c>
      <c r="Z1411" s="153">
        <f t="shared" si="2734"/>
        <v>0</v>
      </c>
      <c r="AA1411" s="155">
        <f t="shared" si="2735"/>
        <v>249.75</v>
      </c>
      <c r="AB1411" s="155">
        <f t="shared" si="2736"/>
        <v>3547.125</v>
      </c>
      <c r="AC1411" s="156">
        <f t="shared" si="2737"/>
        <v>-249.75</v>
      </c>
      <c r="AD1411" s="207"/>
      <c r="AE1411" s="156">
        <f t="shared" si="2738"/>
        <v>0</v>
      </c>
      <c r="AF1411" s="207"/>
      <c r="AG1411" s="8"/>
      <c r="AH1411">
        <f>SUM(AH1408:AH1410)</f>
        <v>19083.730000000003</v>
      </c>
    </row>
    <row r="1412" spans="1:36" x14ac:dyDescent="0.45">
      <c r="A1412" s="129">
        <f>A1411+14</f>
        <v>45984</v>
      </c>
      <c r="B1412" s="130" t="s">
        <v>30</v>
      </c>
      <c r="C1412" s="131">
        <f>120*W1412</f>
        <v>4680</v>
      </c>
      <c r="D1412" s="132">
        <v>80</v>
      </c>
      <c r="E1412" s="132">
        <v>9</v>
      </c>
      <c r="F1412" s="132">
        <v>0</v>
      </c>
      <c r="G1412" s="132">
        <v>0</v>
      </c>
      <c r="H1412" s="132">
        <v>0</v>
      </c>
      <c r="I1412" s="132">
        <v>0</v>
      </c>
      <c r="J1412" s="132">
        <v>0</v>
      </c>
      <c r="K1412" s="132">
        <v>0</v>
      </c>
      <c r="L1412" s="161">
        <v>0</v>
      </c>
      <c r="M1412" s="134"/>
      <c r="N1412" s="132">
        <v>80</v>
      </c>
      <c r="O1412" s="132">
        <v>9</v>
      </c>
      <c r="P1412" s="132">
        <v>0</v>
      </c>
      <c r="Q1412" s="132">
        <v>0</v>
      </c>
      <c r="R1412" s="134"/>
      <c r="S1412" s="132">
        <f t="shared" ref="S1412:S1418" si="2740">SUM(D1412:G1412)</f>
        <v>89</v>
      </c>
      <c r="T1412" s="132">
        <f t="shared" ref="T1412:T1418" si="2741">SUM(N1412:Q1412)</f>
        <v>89</v>
      </c>
      <c r="U1412" s="132">
        <f t="shared" ref="U1412:U1418" si="2742">SUM(H1412:K1412)</f>
        <v>0</v>
      </c>
      <c r="V1412" s="134"/>
      <c r="W1412" s="133">
        <v>39</v>
      </c>
      <c r="X1412" s="133">
        <f t="shared" si="2739"/>
        <v>3646.5</v>
      </c>
      <c r="Y1412" s="133">
        <f t="shared" ref="Y1412:Y1418" si="2743">(W1412*0*H1412)+(W1412*1*I1412)</f>
        <v>0</v>
      </c>
      <c r="Z1412" s="133">
        <f t="shared" ref="Z1412:Z1418" si="2744">(W1412*1*J1412)+L1412</f>
        <v>0</v>
      </c>
      <c r="AA1412" s="135">
        <f t="shared" ref="AA1412:AA1418" si="2745">(W1412*1*K1412)</f>
        <v>0</v>
      </c>
      <c r="AB1412" s="135">
        <f t="shared" ref="AB1412:AB1418" si="2746">(W1412*1*N1412)+(W1412*1.5*O1412)+(W1412*2*P1412)+(W1412*1*Q1412)</f>
        <v>3646.5</v>
      </c>
      <c r="AC1412" s="136">
        <f t="shared" ref="AC1412:AC1418" si="2747">0-Y1412-AA1412</f>
        <v>0</v>
      </c>
      <c r="AD1412" s="205"/>
      <c r="AE1412" s="136">
        <f t="shared" ref="AE1412:AE1418" si="2748">AB1412-(X1412+Z1412)</f>
        <v>0</v>
      </c>
      <c r="AF1412" s="205">
        <f>SUM(AE1412:AE1418)</f>
        <v>22.5</v>
      </c>
      <c r="AG1412" s="8"/>
    </row>
    <row r="1413" spans="1:36" x14ac:dyDescent="0.45">
      <c r="A1413" s="137">
        <f>A1412</f>
        <v>45984</v>
      </c>
      <c r="B1413" s="138" t="s">
        <v>5</v>
      </c>
      <c r="C1413" s="139">
        <f>120*W1413</f>
        <v>4200</v>
      </c>
      <c r="D1413" s="140">
        <v>80</v>
      </c>
      <c r="E1413" s="140">
        <v>44</v>
      </c>
      <c r="F1413" s="140">
        <v>0</v>
      </c>
      <c r="G1413" s="140">
        <v>0</v>
      </c>
      <c r="H1413" s="140">
        <v>0</v>
      </c>
      <c r="I1413" s="140">
        <v>0</v>
      </c>
      <c r="J1413" s="140">
        <v>0</v>
      </c>
      <c r="K1413" s="140">
        <v>0</v>
      </c>
      <c r="L1413" s="162">
        <v>0</v>
      </c>
      <c r="M1413" s="142"/>
      <c r="N1413" s="140">
        <v>80</v>
      </c>
      <c r="O1413" s="140">
        <v>44</v>
      </c>
      <c r="P1413" s="140">
        <v>0</v>
      </c>
      <c r="Q1413" s="140">
        <v>0</v>
      </c>
      <c r="R1413" s="142"/>
      <c r="S1413" s="140">
        <f t="shared" si="2740"/>
        <v>124</v>
      </c>
      <c r="T1413" s="140">
        <f t="shared" si="2741"/>
        <v>124</v>
      </c>
      <c r="U1413" s="140">
        <f t="shared" si="2742"/>
        <v>0</v>
      </c>
      <c r="V1413" s="142"/>
      <c r="W1413" s="141">
        <v>35</v>
      </c>
      <c r="X1413" s="141">
        <f t="shared" si="2739"/>
        <v>5110</v>
      </c>
      <c r="Y1413" s="141">
        <f t="shared" si="2743"/>
        <v>0</v>
      </c>
      <c r="Z1413" s="141">
        <f t="shared" si="2744"/>
        <v>0</v>
      </c>
      <c r="AA1413" s="143">
        <f t="shared" si="2745"/>
        <v>0</v>
      </c>
      <c r="AB1413" s="143">
        <f t="shared" si="2746"/>
        <v>5110</v>
      </c>
      <c r="AC1413" s="144">
        <f t="shared" si="2747"/>
        <v>0</v>
      </c>
      <c r="AD1413" s="206"/>
      <c r="AE1413" s="144">
        <f t="shared" si="2748"/>
        <v>0</v>
      </c>
      <c r="AF1413" s="206"/>
      <c r="AG1413" s="8"/>
    </row>
    <row r="1414" spans="1:36" x14ac:dyDescent="0.45">
      <c r="A1414" s="137">
        <f>A1412</f>
        <v>45984</v>
      </c>
      <c r="B1414" s="138" t="s">
        <v>6</v>
      </c>
      <c r="C1414" s="139">
        <f>120*W1414</f>
        <v>4320</v>
      </c>
      <c r="D1414" s="140">
        <v>40</v>
      </c>
      <c r="E1414" s="140">
        <v>2.5</v>
      </c>
      <c r="F1414" s="140">
        <v>0</v>
      </c>
      <c r="G1414" s="140">
        <v>13</v>
      </c>
      <c r="H1414" s="140">
        <v>0</v>
      </c>
      <c r="I1414" s="140">
        <v>0</v>
      </c>
      <c r="J1414" s="140">
        <v>0</v>
      </c>
      <c r="K1414" s="140">
        <v>0</v>
      </c>
      <c r="L1414" s="162">
        <v>0</v>
      </c>
      <c r="M1414" s="142"/>
      <c r="N1414" s="140">
        <v>40</v>
      </c>
      <c r="O1414" s="140">
        <v>2.5</v>
      </c>
      <c r="P1414" s="140">
        <v>0</v>
      </c>
      <c r="Q1414" s="140">
        <v>13</v>
      </c>
      <c r="R1414" s="142"/>
      <c r="S1414" s="140">
        <f t="shared" si="2740"/>
        <v>55.5</v>
      </c>
      <c r="T1414" s="140">
        <f t="shared" si="2741"/>
        <v>55.5</v>
      </c>
      <c r="U1414" s="140">
        <f t="shared" si="2742"/>
        <v>0</v>
      </c>
      <c r="V1414" s="142"/>
      <c r="W1414" s="141">
        <v>36</v>
      </c>
      <c r="X1414" s="141">
        <f t="shared" si="2739"/>
        <v>2043</v>
      </c>
      <c r="Y1414" s="141">
        <f t="shared" si="2743"/>
        <v>0</v>
      </c>
      <c r="Z1414" s="141">
        <f t="shared" si="2744"/>
        <v>0</v>
      </c>
      <c r="AA1414" s="143">
        <f t="shared" si="2745"/>
        <v>0</v>
      </c>
      <c r="AB1414" s="143">
        <f t="shared" si="2746"/>
        <v>2043</v>
      </c>
      <c r="AC1414" s="144">
        <f t="shared" si="2747"/>
        <v>0</v>
      </c>
      <c r="AD1414" s="206"/>
      <c r="AE1414" s="144">
        <f t="shared" si="2748"/>
        <v>0</v>
      </c>
      <c r="AF1414" s="206"/>
      <c r="AG1414" s="8"/>
    </row>
    <row r="1415" spans="1:36" x14ac:dyDescent="0.45">
      <c r="A1415" s="137">
        <f>A1412</f>
        <v>45984</v>
      </c>
      <c r="B1415" s="145" t="s">
        <v>31</v>
      </c>
      <c r="C1415" s="139">
        <f>120*W1415</f>
        <v>4320</v>
      </c>
      <c r="D1415" s="140">
        <v>40</v>
      </c>
      <c r="E1415" s="140">
        <v>13.5</v>
      </c>
      <c r="F1415" s="140">
        <v>0</v>
      </c>
      <c r="G1415" s="140">
        <v>7.75</v>
      </c>
      <c r="H1415" s="140">
        <v>0</v>
      </c>
      <c r="I1415" s="140">
        <v>0</v>
      </c>
      <c r="J1415" s="140">
        <v>0</v>
      </c>
      <c r="K1415" s="140">
        <v>0</v>
      </c>
      <c r="L1415" s="162">
        <v>0</v>
      </c>
      <c r="M1415" s="142"/>
      <c r="N1415" s="140">
        <v>40</v>
      </c>
      <c r="O1415" s="140">
        <v>12.25</v>
      </c>
      <c r="P1415" s="140">
        <v>1.25</v>
      </c>
      <c r="Q1415" s="140">
        <v>7.75</v>
      </c>
      <c r="R1415" s="142"/>
      <c r="S1415" s="140">
        <f t="shared" si="2740"/>
        <v>61.25</v>
      </c>
      <c r="T1415" s="140">
        <f t="shared" si="2741"/>
        <v>61.25</v>
      </c>
      <c r="U1415" s="140">
        <f t="shared" si="2742"/>
        <v>0</v>
      </c>
      <c r="V1415" s="142"/>
      <c r="W1415" s="141">
        <v>36</v>
      </c>
      <c r="X1415" s="146">
        <f t="shared" si="2739"/>
        <v>2448</v>
      </c>
      <c r="Y1415" s="146">
        <f t="shared" si="2743"/>
        <v>0</v>
      </c>
      <c r="Z1415" s="146">
        <f t="shared" si="2744"/>
        <v>0</v>
      </c>
      <c r="AA1415" s="147">
        <f t="shared" si="2745"/>
        <v>0</v>
      </c>
      <c r="AB1415" s="147">
        <f t="shared" si="2746"/>
        <v>2470.5</v>
      </c>
      <c r="AC1415" s="148">
        <f t="shared" si="2747"/>
        <v>0</v>
      </c>
      <c r="AD1415" s="206"/>
      <c r="AE1415" s="148">
        <f t="shared" si="2748"/>
        <v>22.5</v>
      </c>
      <c r="AF1415" s="206"/>
      <c r="AG1415" s="8"/>
      <c r="AH1415">
        <v>25129.29</v>
      </c>
      <c r="AJ1415" s="170"/>
    </row>
    <row r="1416" spans="1:36" x14ac:dyDescent="0.45">
      <c r="A1416" s="137">
        <f>A1412</f>
        <v>45984</v>
      </c>
      <c r="B1416" s="145" t="s">
        <v>64</v>
      </c>
      <c r="C1416" s="139">
        <f>80*W1416</f>
        <v>2400</v>
      </c>
      <c r="D1416" s="140">
        <v>80</v>
      </c>
      <c r="E1416" s="140">
        <v>13</v>
      </c>
      <c r="F1416" s="140">
        <v>0</v>
      </c>
      <c r="G1416" s="140">
        <v>7.5</v>
      </c>
      <c r="H1416" s="140">
        <v>0</v>
      </c>
      <c r="I1416" s="140">
        <v>0</v>
      </c>
      <c r="J1416" s="140">
        <v>0</v>
      </c>
      <c r="K1416" s="140">
        <v>0</v>
      </c>
      <c r="L1416" s="162">
        <v>0</v>
      </c>
      <c r="M1416" s="142"/>
      <c r="N1416" s="140">
        <v>80</v>
      </c>
      <c r="O1416" s="140">
        <v>13</v>
      </c>
      <c r="P1416" s="140">
        <v>0</v>
      </c>
      <c r="Q1416" s="140">
        <v>7.5</v>
      </c>
      <c r="R1416" s="142"/>
      <c r="S1416" s="140">
        <f t="shared" si="2740"/>
        <v>100.5</v>
      </c>
      <c r="T1416" s="140">
        <f t="shared" si="2741"/>
        <v>100.5</v>
      </c>
      <c r="U1416" s="140">
        <f t="shared" si="2742"/>
        <v>0</v>
      </c>
      <c r="V1416" s="142"/>
      <c r="W1416" s="146">
        <v>30</v>
      </c>
      <c r="X1416" s="146">
        <f>(W1416*1*D1416)+(W1416*1.5*E1416)+(W1416*2*F1416)+(W1416*1*G1416)</f>
        <v>3210</v>
      </c>
      <c r="Y1416" s="146">
        <f t="shared" si="2743"/>
        <v>0</v>
      </c>
      <c r="Z1416" s="146">
        <f t="shared" si="2744"/>
        <v>0</v>
      </c>
      <c r="AA1416" s="147">
        <f t="shared" si="2745"/>
        <v>0</v>
      </c>
      <c r="AB1416" s="147">
        <f t="shared" si="2746"/>
        <v>3210</v>
      </c>
      <c r="AC1416" s="148">
        <f t="shared" si="2747"/>
        <v>0</v>
      </c>
      <c r="AD1416" s="206"/>
      <c r="AE1416" s="148">
        <f t="shared" si="2748"/>
        <v>0</v>
      </c>
      <c r="AF1416" s="206"/>
      <c r="AG1416" s="8"/>
      <c r="AH1416">
        <v>-2659.53</v>
      </c>
      <c r="AJ1416" s="170"/>
    </row>
    <row r="1417" spans="1:36" x14ac:dyDescent="0.45">
      <c r="A1417" s="137">
        <f>A1412</f>
        <v>45984</v>
      </c>
      <c r="B1417" s="145" t="s">
        <v>54</v>
      </c>
      <c r="C1417" s="139">
        <f>80*W1417</f>
        <v>2453.6000000000004</v>
      </c>
      <c r="D1417" s="140">
        <v>80</v>
      </c>
      <c r="E1417" s="140">
        <v>22</v>
      </c>
      <c r="F1417" s="140">
        <v>0</v>
      </c>
      <c r="G1417" s="140">
        <v>18</v>
      </c>
      <c r="H1417" s="140">
        <v>0</v>
      </c>
      <c r="I1417" s="140">
        <v>0</v>
      </c>
      <c r="J1417" s="140">
        <v>0</v>
      </c>
      <c r="K1417" s="140">
        <v>0</v>
      </c>
      <c r="L1417" s="162">
        <v>0</v>
      </c>
      <c r="M1417" s="142"/>
      <c r="N1417" s="140">
        <v>80</v>
      </c>
      <c r="O1417" s="140">
        <v>22</v>
      </c>
      <c r="P1417" s="140">
        <v>0</v>
      </c>
      <c r="Q1417" s="140">
        <v>18</v>
      </c>
      <c r="R1417" s="142"/>
      <c r="S1417" s="140">
        <f t="shared" si="2740"/>
        <v>120</v>
      </c>
      <c r="T1417" s="140">
        <f t="shared" si="2741"/>
        <v>120</v>
      </c>
      <c r="U1417" s="140">
        <f t="shared" si="2742"/>
        <v>0</v>
      </c>
      <c r="V1417" s="142"/>
      <c r="W1417" s="146">
        <v>30.67</v>
      </c>
      <c r="X1417" s="146">
        <f t="shared" ref="X1417:X1422" si="2749">(W1417*1*D1417)+(W1417*1.5*E1417)+(W1417*2*F1417)+(W1417*1*G1417)</f>
        <v>4017.7700000000004</v>
      </c>
      <c r="Y1417" s="146">
        <f t="shared" si="2743"/>
        <v>0</v>
      </c>
      <c r="Z1417" s="146">
        <f t="shared" si="2744"/>
        <v>0</v>
      </c>
      <c r="AA1417" s="147">
        <f t="shared" si="2745"/>
        <v>0</v>
      </c>
      <c r="AB1417" s="147">
        <f t="shared" si="2746"/>
        <v>4017.7700000000004</v>
      </c>
      <c r="AC1417" s="148">
        <f t="shared" si="2747"/>
        <v>0</v>
      </c>
      <c r="AD1417" s="206"/>
      <c r="AE1417" s="148">
        <f t="shared" si="2748"/>
        <v>0</v>
      </c>
      <c r="AF1417" s="206"/>
      <c r="AG1417" s="8"/>
      <c r="AH1417">
        <v>-3356.01</v>
      </c>
      <c r="AJ1417" s="170"/>
    </row>
    <row r="1418" spans="1:36" ht="14.65" thickBot="1" x14ac:dyDescent="0.5">
      <c r="A1418" s="149">
        <f>A1412</f>
        <v>45984</v>
      </c>
      <c r="B1418" s="150" t="s">
        <v>66</v>
      </c>
      <c r="C1418" s="151">
        <f>80*W1418</f>
        <v>2160</v>
      </c>
      <c r="D1418" s="152">
        <v>80</v>
      </c>
      <c r="E1418" s="152">
        <v>11</v>
      </c>
      <c r="F1418" s="152">
        <v>11</v>
      </c>
      <c r="G1418" s="152">
        <v>5.5</v>
      </c>
      <c r="H1418" s="152">
        <v>0</v>
      </c>
      <c r="I1418" s="152">
        <v>0</v>
      </c>
      <c r="J1418" s="152">
        <v>0</v>
      </c>
      <c r="K1418" s="152">
        <v>8</v>
      </c>
      <c r="L1418" s="163">
        <v>0</v>
      </c>
      <c r="M1418" s="154"/>
      <c r="N1418" s="152">
        <v>80</v>
      </c>
      <c r="O1418" s="152">
        <v>11</v>
      </c>
      <c r="P1418" s="152">
        <v>11</v>
      </c>
      <c r="Q1418" s="152">
        <v>5.5</v>
      </c>
      <c r="R1418" s="154"/>
      <c r="S1418" s="152">
        <f t="shared" si="2740"/>
        <v>107.5</v>
      </c>
      <c r="T1418" s="152">
        <f t="shared" si="2741"/>
        <v>107.5</v>
      </c>
      <c r="U1418" s="152">
        <f t="shared" si="2742"/>
        <v>8</v>
      </c>
      <c r="V1418" s="154"/>
      <c r="W1418" s="153">
        <v>27</v>
      </c>
      <c r="X1418" s="153">
        <f t="shared" si="2749"/>
        <v>3348</v>
      </c>
      <c r="Y1418" s="153">
        <f t="shared" si="2743"/>
        <v>0</v>
      </c>
      <c r="Z1418" s="153">
        <f t="shared" si="2744"/>
        <v>0</v>
      </c>
      <c r="AA1418" s="155">
        <f t="shared" si="2745"/>
        <v>216</v>
      </c>
      <c r="AB1418" s="155">
        <f t="shared" si="2746"/>
        <v>3348</v>
      </c>
      <c r="AC1418" s="156">
        <f t="shared" si="2747"/>
        <v>-216</v>
      </c>
      <c r="AD1418" s="207"/>
      <c r="AE1418" s="156">
        <f t="shared" si="2748"/>
        <v>0</v>
      </c>
      <c r="AF1418" s="207"/>
      <c r="AG1418" s="8"/>
      <c r="AH1418">
        <f>SUM(AH1415:AH1417)</f>
        <v>19113.75</v>
      </c>
    </row>
    <row r="1419" spans="1:36" x14ac:dyDescent="0.45">
      <c r="A1419" s="129">
        <f>A1418+14</f>
        <v>45998</v>
      </c>
      <c r="B1419" s="130" t="s">
        <v>30</v>
      </c>
      <c r="C1419" s="131">
        <f>120*W1419</f>
        <v>4680</v>
      </c>
      <c r="D1419" s="132">
        <v>72</v>
      </c>
      <c r="E1419" s="132">
        <v>2.75</v>
      </c>
      <c r="F1419" s="132">
        <v>0</v>
      </c>
      <c r="G1419" s="132">
        <v>12</v>
      </c>
      <c r="H1419" s="132">
        <v>0</v>
      </c>
      <c r="I1419" s="132">
        <v>0</v>
      </c>
      <c r="J1419" s="132">
        <v>0</v>
      </c>
      <c r="K1419" s="132">
        <v>0</v>
      </c>
      <c r="L1419" s="161">
        <v>0</v>
      </c>
      <c r="M1419" s="134"/>
      <c r="N1419" s="132">
        <v>72</v>
      </c>
      <c r="O1419" s="132">
        <v>2.75</v>
      </c>
      <c r="P1419" s="132">
        <v>0</v>
      </c>
      <c r="Q1419" s="132">
        <v>12</v>
      </c>
      <c r="R1419" s="134"/>
      <c r="S1419" s="132">
        <f t="shared" ref="S1419:S1425" si="2750">SUM(D1419:G1419)</f>
        <v>86.75</v>
      </c>
      <c r="T1419" s="132">
        <f t="shared" ref="T1419:T1425" si="2751">SUM(N1419:Q1419)</f>
        <v>86.75</v>
      </c>
      <c r="U1419" s="132">
        <f t="shared" ref="U1419:U1425" si="2752">SUM(H1419:K1419)</f>
        <v>0</v>
      </c>
      <c r="V1419" s="134"/>
      <c r="W1419" s="133">
        <v>39</v>
      </c>
      <c r="X1419" s="133">
        <f t="shared" si="2749"/>
        <v>3436.875</v>
      </c>
      <c r="Y1419" s="133">
        <f t="shared" ref="Y1419:Y1425" si="2753">(W1419*0*H1419)+(W1419*1*I1419)</f>
        <v>0</v>
      </c>
      <c r="Z1419" s="133">
        <f t="shared" ref="Z1419:Z1425" si="2754">(W1419*1*J1419)+L1419</f>
        <v>0</v>
      </c>
      <c r="AA1419" s="135">
        <f t="shared" ref="AA1419:AA1425" si="2755">(W1419*1*K1419)</f>
        <v>0</v>
      </c>
      <c r="AB1419" s="135">
        <f t="shared" ref="AB1419:AB1425" si="2756">(W1419*1*N1419)+(W1419*1.5*O1419)+(W1419*2*P1419)+(W1419*1*Q1419)</f>
        <v>3436.875</v>
      </c>
      <c r="AC1419" s="136">
        <f t="shared" ref="AC1419:AC1425" si="2757">0-Y1419-AA1419</f>
        <v>0</v>
      </c>
      <c r="AD1419" s="205"/>
      <c r="AE1419" s="136">
        <f t="shared" ref="AE1419:AE1425" si="2758">AB1419-(X1419+Z1419)</f>
        <v>0</v>
      </c>
      <c r="AF1419" s="205">
        <f>SUM(AE1419:AE1425)</f>
        <v>-856.33250000000044</v>
      </c>
      <c r="AG1419" s="8"/>
    </row>
    <row r="1420" spans="1:36" x14ac:dyDescent="0.45">
      <c r="A1420" s="137">
        <f>A1419</f>
        <v>45998</v>
      </c>
      <c r="B1420" s="138" t="s">
        <v>5</v>
      </c>
      <c r="C1420" s="139">
        <f>120*W1420</f>
        <v>4200</v>
      </c>
      <c r="D1420" s="140">
        <v>80</v>
      </c>
      <c r="E1420" s="140">
        <v>46.5</v>
      </c>
      <c r="F1420" s="140">
        <v>0</v>
      </c>
      <c r="G1420" s="140">
        <v>0</v>
      </c>
      <c r="H1420" s="140">
        <v>0</v>
      </c>
      <c r="I1420" s="140">
        <v>0</v>
      </c>
      <c r="J1420" s="140">
        <v>0</v>
      </c>
      <c r="K1420" s="140">
        <v>0</v>
      </c>
      <c r="L1420" s="162">
        <v>0</v>
      </c>
      <c r="M1420" s="142"/>
      <c r="N1420" s="140">
        <v>80</v>
      </c>
      <c r="O1420" s="140">
        <v>46.5</v>
      </c>
      <c r="P1420" s="140">
        <v>0</v>
      </c>
      <c r="Q1420" s="140">
        <v>0</v>
      </c>
      <c r="R1420" s="142"/>
      <c r="S1420" s="140">
        <f t="shared" si="2750"/>
        <v>126.5</v>
      </c>
      <c r="T1420" s="140">
        <f t="shared" si="2751"/>
        <v>126.5</v>
      </c>
      <c r="U1420" s="140">
        <f t="shared" si="2752"/>
        <v>0</v>
      </c>
      <c r="V1420" s="142"/>
      <c r="W1420" s="141">
        <v>35</v>
      </c>
      <c r="X1420" s="141">
        <f t="shared" si="2749"/>
        <v>5241.25</v>
      </c>
      <c r="Y1420" s="141">
        <f t="shared" si="2753"/>
        <v>0</v>
      </c>
      <c r="Z1420" s="141">
        <f t="shared" si="2754"/>
        <v>0</v>
      </c>
      <c r="AA1420" s="143">
        <f t="shared" si="2755"/>
        <v>0</v>
      </c>
      <c r="AB1420" s="143">
        <f t="shared" si="2756"/>
        <v>5241.25</v>
      </c>
      <c r="AC1420" s="144">
        <f t="shared" si="2757"/>
        <v>0</v>
      </c>
      <c r="AD1420" s="206"/>
      <c r="AE1420" s="144">
        <f t="shared" si="2758"/>
        <v>0</v>
      </c>
      <c r="AF1420" s="206"/>
      <c r="AG1420" s="8"/>
    </row>
    <row r="1421" spans="1:36" x14ac:dyDescent="0.45">
      <c r="A1421" s="137">
        <f>A1419</f>
        <v>45998</v>
      </c>
      <c r="B1421" s="138" t="s">
        <v>6</v>
      </c>
      <c r="C1421" s="139">
        <f>120*W1421</f>
        <v>4320</v>
      </c>
      <c r="D1421" s="140">
        <v>68.5</v>
      </c>
      <c r="E1421" s="140">
        <v>0</v>
      </c>
      <c r="F1421" s="140">
        <v>12</v>
      </c>
      <c r="G1421" s="140">
        <v>23.25</v>
      </c>
      <c r="H1421" s="140">
        <v>0</v>
      </c>
      <c r="I1421" s="140">
        <v>0</v>
      </c>
      <c r="J1421" s="140">
        <v>0</v>
      </c>
      <c r="K1421" s="140">
        <v>0</v>
      </c>
      <c r="L1421" s="162">
        <v>0</v>
      </c>
      <c r="M1421" s="142"/>
      <c r="N1421" s="140">
        <v>68.5</v>
      </c>
      <c r="O1421" s="140">
        <v>0</v>
      </c>
      <c r="P1421" s="140">
        <v>12</v>
      </c>
      <c r="Q1421" s="140">
        <v>23.25</v>
      </c>
      <c r="R1421" s="142"/>
      <c r="S1421" s="140">
        <f t="shared" si="2750"/>
        <v>103.75</v>
      </c>
      <c r="T1421" s="140">
        <f t="shared" si="2751"/>
        <v>103.75</v>
      </c>
      <c r="U1421" s="140">
        <f t="shared" si="2752"/>
        <v>0</v>
      </c>
      <c r="V1421" s="142"/>
      <c r="W1421" s="141">
        <v>36</v>
      </c>
      <c r="X1421" s="141">
        <f t="shared" si="2749"/>
        <v>4167</v>
      </c>
      <c r="Y1421" s="141">
        <f t="shared" si="2753"/>
        <v>0</v>
      </c>
      <c r="Z1421" s="141">
        <f t="shared" si="2754"/>
        <v>0</v>
      </c>
      <c r="AA1421" s="143">
        <f t="shared" si="2755"/>
        <v>0</v>
      </c>
      <c r="AB1421" s="143">
        <f t="shared" si="2756"/>
        <v>4167</v>
      </c>
      <c r="AC1421" s="144">
        <f t="shared" si="2757"/>
        <v>0</v>
      </c>
      <c r="AD1421" s="206"/>
      <c r="AE1421" s="144">
        <f t="shared" si="2758"/>
        <v>0</v>
      </c>
      <c r="AF1421" s="206"/>
      <c r="AG1421" s="8"/>
    </row>
    <row r="1422" spans="1:36" x14ac:dyDescent="0.45">
      <c r="A1422" s="137">
        <f>A1419</f>
        <v>45998</v>
      </c>
      <c r="B1422" s="145" t="s">
        <v>31</v>
      </c>
      <c r="C1422" s="139">
        <f>120*W1422</f>
        <v>4320</v>
      </c>
      <c r="D1422" s="140">
        <v>16</v>
      </c>
      <c r="E1422" s="140">
        <v>0</v>
      </c>
      <c r="F1422" s="140">
        <v>9.5</v>
      </c>
      <c r="G1422" s="140">
        <v>23.5</v>
      </c>
      <c r="H1422" s="140">
        <v>0</v>
      </c>
      <c r="I1422" s="140">
        <v>0</v>
      </c>
      <c r="J1422" s="140">
        <v>0</v>
      </c>
      <c r="K1422" s="140">
        <v>0</v>
      </c>
      <c r="L1422" s="162">
        <v>0</v>
      </c>
      <c r="M1422" s="142"/>
      <c r="N1422" s="140">
        <v>12</v>
      </c>
      <c r="O1422" s="140">
        <v>0</v>
      </c>
      <c r="P1422" s="140">
        <v>9.5</v>
      </c>
      <c r="Q1422" s="140">
        <v>3.5</v>
      </c>
      <c r="R1422" s="142"/>
      <c r="S1422" s="140">
        <f t="shared" si="2750"/>
        <v>49</v>
      </c>
      <c r="T1422" s="140">
        <f t="shared" si="2751"/>
        <v>25</v>
      </c>
      <c r="U1422" s="140">
        <f t="shared" si="2752"/>
        <v>0</v>
      </c>
      <c r="V1422" s="142"/>
      <c r="W1422" s="141">
        <v>36</v>
      </c>
      <c r="X1422" s="146">
        <f t="shared" si="2749"/>
        <v>2106</v>
      </c>
      <c r="Y1422" s="146">
        <f t="shared" si="2753"/>
        <v>0</v>
      </c>
      <c r="Z1422" s="146">
        <f t="shared" si="2754"/>
        <v>0</v>
      </c>
      <c r="AA1422" s="147">
        <f t="shared" si="2755"/>
        <v>0</v>
      </c>
      <c r="AB1422" s="147">
        <f t="shared" si="2756"/>
        <v>1242</v>
      </c>
      <c r="AC1422" s="148">
        <f t="shared" si="2757"/>
        <v>0</v>
      </c>
      <c r="AD1422" s="206"/>
      <c r="AE1422" s="148">
        <f t="shared" si="2758"/>
        <v>-864</v>
      </c>
      <c r="AF1422" s="206"/>
      <c r="AG1422" s="8"/>
      <c r="AH1422">
        <v>31228.93</v>
      </c>
      <c r="AJ1422" s="170"/>
    </row>
    <row r="1423" spans="1:36" x14ac:dyDescent="0.45">
      <c r="A1423" s="137">
        <f>A1419</f>
        <v>45998</v>
      </c>
      <c r="B1423" s="145" t="s">
        <v>64</v>
      </c>
      <c r="C1423" s="139">
        <f>80*W1423</f>
        <v>2400</v>
      </c>
      <c r="D1423" s="140">
        <v>80</v>
      </c>
      <c r="E1423" s="140">
        <v>9.5</v>
      </c>
      <c r="F1423" s="140">
        <v>0</v>
      </c>
      <c r="G1423" s="140">
        <v>0</v>
      </c>
      <c r="H1423" s="140">
        <v>0</v>
      </c>
      <c r="I1423" s="140">
        <v>0</v>
      </c>
      <c r="J1423" s="140">
        <v>0</v>
      </c>
      <c r="K1423" s="140">
        <v>0</v>
      </c>
      <c r="L1423" s="162">
        <v>0</v>
      </c>
      <c r="M1423" s="142"/>
      <c r="N1423" s="140">
        <v>80</v>
      </c>
      <c r="O1423" s="140">
        <v>9.5</v>
      </c>
      <c r="P1423" s="140">
        <v>0</v>
      </c>
      <c r="Q1423" s="140">
        <v>0</v>
      </c>
      <c r="R1423" s="142"/>
      <c r="S1423" s="140">
        <f t="shared" si="2750"/>
        <v>89.5</v>
      </c>
      <c r="T1423" s="140">
        <f t="shared" si="2751"/>
        <v>89.5</v>
      </c>
      <c r="U1423" s="140">
        <f t="shared" si="2752"/>
        <v>0</v>
      </c>
      <c r="V1423" s="142"/>
      <c r="W1423" s="146">
        <v>30</v>
      </c>
      <c r="X1423" s="146">
        <f>(W1423*1*D1423)+(W1423*1.5*E1423)+(W1423*2*F1423)+(W1423*1*G1423)</f>
        <v>2827.5</v>
      </c>
      <c r="Y1423" s="146">
        <f t="shared" si="2753"/>
        <v>0</v>
      </c>
      <c r="Z1423" s="146">
        <f t="shared" si="2754"/>
        <v>0</v>
      </c>
      <c r="AA1423" s="147">
        <f t="shared" si="2755"/>
        <v>0</v>
      </c>
      <c r="AB1423" s="147">
        <f t="shared" si="2756"/>
        <v>2827.5</v>
      </c>
      <c r="AC1423" s="148">
        <f t="shared" si="2757"/>
        <v>0</v>
      </c>
      <c r="AD1423" s="206"/>
      <c r="AE1423" s="148">
        <f t="shared" si="2758"/>
        <v>0</v>
      </c>
      <c r="AF1423" s="206"/>
      <c r="AG1423" s="8"/>
      <c r="AH1423">
        <v>-3395.93</v>
      </c>
      <c r="AJ1423" s="170"/>
    </row>
    <row r="1424" spans="1:36" x14ac:dyDescent="0.45">
      <c r="A1424" s="137">
        <f>A1419</f>
        <v>45998</v>
      </c>
      <c r="B1424" s="145" t="s">
        <v>54</v>
      </c>
      <c r="C1424" s="139">
        <f>80*W1424</f>
        <v>2453.6000000000004</v>
      </c>
      <c r="D1424" s="140">
        <v>80</v>
      </c>
      <c r="E1424" s="140">
        <v>15.75</v>
      </c>
      <c r="F1424" s="140">
        <v>12</v>
      </c>
      <c r="G1424" s="140">
        <v>24.5</v>
      </c>
      <c r="H1424" s="140">
        <v>0</v>
      </c>
      <c r="I1424" s="140">
        <v>0</v>
      </c>
      <c r="J1424" s="140">
        <v>0</v>
      </c>
      <c r="K1424" s="140">
        <v>0</v>
      </c>
      <c r="L1424" s="162">
        <v>0</v>
      </c>
      <c r="M1424" s="142"/>
      <c r="N1424" s="140">
        <v>80</v>
      </c>
      <c r="O1424" s="140">
        <v>15.25</v>
      </c>
      <c r="P1424" s="140">
        <v>12.5</v>
      </c>
      <c r="Q1424" s="140">
        <v>24.5</v>
      </c>
      <c r="R1424" s="142"/>
      <c r="S1424" s="140">
        <f t="shared" si="2750"/>
        <v>132.25</v>
      </c>
      <c r="T1424" s="140">
        <f t="shared" si="2751"/>
        <v>132.25</v>
      </c>
      <c r="U1424" s="140">
        <f t="shared" si="2752"/>
        <v>0</v>
      </c>
      <c r="V1424" s="142"/>
      <c r="W1424" s="146">
        <v>30.67</v>
      </c>
      <c r="X1424" s="146">
        <f t="shared" ref="X1424:X1429" si="2759">(W1424*1*D1424)+(W1424*1.5*E1424)+(W1424*2*F1424)+(W1424*1*G1424)</f>
        <v>4665.6737500000008</v>
      </c>
      <c r="Y1424" s="146">
        <f t="shared" si="2753"/>
        <v>0</v>
      </c>
      <c r="Z1424" s="146">
        <f t="shared" si="2754"/>
        <v>0</v>
      </c>
      <c r="AA1424" s="147">
        <f t="shared" si="2755"/>
        <v>0</v>
      </c>
      <c r="AB1424" s="147">
        <f t="shared" si="2756"/>
        <v>4673.3412500000004</v>
      </c>
      <c r="AC1424" s="148">
        <f t="shared" si="2757"/>
        <v>0</v>
      </c>
      <c r="AD1424" s="206"/>
      <c r="AE1424" s="148">
        <f t="shared" si="2758"/>
        <v>7.6674999999995634</v>
      </c>
      <c r="AF1424" s="206"/>
      <c r="AG1424" s="8"/>
      <c r="AH1424">
        <v>-3356.01</v>
      </c>
      <c r="AJ1424" s="170"/>
    </row>
    <row r="1425" spans="1:36" ht="14.65" thickBot="1" x14ac:dyDescent="0.5">
      <c r="A1425" s="149">
        <f>A1419</f>
        <v>45998</v>
      </c>
      <c r="B1425" s="150" t="s">
        <v>66</v>
      </c>
      <c r="C1425" s="151">
        <f>80*W1425</f>
        <v>2160</v>
      </c>
      <c r="D1425" s="152">
        <v>77.25</v>
      </c>
      <c r="E1425" s="152">
        <v>28.5</v>
      </c>
      <c r="F1425" s="152">
        <v>11.5</v>
      </c>
      <c r="G1425" s="152">
        <v>4</v>
      </c>
      <c r="H1425" s="152">
        <v>0</v>
      </c>
      <c r="I1425" s="152">
        <v>0</v>
      </c>
      <c r="J1425" s="152">
        <v>0</v>
      </c>
      <c r="K1425" s="152">
        <v>1.5</v>
      </c>
      <c r="L1425" s="163">
        <v>0</v>
      </c>
      <c r="M1425" s="154"/>
      <c r="N1425" s="152">
        <v>77.25</v>
      </c>
      <c r="O1425" s="152">
        <v>28.5</v>
      </c>
      <c r="P1425" s="152">
        <v>11.5</v>
      </c>
      <c r="Q1425" s="152">
        <v>4</v>
      </c>
      <c r="R1425" s="154"/>
      <c r="S1425" s="152">
        <f t="shared" si="2750"/>
        <v>121.25</v>
      </c>
      <c r="T1425" s="152">
        <f t="shared" si="2751"/>
        <v>121.25</v>
      </c>
      <c r="U1425" s="152">
        <f t="shared" si="2752"/>
        <v>1.5</v>
      </c>
      <c r="V1425" s="154"/>
      <c r="W1425" s="153">
        <v>27</v>
      </c>
      <c r="X1425" s="153">
        <f t="shared" si="2759"/>
        <v>3969</v>
      </c>
      <c r="Y1425" s="153">
        <f t="shared" si="2753"/>
        <v>0</v>
      </c>
      <c r="Z1425" s="153">
        <f t="shared" si="2754"/>
        <v>0</v>
      </c>
      <c r="AA1425" s="155">
        <f t="shared" si="2755"/>
        <v>40.5</v>
      </c>
      <c r="AB1425" s="155">
        <f t="shared" si="2756"/>
        <v>3969</v>
      </c>
      <c r="AC1425" s="156">
        <f t="shared" si="2757"/>
        <v>-40.5</v>
      </c>
      <c r="AD1425" s="207"/>
      <c r="AE1425" s="156">
        <f t="shared" si="2758"/>
        <v>0</v>
      </c>
      <c r="AF1425" s="207"/>
      <c r="AG1425" s="8"/>
      <c r="AH1425">
        <f>SUM(AH1422:AH1424)</f>
        <v>24476.989999999998</v>
      </c>
    </row>
    <row r="1426" spans="1:36" x14ac:dyDescent="0.45">
      <c r="A1426" s="129">
        <f>A1425+14</f>
        <v>46012</v>
      </c>
      <c r="B1426" s="130" t="s">
        <v>30</v>
      </c>
      <c r="C1426" s="131">
        <f>120*W1426</f>
        <v>4680</v>
      </c>
      <c r="D1426" s="132">
        <v>80</v>
      </c>
      <c r="E1426" s="132">
        <v>18</v>
      </c>
      <c r="F1426" s="132">
        <v>10</v>
      </c>
      <c r="G1426" s="132">
        <v>8</v>
      </c>
      <c r="H1426" s="132">
        <v>0</v>
      </c>
      <c r="I1426" s="132">
        <v>0</v>
      </c>
      <c r="J1426" s="132">
        <v>0</v>
      </c>
      <c r="K1426" s="132">
        <v>0</v>
      </c>
      <c r="L1426" s="161">
        <v>1000</v>
      </c>
      <c r="M1426" s="134"/>
      <c r="N1426" s="132">
        <v>80</v>
      </c>
      <c r="O1426" s="132">
        <v>22</v>
      </c>
      <c r="P1426" s="132">
        <v>10</v>
      </c>
      <c r="Q1426" s="132">
        <v>4</v>
      </c>
      <c r="R1426" s="134"/>
      <c r="S1426" s="132">
        <f t="shared" ref="S1426:S1432" si="2760">SUM(D1426:G1426)</f>
        <v>116</v>
      </c>
      <c r="T1426" s="132">
        <f t="shared" ref="T1426:T1432" si="2761">SUM(N1426:Q1426)</f>
        <v>116</v>
      </c>
      <c r="U1426" s="132">
        <f t="shared" ref="U1426:U1432" si="2762">SUM(H1426:K1426)</f>
        <v>0</v>
      </c>
      <c r="V1426" s="134"/>
      <c r="W1426" s="133">
        <v>39</v>
      </c>
      <c r="X1426" s="133">
        <f t="shared" si="2759"/>
        <v>5265</v>
      </c>
      <c r="Y1426" s="133">
        <f t="shared" ref="Y1426:Y1432" si="2763">(W1426*0*H1426)+(W1426*1*I1426)</f>
        <v>0</v>
      </c>
      <c r="Z1426" s="133">
        <f t="shared" ref="Z1426:Z1432" si="2764">(W1426*1*J1426)+L1426</f>
        <v>1000</v>
      </c>
      <c r="AA1426" s="135">
        <f t="shared" ref="AA1426:AA1432" si="2765">(W1426*1*K1426)</f>
        <v>0</v>
      </c>
      <c r="AB1426" s="135">
        <f t="shared" ref="AB1426:AB1432" si="2766">(W1426*1*N1426)+(W1426*1.5*O1426)+(W1426*2*P1426)+(W1426*1*Q1426)</f>
        <v>5343</v>
      </c>
      <c r="AC1426" s="136">
        <f t="shared" ref="AC1426:AC1432" si="2767">0-Y1426-AA1426</f>
        <v>0</v>
      </c>
      <c r="AD1426" s="205"/>
      <c r="AE1426" s="136">
        <f t="shared" ref="AE1426:AE1432" si="2768">AB1426-(X1426+Z1426)</f>
        <v>-922</v>
      </c>
      <c r="AF1426" s="205">
        <f>SUM(AE1426:AE1432)</f>
        <v>-6460.56</v>
      </c>
      <c r="AG1426" s="8"/>
    </row>
    <row r="1427" spans="1:36" x14ac:dyDescent="0.45">
      <c r="A1427" s="137">
        <f>A1426</f>
        <v>46012</v>
      </c>
      <c r="B1427" s="138" t="s">
        <v>5</v>
      </c>
      <c r="C1427" s="139">
        <f>120*W1427</f>
        <v>4200</v>
      </c>
      <c r="D1427" s="140">
        <v>80</v>
      </c>
      <c r="E1427" s="140">
        <v>36.5</v>
      </c>
      <c r="F1427" s="140">
        <v>0</v>
      </c>
      <c r="G1427" s="140">
        <v>0</v>
      </c>
      <c r="H1427" s="140">
        <v>0</v>
      </c>
      <c r="I1427" s="140">
        <v>0</v>
      </c>
      <c r="J1427" s="140">
        <v>0</v>
      </c>
      <c r="K1427" s="140">
        <v>0</v>
      </c>
      <c r="L1427" s="162">
        <v>1000</v>
      </c>
      <c r="M1427" s="142"/>
      <c r="N1427" s="140">
        <v>80</v>
      </c>
      <c r="O1427" s="140">
        <v>37</v>
      </c>
      <c r="P1427" s="140">
        <v>0</v>
      </c>
      <c r="Q1427" s="140">
        <v>0</v>
      </c>
      <c r="R1427" s="142"/>
      <c r="S1427" s="140">
        <f t="shared" si="2760"/>
        <v>116.5</v>
      </c>
      <c r="T1427" s="140">
        <f t="shared" si="2761"/>
        <v>117</v>
      </c>
      <c r="U1427" s="140">
        <f t="shared" si="2762"/>
        <v>0</v>
      </c>
      <c r="V1427" s="142"/>
      <c r="W1427" s="141">
        <v>35</v>
      </c>
      <c r="X1427" s="141">
        <f t="shared" si="2759"/>
        <v>4716.25</v>
      </c>
      <c r="Y1427" s="141">
        <f t="shared" si="2763"/>
        <v>0</v>
      </c>
      <c r="Z1427" s="141">
        <f t="shared" si="2764"/>
        <v>1000</v>
      </c>
      <c r="AA1427" s="143">
        <f t="shared" si="2765"/>
        <v>0</v>
      </c>
      <c r="AB1427" s="143">
        <f t="shared" si="2766"/>
        <v>4742.5</v>
      </c>
      <c r="AC1427" s="144">
        <f t="shared" si="2767"/>
        <v>0</v>
      </c>
      <c r="AD1427" s="206"/>
      <c r="AE1427" s="144">
        <f t="shared" si="2768"/>
        <v>-973.75</v>
      </c>
      <c r="AF1427" s="206"/>
      <c r="AG1427" s="8"/>
    </row>
    <row r="1428" spans="1:36" x14ac:dyDescent="0.45">
      <c r="A1428" s="137">
        <f>A1426</f>
        <v>46012</v>
      </c>
      <c r="B1428" s="138" t="s">
        <v>6</v>
      </c>
      <c r="C1428" s="139">
        <f>120*W1428</f>
        <v>4320</v>
      </c>
      <c r="D1428" s="140">
        <v>73</v>
      </c>
      <c r="E1428" s="140">
        <v>8.5</v>
      </c>
      <c r="F1428" s="140">
        <v>0</v>
      </c>
      <c r="G1428" s="140">
        <v>17</v>
      </c>
      <c r="H1428" s="140">
        <v>0</v>
      </c>
      <c r="I1428" s="140">
        <v>0</v>
      </c>
      <c r="J1428" s="140">
        <v>0</v>
      </c>
      <c r="K1428" s="140">
        <v>0</v>
      </c>
      <c r="L1428" s="162">
        <v>1000</v>
      </c>
      <c r="M1428" s="142"/>
      <c r="N1428" s="140">
        <v>73</v>
      </c>
      <c r="O1428" s="140">
        <v>8</v>
      </c>
      <c r="P1428" s="140">
        <v>0.5</v>
      </c>
      <c r="Q1428" s="140">
        <v>17</v>
      </c>
      <c r="R1428" s="142"/>
      <c r="S1428" s="140">
        <f t="shared" si="2760"/>
        <v>98.5</v>
      </c>
      <c r="T1428" s="140">
        <f t="shared" si="2761"/>
        <v>98.5</v>
      </c>
      <c r="U1428" s="140">
        <f t="shared" si="2762"/>
        <v>0</v>
      </c>
      <c r="V1428" s="142"/>
      <c r="W1428" s="141">
        <v>36</v>
      </c>
      <c r="X1428" s="141">
        <f t="shared" si="2759"/>
        <v>3699</v>
      </c>
      <c r="Y1428" s="141">
        <f t="shared" si="2763"/>
        <v>0</v>
      </c>
      <c r="Z1428" s="141">
        <f t="shared" si="2764"/>
        <v>1000</v>
      </c>
      <c r="AA1428" s="143">
        <f t="shared" si="2765"/>
        <v>0</v>
      </c>
      <c r="AB1428" s="143">
        <f t="shared" si="2766"/>
        <v>3708</v>
      </c>
      <c r="AC1428" s="144">
        <f t="shared" si="2767"/>
        <v>0</v>
      </c>
      <c r="AD1428" s="206"/>
      <c r="AE1428" s="144">
        <f t="shared" si="2768"/>
        <v>-991</v>
      </c>
      <c r="AF1428" s="206"/>
      <c r="AG1428" s="8"/>
    </row>
    <row r="1429" spans="1:36" x14ac:dyDescent="0.45">
      <c r="A1429" s="137">
        <f>A1426</f>
        <v>46012</v>
      </c>
      <c r="B1429" s="145" t="s">
        <v>31</v>
      </c>
      <c r="C1429" s="139">
        <f>120*W1429</f>
        <v>4320</v>
      </c>
      <c r="D1429" s="140">
        <v>80</v>
      </c>
      <c r="E1429" s="140">
        <v>20</v>
      </c>
      <c r="F1429" s="140">
        <v>0</v>
      </c>
      <c r="G1429" s="140">
        <v>24.75</v>
      </c>
      <c r="H1429" s="140">
        <v>0</v>
      </c>
      <c r="I1429" s="140">
        <v>0</v>
      </c>
      <c r="J1429" s="140">
        <v>0</v>
      </c>
      <c r="K1429" s="140">
        <v>0</v>
      </c>
      <c r="L1429" s="162">
        <v>1000</v>
      </c>
      <c r="M1429" s="142"/>
      <c r="N1429" s="140">
        <v>80</v>
      </c>
      <c r="O1429" s="140">
        <v>20</v>
      </c>
      <c r="P1429" s="140">
        <v>0</v>
      </c>
      <c r="Q1429" s="140">
        <v>24.25</v>
      </c>
      <c r="R1429" s="142"/>
      <c r="S1429" s="140">
        <f t="shared" si="2760"/>
        <v>124.75</v>
      </c>
      <c r="T1429" s="140">
        <f t="shared" si="2761"/>
        <v>124.25</v>
      </c>
      <c r="U1429" s="140">
        <f t="shared" si="2762"/>
        <v>0</v>
      </c>
      <c r="V1429" s="142"/>
      <c r="W1429" s="141">
        <v>36</v>
      </c>
      <c r="X1429" s="146">
        <f t="shared" si="2759"/>
        <v>4851</v>
      </c>
      <c r="Y1429" s="146">
        <f t="shared" si="2763"/>
        <v>0</v>
      </c>
      <c r="Z1429" s="146">
        <f t="shared" si="2764"/>
        <v>1000</v>
      </c>
      <c r="AA1429" s="147">
        <f t="shared" si="2765"/>
        <v>0</v>
      </c>
      <c r="AB1429" s="147">
        <f t="shared" si="2766"/>
        <v>4833</v>
      </c>
      <c r="AC1429" s="148">
        <f t="shared" si="2767"/>
        <v>0</v>
      </c>
      <c r="AD1429" s="206"/>
      <c r="AE1429" s="148">
        <f t="shared" si="2768"/>
        <v>-1018</v>
      </c>
      <c r="AF1429" s="206"/>
      <c r="AG1429" s="8"/>
      <c r="AH1429">
        <v>28820.93</v>
      </c>
      <c r="AJ1429" s="170"/>
    </row>
    <row r="1430" spans="1:36" x14ac:dyDescent="0.45">
      <c r="A1430" s="137">
        <f>A1426</f>
        <v>46012</v>
      </c>
      <c r="B1430" s="145" t="s">
        <v>64</v>
      </c>
      <c r="C1430" s="139">
        <f>80*W1430</f>
        <v>2400</v>
      </c>
      <c r="D1430" s="140">
        <v>80</v>
      </c>
      <c r="E1430" s="140">
        <v>14.5</v>
      </c>
      <c r="F1430" s="140">
        <v>0</v>
      </c>
      <c r="G1430" s="140">
        <v>8</v>
      </c>
      <c r="H1430" s="140">
        <v>0</v>
      </c>
      <c r="I1430" s="140">
        <v>0</v>
      </c>
      <c r="J1430" s="140">
        <v>0</v>
      </c>
      <c r="K1430" s="140">
        <v>0</v>
      </c>
      <c r="L1430" s="162">
        <v>1000</v>
      </c>
      <c r="M1430" s="142"/>
      <c r="N1430" s="140">
        <v>80</v>
      </c>
      <c r="O1430" s="140">
        <v>14.5</v>
      </c>
      <c r="P1430" s="140">
        <v>0</v>
      </c>
      <c r="Q1430" s="140">
        <v>8</v>
      </c>
      <c r="R1430" s="142"/>
      <c r="S1430" s="140">
        <f t="shared" si="2760"/>
        <v>102.5</v>
      </c>
      <c r="T1430" s="140">
        <f t="shared" si="2761"/>
        <v>102.5</v>
      </c>
      <c r="U1430" s="140">
        <f t="shared" si="2762"/>
        <v>0</v>
      </c>
      <c r="V1430" s="142"/>
      <c r="W1430" s="146">
        <v>30</v>
      </c>
      <c r="X1430" s="146">
        <f>(W1430*1*D1430)+(W1430*1.5*E1430)+(W1430*2*F1430)+(W1430*1*G1430)</f>
        <v>3292.5</v>
      </c>
      <c r="Y1430" s="146">
        <f t="shared" si="2763"/>
        <v>0</v>
      </c>
      <c r="Z1430" s="146">
        <f t="shared" si="2764"/>
        <v>1000</v>
      </c>
      <c r="AA1430" s="147">
        <f t="shared" si="2765"/>
        <v>0</v>
      </c>
      <c r="AB1430" s="147">
        <f t="shared" si="2766"/>
        <v>3292.5</v>
      </c>
      <c r="AC1430" s="148">
        <f t="shared" si="2767"/>
        <v>0</v>
      </c>
      <c r="AD1430" s="206"/>
      <c r="AE1430" s="148">
        <f t="shared" si="2768"/>
        <v>-1000</v>
      </c>
      <c r="AF1430" s="206"/>
      <c r="AG1430" s="8"/>
      <c r="AH1430">
        <v>-1763.77</v>
      </c>
      <c r="AJ1430" s="170"/>
    </row>
    <row r="1431" spans="1:36" x14ac:dyDescent="0.45">
      <c r="A1431" s="137">
        <f>A1426</f>
        <v>46012</v>
      </c>
      <c r="B1431" s="145" t="s">
        <v>54</v>
      </c>
      <c r="C1431" s="139">
        <f>80*W1431</f>
        <v>2453.6000000000004</v>
      </c>
      <c r="D1431" s="140">
        <v>80</v>
      </c>
      <c r="E1431" s="140">
        <v>26.25</v>
      </c>
      <c r="F1431" s="140">
        <v>12</v>
      </c>
      <c r="G1431" s="140">
        <v>24</v>
      </c>
      <c r="H1431" s="140">
        <v>0</v>
      </c>
      <c r="I1431" s="140">
        <v>0</v>
      </c>
      <c r="J1431" s="140">
        <v>0</v>
      </c>
      <c r="K1431" s="140">
        <v>0</v>
      </c>
      <c r="L1431" s="162">
        <v>1000</v>
      </c>
      <c r="M1431" s="142"/>
      <c r="N1431" s="140">
        <v>80</v>
      </c>
      <c r="O1431" s="140">
        <v>38.25</v>
      </c>
      <c r="P1431" s="140">
        <v>12.5</v>
      </c>
      <c r="Q1431" s="140">
        <v>12</v>
      </c>
      <c r="R1431" s="142"/>
      <c r="S1431" s="140">
        <f t="shared" si="2760"/>
        <v>142.25</v>
      </c>
      <c r="T1431" s="140">
        <f t="shared" si="2761"/>
        <v>142.75</v>
      </c>
      <c r="U1431" s="140">
        <f t="shared" si="2762"/>
        <v>0</v>
      </c>
      <c r="V1431" s="142"/>
      <c r="W1431" s="146">
        <v>30.67</v>
      </c>
      <c r="X1431" s="146">
        <f t="shared" ref="X1431:X1436" si="2769">(W1431*1*D1431)+(W1431*1.5*E1431)+(W1431*2*F1431)+(W1431*1*G1431)</f>
        <v>5133.3912500000006</v>
      </c>
      <c r="Y1431" s="146">
        <f t="shared" si="2763"/>
        <v>0</v>
      </c>
      <c r="Z1431" s="146">
        <f t="shared" si="2764"/>
        <v>1000</v>
      </c>
      <c r="AA1431" s="147">
        <f t="shared" si="2765"/>
        <v>0</v>
      </c>
      <c r="AB1431" s="147">
        <f t="shared" si="2766"/>
        <v>5348.0812500000002</v>
      </c>
      <c r="AC1431" s="148">
        <f t="shared" si="2767"/>
        <v>0</v>
      </c>
      <c r="AD1431" s="206"/>
      <c r="AE1431" s="148">
        <f t="shared" si="2768"/>
        <v>-785.3100000000004</v>
      </c>
      <c r="AF1431" s="206"/>
      <c r="AG1431" s="8"/>
      <c r="AH1431">
        <v>-3356.01</v>
      </c>
      <c r="AJ1431" s="170"/>
    </row>
    <row r="1432" spans="1:36" ht="14.65" thickBot="1" x14ac:dyDescent="0.5">
      <c r="A1432" s="149">
        <f>A1426</f>
        <v>46012</v>
      </c>
      <c r="B1432" s="150" t="s">
        <v>66</v>
      </c>
      <c r="C1432" s="151">
        <f>80*W1432</f>
        <v>2160</v>
      </c>
      <c r="D1432" s="152">
        <v>68</v>
      </c>
      <c r="E1432" s="152">
        <v>2.5</v>
      </c>
      <c r="F1432" s="152">
        <v>0</v>
      </c>
      <c r="G1432" s="152">
        <v>10</v>
      </c>
      <c r="H1432" s="152">
        <v>0</v>
      </c>
      <c r="I1432" s="152">
        <v>0</v>
      </c>
      <c r="J1432" s="152">
        <v>0</v>
      </c>
      <c r="K1432" s="152">
        <v>0</v>
      </c>
      <c r="L1432" s="163">
        <v>1000</v>
      </c>
      <c r="M1432" s="154"/>
      <c r="N1432" s="152">
        <v>72.5</v>
      </c>
      <c r="O1432" s="152">
        <v>2.5</v>
      </c>
      <c r="P1432" s="152">
        <v>0</v>
      </c>
      <c r="Q1432" s="152">
        <v>14</v>
      </c>
      <c r="R1432" s="154"/>
      <c r="S1432" s="152">
        <f t="shared" si="2760"/>
        <v>80.5</v>
      </c>
      <c r="T1432" s="152">
        <f t="shared" si="2761"/>
        <v>89</v>
      </c>
      <c r="U1432" s="152">
        <f t="shared" si="2762"/>
        <v>0</v>
      </c>
      <c r="V1432" s="154"/>
      <c r="W1432" s="153">
        <v>27</v>
      </c>
      <c r="X1432" s="153">
        <f t="shared" si="2769"/>
        <v>2207.25</v>
      </c>
      <c r="Y1432" s="153">
        <f t="shared" si="2763"/>
        <v>0</v>
      </c>
      <c r="Z1432" s="153">
        <f t="shared" si="2764"/>
        <v>1000</v>
      </c>
      <c r="AA1432" s="155">
        <f t="shared" si="2765"/>
        <v>0</v>
      </c>
      <c r="AB1432" s="155">
        <f t="shared" si="2766"/>
        <v>2436.75</v>
      </c>
      <c r="AC1432" s="156">
        <f t="shared" si="2767"/>
        <v>0</v>
      </c>
      <c r="AD1432" s="207"/>
      <c r="AE1432" s="156">
        <f t="shared" si="2768"/>
        <v>-770.5</v>
      </c>
      <c r="AF1432" s="207"/>
      <c r="AG1432" s="8"/>
      <c r="AH1432">
        <f>SUM(AH1429:AH1431)</f>
        <v>23701.15</v>
      </c>
    </row>
    <row r="1433" spans="1:36" x14ac:dyDescent="0.45">
      <c r="A1433" s="129">
        <f>A1432+14</f>
        <v>46026</v>
      </c>
      <c r="B1433" s="130" t="s">
        <v>30</v>
      </c>
      <c r="C1433" s="131">
        <f>120*W1433</f>
        <v>4680</v>
      </c>
      <c r="D1433" s="132">
        <v>8</v>
      </c>
      <c r="E1433" s="132">
        <v>0</v>
      </c>
      <c r="F1433" s="132">
        <v>0</v>
      </c>
      <c r="G1433" s="132">
        <v>4</v>
      </c>
      <c r="H1433" s="132">
        <v>0</v>
      </c>
      <c r="I1433" s="132">
        <v>0</v>
      </c>
      <c r="J1433" s="132">
        <v>24</v>
      </c>
      <c r="K1433" s="132">
        <v>0</v>
      </c>
      <c r="L1433" s="161">
        <v>0</v>
      </c>
      <c r="M1433" s="134"/>
      <c r="N1433" s="132">
        <v>8</v>
      </c>
      <c r="O1433" s="132">
        <v>0</v>
      </c>
      <c r="P1433" s="132">
        <v>0</v>
      </c>
      <c r="Q1433" s="132">
        <v>4</v>
      </c>
      <c r="R1433" s="134"/>
      <c r="S1433" s="132">
        <f t="shared" ref="S1433:S1439" si="2770">SUM(D1433:G1433)</f>
        <v>12</v>
      </c>
      <c r="T1433" s="132">
        <f t="shared" ref="T1433:T1439" si="2771">SUM(N1433:Q1433)</f>
        <v>12</v>
      </c>
      <c r="U1433" s="132">
        <f t="shared" ref="U1433:U1439" si="2772">SUM(H1433:K1433)</f>
        <v>24</v>
      </c>
      <c r="V1433" s="134"/>
      <c r="W1433" s="133">
        <v>39</v>
      </c>
      <c r="X1433" s="133">
        <f t="shared" si="2769"/>
        <v>468</v>
      </c>
      <c r="Y1433" s="133">
        <f t="shared" ref="Y1433:Y1439" si="2773">(W1433*0*H1433)+(W1433*1*I1433)</f>
        <v>0</v>
      </c>
      <c r="Z1433" s="133">
        <f t="shared" ref="Z1433:Z1439" si="2774">(W1433*1*J1433)+L1433</f>
        <v>936</v>
      </c>
      <c r="AA1433" s="135">
        <f t="shared" ref="AA1433:AA1439" si="2775">(W1433*1*K1433)</f>
        <v>0</v>
      </c>
      <c r="AB1433" s="135">
        <f t="shared" ref="AB1433:AB1439" si="2776">(W1433*1*N1433)+(W1433*1.5*O1433)+(W1433*2*P1433)+(W1433*1*Q1433)</f>
        <v>468</v>
      </c>
      <c r="AC1433" s="136">
        <f t="shared" ref="AC1433:AC1439" si="2777">0-Y1433-AA1433</f>
        <v>0</v>
      </c>
      <c r="AD1433" s="205"/>
      <c r="AE1433" s="136">
        <f t="shared" ref="AE1433:AE1439" si="2778">AB1433-(X1433+Z1433)</f>
        <v>-936</v>
      </c>
      <c r="AF1433" s="205">
        <f>SUM(AE1433:AE1439)</f>
        <v>-5603.75</v>
      </c>
      <c r="AG1433" s="8"/>
    </row>
    <row r="1434" spans="1:36" x14ac:dyDescent="0.45">
      <c r="A1434" s="137">
        <f>A1433</f>
        <v>46026</v>
      </c>
      <c r="B1434" s="138" t="s">
        <v>5</v>
      </c>
      <c r="C1434" s="139">
        <f>120*W1434</f>
        <v>4200</v>
      </c>
      <c r="D1434" s="140">
        <v>11</v>
      </c>
      <c r="E1434" s="140">
        <v>0</v>
      </c>
      <c r="F1434" s="140">
        <v>0</v>
      </c>
      <c r="G1434" s="140">
        <v>0</v>
      </c>
      <c r="H1434" s="140">
        <v>0</v>
      </c>
      <c r="I1434" s="140">
        <v>48</v>
      </c>
      <c r="J1434" s="140">
        <v>24</v>
      </c>
      <c r="K1434" s="140">
        <v>0</v>
      </c>
      <c r="L1434" s="162">
        <v>0</v>
      </c>
      <c r="M1434" s="142"/>
      <c r="N1434" s="140">
        <v>12</v>
      </c>
      <c r="O1434" s="140">
        <v>0</v>
      </c>
      <c r="P1434" s="140">
        <v>0</v>
      </c>
      <c r="Q1434" s="140">
        <v>0</v>
      </c>
      <c r="R1434" s="142"/>
      <c r="S1434" s="140">
        <f t="shared" si="2770"/>
        <v>11</v>
      </c>
      <c r="T1434" s="140">
        <f t="shared" si="2771"/>
        <v>12</v>
      </c>
      <c r="U1434" s="140">
        <f t="shared" si="2772"/>
        <v>72</v>
      </c>
      <c r="V1434" s="142"/>
      <c r="W1434" s="141">
        <v>35</v>
      </c>
      <c r="X1434" s="141">
        <f t="shared" si="2769"/>
        <v>385</v>
      </c>
      <c r="Y1434" s="141">
        <f t="shared" si="2773"/>
        <v>1680</v>
      </c>
      <c r="Z1434" s="141">
        <f t="shared" si="2774"/>
        <v>840</v>
      </c>
      <c r="AA1434" s="143">
        <f t="shared" si="2775"/>
        <v>0</v>
      </c>
      <c r="AB1434" s="143">
        <f t="shared" si="2776"/>
        <v>420</v>
      </c>
      <c r="AC1434" s="144">
        <f t="shared" si="2777"/>
        <v>-1680</v>
      </c>
      <c r="AD1434" s="206"/>
      <c r="AE1434" s="144">
        <f t="shared" si="2778"/>
        <v>-805</v>
      </c>
      <c r="AF1434" s="206"/>
      <c r="AG1434" s="8"/>
    </row>
    <row r="1435" spans="1:36" x14ac:dyDescent="0.45">
      <c r="A1435" s="137">
        <f>A1433</f>
        <v>46026</v>
      </c>
      <c r="B1435" s="138" t="s">
        <v>6</v>
      </c>
      <c r="C1435" s="139">
        <f>120*W1435</f>
        <v>4320</v>
      </c>
      <c r="D1435" s="140">
        <v>0</v>
      </c>
      <c r="E1435" s="140">
        <v>0</v>
      </c>
      <c r="F1435" s="140">
        <v>0</v>
      </c>
      <c r="G1435" s="140">
        <v>0</v>
      </c>
      <c r="H1435" s="140">
        <v>0</v>
      </c>
      <c r="I1435" s="140">
        <v>0</v>
      </c>
      <c r="J1435" s="140">
        <v>24</v>
      </c>
      <c r="K1435" s="140">
        <v>0</v>
      </c>
      <c r="L1435" s="162">
        <v>0</v>
      </c>
      <c r="M1435" s="142"/>
      <c r="N1435" s="140">
        <v>0</v>
      </c>
      <c r="O1435" s="140">
        <v>0</v>
      </c>
      <c r="P1435" s="140">
        <v>0</v>
      </c>
      <c r="Q1435" s="140">
        <v>0</v>
      </c>
      <c r="R1435" s="142"/>
      <c r="S1435" s="140">
        <f t="shared" si="2770"/>
        <v>0</v>
      </c>
      <c r="T1435" s="140">
        <f t="shared" si="2771"/>
        <v>0</v>
      </c>
      <c r="U1435" s="140">
        <f t="shared" si="2772"/>
        <v>24</v>
      </c>
      <c r="V1435" s="142"/>
      <c r="W1435" s="141">
        <v>36</v>
      </c>
      <c r="X1435" s="141">
        <f t="shared" si="2769"/>
        <v>0</v>
      </c>
      <c r="Y1435" s="141">
        <f t="shared" si="2773"/>
        <v>0</v>
      </c>
      <c r="Z1435" s="141">
        <f t="shared" si="2774"/>
        <v>864</v>
      </c>
      <c r="AA1435" s="143">
        <f t="shared" si="2775"/>
        <v>0</v>
      </c>
      <c r="AB1435" s="143">
        <f t="shared" si="2776"/>
        <v>0</v>
      </c>
      <c r="AC1435" s="144">
        <f t="shared" si="2777"/>
        <v>0</v>
      </c>
      <c r="AD1435" s="206"/>
      <c r="AE1435" s="144">
        <f t="shared" si="2778"/>
        <v>-864</v>
      </c>
      <c r="AF1435" s="206"/>
      <c r="AG1435" s="8"/>
    </row>
    <row r="1436" spans="1:36" x14ac:dyDescent="0.45">
      <c r="A1436" s="137">
        <f>A1433</f>
        <v>46026</v>
      </c>
      <c r="B1436" s="145" t="s">
        <v>31</v>
      </c>
      <c r="C1436" s="139">
        <f>120*W1436</f>
        <v>4320</v>
      </c>
      <c r="D1436" s="140">
        <v>0</v>
      </c>
      <c r="E1436" s="140">
        <v>0</v>
      </c>
      <c r="F1436" s="140">
        <v>0</v>
      </c>
      <c r="G1436" s="140">
        <v>0</v>
      </c>
      <c r="H1436" s="140">
        <v>0</v>
      </c>
      <c r="I1436" s="140">
        <v>0</v>
      </c>
      <c r="J1436" s="140">
        <v>24</v>
      </c>
      <c r="K1436" s="140">
        <v>0</v>
      </c>
      <c r="L1436" s="162">
        <v>0</v>
      </c>
      <c r="M1436" s="142"/>
      <c r="N1436" s="140">
        <v>0</v>
      </c>
      <c r="O1436" s="140">
        <v>0</v>
      </c>
      <c r="P1436" s="140">
        <v>0</v>
      </c>
      <c r="Q1436" s="140">
        <v>0</v>
      </c>
      <c r="R1436" s="142"/>
      <c r="S1436" s="140">
        <f t="shared" si="2770"/>
        <v>0</v>
      </c>
      <c r="T1436" s="140">
        <f t="shared" si="2771"/>
        <v>0</v>
      </c>
      <c r="U1436" s="140">
        <f t="shared" si="2772"/>
        <v>24</v>
      </c>
      <c r="V1436" s="142"/>
      <c r="W1436" s="141">
        <v>36</v>
      </c>
      <c r="X1436" s="146">
        <f t="shared" si="2769"/>
        <v>0</v>
      </c>
      <c r="Y1436" s="146">
        <f t="shared" si="2773"/>
        <v>0</v>
      </c>
      <c r="Z1436" s="146">
        <f t="shared" si="2774"/>
        <v>864</v>
      </c>
      <c r="AA1436" s="147">
        <f t="shared" si="2775"/>
        <v>0</v>
      </c>
      <c r="AB1436" s="147">
        <f t="shared" si="2776"/>
        <v>0</v>
      </c>
      <c r="AC1436" s="148">
        <f t="shared" si="2777"/>
        <v>0</v>
      </c>
      <c r="AD1436" s="206"/>
      <c r="AE1436" s="148">
        <f t="shared" si="2778"/>
        <v>-864</v>
      </c>
      <c r="AF1436" s="206"/>
      <c r="AG1436" s="8"/>
      <c r="AH1436">
        <v>15981.99</v>
      </c>
      <c r="AJ1436" s="170"/>
    </row>
    <row r="1437" spans="1:36" x14ac:dyDescent="0.45">
      <c r="A1437" s="137">
        <f>A1433</f>
        <v>46026</v>
      </c>
      <c r="B1437" s="145" t="s">
        <v>64</v>
      </c>
      <c r="C1437" s="139">
        <f>80*W1437</f>
        <v>2400</v>
      </c>
      <c r="D1437" s="140">
        <v>23.5</v>
      </c>
      <c r="E1437" s="140">
        <v>0</v>
      </c>
      <c r="F1437" s="140">
        <v>0</v>
      </c>
      <c r="G1437" s="140">
        <v>0</v>
      </c>
      <c r="H1437" s="140">
        <v>0</v>
      </c>
      <c r="I1437" s="140">
        <v>40</v>
      </c>
      <c r="J1437" s="140">
        <v>24</v>
      </c>
      <c r="K1437" s="140">
        <v>0</v>
      </c>
      <c r="L1437" s="162">
        <v>0</v>
      </c>
      <c r="M1437" s="142"/>
      <c r="N1437" s="140">
        <v>23.5</v>
      </c>
      <c r="O1437" s="140">
        <v>0</v>
      </c>
      <c r="P1437" s="140">
        <v>0</v>
      </c>
      <c r="Q1437" s="140">
        <v>0</v>
      </c>
      <c r="R1437" s="142"/>
      <c r="S1437" s="140">
        <f t="shared" si="2770"/>
        <v>23.5</v>
      </c>
      <c r="T1437" s="140">
        <f t="shared" si="2771"/>
        <v>23.5</v>
      </c>
      <c r="U1437" s="140">
        <f t="shared" si="2772"/>
        <v>64</v>
      </c>
      <c r="V1437" s="142"/>
      <c r="W1437" s="146">
        <v>30</v>
      </c>
      <c r="X1437" s="146">
        <f>(W1437*1*D1437)+(W1437*1.5*E1437)+(W1437*2*F1437)+(W1437*1*G1437)</f>
        <v>705</v>
      </c>
      <c r="Y1437" s="146">
        <f t="shared" si="2773"/>
        <v>1200</v>
      </c>
      <c r="Z1437" s="146">
        <f t="shared" si="2774"/>
        <v>720</v>
      </c>
      <c r="AA1437" s="147">
        <f t="shared" si="2775"/>
        <v>0</v>
      </c>
      <c r="AB1437" s="147">
        <f t="shared" si="2776"/>
        <v>705</v>
      </c>
      <c r="AC1437" s="148">
        <f t="shared" si="2777"/>
        <v>-1200</v>
      </c>
      <c r="AD1437" s="206"/>
      <c r="AE1437" s="148">
        <f t="shared" si="2778"/>
        <v>-720</v>
      </c>
      <c r="AF1437" s="206"/>
      <c r="AG1437" s="8"/>
      <c r="AH1437">
        <v>-1619.98</v>
      </c>
      <c r="AJ1437" s="170"/>
    </row>
    <row r="1438" spans="1:36" x14ac:dyDescent="0.45">
      <c r="A1438" s="137">
        <f>A1433</f>
        <v>46026</v>
      </c>
      <c r="B1438" s="145" t="s">
        <v>54</v>
      </c>
      <c r="C1438" s="139">
        <f>80*W1438</f>
        <v>2453.6000000000004</v>
      </c>
      <c r="D1438" s="140">
        <v>0</v>
      </c>
      <c r="E1438" s="140">
        <v>0</v>
      </c>
      <c r="F1438" s="140">
        <v>0</v>
      </c>
      <c r="G1438" s="140">
        <v>14.25</v>
      </c>
      <c r="H1438" s="140">
        <v>0</v>
      </c>
      <c r="I1438" s="140">
        <v>0</v>
      </c>
      <c r="J1438" s="140">
        <v>24</v>
      </c>
      <c r="K1438" s="140">
        <v>0</v>
      </c>
      <c r="L1438" s="162">
        <v>0</v>
      </c>
      <c r="M1438" s="142"/>
      <c r="N1438" s="140">
        <v>0</v>
      </c>
      <c r="O1438" s="140">
        <v>0</v>
      </c>
      <c r="P1438" s="140">
        <v>0</v>
      </c>
      <c r="Q1438" s="140">
        <v>13.25</v>
      </c>
      <c r="R1438" s="142"/>
      <c r="S1438" s="140">
        <f t="shared" si="2770"/>
        <v>14.25</v>
      </c>
      <c r="T1438" s="140">
        <f t="shared" si="2771"/>
        <v>13.25</v>
      </c>
      <c r="U1438" s="140">
        <f t="shared" si="2772"/>
        <v>24</v>
      </c>
      <c r="V1438" s="142"/>
      <c r="W1438" s="146">
        <v>30.67</v>
      </c>
      <c r="X1438" s="146">
        <f t="shared" ref="X1438:X1443" si="2779">(W1438*1*D1438)+(W1438*1.5*E1438)+(W1438*2*F1438)+(W1438*1*G1438)</f>
        <v>437.04750000000001</v>
      </c>
      <c r="Y1438" s="146">
        <f t="shared" si="2773"/>
        <v>0</v>
      </c>
      <c r="Z1438" s="146">
        <f t="shared" si="2774"/>
        <v>736.08</v>
      </c>
      <c r="AA1438" s="147">
        <f t="shared" si="2775"/>
        <v>0</v>
      </c>
      <c r="AB1438" s="147">
        <f t="shared" si="2776"/>
        <v>406.3775</v>
      </c>
      <c r="AC1438" s="148">
        <f t="shared" si="2777"/>
        <v>0</v>
      </c>
      <c r="AD1438" s="206"/>
      <c r="AE1438" s="148">
        <f t="shared" si="2778"/>
        <v>-766.75</v>
      </c>
      <c r="AF1438" s="206"/>
      <c r="AG1438" s="8"/>
      <c r="AH1438">
        <v>-3458.47</v>
      </c>
      <c r="AJ1438" s="170"/>
    </row>
    <row r="1439" spans="1:36" ht="14.65" thickBot="1" x14ac:dyDescent="0.5">
      <c r="A1439" s="149">
        <f>A1433</f>
        <v>46026</v>
      </c>
      <c r="B1439" s="150" t="s">
        <v>66</v>
      </c>
      <c r="C1439" s="151">
        <f>80*W1439</f>
        <v>2160</v>
      </c>
      <c r="D1439" s="152">
        <v>11.5</v>
      </c>
      <c r="E1439" s="152">
        <v>0</v>
      </c>
      <c r="F1439" s="152">
        <v>0</v>
      </c>
      <c r="G1439" s="152">
        <v>0</v>
      </c>
      <c r="H1439" s="152">
        <v>0</v>
      </c>
      <c r="I1439" s="152">
        <v>40</v>
      </c>
      <c r="J1439" s="152">
        <v>24</v>
      </c>
      <c r="K1439" s="152">
        <v>0</v>
      </c>
      <c r="L1439" s="163">
        <v>0</v>
      </c>
      <c r="M1439" s="154"/>
      <c r="N1439" s="152">
        <v>11.5</v>
      </c>
      <c r="O1439" s="152">
        <v>0</v>
      </c>
      <c r="P1439" s="152">
        <v>0</v>
      </c>
      <c r="Q1439" s="152">
        <v>0</v>
      </c>
      <c r="R1439" s="154"/>
      <c r="S1439" s="152">
        <f t="shared" si="2770"/>
        <v>11.5</v>
      </c>
      <c r="T1439" s="152">
        <f t="shared" si="2771"/>
        <v>11.5</v>
      </c>
      <c r="U1439" s="152">
        <f t="shared" si="2772"/>
        <v>64</v>
      </c>
      <c r="V1439" s="154"/>
      <c r="W1439" s="153">
        <v>27</v>
      </c>
      <c r="X1439" s="153">
        <f t="shared" si="2779"/>
        <v>310.5</v>
      </c>
      <c r="Y1439" s="153">
        <f t="shared" si="2773"/>
        <v>1080</v>
      </c>
      <c r="Z1439" s="153">
        <f t="shared" si="2774"/>
        <v>648</v>
      </c>
      <c r="AA1439" s="155">
        <f t="shared" si="2775"/>
        <v>0</v>
      </c>
      <c r="AB1439" s="155">
        <f t="shared" si="2776"/>
        <v>310.5</v>
      </c>
      <c r="AC1439" s="156">
        <f t="shared" si="2777"/>
        <v>-1080</v>
      </c>
      <c r="AD1439" s="207"/>
      <c r="AE1439" s="156">
        <f t="shared" si="2778"/>
        <v>-648</v>
      </c>
      <c r="AF1439" s="207"/>
      <c r="AG1439" s="8"/>
      <c r="AH1439">
        <f>SUM(AH1436:AH1438)</f>
        <v>10903.54</v>
      </c>
    </row>
    <row r="1440" spans="1:36" x14ac:dyDescent="0.45">
      <c r="A1440" s="129">
        <f>A1439+14</f>
        <v>46040</v>
      </c>
      <c r="B1440" s="130" t="s">
        <v>30</v>
      </c>
      <c r="C1440" s="131">
        <f>120*W1440</f>
        <v>4680</v>
      </c>
      <c r="D1440" s="132">
        <v>80</v>
      </c>
      <c r="E1440" s="132">
        <v>8</v>
      </c>
      <c r="F1440" s="132">
        <v>0</v>
      </c>
      <c r="G1440" s="132">
        <v>4</v>
      </c>
      <c r="H1440" s="132">
        <v>0</v>
      </c>
      <c r="I1440" s="132">
        <v>0</v>
      </c>
      <c r="J1440" s="132">
        <v>0</v>
      </c>
      <c r="K1440" s="132">
        <v>0</v>
      </c>
      <c r="L1440" s="161">
        <v>0</v>
      </c>
      <c r="M1440" s="134"/>
      <c r="N1440" s="132">
        <v>80</v>
      </c>
      <c r="O1440" s="132">
        <v>8</v>
      </c>
      <c r="P1440" s="132">
        <v>0</v>
      </c>
      <c r="Q1440" s="132">
        <v>4</v>
      </c>
      <c r="R1440" s="134"/>
      <c r="S1440" s="132">
        <f t="shared" ref="S1440:S1446" si="2780">SUM(D1440:G1440)</f>
        <v>92</v>
      </c>
      <c r="T1440" s="132">
        <f t="shared" ref="T1440:T1446" si="2781">SUM(N1440:Q1440)</f>
        <v>92</v>
      </c>
      <c r="U1440" s="132">
        <f t="shared" ref="U1440:U1446" si="2782">SUM(H1440:K1440)</f>
        <v>0</v>
      </c>
      <c r="V1440" s="134"/>
      <c r="W1440" s="133">
        <v>39</v>
      </c>
      <c r="X1440" s="133">
        <f t="shared" si="2779"/>
        <v>3744</v>
      </c>
      <c r="Y1440" s="133">
        <f t="shared" ref="Y1440:Y1446" si="2783">(W1440*0*H1440)+(W1440*1*I1440)</f>
        <v>0</v>
      </c>
      <c r="Z1440" s="133">
        <f t="shared" ref="Z1440:Z1446" si="2784">(W1440*1*J1440)+L1440</f>
        <v>0</v>
      </c>
      <c r="AA1440" s="135">
        <f t="shared" ref="AA1440:AA1446" si="2785">(W1440*1*K1440)</f>
        <v>0</v>
      </c>
      <c r="AB1440" s="135">
        <f t="shared" ref="AB1440:AB1446" si="2786">(W1440*1*N1440)+(W1440*1.5*O1440)+(W1440*2*P1440)+(W1440*1*Q1440)</f>
        <v>3744</v>
      </c>
      <c r="AC1440" s="136">
        <f t="shared" ref="AC1440:AC1446" si="2787">0-Y1440-AA1440</f>
        <v>0</v>
      </c>
      <c r="AD1440" s="205"/>
      <c r="AE1440" s="136">
        <f t="shared" ref="AE1440:AE1446" si="2788">AB1440-(X1440+Z1440)</f>
        <v>0</v>
      </c>
      <c r="AF1440" s="205">
        <f>SUM(AE1440:AE1446)</f>
        <v>8.5</v>
      </c>
      <c r="AG1440" s="8"/>
    </row>
    <row r="1441" spans="1:36" x14ac:dyDescent="0.45">
      <c r="A1441" s="137">
        <f>A1440</f>
        <v>46040</v>
      </c>
      <c r="B1441" s="138" t="s">
        <v>5</v>
      </c>
      <c r="C1441" s="139">
        <f>120*W1441</f>
        <v>4200</v>
      </c>
      <c r="D1441" s="140">
        <v>80</v>
      </c>
      <c r="E1441" s="140">
        <v>13.5</v>
      </c>
      <c r="F1441" s="140">
        <v>0</v>
      </c>
      <c r="G1441" s="140">
        <v>0</v>
      </c>
      <c r="H1441" s="140">
        <v>0</v>
      </c>
      <c r="I1441" s="140">
        <v>0</v>
      </c>
      <c r="J1441" s="140">
        <v>0</v>
      </c>
      <c r="K1441" s="140">
        <v>0</v>
      </c>
      <c r="L1441" s="162">
        <v>0</v>
      </c>
      <c r="M1441" s="142"/>
      <c r="N1441" s="140">
        <v>80</v>
      </c>
      <c r="O1441" s="140">
        <v>12.5</v>
      </c>
      <c r="P1441" s="140">
        <v>1</v>
      </c>
      <c r="Q1441" s="140">
        <v>0</v>
      </c>
      <c r="R1441" s="142"/>
      <c r="S1441" s="140">
        <f t="shared" si="2780"/>
        <v>93.5</v>
      </c>
      <c r="T1441" s="140">
        <f t="shared" si="2781"/>
        <v>93.5</v>
      </c>
      <c r="U1441" s="140">
        <f t="shared" si="2782"/>
        <v>0</v>
      </c>
      <c r="V1441" s="142"/>
      <c r="W1441" s="141">
        <v>35</v>
      </c>
      <c r="X1441" s="141">
        <f t="shared" si="2779"/>
        <v>3508.75</v>
      </c>
      <c r="Y1441" s="141">
        <f t="shared" si="2783"/>
        <v>0</v>
      </c>
      <c r="Z1441" s="141">
        <f t="shared" si="2784"/>
        <v>0</v>
      </c>
      <c r="AA1441" s="143">
        <f t="shared" si="2785"/>
        <v>0</v>
      </c>
      <c r="AB1441" s="143">
        <f t="shared" si="2786"/>
        <v>3526.25</v>
      </c>
      <c r="AC1441" s="144">
        <f t="shared" si="2787"/>
        <v>0</v>
      </c>
      <c r="AD1441" s="206"/>
      <c r="AE1441" s="144">
        <f t="shared" si="2788"/>
        <v>17.5</v>
      </c>
      <c r="AF1441" s="206"/>
      <c r="AG1441" s="8"/>
    </row>
    <row r="1442" spans="1:36" x14ac:dyDescent="0.45">
      <c r="A1442" s="137">
        <f>A1440</f>
        <v>46040</v>
      </c>
      <c r="B1442" s="138" t="s">
        <v>6</v>
      </c>
      <c r="C1442" s="139">
        <f>120*W1442</f>
        <v>4320</v>
      </c>
      <c r="D1442" s="140">
        <v>30</v>
      </c>
      <c r="E1442" s="140">
        <v>0</v>
      </c>
      <c r="F1442" s="140">
        <v>0</v>
      </c>
      <c r="G1442" s="140">
        <v>2</v>
      </c>
      <c r="H1442" s="140">
        <v>0</v>
      </c>
      <c r="I1442" s="140">
        <v>0</v>
      </c>
      <c r="J1442" s="140">
        <v>0</v>
      </c>
      <c r="K1442" s="140">
        <v>21</v>
      </c>
      <c r="L1442" s="162">
        <v>0</v>
      </c>
      <c r="M1442" s="142"/>
      <c r="N1442" s="140">
        <v>29.75</v>
      </c>
      <c r="O1442" s="140">
        <v>0</v>
      </c>
      <c r="P1442" s="140">
        <v>0</v>
      </c>
      <c r="Q1442" s="140">
        <v>2</v>
      </c>
      <c r="R1442" s="142"/>
      <c r="S1442" s="140">
        <f t="shared" si="2780"/>
        <v>32</v>
      </c>
      <c r="T1442" s="140">
        <f t="shared" si="2781"/>
        <v>31.75</v>
      </c>
      <c r="U1442" s="140">
        <f t="shared" si="2782"/>
        <v>21</v>
      </c>
      <c r="V1442" s="142"/>
      <c r="W1442" s="141">
        <v>36</v>
      </c>
      <c r="X1442" s="141">
        <f t="shared" si="2779"/>
        <v>1152</v>
      </c>
      <c r="Y1442" s="141">
        <f t="shared" si="2783"/>
        <v>0</v>
      </c>
      <c r="Z1442" s="141">
        <f t="shared" si="2784"/>
        <v>0</v>
      </c>
      <c r="AA1442" s="143">
        <f t="shared" si="2785"/>
        <v>756</v>
      </c>
      <c r="AB1442" s="143">
        <f t="shared" si="2786"/>
        <v>1143</v>
      </c>
      <c r="AC1442" s="144">
        <f t="shared" si="2787"/>
        <v>-756</v>
      </c>
      <c r="AD1442" s="206"/>
      <c r="AE1442" s="144">
        <f t="shared" si="2788"/>
        <v>-9</v>
      </c>
      <c r="AF1442" s="206"/>
      <c r="AG1442" s="8"/>
    </row>
    <row r="1443" spans="1:36" x14ac:dyDescent="0.45">
      <c r="A1443" s="137">
        <f>A1440</f>
        <v>46040</v>
      </c>
      <c r="B1443" s="145" t="s">
        <v>31</v>
      </c>
      <c r="C1443" s="139">
        <f>120*W1443</f>
        <v>4320</v>
      </c>
      <c r="D1443" s="140">
        <v>80</v>
      </c>
      <c r="E1443" s="140">
        <v>28</v>
      </c>
      <c r="F1443" s="140">
        <v>12</v>
      </c>
      <c r="G1443" s="140">
        <v>17.75</v>
      </c>
      <c r="H1443" s="140">
        <v>0</v>
      </c>
      <c r="I1443" s="140">
        <v>0</v>
      </c>
      <c r="J1443" s="140">
        <v>0</v>
      </c>
      <c r="K1443" s="140">
        <v>0</v>
      </c>
      <c r="L1443" s="162">
        <v>0</v>
      </c>
      <c r="M1443" s="142"/>
      <c r="N1443" s="140">
        <v>80</v>
      </c>
      <c r="O1443" s="140">
        <v>28</v>
      </c>
      <c r="P1443" s="140">
        <v>12</v>
      </c>
      <c r="Q1443" s="140">
        <v>17.75</v>
      </c>
      <c r="R1443" s="142"/>
      <c r="S1443" s="140">
        <f t="shared" si="2780"/>
        <v>137.75</v>
      </c>
      <c r="T1443" s="140">
        <f t="shared" si="2781"/>
        <v>137.75</v>
      </c>
      <c r="U1443" s="140">
        <f t="shared" si="2782"/>
        <v>0</v>
      </c>
      <c r="V1443" s="142"/>
      <c r="W1443" s="141">
        <v>36</v>
      </c>
      <c r="X1443" s="146">
        <f t="shared" si="2779"/>
        <v>5895</v>
      </c>
      <c r="Y1443" s="146">
        <f t="shared" si="2783"/>
        <v>0</v>
      </c>
      <c r="Z1443" s="146">
        <f t="shared" si="2784"/>
        <v>0</v>
      </c>
      <c r="AA1443" s="147">
        <f t="shared" si="2785"/>
        <v>0</v>
      </c>
      <c r="AB1443" s="147">
        <f t="shared" si="2786"/>
        <v>5895</v>
      </c>
      <c r="AC1443" s="148">
        <f t="shared" si="2787"/>
        <v>0</v>
      </c>
      <c r="AD1443" s="206"/>
      <c r="AE1443" s="148">
        <f t="shared" si="2788"/>
        <v>0</v>
      </c>
      <c r="AF1443" s="206"/>
      <c r="AG1443" s="8"/>
      <c r="AH1443">
        <v>26877.8</v>
      </c>
      <c r="AJ1443" s="170"/>
    </row>
    <row r="1444" spans="1:36" x14ac:dyDescent="0.45">
      <c r="A1444" s="137">
        <f>A1440</f>
        <v>46040</v>
      </c>
      <c r="B1444" s="145" t="s">
        <v>64</v>
      </c>
      <c r="C1444" s="139">
        <f>80*W1444</f>
        <v>2400</v>
      </c>
      <c r="D1444" s="140">
        <v>80</v>
      </c>
      <c r="E1444" s="140">
        <v>35</v>
      </c>
      <c r="F1444" s="140">
        <v>0</v>
      </c>
      <c r="G1444" s="140">
        <v>0</v>
      </c>
      <c r="H1444" s="140">
        <v>0</v>
      </c>
      <c r="I1444" s="140">
        <v>0</v>
      </c>
      <c r="J1444" s="140">
        <v>0</v>
      </c>
      <c r="K1444" s="140">
        <v>0</v>
      </c>
      <c r="L1444" s="162">
        <v>0</v>
      </c>
      <c r="M1444" s="142"/>
      <c r="N1444" s="140">
        <v>80</v>
      </c>
      <c r="O1444" s="140">
        <v>35</v>
      </c>
      <c r="P1444" s="140">
        <v>0</v>
      </c>
      <c r="Q1444" s="140">
        <v>0</v>
      </c>
      <c r="R1444" s="142"/>
      <c r="S1444" s="140">
        <f t="shared" si="2780"/>
        <v>115</v>
      </c>
      <c r="T1444" s="140">
        <f t="shared" si="2781"/>
        <v>115</v>
      </c>
      <c r="U1444" s="140">
        <f t="shared" si="2782"/>
        <v>0</v>
      </c>
      <c r="V1444" s="142"/>
      <c r="W1444" s="146">
        <v>30</v>
      </c>
      <c r="X1444" s="146">
        <f>(W1444*1*D1444)+(W1444*1.5*E1444)+(W1444*2*F1444)+(W1444*1*G1444)</f>
        <v>3975</v>
      </c>
      <c r="Y1444" s="146">
        <f t="shared" si="2783"/>
        <v>0</v>
      </c>
      <c r="Z1444" s="146">
        <f t="shared" si="2784"/>
        <v>0</v>
      </c>
      <c r="AA1444" s="147">
        <f t="shared" si="2785"/>
        <v>0</v>
      </c>
      <c r="AB1444" s="147">
        <f t="shared" si="2786"/>
        <v>3975</v>
      </c>
      <c r="AC1444" s="148">
        <f t="shared" si="2787"/>
        <v>0</v>
      </c>
      <c r="AD1444" s="206"/>
      <c r="AE1444" s="148">
        <f t="shared" si="2788"/>
        <v>0</v>
      </c>
      <c r="AF1444" s="206"/>
      <c r="AG1444" s="8"/>
      <c r="AH1444">
        <v>-3120.65</v>
      </c>
      <c r="AJ1444" s="170"/>
    </row>
    <row r="1445" spans="1:36" x14ac:dyDescent="0.45">
      <c r="A1445" s="137">
        <f>A1440</f>
        <v>46040</v>
      </c>
      <c r="B1445" s="145" t="s">
        <v>54</v>
      </c>
      <c r="C1445" s="139">
        <f>80*W1445</f>
        <v>2453.6000000000004</v>
      </c>
      <c r="D1445" s="140">
        <v>80</v>
      </c>
      <c r="E1445" s="140">
        <v>40</v>
      </c>
      <c r="F1445" s="140">
        <v>8</v>
      </c>
      <c r="G1445" s="140">
        <v>12</v>
      </c>
      <c r="H1445" s="140">
        <v>0</v>
      </c>
      <c r="I1445" s="140">
        <v>0</v>
      </c>
      <c r="J1445" s="140">
        <v>0</v>
      </c>
      <c r="K1445" s="140">
        <v>0</v>
      </c>
      <c r="L1445" s="162">
        <v>0</v>
      </c>
      <c r="M1445" s="142"/>
      <c r="N1445" s="140">
        <v>80</v>
      </c>
      <c r="O1445" s="140">
        <v>40</v>
      </c>
      <c r="P1445" s="140">
        <v>8</v>
      </c>
      <c r="Q1445" s="140">
        <v>12</v>
      </c>
      <c r="R1445" s="142"/>
      <c r="S1445" s="140">
        <f t="shared" si="2780"/>
        <v>140</v>
      </c>
      <c r="T1445" s="140">
        <f t="shared" si="2781"/>
        <v>140</v>
      </c>
      <c r="U1445" s="140">
        <f t="shared" si="2782"/>
        <v>0</v>
      </c>
      <c r="V1445" s="142"/>
      <c r="W1445" s="146">
        <v>30.67</v>
      </c>
      <c r="X1445" s="146">
        <f t="shared" ref="X1445:X1450" si="2789">(W1445*1*D1445)+(W1445*1.5*E1445)+(W1445*2*F1445)+(W1445*1*G1445)</f>
        <v>5152.5600000000004</v>
      </c>
      <c r="Y1445" s="146">
        <f t="shared" si="2783"/>
        <v>0</v>
      </c>
      <c r="Z1445" s="146">
        <f t="shared" si="2784"/>
        <v>0</v>
      </c>
      <c r="AA1445" s="147">
        <f t="shared" si="2785"/>
        <v>0</v>
      </c>
      <c r="AB1445" s="147">
        <f t="shared" si="2786"/>
        <v>5152.5600000000004</v>
      </c>
      <c r="AC1445" s="148">
        <f t="shared" si="2787"/>
        <v>0</v>
      </c>
      <c r="AD1445" s="206"/>
      <c r="AE1445" s="148">
        <f t="shared" si="2788"/>
        <v>0</v>
      </c>
      <c r="AF1445" s="206"/>
      <c r="AG1445" s="8"/>
      <c r="AH1445">
        <v>-3475.37</v>
      </c>
      <c r="AI1445">
        <v>2900</v>
      </c>
      <c r="AJ1445" s="170">
        <f>-(AH1445)-AI1445</f>
        <v>575.36999999999989</v>
      </c>
    </row>
    <row r="1446" spans="1:36" ht="14.65" thickBot="1" x14ac:dyDescent="0.5">
      <c r="A1446" s="149">
        <f>A1440</f>
        <v>46040</v>
      </c>
      <c r="B1446" s="150" t="s">
        <v>66</v>
      </c>
      <c r="C1446" s="151">
        <f>80*W1446</f>
        <v>2160</v>
      </c>
      <c r="D1446" s="152">
        <v>80</v>
      </c>
      <c r="E1446" s="152">
        <v>28</v>
      </c>
      <c r="F1446" s="152">
        <v>12</v>
      </c>
      <c r="G1446" s="152">
        <v>17.75</v>
      </c>
      <c r="H1446" s="152">
        <v>0</v>
      </c>
      <c r="I1446" s="152">
        <v>0</v>
      </c>
      <c r="J1446" s="152">
        <v>0</v>
      </c>
      <c r="K1446" s="152">
        <v>0</v>
      </c>
      <c r="L1446" s="163">
        <v>0</v>
      </c>
      <c r="M1446" s="154"/>
      <c r="N1446" s="152">
        <v>80</v>
      </c>
      <c r="O1446" s="152">
        <v>28</v>
      </c>
      <c r="P1446" s="152">
        <v>12</v>
      </c>
      <c r="Q1446" s="152">
        <v>17.75</v>
      </c>
      <c r="R1446" s="154"/>
      <c r="S1446" s="152">
        <f t="shared" si="2780"/>
        <v>137.75</v>
      </c>
      <c r="T1446" s="152">
        <f t="shared" si="2781"/>
        <v>137.75</v>
      </c>
      <c r="U1446" s="152">
        <f t="shared" si="2782"/>
        <v>0</v>
      </c>
      <c r="V1446" s="154"/>
      <c r="W1446" s="153">
        <v>27</v>
      </c>
      <c r="X1446" s="153">
        <f t="shared" si="2789"/>
        <v>4421.25</v>
      </c>
      <c r="Y1446" s="153">
        <f t="shared" si="2783"/>
        <v>0</v>
      </c>
      <c r="Z1446" s="153">
        <f t="shared" si="2784"/>
        <v>0</v>
      </c>
      <c r="AA1446" s="155">
        <f t="shared" si="2785"/>
        <v>0</v>
      </c>
      <c r="AB1446" s="155">
        <f t="shared" si="2786"/>
        <v>4421.25</v>
      </c>
      <c r="AC1446" s="156">
        <f t="shared" si="2787"/>
        <v>0</v>
      </c>
      <c r="AD1446" s="207"/>
      <c r="AE1446" s="156">
        <f t="shared" si="2788"/>
        <v>0</v>
      </c>
      <c r="AF1446" s="207"/>
      <c r="AG1446" s="8"/>
      <c r="AH1446">
        <f>SUM(AH1443:AH1445)</f>
        <v>20281.78</v>
      </c>
    </row>
    <row r="1447" spans="1:36" x14ac:dyDescent="0.45">
      <c r="A1447" s="129">
        <f>A1446+14</f>
        <v>46054</v>
      </c>
      <c r="B1447" s="130" t="s">
        <v>30</v>
      </c>
      <c r="C1447" s="131">
        <f>120*W1447</f>
        <v>4680</v>
      </c>
      <c r="D1447" s="132">
        <v>80</v>
      </c>
      <c r="E1447" s="132">
        <v>16.75</v>
      </c>
      <c r="F1447" s="132">
        <v>12</v>
      </c>
      <c r="G1447" s="132">
        <v>8</v>
      </c>
      <c r="H1447" s="132">
        <v>0</v>
      </c>
      <c r="I1447" s="132">
        <v>0</v>
      </c>
      <c r="J1447" s="132">
        <v>0</v>
      </c>
      <c r="K1447" s="132">
        <v>0</v>
      </c>
      <c r="L1447" s="161">
        <v>0</v>
      </c>
      <c r="M1447" s="134"/>
      <c r="N1447" s="132">
        <v>80</v>
      </c>
      <c r="O1447" s="132">
        <v>16.75</v>
      </c>
      <c r="P1447" s="132">
        <v>12</v>
      </c>
      <c r="Q1447" s="132">
        <v>8</v>
      </c>
      <c r="R1447" s="134"/>
      <c r="S1447" s="132">
        <f t="shared" ref="S1447:S1453" si="2790">SUM(D1447:G1447)</f>
        <v>116.75</v>
      </c>
      <c r="T1447" s="132">
        <f t="shared" ref="T1447:T1453" si="2791">SUM(N1447:Q1447)</f>
        <v>116.75</v>
      </c>
      <c r="U1447" s="132">
        <f t="shared" ref="U1447:U1453" si="2792">SUM(H1447:K1447)</f>
        <v>0</v>
      </c>
      <c r="V1447" s="134"/>
      <c r="W1447" s="133">
        <v>39</v>
      </c>
      <c r="X1447" s="133">
        <f t="shared" si="2789"/>
        <v>5347.875</v>
      </c>
      <c r="Y1447" s="133">
        <f t="shared" ref="Y1447:Y1453" si="2793">(W1447*0*H1447)+(W1447*1*I1447)</f>
        <v>0</v>
      </c>
      <c r="Z1447" s="133">
        <f t="shared" ref="Z1447:Z1453" si="2794">(W1447*1*J1447)+L1447</f>
        <v>0</v>
      </c>
      <c r="AA1447" s="135">
        <f t="shared" ref="AA1447:AA1453" si="2795">(W1447*1*K1447)</f>
        <v>0</v>
      </c>
      <c r="AB1447" s="135">
        <f t="shared" ref="AB1447:AB1453" si="2796">(W1447*1*N1447)+(W1447*1.5*O1447)+(W1447*2*P1447)+(W1447*1*Q1447)</f>
        <v>5347.875</v>
      </c>
      <c r="AC1447" s="136">
        <f t="shared" ref="AC1447:AC1453" si="2797">0-Y1447-AA1447</f>
        <v>0</v>
      </c>
      <c r="AD1447" s="205"/>
      <c r="AE1447" s="136">
        <f t="shared" ref="AE1447:AE1453" si="2798">AB1447-(X1447+Z1447)</f>
        <v>0</v>
      </c>
      <c r="AF1447" s="205">
        <f>SUM(AE1447:AE1453)</f>
        <v>-253.02750000000015</v>
      </c>
      <c r="AG1447" s="8"/>
    </row>
    <row r="1448" spans="1:36" x14ac:dyDescent="0.45">
      <c r="A1448" s="137">
        <f>A1447</f>
        <v>46054</v>
      </c>
      <c r="B1448" s="138" t="s">
        <v>5</v>
      </c>
      <c r="C1448" s="139">
        <f>120*W1448</f>
        <v>4200</v>
      </c>
      <c r="D1448" s="140">
        <v>80</v>
      </c>
      <c r="E1448" s="140">
        <v>0</v>
      </c>
      <c r="F1448" s="140">
        <v>0</v>
      </c>
      <c r="G1448" s="140">
        <v>0</v>
      </c>
      <c r="H1448" s="140">
        <v>0</v>
      </c>
      <c r="I1448" s="140">
        <v>0</v>
      </c>
      <c r="J1448" s="140">
        <v>0</v>
      </c>
      <c r="K1448" s="140">
        <v>0</v>
      </c>
      <c r="L1448" s="162">
        <v>0</v>
      </c>
      <c r="M1448" s="142"/>
      <c r="N1448" s="140">
        <v>80</v>
      </c>
      <c r="O1448" s="140">
        <v>0</v>
      </c>
      <c r="P1448" s="140">
        <v>0</v>
      </c>
      <c r="Q1448" s="140">
        <v>0</v>
      </c>
      <c r="R1448" s="142"/>
      <c r="S1448" s="140">
        <f t="shared" si="2790"/>
        <v>80</v>
      </c>
      <c r="T1448" s="140">
        <f t="shared" si="2791"/>
        <v>80</v>
      </c>
      <c r="U1448" s="140">
        <f t="shared" si="2792"/>
        <v>0</v>
      </c>
      <c r="V1448" s="142"/>
      <c r="W1448" s="141">
        <v>35</v>
      </c>
      <c r="X1448" s="141">
        <f t="shared" si="2789"/>
        <v>2800</v>
      </c>
      <c r="Y1448" s="141">
        <f t="shared" si="2793"/>
        <v>0</v>
      </c>
      <c r="Z1448" s="141">
        <f t="shared" si="2794"/>
        <v>0</v>
      </c>
      <c r="AA1448" s="143">
        <f t="shared" si="2795"/>
        <v>0</v>
      </c>
      <c r="AB1448" s="143">
        <f t="shared" si="2796"/>
        <v>2800</v>
      </c>
      <c r="AC1448" s="144">
        <f t="shared" si="2797"/>
        <v>0</v>
      </c>
      <c r="AD1448" s="206"/>
      <c r="AE1448" s="144">
        <f t="shared" si="2798"/>
        <v>0</v>
      </c>
      <c r="AF1448" s="206"/>
      <c r="AG1448" s="8"/>
    </row>
    <row r="1449" spans="1:36" x14ac:dyDescent="0.45">
      <c r="A1449" s="137">
        <f>A1447</f>
        <v>46054</v>
      </c>
      <c r="B1449" s="138" t="s">
        <v>6</v>
      </c>
      <c r="C1449" s="139">
        <f>120*W1449</f>
        <v>4320</v>
      </c>
      <c r="D1449" s="140">
        <f>53.25-23</f>
        <v>30.25</v>
      </c>
      <c r="E1449" s="140">
        <v>0</v>
      </c>
      <c r="F1449" s="140">
        <v>0</v>
      </c>
      <c r="G1449" s="140">
        <v>3</v>
      </c>
      <c r="H1449" s="140">
        <v>0</v>
      </c>
      <c r="I1449" s="140">
        <v>0</v>
      </c>
      <c r="J1449" s="140">
        <v>0</v>
      </c>
      <c r="K1449" s="140">
        <v>23</v>
      </c>
      <c r="L1449" s="162">
        <v>0</v>
      </c>
      <c r="M1449" s="142"/>
      <c r="N1449" s="140">
        <v>30.25</v>
      </c>
      <c r="O1449" s="140">
        <v>0</v>
      </c>
      <c r="P1449" s="140">
        <v>0</v>
      </c>
      <c r="Q1449" s="140">
        <v>3</v>
      </c>
      <c r="R1449" s="142"/>
      <c r="S1449" s="140">
        <f t="shared" si="2790"/>
        <v>33.25</v>
      </c>
      <c r="T1449" s="140">
        <f t="shared" si="2791"/>
        <v>33.25</v>
      </c>
      <c r="U1449" s="140">
        <f t="shared" si="2792"/>
        <v>23</v>
      </c>
      <c r="V1449" s="142"/>
      <c r="W1449" s="141">
        <v>36</v>
      </c>
      <c r="X1449" s="141">
        <f t="shared" si="2789"/>
        <v>1197</v>
      </c>
      <c r="Y1449" s="141">
        <f t="shared" si="2793"/>
        <v>0</v>
      </c>
      <c r="Z1449" s="141">
        <f t="shared" si="2794"/>
        <v>0</v>
      </c>
      <c r="AA1449" s="143">
        <f t="shared" si="2795"/>
        <v>828</v>
      </c>
      <c r="AB1449" s="143">
        <f t="shared" si="2796"/>
        <v>1197</v>
      </c>
      <c r="AC1449" s="144">
        <f t="shared" si="2797"/>
        <v>-828</v>
      </c>
      <c r="AD1449" s="206"/>
      <c r="AE1449" s="144">
        <f t="shared" si="2798"/>
        <v>0</v>
      </c>
      <c r="AF1449" s="206"/>
      <c r="AG1449" s="8"/>
    </row>
    <row r="1450" spans="1:36" x14ac:dyDescent="0.45">
      <c r="A1450" s="137">
        <f>A1447</f>
        <v>46054</v>
      </c>
      <c r="B1450" s="145" t="s">
        <v>31</v>
      </c>
      <c r="C1450" s="139">
        <f>120*W1450</f>
        <v>4320</v>
      </c>
      <c r="D1450" s="140">
        <v>80</v>
      </c>
      <c r="E1450" s="140">
        <v>21.25</v>
      </c>
      <c r="F1450" s="140">
        <v>0</v>
      </c>
      <c r="G1450" s="140">
        <v>8</v>
      </c>
      <c r="H1450" s="140">
        <v>0</v>
      </c>
      <c r="I1450" s="140">
        <v>0</v>
      </c>
      <c r="J1450" s="140">
        <v>0</v>
      </c>
      <c r="K1450" s="140">
        <v>0</v>
      </c>
      <c r="L1450" s="162">
        <v>0</v>
      </c>
      <c r="M1450" s="142"/>
      <c r="N1450" s="140">
        <v>80</v>
      </c>
      <c r="O1450" s="140">
        <v>21.25</v>
      </c>
      <c r="P1450" s="140">
        <v>0</v>
      </c>
      <c r="Q1450" s="140">
        <v>8</v>
      </c>
      <c r="R1450" s="142"/>
      <c r="S1450" s="140">
        <f t="shared" si="2790"/>
        <v>109.25</v>
      </c>
      <c r="T1450" s="140">
        <f t="shared" si="2791"/>
        <v>109.25</v>
      </c>
      <c r="U1450" s="140">
        <f t="shared" si="2792"/>
        <v>0</v>
      </c>
      <c r="V1450" s="142"/>
      <c r="W1450" s="141">
        <v>36</v>
      </c>
      <c r="X1450" s="146">
        <f t="shared" si="2789"/>
        <v>4315.5</v>
      </c>
      <c r="Y1450" s="146">
        <f t="shared" si="2793"/>
        <v>0</v>
      </c>
      <c r="Z1450" s="146">
        <f t="shared" si="2794"/>
        <v>0</v>
      </c>
      <c r="AA1450" s="147">
        <f t="shared" si="2795"/>
        <v>0</v>
      </c>
      <c r="AB1450" s="147">
        <f t="shared" si="2796"/>
        <v>4315.5</v>
      </c>
      <c r="AC1450" s="148">
        <f t="shared" si="2797"/>
        <v>0</v>
      </c>
      <c r="AD1450" s="206"/>
      <c r="AE1450" s="148">
        <f t="shared" si="2798"/>
        <v>0</v>
      </c>
      <c r="AF1450" s="206"/>
      <c r="AG1450" s="8"/>
      <c r="AH1450">
        <v>26853.26</v>
      </c>
      <c r="AJ1450" s="170"/>
    </row>
    <row r="1451" spans="1:36" x14ac:dyDescent="0.45">
      <c r="A1451" s="137">
        <f>A1447</f>
        <v>46054</v>
      </c>
      <c r="B1451" s="145" t="s">
        <v>64</v>
      </c>
      <c r="C1451" s="139">
        <f>80*W1451</f>
        <v>2400</v>
      </c>
      <c r="D1451" s="140">
        <v>80</v>
      </c>
      <c r="E1451" s="140">
        <v>3.75</v>
      </c>
      <c r="F1451" s="140">
        <v>0</v>
      </c>
      <c r="G1451" s="140">
        <v>0</v>
      </c>
      <c r="H1451" s="140">
        <v>0</v>
      </c>
      <c r="I1451" s="140">
        <v>0</v>
      </c>
      <c r="J1451" s="140">
        <v>0</v>
      </c>
      <c r="K1451" s="140">
        <v>0</v>
      </c>
      <c r="L1451" s="162">
        <v>0</v>
      </c>
      <c r="M1451" s="142"/>
      <c r="N1451" s="140">
        <v>80</v>
      </c>
      <c r="O1451" s="140">
        <v>3.75</v>
      </c>
      <c r="P1451" s="140">
        <v>0</v>
      </c>
      <c r="Q1451" s="140">
        <v>0</v>
      </c>
      <c r="R1451" s="142"/>
      <c r="S1451" s="140">
        <f t="shared" si="2790"/>
        <v>83.75</v>
      </c>
      <c r="T1451" s="140">
        <f t="shared" si="2791"/>
        <v>83.75</v>
      </c>
      <c r="U1451" s="140">
        <f t="shared" si="2792"/>
        <v>0</v>
      </c>
      <c r="V1451" s="142"/>
      <c r="W1451" s="146">
        <v>30</v>
      </c>
      <c r="X1451" s="146">
        <f>(W1451*1*D1451)+(W1451*1.5*E1451)+(W1451*2*F1451)+(W1451*1*G1451)</f>
        <v>2568.75</v>
      </c>
      <c r="Y1451" s="146">
        <f t="shared" si="2793"/>
        <v>0</v>
      </c>
      <c r="Z1451" s="146">
        <f t="shared" si="2794"/>
        <v>0</v>
      </c>
      <c r="AA1451" s="147">
        <f t="shared" si="2795"/>
        <v>0</v>
      </c>
      <c r="AB1451" s="147">
        <f t="shared" si="2796"/>
        <v>2568.75</v>
      </c>
      <c r="AC1451" s="148">
        <f t="shared" si="2797"/>
        <v>0</v>
      </c>
      <c r="AD1451" s="206"/>
      <c r="AE1451" s="148">
        <f t="shared" si="2798"/>
        <v>0</v>
      </c>
      <c r="AF1451" s="206"/>
      <c r="AG1451" s="8"/>
      <c r="AH1451">
        <v>-2231.96</v>
      </c>
      <c r="AJ1451" s="170"/>
    </row>
    <row r="1452" spans="1:36" x14ac:dyDescent="0.45">
      <c r="A1452" s="137">
        <f>A1447</f>
        <v>46054</v>
      </c>
      <c r="B1452" s="145" t="s">
        <v>54</v>
      </c>
      <c r="C1452" s="139">
        <f>80*W1452</f>
        <v>2453.6000000000004</v>
      </c>
      <c r="D1452" s="140">
        <v>80</v>
      </c>
      <c r="E1452" s="140">
        <v>26</v>
      </c>
      <c r="F1452" s="140">
        <v>8</v>
      </c>
      <c r="G1452" s="140">
        <v>23</v>
      </c>
      <c r="H1452" s="140">
        <v>0</v>
      </c>
      <c r="I1452" s="140">
        <v>0</v>
      </c>
      <c r="J1452" s="140">
        <v>0</v>
      </c>
      <c r="K1452" s="140">
        <v>0</v>
      </c>
      <c r="L1452" s="162">
        <v>0</v>
      </c>
      <c r="M1452" s="142"/>
      <c r="N1452" s="140">
        <v>88</v>
      </c>
      <c r="O1452" s="140">
        <v>26</v>
      </c>
      <c r="P1452" s="140">
        <v>0</v>
      </c>
      <c r="Q1452" s="140">
        <v>22.75</v>
      </c>
      <c r="R1452" s="142"/>
      <c r="S1452" s="140">
        <f t="shared" si="2790"/>
        <v>137</v>
      </c>
      <c r="T1452" s="140">
        <f t="shared" si="2791"/>
        <v>136.75</v>
      </c>
      <c r="U1452" s="140">
        <f t="shared" si="2792"/>
        <v>0</v>
      </c>
      <c r="V1452" s="142"/>
      <c r="W1452" s="146">
        <v>30.67</v>
      </c>
      <c r="X1452" s="146">
        <f t="shared" ref="X1452:X1453" si="2799">(W1452*1*D1452)+(W1452*1.5*E1452)+(W1452*2*F1452)+(W1452*1*G1452)</f>
        <v>4845.8600000000006</v>
      </c>
      <c r="Y1452" s="146">
        <f t="shared" si="2793"/>
        <v>0</v>
      </c>
      <c r="Z1452" s="146">
        <f t="shared" si="2794"/>
        <v>0</v>
      </c>
      <c r="AA1452" s="147">
        <f t="shared" si="2795"/>
        <v>0</v>
      </c>
      <c r="AB1452" s="147">
        <f t="shared" si="2796"/>
        <v>4592.8325000000004</v>
      </c>
      <c r="AC1452" s="148">
        <f t="shared" si="2797"/>
        <v>0</v>
      </c>
      <c r="AD1452" s="206"/>
      <c r="AE1452" s="148">
        <f t="shared" si="2798"/>
        <v>-253.02750000000015</v>
      </c>
      <c r="AF1452" s="206"/>
      <c r="AG1452" s="8"/>
      <c r="AH1452">
        <v>-3475.37</v>
      </c>
      <c r="AI1452">
        <v>2900</v>
      </c>
      <c r="AJ1452" s="170">
        <f>-(AH1452)-AI1452</f>
        <v>575.36999999999989</v>
      </c>
    </row>
    <row r="1453" spans="1:36" x14ac:dyDescent="0.45">
      <c r="A1453" s="137">
        <f>A1447</f>
        <v>46054</v>
      </c>
      <c r="B1453" s="192" t="s">
        <v>66</v>
      </c>
      <c r="C1453" s="193">
        <f>80*W1453</f>
        <v>2160</v>
      </c>
      <c r="D1453" s="189">
        <v>80</v>
      </c>
      <c r="E1453" s="140">
        <v>20.25</v>
      </c>
      <c r="F1453" s="140">
        <v>0</v>
      </c>
      <c r="G1453" s="140">
        <v>0</v>
      </c>
      <c r="H1453" s="140">
        <v>0</v>
      </c>
      <c r="I1453" s="140">
        <v>0</v>
      </c>
      <c r="J1453" s="140">
        <v>0</v>
      </c>
      <c r="K1453" s="140">
        <v>0</v>
      </c>
      <c r="L1453" s="162">
        <v>0</v>
      </c>
      <c r="M1453" s="185"/>
      <c r="N1453" s="140">
        <v>80</v>
      </c>
      <c r="O1453" s="140">
        <v>20.25</v>
      </c>
      <c r="P1453" s="140">
        <v>0</v>
      </c>
      <c r="Q1453" s="188">
        <v>0</v>
      </c>
      <c r="R1453" s="190"/>
      <c r="S1453" s="189">
        <f t="shared" si="2790"/>
        <v>100.25</v>
      </c>
      <c r="T1453" s="140">
        <f t="shared" si="2791"/>
        <v>100.25</v>
      </c>
      <c r="U1453" s="188">
        <f t="shared" si="2792"/>
        <v>0</v>
      </c>
      <c r="V1453" s="190"/>
      <c r="W1453" s="191">
        <v>27</v>
      </c>
      <c r="X1453" s="141">
        <f t="shared" si="2799"/>
        <v>2980.125</v>
      </c>
      <c r="Y1453" s="141">
        <f t="shared" si="2793"/>
        <v>0</v>
      </c>
      <c r="Z1453" s="141">
        <f t="shared" si="2794"/>
        <v>0</v>
      </c>
      <c r="AA1453" s="143">
        <f t="shared" si="2795"/>
        <v>0</v>
      </c>
      <c r="AB1453" s="143">
        <f t="shared" si="2796"/>
        <v>2980.125</v>
      </c>
      <c r="AC1453" s="144">
        <f t="shared" si="2797"/>
        <v>0</v>
      </c>
      <c r="AD1453" s="206"/>
      <c r="AE1453" s="186">
        <f t="shared" si="2798"/>
        <v>0</v>
      </c>
      <c r="AF1453" s="206"/>
      <c r="AG1453" s="8"/>
      <c r="AH1453">
        <f>SUM(AH1450:AH1452)</f>
        <v>21145.93</v>
      </c>
    </row>
    <row r="1454" spans="1:36" ht="14.65" thickBot="1" x14ac:dyDescent="0.5">
      <c r="A1454" s="179">
        <f>A1448</f>
        <v>46054</v>
      </c>
      <c r="B1454" s="187" t="s">
        <v>121</v>
      </c>
      <c r="C1454" s="151">
        <f>80*W1454</f>
        <v>2720</v>
      </c>
      <c r="D1454" s="180">
        <v>80</v>
      </c>
      <c r="E1454" s="180">
        <v>1</v>
      </c>
      <c r="F1454" s="180">
        <v>0</v>
      </c>
      <c r="G1454" s="180">
        <v>0</v>
      </c>
      <c r="H1454" s="180">
        <v>0</v>
      </c>
      <c r="I1454" s="180">
        <v>0</v>
      </c>
      <c r="J1454" s="180">
        <v>0</v>
      </c>
      <c r="K1454" s="180">
        <v>0</v>
      </c>
      <c r="L1454" s="181">
        <v>0</v>
      </c>
      <c r="M1454" s="154"/>
      <c r="N1454" s="180">
        <v>0</v>
      </c>
      <c r="O1454" s="180">
        <v>0</v>
      </c>
      <c r="P1454" s="180">
        <v>0</v>
      </c>
      <c r="Q1454" s="180">
        <v>0</v>
      </c>
      <c r="R1454" s="154"/>
      <c r="S1454" s="180">
        <f t="shared" ref="S1454:S1461" si="2800">SUM(D1454:G1454)</f>
        <v>81</v>
      </c>
      <c r="T1454" s="180">
        <f t="shared" ref="T1454:T1461" si="2801">SUM(N1454:Q1454)</f>
        <v>0</v>
      </c>
      <c r="U1454" s="180">
        <f t="shared" ref="U1454:U1461" si="2802">SUM(H1454:K1454)</f>
        <v>0</v>
      </c>
      <c r="V1454" s="154"/>
      <c r="W1454" s="182">
        <v>34</v>
      </c>
      <c r="X1454" s="182">
        <f t="shared" ref="X1454:X1458" si="2803">(W1454*1*D1454)+(W1454*1.5*E1454)+(W1454*2*F1454)+(W1454*1*G1454)</f>
        <v>2771</v>
      </c>
      <c r="Y1454" s="182">
        <f t="shared" ref="Y1454:Y1461" si="2804">(W1454*0*H1454)+(W1454*1*I1454)</f>
        <v>0</v>
      </c>
      <c r="Z1454" s="182">
        <f t="shared" ref="Z1454:Z1461" si="2805">(W1454*1*J1454)+L1454</f>
        <v>0</v>
      </c>
      <c r="AA1454" s="183">
        <f t="shared" ref="AA1454:AA1461" si="2806">(W1454*1*K1454)</f>
        <v>0</v>
      </c>
      <c r="AB1454" s="183">
        <f>(W1454*1*N1454)+(W1454*1.5*O1454)+(W1454*2*P1454)+(W1454*1*Q1454)</f>
        <v>0</v>
      </c>
      <c r="AC1454" s="184">
        <f t="shared" ref="AC1454:AC1461" si="2807">0-Y1454-AA1454</f>
        <v>0</v>
      </c>
      <c r="AD1454" s="207"/>
      <c r="AE1454" s="184">
        <f t="shared" ref="AE1454:AE1461" si="2808">AB1454-(X1454+Z1454)</f>
        <v>-2771</v>
      </c>
      <c r="AF1454" s="207"/>
      <c r="AG1454" s="8"/>
    </row>
    <row r="1455" spans="1:36" x14ac:dyDescent="0.45">
      <c r="A1455" s="129">
        <f>A1454+14</f>
        <v>46068</v>
      </c>
      <c r="B1455" s="130" t="s">
        <v>30</v>
      </c>
      <c r="C1455" s="131">
        <f>120*W1455</f>
        <v>4680</v>
      </c>
      <c r="D1455" s="132">
        <v>80</v>
      </c>
      <c r="E1455" s="132">
        <v>29.5</v>
      </c>
      <c r="F1455" s="132">
        <v>0</v>
      </c>
      <c r="G1455" s="132">
        <v>0</v>
      </c>
      <c r="H1455" s="132">
        <v>0</v>
      </c>
      <c r="I1455" s="132">
        <v>0</v>
      </c>
      <c r="J1455" s="132">
        <v>0</v>
      </c>
      <c r="K1455" s="132">
        <v>0</v>
      </c>
      <c r="L1455" s="161">
        <v>0</v>
      </c>
      <c r="M1455" s="134"/>
      <c r="N1455" s="132">
        <v>80</v>
      </c>
      <c r="O1455" s="132">
        <v>29.5</v>
      </c>
      <c r="P1455" s="132">
        <v>0</v>
      </c>
      <c r="Q1455" s="132">
        <v>0</v>
      </c>
      <c r="R1455" s="134"/>
      <c r="S1455" s="132">
        <f t="shared" si="2800"/>
        <v>109.5</v>
      </c>
      <c r="T1455" s="132">
        <f t="shared" si="2801"/>
        <v>109.5</v>
      </c>
      <c r="U1455" s="132">
        <f t="shared" si="2802"/>
        <v>0</v>
      </c>
      <c r="V1455" s="134"/>
      <c r="W1455" s="133">
        <v>39</v>
      </c>
      <c r="X1455" s="133">
        <f t="shared" si="2803"/>
        <v>4845.75</v>
      </c>
      <c r="Y1455" s="133">
        <f t="shared" si="2804"/>
        <v>0</v>
      </c>
      <c r="Z1455" s="133">
        <f t="shared" si="2805"/>
        <v>0</v>
      </c>
      <c r="AA1455" s="135">
        <f t="shared" si="2806"/>
        <v>0</v>
      </c>
      <c r="AB1455" s="135">
        <f t="shared" ref="AB1455:AB1461" si="2809">(W1455*1*N1455)+(W1455*1.5*O1455)+(W1455*2*P1455)+(W1455*1*Q1455)</f>
        <v>4845.75</v>
      </c>
      <c r="AC1455" s="136">
        <f t="shared" si="2807"/>
        <v>0</v>
      </c>
      <c r="AD1455" s="205"/>
      <c r="AE1455" s="136">
        <f t="shared" si="2808"/>
        <v>0</v>
      </c>
      <c r="AF1455" s="205">
        <f>SUM(AE1455:AE1461)</f>
        <v>0</v>
      </c>
      <c r="AG1455" s="8"/>
    </row>
    <row r="1456" spans="1:36" x14ac:dyDescent="0.45">
      <c r="A1456" s="137">
        <f>A1455</f>
        <v>46068</v>
      </c>
      <c r="B1456" s="138" t="s">
        <v>5</v>
      </c>
      <c r="C1456" s="139">
        <f>120*W1456</f>
        <v>4200</v>
      </c>
      <c r="D1456" s="140">
        <v>80</v>
      </c>
      <c r="E1456" s="140">
        <v>0</v>
      </c>
      <c r="F1456" s="140">
        <v>0</v>
      </c>
      <c r="G1456" s="140">
        <v>0</v>
      </c>
      <c r="H1456" s="140">
        <v>0</v>
      </c>
      <c r="I1456" s="140">
        <v>0</v>
      </c>
      <c r="J1456" s="140">
        <v>0</v>
      </c>
      <c r="K1456" s="140">
        <v>0</v>
      </c>
      <c r="L1456" s="162">
        <v>0</v>
      </c>
      <c r="M1456" s="142"/>
      <c r="N1456" s="140">
        <v>80</v>
      </c>
      <c r="O1456" s="140">
        <v>0</v>
      </c>
      <c r="P1456" s="140">
        <v>0</v>
      </c>
      <c r="Q1456" s="140">
        <v>0</v>
      </c>
      <c r="R1456" s="142"/>
      <c r="S1456" s="140">
        <f t="shared" si="2800"/>
        <v>80</v>
      </c>
      <c r="T1456" s="140">
        <f t="shared" si="2801"/>
        <v>80</v>
      </c>
      <c r="U1456" s="140">
        <f t="shared" si="2802"/>
        <v>0</v>
      </c>
      <c r="V1456" s="142"/>
      <c r="W1456" s="141">
        <v>35</v>
      </c>
      <c r="X1456" s="141">
        <f t="shared" si="2803"/>
        <v>2800</v>
      </c>
      <c r="Y1456" s="141">
        <f t="shared" si="2804"/>
        <v>0</v>
      </c>
      <c r="Z1456" s="141">
        <f t="shared" si="2805"/>
        <v>0</v>
      </c>
      <c r="AA1456" s="143">
        <f t="shared" si="2806"/>
        <v>0</v>
      </c>
      <c r="AB1456" s="143">
        <f t="shared" si="2809"/>
        <v>2800</v>
      </c>
      <c r="AC1456" s="144">
        <f t="shared" si="2807"/>
        <v>0</v>
      </c>
      <c r="AD1456" s="206"/>
      <c r="AE1456" s="144">
        <f t="shared" si="2808"/>
        <v>0</v>
      </c>
      <c r="AF1456" s="206"/>
      <c r="AG1456" s="8"/>
    </row>
    <row r="1457" spans="1:36" x14ac:dyDescent="0.45">
      <c r="A1457" s="137">
        <f>A1455</f>
        <v>46068</v>
      </c>
      <c r="B1457" s="138" t="s">
        <v>6</v>
      </c>
      <c r="C1457" s="139">
        <f>120*W1457</f>
        <v>4320</v>
      </c>
      <c r="D1457" s="140">
        <v>80</v>
      </c>
      <c r="E1457" s="140">
        <v>28</v>
      </c>
      <c r="F1457" s="140">
        <v>12</v>
      </c>
      <c r="G1457" s="140">
        <v>18.5</v>
      </c>
      <c r="H1457" s="140">
        <v>0</v>
      </c>
      <c r="I1457" s="140">
        <v>0</v>
      </c>
      <c r="J1457" s="140">
        <v>0</v>
      </c>
      <c r="K1457" s="140">
        <v>0</v>
      </c>
      <c r="L1457" s="162">
        <v>0</v>
      </c>
      <c r="M1457" s="142"/>
      <c r="N1457" s="140">
        <v>80</v>
      </c>
      <c r="O1457" s="140">
        <v>28</v>
      </c>
      <c r="P1457" s="140">
        <v>12</v>
      </c>
      <c r="Q1457" s="140">
        <v>18.5</v>
      </c>
      <c r="R1457" s="142"/>
      <c r="S1457" s="140">
        <f t="shared" si="2800"/>
        <v>138.5</v>
      </c>
      <c r="T1457" s="140">
        <f t="shared" si="2801"/>
        <v>138.5</v>
      </c>
      <c r="U1457" s="140">
        <f t="shared" si="2802"/>
        <v>0</v>
      </c>
      <c r="V1457" s="142"/>
      <c r="W1457" s="141">
        <v>36</v>
      </c>
      <c r="X1457" s="141">
        <f t="shared" si="2803"/>
        <v>5922</v>
      </c>
      <c r="Y1457" s="141">
        <f t="shared" si="2804"/>
        <v>0</v>
      </c>
      <c r="Z1457" s="141">
        <f t="shared" si="2805"/>
        <v>0</v>
      </c>
      <c r="AA1457" s="143">
        <f t="shared" si="2806"/>
        <v>0</v>
      </c>
      <c r="AB1457" s="143">
        <f t="shared" si="2809"/>
        <v>5922</v>
      </c>
      <c r="AC1457" s="144">
        <f t="shared" si="2807"/>
        <v>0</v>
      </c>
      <c r="AD1457" s="206"/>
      <c r="AE1457" s="144">
        <f t="shared" si="2808"/>
        <v>0</v>
      </c>
      <c r="AF1457" s="206"/>
      <c r="AG1457" s="8"/>
    </row>
    <row r="1458" spans="1:36" x14ac:dyDescent="0.45">
      <c r="A1458" s="137">
        <f>A1455</f>
        <v>46068</v>
      </c>
      <c r="B1458" s="145" t="s">
        <v>31</v>
      </c>
      <c r="C1458" s="139">
        <f>120*W1458</f>
        <v>4320</v>
      </c>
      <c r="D1458" s="140">
        <v>80</v>
      </c>
      <c r="E1458" s="140">
        <v>22.5</v>
      </c>
      <c r="F1458" s="140">
        <v>8</v>
      </c>
      <c r="G1458" s="140">
        <v>4</v>
      </c>
      <c r="H1458" s="140">
        <v>0</v>
      </c>
      <c r="I1458" s="140">
        <v>0</v>
      </c>
      <c r="J1458" s="140">
        <v>0</v>
      </c>
      <c r="K1458" s="140">
        <v>0</v>
      </c>
      <c r="L1458" s="162">
        <v>0</v>
      </c>
      <c r="M1458" s="142"/>
      <c r="N1458" s="140">
        <v>80</v>
      </c>
      <c r="O1458" s="140">
        <v>22.5</v>
      </c>
      <c r="P1458" s="140">
        <v>8</v>
      </c>
      <c r="Q1458" s="140">
        <v>4</v>
      </c>
      <c r="R1458" s="142"/>
      <c r="S1458" s="140">
        <f t="shared" si="2800"/>
        <v>114.5</v>
      </c>
      <c r="T1458" s="140">
        <f t="shared" si="2801"/>
        <v>114.5</v>
      </c>
      <c r="U1458" s="140">
        <f t="shared" si="2802"/>
        <v>0</v>
      </c>
      <c r="V1458" s="142"/>
      <c r="W1458" s="141">
        <v>36</v>
      </c>
      <c r="X1458" s="146">
        <f t="shared" si="2803"/>
        <v>4815</v>
      </c>
      <c r="Y1458" s="146">
        <f t="shared" si="2804"/>
        <v>0</v>
      </c>
      <c r="Z1458" s="146">
        <f t="shared" si="2805"/>
        <v>0</v>
      </c>
      <c r="AA1458" s="147">
        <f t="shared" si="2806"/>
        <v>0</v>
      </c>
      <c r="AB1458" s="147">
        <f t="shared" si="2809"/>
        <v>4815</v>
      </c>
      <c r="AC1458" s="148">
        <f t="shared" si="2807"/>
        <v>0</v>
      </c>
      <c r="AD1458" s="206"/>
      <c r="AE1458" s="148">
        <f t="shared" si="2808"/>
        <v>0</v>
      </c>
      <c r="AF1458" s="206"/>
      <c r="AG1458" s="8"/>
      <c r="AH1458">
        <v>30438.67</v>
      </c>
      <c r="AJ1458" s="170"/>
    </row>
    <row r="1459" spans="1:36" x14ac:dyDescent="0.45">
      <c r="A1459" s="137">
        <f>A1455</f>
        <v>46068</v>
      </c>
      <c r="B1459" s="145" t="s">
        <v>64</v>
      </c>
      <c r="C1459" s="139">
        <f>80*W1459</f>
        <v>2400</v>
      </c>
      <c r="D1459" s="140">
        <v>80</v>
      </c>
      <c r="E1459" s="140">
        <v>20.25</v>
      </c>
      <c r="F1459" s="140">
        <v>8</v>
      </c>
      <c r="G1459" s="140">
        <v>8.5</v>
      </c>
      <c r="H1459" s="140">
        <v>0</v>
      </c>
      <c r="I1459" s="140">
        <v>0</v>
      </c>
      <c r="J1459" s="140">
        <v>0</v>
      </c>
      <c r="K1459" s="140">
        <v>0</v>
      </c>
      <c r="L1459" s="162">
        <v>0</v>
      </c>
      <c r="M1459" s="142"/>
      <c r="N1459" s="140">
        <v>80</v>
      </c>
      <c r="O1459" s="140">
        <v>20.25</v>
      </c>
      <c r="P1459" s="140">
        <v>8</v>
      </c>
      <c r="Q1459" s="140">
        <v>8.5</v>
      </c>
      <c r="R1459" s="142"/>
      <c r="S1459" s="140">
        <f t="shared" si="2800"/>
        <v>116.75</v>
      </c>
      <c r="T1459" s="140">
        <f t="shared" si="2801"/>
        <v>116.75</v>
      </c>
      <c r="U1459" s="140">
        <f t="shared" si="2802"/>
        <v>0</v>
      </c>
      <c r="V1459" s="142"/>
      <c r="W1459" s="146">
        <v>30</v>
      </c>
      <c r="X1459" s="146">
        <f>(W1459*1*D1459)+(W1459*1.5*E1459)+(W1459*2*F1459)+(W1459*1*G1459)</f>
        <v>4046.25</v>
      </c>
      <c r="Y1459" s="146">
        <f t="shared" si="2804"/>
        <v>0</v>
      </c>
      <c r="Z1459" s="146">
        <f t="shared" si="2805"/>
        <v>0</v>
      </c>
      <c r="AA1459" s="147">
        <f t="shared" si="2806"/>
        <v>0</v>
      </c>
      <c r="AB1459" s="147">
        <f t="shared" si="2809"/>
        <v>4046.25</v>
      </c>
      <c r="AC1459" s="148">
        <f t="shared" si="2807"/>
        <v>0</v>
      </c>
      <c r="AD1459" s="206"/>
      <c r="AE1459" s="148">
        <f t="shared" si="2808"/>
        <v>0</v>
      </c>
      <c r="AF1459" s="206"/>
      <c r="AG1459" s="8"/>
      <c r="AH1459">
        <v>-2568.2600000000002</v>
      </c>
      <c r="AJ1459" s="170"/>
    </row>
    <row r="1460" spans="1:36" x14ac:dyDescent="0.45">
      <c r="A1460" s="137">
        <f>A1455</f>
        <v>46068</v>
      </c>
      <c r="B1460" s="145" t="s">
        <v>54</v>
      </c>
      <c r="C1460" s="139">
        <f>80*W1460</f>
        <v>2453.6000000000004</v>
      </c>
      <c r="D1460" s="140">
        <v>80</v>
      </c>
      <c r="E1460" s="140">
        <v>14.75</v>
      </c>
      <c r="F1460" s="140">
        <v>8</v>
      </c>
      <c r="G1460" s="140">
        <v>0</v>
      </c>
      <c r="H1460" s="140">
        <v>0</v>
      </c>
      <c r="I1460" s="140">
        <v>0</v>
      </c>
      <c r="J1460" s="140">
        <v>0</v>
      </c>
      <c r="K1460" s="140">
        <v>0</v>
      </c>
      <c r="L1460" s="162">
        <v>0</v>
      </c>
      <c r="M1460" s="142"/>
      <c r="N1460" s="140">
        <v>80</v>
      </c>
      <c r="O1460" s="140">
        <v>14.75</v>
      </c>
      <c r="P1460" s="140">
        <v>8</v>
      </c>
      <c r="Q1460" s="140">
        <v>0</v>
      </c>
      <c r="R1460" s="142"/>
      <c r="S1460" s="140">
        <f t="shared" si="2800"/>
        <v>102.75</v>
      </c>
      <c r="T1460" s="140">
        <f t="shared" si="2801"/>
        <v>102.75</v>
      </c>
      <c r="U1460" s="140">
        <f t="shared" si="2802"/>
        <v>0</v>
      </c>
      <c r="V1460" s="142"/>
      <c r="W1460" s="146">
        <v>30.67</v>
      </c>
      <c r="X1460" s="146">
        <f t="shared" ref="X1460:X1467" si="2810">(W1460*1*D1460)+(W1460*1.5*E1460)+(W1460*2*F1460)+(W1460*1*G1460)</f>
        <v>3622.8937500000002</v>
      </c>
      <c r="Y1460" s="146">
        <f t="shared" si="2804"/>
        <v>0</v>
      </c>
      <c r="Z1460" s="146">
        <f t="shared" si="2805"/>
        <v>0</v>
      </c>
      <c r="AA1460" s="147">
        <f t="shared" si="2806"/>
        <v>0</v>
      </c>
      <c r="AB1460" s="147">
        <f t="shared" si="2809"/>
        <v>3622.8937500000002</v>
      </c>
      <c r="AC1460" s="148">
        <f t="shared" si="2807"/>
        <v>0</v>
      </c>
      <c r="AD1460" s="206"/>
      <c r="AE1460" s="148">
        <f t="shared" si="2808"/>
        <v>0</v>
      </c>
      <c r="AF1460" s="206"/>
      <c r="AG1460" s="8"/>
      <c r="AH1460">
        <v>-3475.37</v>
      </c>
      <c r="AI1460">
        <v>2900</v>
      </c>
      <c r="AJ1460" s="170">
        <f>-(AH1460)-AI1460</f>
        <v>575.36999999999989</v>
      </c>
    </row>
    <row r="1461" spans="1:36" x14ac:dyDescent="0.45">
      <c r="A1461" s="137">
        <f>A1455</f>
        <v>46068</v>
      </c>
      <c r="B1461" s="192" t="s">
        <v>66</v>
      </c>
      <c r="C1461" s="193">
        <f>80*W1461</f>
        <v>2160</v>
      </c>
      <c r="D1461" s="189">
        <v>80</v>
      </c>
      <c r="E1461" s="140">
        <v>22.75</v>
      </c>
      <c r="F1461" s="140">
        <v>8</v>
      </c>
      <c r="G1461" s="140">
        <v>0</v>
      </c>
      <c r="H1461" s="140">
        <v>0</v>
      </c>
      <c r="I1461" s="140">
        <v>0</v>
      </c>
      <c r="J1461" s="140">
        <v>0</v>
      </c>
      <c r="K1461" s="140">
        <v>0</v>
      </c>
      <c r="L1461" s="162">
        <v>0</v>
      </c>
      <c r="M1461" s="185"/>
      <c r="N1461" s="140">
        <v>80</v>
      </c>
      <c r="O1461" s="140">
        <v>22.75</v>
      </c>
      <c r="P1461" s="140">
        <v>8</v>
      </c>
      <c r="Q1461" s="188">
        <v>0</v>
      </c>
      <c r="R1461" s="190"/>
      <c r="S1461" s="189">
        <f t="shared" si="2800"/>
        <v>110.75</v>
      </c>
      <c r="T1461" s="140">
        <f t="shared" si="2801"/>
        <v>110.75</v>
      </c>
      <c r="U1461" s="188">
        <f t="shared" si="2802"/>
        <v>0</v>
      </c>
      <c r="V1461" s="190"/>
      <c r="W1461" s="191">
        <v>27</v>
      </c>
      <c r="X1461" s="141">
        <f t="shared" si="2810"/>
        <v>3513.375</v>
      </c>
      <c r="Y1461" s="141">
        <f t="shared" si="2804"/>
        <v>0</v>
      </c>
      <c r="Z1461" s="141">
        <f t="shared" si="2805"/>
        <v>0</v>
      </c>
      <c r="AA1461" s="143">
        <f t="shared" si="2806"/>
        <v>0</v>
      </c>
      <c r="AB1461" s="143">
        <f t="shared" si="2809"/>
        <v>3513.375</v>
      </c>
      <c r="AC1461" s="144">
        <f t="shared" si="2807"/>
        <v>0</v>
      </c>
      <c r="AD1461" s="206"/>
      <c r="AE1461" s="186">
        <f t="shared" si="2808"/>
        <v>0</v>
      </c>
      <c r="AF1461" s="206"/>
      <c r="AG1461" s="8"/>
      <c r="AH1461">
        <v>-1099.92</v>
      </c>
    </row>
    <row r="1462" spans="1:36" x14ac:dyDescent="0.45">
      <c r="A1462" s="137">
        <f>A1456</f>
        <v>46068</v>
      </c>
      <c r="B1462" s="194" t="s">
        <v>122</v>
      </c>
      <c r="C1462" s="193">
        <f>80*W1462</f>
        <v>1740</v>
      </c>
      <c r="D1462" s="189">
        <v>0</v>
      </c>
      <c r="E1462" s="140">
        <v>0</v>
      </c>
      <c r="F1462" s="140">
        <v>0</v>
      </c>
      <c r="G1462" s="140">
        <v>0</v>
      </c>
      <c r="H1462" s="140">
        <v>0</v>
      </c>
      <c r="I1462" s="140">
        <v>0</v>
      </c>
      <c r="J1462" s="140">
        <v>0</v>
      </c>
      <c r="K1462" s="140">
        <v>61</v>
      </c>
      <c r="L1462" s="162">
        <v>0</v>
      </c>
      <c r="M1462" s="185"/>
      <c r="N1462" s="140">
        <v>0</v>
      </c>
      <c r="O1462" s="140">
        <v>0</v>
      </c>
      <c r="P1462" s="140">
        <v>0</v>
      </c>
      <c r="Q1462" s="188">
        <v>0</v>
      </c>
      <c r="R1462" s="190"/>
      <c r="S1462" s="189">
        <f t="shared" ref="S1462" si="2811">SUM(D1462:G1462)</f>
        <v>0</v>
      </c>
      <c r="T1462" s="140">
        <f t="shared" ref="T1462" si="2812">SUM(N1462:Q1462)</f>
        <v>0</v>
      </c>
      <c r="U1462" s="188">
        <f t="shared" ref="U1462" si="2813">SUM(H1462:K1462)</f>
        <v>61</v>
      </c>
      <c r="V1462" s="190"/>
      <c r="W1462" s="191">
        <v>21.75</v>
      </c>
      <c r="X1462" s="141">
        <f t="shared" ref="X1462" si="2814">(W1462*1*D1462)+(W1462*1.5*E1462)+(W1462*2*F1462)+(W1462*1*G1462)</f>
        <v>0</v>
      </c>
      <c r="Y1462" s="141">
        <f t="shared" ref="Y1462" si="2815">(W1462*0*H1462)+(W1462*1*I1462)</f>
        <v>0</v>
      </c>
      <c r="Z1462" s="141">
        <f t="shared" ref="Z1462" si="2816">(W1462*1*J1462)+L1462</f>
        <v>0</v>
      </c>
      <c r="AA1462" s="143">
        <f t="shared" ref="AA1462" si="2817">(W1462*1*K1462)</f>
        <v>1326.75</v>
      </c>
      <c r="AB1462" s="143">
        <f t="shared" ref="AB1462" si="2818">(W1462*1*N1462)+(W1462*1.5*O1462)+(W1462*2*P1462)+(W1462*1*Q1462)</f>
        <v>0</v>
      </c>
      <c r="AC1462" s="144">
        <f t="shared" ref="AC1462" si="2819">0-Y1462-AA1462</f>
        <v>-1326.75</v>
      </c>
      <c r="AD1462" s="206"/>
      <c r="AE1462" s="186">
        <f t="shared" ref="AE1462" si="2820">AB1462-(X1462+Z1462)</f>
        <v>0</v>
      </c>
      <c r="AF1462" s="206"/>
      <c r="AG1462" s="8"/>
      <c r="AH1462">
        <f>SUM(AH1458:AH1461)</f>
        <v>23295.119999999995</v>
      </c>
    </row>
    <row r="1463" spans="1:36" ht="14.65" thickBot="1" x14ac:dyDescent="0.5">
      <c r="A1463" s="179">
        <f>A1456</f>
        <v>46068</v>
      </c>
      <c r="B1463" s="187" t="s">
        <v>121</v>
      </c>
      <c r="C1463" s="151">
        <f>80*W1463</f>
        <v>2720</v>
      </c>
      <c r="D1463" s="180">
        <v>61</v>
      </c>
      <c r="E1463" s="180">
        <v>0</v>
      </c>
      <c r="F1463" s="180">
        <v>0</v>
      </c>
      <c r="G1463" s="180">
        <v>0</v>
      </c>
      <c r="H1463" s="180">
        <v>0</v>
      </c>
      <c r="I1463" s="180">
        <v>0</v>
      </c>
      <c r="J1463" s="180">
        <v>0</v>
      </c>
      <c r="K1463" s="180">
        <v>0</v>
      </c>
      <c r="L1463" s="181">
        <v>0</v>
      </c>
      <c r="M1463" s="154"/>
      <c r="N1463" s="180">
        <v>0</v>
      </c>
      <c r="O1463" s="180">
        <v>0</v>
      </c>
      <c r="P1463" s="180">
        <v>0</v>
      </c>
      <c r="Q1463" s="180">
        <v>0</v>
      </c>
      <c r="R1463" s="154"/>
      <c r="S1463" s="180">
        <f t="shared" ref="S1463" si="2821">SUM(D1463:G1463)</f>
        <v>61</v>
      </c>
      <c r="T1463" s="180">
        <f t="shared" ref="T1463" si="2822">SUM(N1463:Q1463)</f>
        <v>0</v>
      </c>
      <c r="U1463" s="180">
        <f t="shared" ref="U1463" si="2823">SUM(H1463:K1463)</f>
        <v>0</v>
      </c>
      <c r="V1463" s="154"/>
      <c r="W1463" s="182">
        <v>34</v>
      </c>
      <c r="X1463" s="182">
        <f t="shared" si="2810"/>
        <v>2074</v>
      </c>
      <c r="Y1463" s="182">
        <f t="shared" ref="Y1463:Y1472" si="2824">(W1463*0*H1463)+(W1463*1*I1463)</f>
        <v>0</v>
      </c>
      <c r="Z1463" s="182">
        <f t="shared" ref="Z1463:Z1472" si="2825">(W1463*1*J1463)+L1463</f>
        <v>0</v>
      </c>
      <c r="AA1463" s="183">
        <f t="shared" ref="AA1463:AA1472" si="2826">(W1463*1*K1463)</f>
        <v>0</v>
      </c>
      <c r="AB1463" s="183">
        <f>(W1463*1*N1463)+(W1463*1.5*O1463)+(W1463*2*P1463)+(W1463*1*Q1463)</f>
        <v>0</v>
      </c>
      <c r="AC1463" s="184">
        <f t="shared" ref="AC1463:AC1472" si="2827">0-Y1463-AA1463</f>
        <v>0</v>
      </c>
      <c r="AD1463" s="207"/>
      <c r="AE1463" s="184">
        <f t="shared" ref="AE1463:AE1472" si="2828">AB1463-(X1463+Z1463)</f>
        <v>-2074</v>
      </c>
      <c r="AF1463" s="207"/>
      <c r="AG1463" s="8"/>
    </row>
    <row r="1464" spans="1:36" x14ac:dyDescent="0.45">
      <c r="A1464" s="129">
        <f>A1463+14</f>
        <v>46082</v>
      </c>
      <c r="B1464" s="130" t="s">
        <v>30</v>
      </c>
      <c r="C1464" s="131">
        <f>120*W1464</f>
        <v>4680</v>
      </c>
      <c r="D1464" s="132">
        <v>72</v>
      </c>
      <c r="E1464" s="132">
        <v>28.5</v>
      </c>
      <c r="F1464" s="132">
        <v>0</v>
      </c>
      <c r="G1464" s="132">
        <v>0</v>
      </c>
      <c r="H1464" s="132">
        <v>0</v>
      </c>
      <c r="I1464" s="132">
        <v>0</v>
      </c>
      <c r="J1464" s="132">
        <v>8</v>
      </c>
      <c r="K1464" s="132">
        <v>0</v>
      </c>
      <c r="L1464" s="161">
        <v>0</v>
      </c>
      <c r="M1464" s="134"/>
      <c r="N1464" s="132">
        <v>80</v>
      </c>
      <c r="O1464" s="132">
        <v>20.5</v>
      </c>
      <c r="P1464" s="132">
        <v>0</v>
      </c>
      <c r="Q1464" s="132">
        <v>0</v>
      </c>
      <c r="R1464" s="134"/>
      <c r="S1464" s="132">
        <f t="shared" ref="S1464:S1470" si="2829">SUM(D1464:G1464)</f>
        <v>100.5</v>
      </c>
      <c r="T1464" s="132">
        <f t="shared" ref="T1464:T1472" si="2830">SUM(N1464:Q1464)</f>
        <v>100.5</v>
      </c>
      <c r="U1464" s="132">
        <f t="shared" ref="U1464:U1472" si="2831">SUM(H1464:K1464)</f>
        <v>8</v>
      </c>
      <c r="V1464" s="134"/>
      <c r="W1464" s="133">
        <v>39</v>
      </c>
      <c r="X1464" s="133">
        <f t="shared" si="2810"/>
        <v>4475.25</v>
      </c>
      <c r="Y1464" s="133">
        <f t="shared" si="2824"/>
        <v>0</v>
      </c>
      <c r="Z1464" s="133">
        <f t="shared" si="2825"/>
        <v>312</v>
      </c>
      <c r="AA1464" s="135">
        <f t="shared" si="2826"/>
        <v>0</v>
      </c>
      <c r="AB1464" s="135">
        <f t="shared" ref="AB1464:AB1472" si="2832">(W1464*1*N1464)+(W1464*1.5*O1464)+(W1464*2*P1464)+(W1464*1*Q1464)</f>
        <v>4319.25</v>
      </c>
      <c r="AC1464" s="136">
        <f t="shared" si="2827"/>
        <v>0</v>
      </c>
      <c r="AD1464" s="205"/>
      <c r="AE1464" s="136">
        <f t="shared" si="2828"/>
        <v>-468</v>
      </c>
      <c r="AF1464" s="205">
        <f>SUM(AE1464:AE1470)</f>
        <v>-2207.415</v>
      </c>
      <c r="AG1464" s="8"/>
    </row>
    <row r="1465" spans="1:36" x14ac:dyDescent="0.45">
      <c r="A1465" s="137">
        <f>A1464</f>
        <v>46082</v>
      </c>
      <c r="B1465" s="138" t="s">
        <v>5</v>
      </c>
      <c r="C1465" s="139">
        <f>120*W1465</f>
        <v>4200</v>
      </c>
      <c r="D1465" s="140">
        <v>67</v>
      </c>
      <c r="E1465" s="140">
        <v>8</v>
      </c>
      <c r="F1465" s="140">
        <v>0</v>
      </c>
      <c r="G1465" s="140">
        <v>0</v>
      </c>
      <c r="H1465" s="140">
        <v>0</v>
      </c>
      <c r="I1465" s="140">
        <v>0</v>
      </c>
      <c r="J1465" s="140">
        <v>8</v>
      </c>
      <c r="K1465" s="140">
        <v>0</v>
      </c>
      <c r="L1465" s="162">
        <v>0</v>
      </c>
      <c r="M1465" s="142"/>
      <c r="N1465" s="140">
        <v>75</v>
      </c>
      <c r="O1465" s="140">
        <v>0</v>
      </c>
      <c r="P1465" s="140">
        <v>0</v>
      </c>
      <c r="Q1465" s="140">
        <v>0</v>
      </c>
      <c r="R1465" s="142"/>
      <c r="S1465" s="140">
        <f t="shared" si="2829"/>
        <v>75</v>
      </c>
      <c r="T1465" s="140">
        <f t="shared" si="2830"/>
        <v>75</v>
      </c>
      <c r="U1465" s="140">
        <f t="shared" si="2831"/>
        <v>8</v>
      </c>
      <c r="V1465" s="142"/>
      <c r="W1465" s="141">
        <v>35</v>
      </c>
      <c r="X1465" s="141">
        <f t="shared" si="2810"/>
        <v>2765</v>
      </c>
      <c r="Y1465" s="141">
        <f t="shared" si="2824"/>
        <v>0</v>
      </c>
      <c r="Z1465" s="141">
        <f t="shared" si="2825"/>
        <v>280</v>
      </c>
      <c r="AA1465" s="143">
        <f t="shared" si="2826"/>
        <v>0</v>
      </c>
      <c r="AB1465" s="143">
        <f t="shared" si="2832"/>
        <v>2625</v>
      </c>
      <c r="AC1465" s="144">
        <f t="shared" si="2827"/>
        <v>0</v>
      </c>
      <c r="AD1465" s="206"/>
      <c r="AE1465" s="144">
        <f t="shared" si="2828"/>
        <v>-420</v>
      </c>
      <c r="AF1465" s="206"/>
      <c r="AG1465" s="8"/>
    </row>
    <row r="1466" spans="1:36" x14ac:dyDescent="0.45">
      <c r="A1466" s="137">
        <f>A1464</f>
        <v>46082</v>
      </c>
      <c r="B1466" s="138" t="s">
        <v>6</v>
      </c>
      <c r="C1466" s="139">
        <f>120*W1466</f>
        <v>4320</v>
      </c>
      <c r="D1466" s="140">
        <v>11.5</v>
      </c>
      <c r="E1466" s="140">
        <v>0</v>
      </c>
      <c r="F1466" s="140">
        <v>0</v>
      </c>
      <c r="G1466" s="140">
        <v>12</v>
      </c>
      <c r="H1466" s="140">
        <v>0</v>
      </c>
      <c r="I1466" s="140">
        <v>0</v>
      </c>
      <c r="J1466" s="140">
        <v>0</v>
      </c>
      <c r="K1466" s="140">
        <v>0</v>
      </c>
      <c r="L1466" s="162">
        <v>0</v>
      </c>
      <c r="M1466" s="142"/>
      <c r="N1466" s="140">
        <v>11.5</v>
      </c>
      <c r="O1466" s="140">
        <v>0</v>
      </c>
      <c r="P1466" s="140">
        <v>0</v>
      </c>
      <c r="Q1466" s="140">
        <v>12</v>
      </c>
      <c r="R1466" s="142"/>
      <c r="S1466" s="140">
        <f t="shared" si="2829"/>
        <v>23.5</v>
      </c>
      <c r="T1466" s="140">
        <f t="shared" si="2830"/>
        <v>23.5</v>
      </c>
      <c r="U1466" s="140">
        <f t="shared" si="2831"/>
        <v>0</v>
      </c>
      <c r="V1466" s="142"/>
      <c r="W1466" s="141">
        <v>36</v>
      </c>
      <c r="X1466" s="141">
        <f t="shared" si="2810"/>
        <v>846</v>
      </c>
      <c r="Y1466" s="141">
        <f t="shared" si="2824"/>
        <v>0</v>
      </c>
      <c r="Z1466" s="141">
        <f t="shared" si="2825"/>
        <v>0</v>
      </c>
      <c r="AA1466" s="143">
        <f t="shared" si="2826"/>
        <v>0</v>
      </c>
      <c r="AB1466" s="143">
        <f t="shared" si="2832"/>
        <v>846</v>
      </c>
      <c r="AC1466" s="144">
        <f t="shared" si="2827"/>
        <v>0</v>
      </c>
      <c r="AD1466" s="206"/>
      <c r="AE1466" s="144">
        <f t="shared" si="2828"/>
        <v>0</v>
      </c>
      <c r="AF1466" s="206"/>
      <c r="AG1466" s="8"/>
    </row>
    <row r="1467" spans="1:36" x14ac:dyDescent="0.45">
      <c r="A1467" s="137">
        <f>A1464</f>
        <v>46082</v>
      </c>
      <c r="B1467" s="145" t="s">
        <v>31</v>
      </c>
      <c r="C1467" s="139">
        <f>120*W1467</f>
        <v>4320</v>
      </c>
      <c r="D1467" s="140">
        <v>66.5</v>
      </c>
      <c r="E1467" s="140">
        <v>19.75</v>
      </c>
      <c r="F1467" s="140">
        <v>12</v>
      </c>
      <c r="G1467" s="140">
        <v>15.5</v>
      </c>
      <c r="H1467" s="140">
        <v>0</v>
      </c>
      <c r="I1467" s="140">
        <v>0</v>
      </c>
      <c r="J1467" s="140">
        <v>8</v>
      </c>
      <c r="K1467" s="140">
        <v>0</v>
      </c>
      <c r="L1467" s="162">
        <v>0</v>
      </c>
      <c r="M1467" s="142"/>
      <c r="N1467" s="140">
        <v>68</v>
      </c>
      <c r="O1467" s="140">
        <v>18.25</v>
      </c>
      <c r="P1467" s="140">
        <v>12</v>
      </c>
      <c r="Q1467" s="140">
        <v>15.5</v>
      </c>
      <c r="R1467" s="142"/>
      <c r="S1467" s="140">
        <f t="shared" si="2829"/>
        <v>113.75</v>
      </c>
      <c r="T1467" s="140">
        <f t="shared" si="2830"/>
        <v>113.75</v>
      </c>
      <c r="U1467" s="140">
        <f t="shared" si="2831"/>
        <v>8</v>
      </c>
      <c r="V1467" s="142"/>
      <c r="W1467" s="141">
        <v>36</v>
      </c>
      <c r="X1467" s="146">
        <f t="shared" si="2810"/>
        <v>4882.5</v>
      </c>
      <c r="Y1467" s="146">
        <f t="shared" si="2824"/>
        <v>0</v>
      </c>
      <c r="Z1467" s="146">
        <f t="shared" si="2825"/>
        <v>288</v>
      </c>
      <c r="AA1467" s="147">
        <f t="shared" si="2826"/>
        <v>0</v>
      </c>
      <c r="AB1467" s="147">
        <f t="shared" si="2832"/>
        <v>4855.5</v>
      </c>
      <c r="AC1467" s="148">
        <f t="shared" si="2827"/>
        <v>0</v>
      </c>
      <c r="AD1467" s="206"/>
      <c r="AE1467" s="148">
        <f t="shared" si="2828"/>
        <v>-315</v>
      </c>
      <c r="AF1467" s="206"/>
      <c r="AG1467" s="8"/>
      <c r="AH1467">
        <v>26969.15</v>
      </c>
      <c r="AJ1467" s="170"/>
    </row>
    <row r="1468" spans="1:36" x14ac:dyDescent="0.45">
      <c r="A1468" s="137">
        <f>A1464</f>
        <v>46082</v>
      </c>
      <c r="B1468" s="145" t="s">
        <v>64</v>
      </c>
      <c r="C1468" s="139">
        <f>80*W1468</f>
        <v>2400</v>
      </c>
      <c r="D1468" s="140">
        <v>53</v>
      </c>
      <c r="E1468" s="140">
        <v>10.25</v>
      </c>
      <c r="F1468" s="140">
        <v>8</v>
      </c>
      <c r="G1468" s="140">
        <v>4</v>
      </c>
      <c r="H1468" s="140">
        <v>0</v>
      </c>
      <c r="I1468" s="140">
        <v>16</v>
      </c>
      <c r="J1468" s="140">
        <v>8</v>
      </c>
      <c r="K1468" s="140">
        <v>0</v>
      </c>
      <c r="L1468" s="162">
        <v>0</v>
      </c>
      <c r="M1468" s="142"/>
      <c r="N1468" s="140">
        <v>58.5</v>
      </c>
      <c r="O1468" s="140">
        <v>4.75</v>
      </c>
      <c r="P1468" s="140">
        <v>8</v>
      </c>
      <c r="Q1468" s="140">
        <v>4</v>
      </c>
      <c r="R1468" s="142"/>
      <c r="S1468" s="140">
        <f t="shared" si="2829"/>
        <v>75.25</v>
      </c>
      <c r="T1468" s="140">
        <f t="shared" si="2830"/>
        <v>75.25</v>
      </c>
      <c r="U1468" s="140">
        <f t="shared" si="2831"/>
        <v>24</v>
      </c>
      <c r="V1468" s="142"/>
      <c r="W1468" s="146">
        <v>30</v>
      </c>
      <c r="X1468" s="146">
        <f>(W1468*1*D1468)+(W1468*1.5*E1468)+(W1468*2*F1468)+(W1468*1*G1468)</f>
        <v>2651.25</v>
      </c>
      <c r="Y1468" s="146">
        <f t="shared" si="2824"/>
        <v>480</v>
      </c>
      <c r="Z1468" s="146">
        <f t="shared" si="2825"/>
        <v>240</v>
      </c>
      <c r="AA1468" s="147">
        <f t="shared" si="2826"/>
        <v>0</v>
      </c>
      <c r="AB1468" s="147">
        <f t="shared" si="2832"/>
        <v>2568.75</v>
      </c>
      <c r="AC1468" s="148">
        <f t="shared" si="2827"/>
        <v>-480</v>
      </c>
      <c r="AD1468" s="206"/>
      <c r="AE1468" s="148">
        <f t="shared" si="2828"/>
        <v>-322.5</v>
      </c>
      <c r="AF1468" s="206"/>
      <c r="AG1468" s="8"/>
      <c r="AH1468">
        <v>-2493.77</v>
      </c>
      <c r="AJ1468" s="170"/>
    </row>
    <row r="1469" spans="1:36" x14ac:dyDescent="0.45">
      <c r="A1469" s="137">
        <f>A1464</f>
        <v>46082</v>
      </c>
      <c r="B1469" s="145" t="s">
        <v>54</v>
      </c>
      <c r="C1469" s="139">
        <f>80*W1469</f>
        <v>2453.6000000000004</v>
      </c>
      <c r="D1469" s="140">
        <v>72</v>
      </c>
      <c r="E1469" s="140">
        <v>21</v>
      </c>
      <c r="F1469" s="140">
        <v>0</v>
      </c>
      <c r="G1469" s="140">
        <v>0</v>
      </c>
      <c r="H1469" s="140">
        <v>0</v>
      </c>
      <c r="I1469" s="140">
        <v>0</v>
      </c>
      <c r="J1469" s="140">
        <v>8</v>
      </c>
      <c r="K1469" s="140">
        <v>0</v>
      </c>
      <c r="L1469" s="162">
        <v>0</v>
      </c>
      <c r="M1469" s="142"/>
      <c r="N1469" s="140">
        <v>80</v>
      </c>
      <c r="O1469" s="140">
        <v>13</v>
      </c>
      <c r="P1469" s="140">
        <v>0</v>
      </c>
      <c r="Q1469" s="140">
        <v>0</v>
      </c>
      <c r="R1469" s="142"/>
      <c r="S1469" s="140">
        <f t="shared" si="2829"/>
        <v>93</v>
      </c>
      <c r="T1469" s="140">
        <f t="shared" si="2830"/>
        <v>93</v>
      </c>
      <c r="U1469" s="140">
        <f t="shared" si="2831"/>
        <v>8</v>
      </c>
      <c r="V1469" s="142"/>
      <c r="W1469" s="146">
        <v>30.67</v>
      </c>
      <c r="X1469" s="146">
        <f t="shared" ref="X1469:X1476" si="2833">(W1469*1*D1469)+(W1469*1.5*E1469)+(W1469*2*F1469)+(W1469*1*G1469)</f>
        <v>3174.3450000000003</v>
      </c>
      <c r="Y1469" s="146">
        <f t="shared" si="2824"/>
        <v>0</v>
      </c>
      <c r="Z1469" s="146">
        <f t="shared" si="2825"/>
        <v>245.36</v>
      </c>
      <c r="AA1469" s="147">
        <f t="shared" si="2826"/>
        <v>0</v>
      </c>
      <c r="AB1469" s="147">
        <f t="shared" si="2832"/>
        <v>3051.6650000000004</v>
      </c>
      <c r="AC1469" s="148">
        <f t="shared" si="2827"/>
        <v>0</v>
      </c>
      <c r="AD1469" s="206"/>
      <c r="AE1469" s="148">
        <f t="shared" si="2828"/>
        <v>-368.03999999999996</v>
      </c>
      <c r="AF1469" s="206"/>
      <c r="AG1469" s="8"/>
      <c r="AH1469">
        <v>-3475.37</v>
      </c>
      <c r="AI1469">
        <v>2900</v>
      </c>
      <c r="AJ1469" s="170">
        <f>-(AH1469)-AI1469</f>
        <v>575.36999999999989</v>
      </c>
    </row>
    <row r="1470" spans="1:36" x14ac:dyDescent="0.45">
      <c r="A1470" s="137">
        <f>A1464</f>
        <v>46082</v>
      </c>
      <c r="B1470" s="192" t="s">
        <v>66</v>
      </c>
      <c r="C1470" s="193">
        <f>80*W1470</f>
        <v>2160</v>
      </c>
      <c r="D1470" s="189">
        <v>72</v>
      </c>
      <c r="E1470" s="140">
        <v>30.5</v>
      </c>
      <c r="F1470" s="140">
        <v>0</v>
      </c>
      <c r="G1470" s="140">
        <v>0</v>
      </c>
      <c r="H1470" s="140">
        <v>0</v>
      </c>
      <c r="I1470" s="140">
        <v>0</v>
      </c>
      <c r="J1470" s="140">
        <v>8</v>
      </c>
      <c r="K1470" s="140">
        <v>0</v>
      </c>
      <c r="L1470" s="162">
        <v>0</v>
      </c>
      <c r="M1470" s="190"/>
      <c r="N1470" s="140">
        <v>80</v>
      </c>
      <c r="O1470" s="140">
        <v>22.75</v>
      </c>
      <c r="P1470" s="140">
        <v>0</v>
      </c>
      <c r="Q1470" s="188">
        <v>0</v>
      </c>
      <c r="R1470" s="190"/>
      <c r="S1470" s="189">
        <f t="shared" si="2829"/>
        <v>102.5</v>
      </c>
      <c r="T1470" s="140">
        <f t="shared" si="2830"/>
        <v>102.75</v>
      </c>
      <c r="U1470" s="188">
        <f t="shared" si="2831"/>
        <v>8</v>
      </c>
      <c r="V1470" s="190"/>
      <c r="W1470" s="191">
        <v>27</v>
      </c>
      <c r="X1470" s="141">
        <f t="shared" si="2833"/>
        <v>3179.25</v>
      </c>
      <c r="Y1470" s="141">
        <f t="shared" si="2824"/>
        <v>0</v>
      </c>
      <c r="Z1470" s="141">
        <f t="shared" si="2825"/>
        <v>216</v>
      </c>
      <c r="AA1470" s="143">
        <f t="shared" si="2826"/>
        <v>0</v>
      </c>
      <c r="AB1470" s="143">
        <f t="shared" si="2832"/>
        <v>3081.375</v>
      </c>
      <c r="AC1470" s="144">
        <f t="shared" si="2827"/>
        <v>0</v>
      </c>
      <c r="AD1470" s="206"/>
      <c r="AE1470" s="186">
        <f t="shared" si="2828"/>
        <v>-313.875</v>
      </c>
      <c r="AF1470" s="206"/>
      <c r="AG1470" s="8"/>
    </row>
    <row r="1471" spans="1:36" x14ac:dyDescent="0.45">
      <c r="A1471" s="137">
        <f>A1465</f>
        <v>46082</v>
      </c>
      <c r="B1471" s="194" t="s">
        <v>121</v>
      </c>
      <c r="C1471" s="193">
        <f>80*W1471</f>
        <v>2720</v>
      </c>
      <c r="D1471" s="189">
        <v>50</v>
      </c>
      <c r="E1471" s="140">
        <v>0</v>
      </c>
      <c r="F1471" s="140">
        <v>0</v>
      </c>
      <c r="G1471" s="140">
        <v>0</v>
      </c>
      <c r="H1471" s="140">
        <v>0</v>
      </c>
      <c r="I1471" s="140">
        <v>0</v>
      </c>
      <c r="J1471" s="140">
        <v>8</v>
      </c>
      <c r="K1471" s="140">
        <v>0</v>
      </c>
      <c r="L1471" s="162">
        <v>0</v>
      </c>
      <c r="M1471" s="190"/>
      <c r="N1471" s="140">
        <v>0</v>
      </c>
      <c r="O1471" s="140">
        <v>0</v>
      </c>
      <c r="P1471" s="140">
        <v>0</v>
      </c>
      <c r="Q1471" s="188">
        <v>0</v>
      </c>
      <c r="R1471" s="190"/>
      <c r="S1471" s="189">
        <f t="shared" ref="S1471" si="2834">SUM(D1471:G1471)</f>
        <v>50</v>
      </c>
      <c r="T1471" s="140">
        <f t="shared" ref="T1471" si="2835">SUM(N1471:Q1471)</f>
        <v>0</v>
      </c>
      <c r="U1471" s="188">
        <f t="shared" ref="U1471" si="2836">SUM(H1471:K1471)</f>
        <v>8</v>
      </c>
      <c r="V1471" s="190"/>
      <c r="W1471" s="191">
        <v>34</v>
      </c>
      <c r="X1471" s="141">
        <f t="shared" ref="X1471" si="2837">(W1471*1*D1471)+(W1471*1.5*E1471)+(W1471*2*F1471)+(W1471*1*G1471)</f>
        <v>1700</v>
      </c>
      <c r="Y1471" s="141">
        <f t="shared" si="2824"/>
        <v>0</v>
      </c>
      <c r="Z1471" s="141">
        <f t="shared" si="2825"/>
        <v>272</v>
      </c>
      <c r="AA1471" s="143">
        <f t="shared" si="2826"/>
        <v>0</v>
      </c>
      <c r="AB1471" s="143">
        <f>(W1471*1*N1471)+(W1471*1.5*O1471)+(W1471*2*P1471)+(W1471*1*Q1471)</f>
        <v>0</v>
      </c>
      <c r="AC1471" s="144">
        <f t="shared" si="2827"/>
        <v>0</v>
      </c>
      <c r="AD1471" s="206"/>
      <c r="AE1471" s="186">
        <f t="shared" si="2828"/>
        <v>-1972</v>
      </c>
      <c r="AF1471" s="206"/>
      <c r="AG1471" s="8"/>
    </row>
    <row r="1472" spans="1:36" ht="14.65" thickBot="1" x14ac:dyDescent="0.5">
      <c r="A1472" s="179">
        <f>A1465</f>
        <v>46082</v>
      </c>
      <c r="B1472" s="187" t="s">
        <v>122</v>
      </c>
      <c r="C1472" s="151">
        <f>80*W1472</f>
        <v>1740</v>
      </c>
      <c r="D1472" s="180">
        <v>0</v>
      </c>
      <c r="E1472" s="180">
        <v>0</v>
      </c>
      <c r="F1472" s="180">
        <v>0</v>
      </c>
      <c r="G1472" s="180">
        <v>0</v>
      </c>
      <c r="H1472" s="180">
        <v>0</v>
      </c>
      <c r="I1472" s="180">
        <v>0</v>
      </c>
      <c r="J1472" s="180">
        <v>8</v>
      </c>
      <c r="K1472" s="180">
        <v>72</v>
      </c>
      <c r="L1472" s="181">
        <v>0</v>
      </c>
      <c r="M1472" s="154"/>
      <c r="N1472" s="180">
        <v>0</v>
      </c>
      <c r="O1472" s="180">
        <v>0</v>
      </c>
      <c r="P1472" s="180">
        <v>0</v>
      </c>
      <c r="Q1472" s="180">
        <v>0</v>
      </c>
      <c r="R1472" s="154"/>
      <c r="S1472" s="180">
        <f t="shared" ref="S1472" si="2838">SUM(D1472:G1472)</f>
        <v>0</v>
      </c>
      <c r="T1472" s="180">
        <f t="shared" si="2830"/>
        <v>0</v>
      </c>
      <c r="U1472" s="180">
        <f t="shared" si="2831"/>
        <v>80</v>
      </c>
      <c r="V1472" s="154"/>
      <c r="W1472" s="182">
        <v>21.75</v>
      </c>
      <c r="X1472" s="182">
        <f t="shared" si="2833"/>
        <v>0</v>
      </c>
      <c r="Y1472" s="182">
        <f t="shared" si="2824"/>
        <v>0</v>
      </c>
      <c r="Z1472" s="182">
        <f t="shared" si="2825"/>
        <v>174</v>
      </c>
      <c r="AA1472" s="183">
        <f t="shared" si="2826"/>
        <v>1566</v>
      </c>
      <c r="AB1472" s="183">
        <f t="shared" si="2832"/>
        <v>0</v>
      </c>
      <c r="AC1472" s="184">
        <f t="shared" si="2827"/>
        <v>-1566</v>
      </c>
      <c r="AD1472" s="207"/>
      <c r="AE1472" s="184">
        <f t="shared" si="2828"/>
        <v>-174</v>
      </c>
      <c r="AF1472" s="207"/>
      <c r="AG1472" s="8"/>
      <c r="AH1472">
        <f>SUM(AH1467:AH1470)</f>
        <v>21000.010000000002</v>
      </c>
    </row>
    <row r="1473" spans="1:36" x14ac:dyDescent="0.45">
      <c r="A1473" s="129">
        <f>A1472+14</f>
        <v>46096</v>
      </c>
      <c r="B1473" s="130" t="s">
        <v>30</v>
      </c>
      <c r="C1473" s="131">
        <f>120*W1473</f>
        <v>4680</v>
      </c>
      <c r="D1473" s="132">
        <v>72</v>
      </c>
      <c r="E1473" s="132">
        <v>28.5</v>
      </c>
      <c r="F1473" s="132">
        <v>12</v>
      </c>
      <c r="G1473" s="132">
        <v>3.5</v>
      </c>
      <c r="H1473" s="132">
        <v>0</v>
      </c>
      <c r="I1473" s="132">
        <v>8</v>
      </c>
      <c r="J1473" s="132">
        <v>0</v>
      </c>
      <c r="K1473" s="132">
        <v>0</v>
      </c>
      <c r="L1473" s="161">
        <v>0</v>
      </c>
      <c r="M1473" s="134"/>
      <c r="N1473" s="132">
        <v>72</v>
      </c>
      <c r="O1473" s="132">
        <v>28.5</v>
      </c>
      <c r="P1473" s="132">
        <v>12</v>
      </c>
      <c r="Q1473" s="132">
        <v>3.5</v>
      </c>
      <c r="R1473" s="134"/>
      <c r="S1473" s="132">
        <f t="shared" ref="S1473:S1479" si="2839">SUM(D1473:G1473)</f>
        <v>116</v>
      </c>
      <c r="T1473" s="132">
        <f t="shared" ref="T1473:T1479" si="2840">SUM(N1473:Q1473)</f>
        <v>116</v>
      </c>
      <c r="U1473" s="132">
        <f t="shared" ref="U1473:U1479" si="2841">SUM(H1473:K1473)</f>
        <v>8</v>
      </c>
      <c r="V1473" s="134"/>
      <c r="W1473" s="161">
        <v>39</v>
      </c>
      <c r="X1473" s="161">
        <f t="shared" si="2833"/>
        <v>5547.75</v>
      </c>
      <c r="Y1473" s="161">
        <f t="shared" ref="Y1473:Y1481" si="2842">(W1473*0*H1473)+(W1473*1*I1473)</f>
        <v>312</v>
      </c>
      <c r="Z1473" s="161">
        <f t="shared" ref="Z1473:Z1481" si="2843">(W1473*1*J1473)+L1473</f>
        <v>0</v>
      </c>
      <c r="AA1473" s="195">
        <f t="shared" ref="AA1473:AA1481" si="2844">(W1473*1*K1473)</f>
        <v>0</v>
      </c>
      <c r="AB1473" s="195">
        <f t="shared" ref="AB1473:AB1479" si="2845">(W1473*1*N1473)+(W1473*1.5*O1473)+(W1473*2*P1473)+(W1473*1*Q1473)</f>
        <v>5547.75</v>
      </c>
      <c r="AC1473" s="196">
        <f t="shared" ref="AC1473:AC1481" si="2846">0-Y1473-AA1473</f>
        <v>-312</v>
      </c>
      <c r="AD1473" s="205"/>
      <c r="AE1473" s="196">
        <f t="shared" ref="AE1473:AE1481" si="2847">AB1473-(X1473+Z1473)</f>
        <v>0</v>
      </c>
      <c r="AF1473" s="205">
        <f>SUM(AE1473:AE1479)</f>
        <v>0</v>
      </c>
      <c r="AG1473" s="8"/>
    </row>
    <row r="1474" spans="1:36" x14ac:dyDescent="0.45">
      <c r="A1474" s="137">
        <f>A1473</f>
        <v>46096</v>
      </c>
      <c r="B1474" s="138" t="s">
        <v>5</v>
      </c>
      <c r="C1474" s="139">
        <f>120*W1474</f>
        <v>4200</v>
      </c>
      <c r="D1474" s="140">
        <v>80</v>
      </c>
      <c r="E1474" s="140">
        <v>4</v>
      </c>
      <c r="F1474" s="140">
        <v>0</v>
      </c>
      <c r="G1474" s="140">
        <v>0</v>
      </c>
      <c r="H1474" s="140">
        <v>0</v>
      </c>
      <c r="I1474" s="140">
        <v>0</v>
      </c>
      <c r="J1474" s="140">
        <v>0</v>
      </c>
      <c r="K1474" s="140">
        <v>0</v>
      </c>
      <c r="L1474" s="162">
        <v>0</v>
      </c>
      <c r="M1474" s="142"/>
      <c r="N1474" s="140">
        <v>80</v>
      </c>
      <c r="O1474" s="140">
        <v>4</v>
      </c>
      <c r="P1474" s="140">
        <v>0</v>
      </c>
      <c r="Q1474" s="140">
        <v>0</v>
      </c>
      <c r="R1474" s="142"/>
      <c r="S1474" s="140">
        <f t="shared" si="2839"/>
        <v>84</v>
      </c>
      <c r="T1474" s="140">
        <f t="shared" si="2840"/>
        <v>84</v>
      </c>
      <c r="U1474" s="140">
        <f t="shared" si="2841"/>
        <v>0</v>
      </c>
      <c r="V1474" s="142"/>
      <c r="W1474" s="141">
        <v>35</v>
      </c>
      <c r="X1474" s="141">
        <f t="shared" si="2833"/>
        <v>3010</v>
      </c>
      <c r="Y1474" s="141">
        <f t="shared" si="2842"/>
        <v>0</v>
      </c>
      <c r="Z1474" s="141">
        <f t="shared" si="2843"/>
        <v>0</v>
      </c>
      <c r="AA1474" s="143">
        <f t="shared" si="2844"/>
        <v>0</v>
      </c>
      <c r="AB1474" s="143">
        <f t="shared" si="2845"/>
        <v>3010</v>
      </c>
      <c r="AC1474" s="144">
        <f t="shared" si="2846"/>
        <v>0</v>
      </c>
      <c r="AD1474" s="206"/>
      <c r="AE1474" s="144">
        <f t="shared" si="2847"/>
        <v>0</v>
      </c>
      <c r="AF1474" s="206"/>
      <c r="AG1474" s="8"/>
    </row>
    <row r="1475" spans="1:36" x14ac:dyDescent="0.45">
      <c r="A1475" s="137">
        <f>A1473</f>
        <v>46096</v>
      </c>
      <c r="B1475" s="138" t="s">
        <v>6</v>
      </c>
      <c r="C1475" s="139">
        <f>120*W1475</f>
        <v>4320</v>
      </c>
      <c r="D1475" s="140">
        <v>0</v>
      </c>
      <c r="E1475" s="140">
        <v>0</v>
      </c>
      <c r="F1475" s="140">
        <v>0</v>
      </c>
      <c r="G1475" s="140">
        <v>0</v>
      </c>
      <c r="H1475" s="140">
        <v>0</v>
      </c>
      <c r="I1475" s="140">
        <v>0</v>
      </c>
      <c r="J1475" s="140">
        <v>0</v>
      </c>
      <c r="K1475" s="140">
        <v>0</v>
      </c>
      <c r="L1475" s="162">
        <v>0</v>
      </c>
      <c r="M1475" s="142"/>
      <c r="N1475" s="140">
        <v>0</v>
      </c>
      <c r="O1475" s="140">
        <v>0</v>
      </c>
      <c r="P1475" s="140">
        <v>0</v>
      </c>
      <c r="Q1475" s="140">
        <v>0</v>
      </c>
      <c r="R1475" s="142"/>
      <c r="S1475" s="140">
        <f t="shared" si="2839"/>
        <v>0</v>
      </c>
      <c r="T1475" s="140">
        <f t="shared" si="2840"/>
        <v>0</v>
      </c>
      <c r="U1475" s="140">
        <f t="shared" si="2841"/>
        <v>0</v>
      </c>
      <c r="V1475" s="142"/>
      <c r="W1475" s="141">
        <v>36</v>
      </c>
      <c r="X1475" s="141">
        <f t="shared" si="2833"/>
        <v>0</v>
      </c>
      <c r="Y1475" s="141">
        <f t="shared" si="2842"/>
        <v>0</v>
      </c>
      <c r="Z1475" s="141">
        <f t="shared" si="2843"/>
        <v>0</v>
      </c>
      <c r="AA1475" s="143">
        <f t="shared" si="2844"/>
        <v>0</v>
      </c>
      <c r="AB1475" s="143">
        <f t="shared" si="2845"/>
        <v>0</v>
      </c>
      <c r="AC1475" s="144">
        <f t="shared" si="2846"/>
        <v>0</v>
      </c>
      <c r="AD1475" s="206"/>
      <c r="AE1475" s="144">
        <f t="shared" si="2847"/>
        <v>0</v>
      </c>
      <c r="AF1475" s="206"/>
      <c r="AG1475" s="8"/>
    </row>
    <row r="1476" spans="1:36" x14ac:dyDescent="0.45">
      <c r="A1476" s="137">
        <f>A1473</f>
        <v>46096</v>
      </c>
      <c r="B1476" s="145" t="s">
        <v>31</v>
      </c>
      <c r="C1476" s="139">
        <f>120*W1476</f>
        <v>4320</v>
      </c>
      <c r="D1476" s="140">
        <v>70.5</v>
      </c>
      <c r="E1476" s="140">
        <v>28.5</v>
      </c>
      <c r="F1476" s="140">
        <v>12</v>
      </c>
      <c r="G1476" s="140">
        <v>16.5</v>
      </c>
      <c r="H1476" s="140">
        <v>0</v>
      </c>
      <c r="I1476" s="140">
        <v>0</v>
      </c>
      <c r="J1476" s="140">
        <v>0</v>
      </c>
      <c r="K1476" s="140">
        <v>0</v>
      </c>
      <c r="L1476" s="162">
        <v>0</v>
      </c>
      <c r="M1476" s="142"/>
      <c r="N1476" s="140">
        <v>70.5</v>
      </c>
      <c r="O1476" s="140">
        <v>28.5</v>
      </c>
      <c r="P1476" s="140">
        <v>12</v>
      </c>
      <c r="Q1476" s="140">
        <v>16.5</v>
      </c>
      <c r="R1476" s="142"/>
      <c r="S1476" s="140">
        <f t="shared" si="2839"/>
        <v>127.5</v>
      </c>
      <c r="T1476" s="140">
        <f t="shared" si="2840"/>
        <v>127.5</v>
      </c>
      <c r="U1476" s="140">
        <f t="shared" si="2841"/>
        <v>0</v>
      </c>
      <c r="V1476" s="142"/>
      <c r="W1476" s="162">
        <v>36</v>
      </c>
      <c r="X1476" s="201">
        <f t="shared" si="2833"/>
        <v>5535</v>
      </c>
      <c r="Y1476" s="201">
        <f t="shared" si="2842"/>
        <v>0</v>
      </c>
      <c r="Z1476" s="201">
        <f t="shared" si="2843"/>
        <v>0</v>
      </c>
      <c r="AA1476" s="202">
        <f t="shared" si="2844"/>
        <v>0</v>
      </c>
      <c r="AB1476" s="202">
        <f t="shared" si="2845"/>
        <v>5535</v>
      </c>
      <c r="AC1476" s="203">
        <f t="shared" si="2846"/>
        <v>0</v>
      </c>
      <c r="AD1476" s="206"/>
      <c r="AE1476" s="203">
        <f t="shared" si="2847"/>
        <v>0</v>
      </c>
      <c r="AF1476" s="206"/>
      <c r="AG1476" s="8"/>
      <c r="AH1476">
        <v>27872.35</v>
      </c>
      <c r="AJ1476" s="204"/>
    </row>
    <row r="1477" spans="1:36" x14ac:dyDescent="0.45">
      <c r="A1477" s="137">
        <f>A1473</f>
        <v>46096</v>
      </c>
      <c r="B1477" s="145" t="s">
        <v>64</v>
      </c>
      <c r="C1477" s="139">
        <f>80*W1477</f>
        <v>2400</v>
      </c>
      <c r="D1477" s="140">
        <v>79</v>
      </c>
      <c r="E1477" s="140">
        <v>19.5</v>
      </c>
      <c r="F1477" s="140">
        <v>12</v>
      </c>
      <c r="G1477" s="140">
        <v>12</v>
      </c>
      <c r="H1477" s="140">
        <v>0</v>
      </c>
      <c r="I1477" s="140">
        <v>0</v>
      </c>
      <c r="J1477" s="140">
        <v>0</v>
      </c>
      <c r="K1477" s="140">
        <v>0</v>
      </c>
      <c r="L1477" s="162">
        <v>0</v>
      </c>
      <c r="M1477" s="142"/>
      <c r="N1477" s="140">
        <v>79</v>
      </c>
      <c r="O1477" s="140">
        <v>19.5</v>
      </c>
      <c r="P1477" s="140">
        <v>12</v>
      </c>
      <c r="Q1477" s="140">
        <v>12</v>
      </c>
      <c r="R1477" s="142"/>
      <c r="S1477" s="140">
        <f t="shared" si="2839"/>
        <v>122.5</v>
      </c>
      <c r="T1477" s="140">
        <f t="shared" si="2840"/>
        <v>122.5</v>
      </c>
      <c r="U1477" s="140">
        <f t="shared" si="2841"/>
        <v>0</v>
      </c>
      <c r="V1477" s="142"/>
      <c r="W1477" s="201">
        <v>30</v>
      </c>
      <c r="X1477" s="201">
        <f>(W1477*1*D1477)+(W1477*1.5*E1477)+(W1477*2*F1477)+(W1477*1*G1477)</f>
        <v>4327.5</v>
      </c>
      <c r="Y1477" s="201">
        <f t="shared" si="2842"/>
        <v>0</v>
      </c>
      <c r="Z1477" s="201">
        <f t="shared" si="2843"/>
        <v>0</v>
      </c>
      <c r="AA1477" s="202">
        <f t="shared" si="2844"/>
        <v>0</v>
      </c>
      <c r="AB1477" s="202">
        <f t="shared" si="2845"/>
        <v>4327.5</v>
      </c>
      <c r="AC1477" s="203">
        <f t="shared" si="2846"/>
        <v>0</v>
      </c>
      <c r="AD1477" s="206"/>
      <c r="AE1477" s="203">
        <f t="shared" si="2847"/>
        <v>0</v>
      </c>
      <c r="AF1477" s="206"/>
      <c r="AG1477" s="8"/>
      <c r="AH1477">
        <v>-2238.35</v>
      </c>
      <c r="AJ1477" s="204"/>
    </row>
    <row r="1478" spans="1:36" x14ac:dyDescent="0.45">
      <c r="A1478" s="137">
        <f>A1473</f>
        <v>46096</v>
      </c>
      <c r="B1478" s="145" t="s">
        <v>54</v>
      </c>
      <c r="C1478" s="139">
        <f>80*W1478</f>
        <v>2453.6000000000004</v>
      </c>
      <c r="D1478" s="140">
        <v>80</v>
      </c>
      <c r="E1478" s="140">
        <v>23.5</v>
      </c>
      <c r="F1478" s="140">
        <v>12</v>
      </c>
      <c r="G1478" s="140">
        <v>3.5</v>
      </c>
      <c r="H1478" s="140">
        <v>0</v>
      </c>
      <c r="I1478" s="140">
        <v>0</v>
      </c>
      <c r="J1478" s="140">
        <v>0</v>
      </c>
      <c r="K1478" s="140">
        <v>0</v>
      </c>
      <c r="L1478" s="162">
        <v>0</v>
      </c>
      <c r="M1478" s="142"/>
      <c r="N1478" s="140">
        <v>80</v>
      </c>
      <c r="O1478" s="140">
        <v>23.5</v>
      </c>
      <c r="P1478" s="140">
        <v>12</v>
      </c>
      <c r="Q1478" s="140">
        <v>3.5</v>
      </c>
      <c r="R1478" s="142"/>
      <c r="S1478" s="140">
        <f t="shared" si="2839"/>
        <v>119</v>
      </c>
      <c r="T1478" s="140">
        <f t="shared" si="2840"/>
        <v>119</v>
      </c>
      <c r="U1478" s="140">
        <f t="shared" si="2841"/>
        <v>0</v>
      </c>
      <c r="V1478" s="142"/>
      <c r="W1478" s="201">
        <v>30.67</v>
      </c>
      <c r="X1478" s="201">
        <f t="shared" ref="X1478:X1484" si="2848">(W1478*1*D1478)+(W1478*1.5*E1478)+(W1478*2*F1478)+(W1478*1*G1478)</f>
        <v>4378.1425000000008</v>
      </c>
      <c r="Y1478" s="201">
        <f t="shared" si="2842"/>
        <v>0</v>
      </c>
      <c r="Z1478" s="201">
        <f t="shared" si="2843"/>
        <v>0</v>
      </c>
      <c r="AA1478" s="202">
        <f t="shared" si="2844"/>
        <v>0</v>
      </c>
      <c r="AB1478" s="202">
        <f t="shared" si="2845"/>
        <v>4378.1425000000008</v>
      </c>
      <c r="AC1478" s="203">
        <f t="shared" si="2846"/>
        <v>0</v>
      </c>
      <c r="AD1478" s="206"/>
      <c r="AE1478" s="203">
        <f t="shared" si="2847"/>
        <v>0</v>
      </c>
      <c r="AF1478" s="206"/>
      <c r="AG1478" s="8"/>
      <c r="AH1478">
        <v>-3475.37</v>
      </c>
      <c r="AI1478">
        <v>2900</v>
      </c>
      <c r="AJ1478" s="204">
        <f>-(AH1478)-AI1478</f>
        <v>575.36999999999989</v>
      </c>
    </row>
    <row r="1479" spans="1:36" x14ac:dyDescent="0.45">
      <c r="A1479" s="137">
        <f>A1473</f>
        <v>46096</v>
      </c>
      <c r="B1479" s="192" t="s">
        <v>66</v>
      </c>
      <c r="C1479" s="193">
        <f>80*W1479</f>
        <v>2160</v>
      </c>
      <c r="D1479" s="189">
        <v>80</v>
      </c>
      <c r="E1479" s="140">
        <v>8.5</v>
      </c>
      <c r="F1479" s="140">
        <v>7.5</v>
      </c>
      <c r="G1479" s="140">
        <v>3</v>
      </c>
      <c r="H1479" s="140">
        <v>0</v>
      </c>
      <c r="I1479" s="140">
        <v>0</v>
      </c>
      <c r="J1479" s="140">
        <v>0</v>
      </c>
      <c r="K1479" s="140">
        <v>0</v>
      </c>
      <c r="L1479" s="162">
        <v>0</v>
      </c>
      <c r="M1479" s="190"/>
      <c r="N1479" s="140">
        <v>80</v>
      </c>
      <c r="O1479" s="140">
        <v>8.5</v>
      </c>
      <c r="P1479" s="140">
        <v>7.5</v>
      </c>
      <c r="Q1479" s="188">
        <v>3</v>
      </c>
      <c r="R1479" s="190"/>
      <c r="S1479" s="189">
        <f t="shared" si="2839"/>
        <v>99</v>
      </c>
      <c r="T1479" s="140">
        <f t="shared" si="2840"/>
        <v>99</v>
      </c>
      <c r="U1479" s="188">
        <f t="shared" si="2841"/>
        <v>0</v>
      </c>
      <c r="V1479" s="190"/>
      <c r="W1479" s="197">
        <v>27</v>
      </c>
      <c r="X1479" s="162">
        <f t="shared" si="2848"/>
        <v>2990.25</v>
      </c>
      <c r="Y1479" s="162">
        <f t="shared" si="2842"/>
        <v>0</v>
      </c>
      <c r="Z1479" s="162">
        <f t="shared" si="2843"/>
        <v>0</v>
      </c>
      <c r="AA1479" s="198">
        <f t="shared" si="2844"/>
        <v>0</v>
      </c>
      <c r="AB1479" s="198">
        <f t="shared" si="2845"/>
        <v>2990.25</v>
      </c>
      <c r="AC1479" s="199">
        <f t="shared" si="2846"/>
        <v>0</v>
      </c>
      <c r="AD1479" s="206"/>
      <c r="AE1479" s="200">
        <f t="shared" si="2847"/>
        <v>0</v>
      </c>
      <c r="AF1479" s="206"/>
      <c r="AG1479" s="8"/>
    </row>
    <row r="1480" spans="1:36" x14ac:dyDescent="0.45">
      <c r="A1480" s="137">
        <f>A1474</f>
        <v>46096</v>
      </c>
      <c r="B1480" s="194" t="s">
        <v>121</v>
      </c>
      <c r="C1480" s="193">
        <f>80*W1480</f>
        <v>2720</v>
      </c>
      <c r="D1480" s="189">
        <v>52</v>
      </c>
      <c r="E1480" s="140">
        <v>0</v>
      </c>
      <c r="F1480" s="140">
        <v>0</v>
      </c>
      <c r="G1480" s="140">
        <v>0</v>
      </c>
      <c r="H1480" s="140">
        <v>0</v>
      </c>
      <c r="I1480" s="140">
        <v>0</v>
      </c>
      <c r="J1480" s="140">
        <v>0</v>
      </c>
      <c r="K1480" s="140">
        <v>0</v>
      </c>
      <c r="L1480" s="162">
        <v>0</v>
      </c>
      <c r="M1480" s="190"/>
      <c r="N1480" s="140">
        <v>0</v>
      </c>
      <c r="O1480" s="140">
        <v>0</v>
      </c>
      <c r="P1480" s="140">
        <v>0</v>
      </c>
      <c r="Q1480" s="188">
        <v>0</v>
      </c>
      <c r="R1480" s="190"/>
      <c r="S1480" s="189">
        <f t="shared" ref="S1480" si="2849">SUM(D1480:G1480)</f>
        <v>52</v>
      </c>
      <c r="T1480" s="140">
        <f t="shared" ref="T1480" si="2850">SUM(N1480:Q1480)</f>
        <v>0</v>
      </c>
      <c r="U1480" s="188">
        <f t="shared" ref="U1480" si="2851">SUM(H1480:K1480)</f>
        <v>0</v>
      </c>
      <c r="V1480" s="190"/>
      <c r="W1480" s="191">
        <v>34</v>
      </c>
      <c r="X1480" s="141">
        <f t="shared" si="2848"/>
        <v>1768</v>
      </c>
      <c r="Y1480" s="141">
        <f t="shared" si="2842"/>
        <v>0</v>
      </c>
      <c r="Z1480" s="141">
        <f t="shared" si="2843"/>
        <v>0</v>
      </c>
      <c r="AA1480" s="143">
        <f t="shared" si="2844"/>
        <v>0</v>
      </c>
      <c r="AB1480" s="143">
        <f>(W1480*1*N1480)+(W1480*1.5*O1480)+(W1480*2*P1480)+(W1480*1*Q1480)</f>
        <v>0</v>
      </c>
      <c r="AC1480" s="144">
        <f t="shared" si="2846"/>
        <v>0</v>
      </c>
      <c r="AD1480" s="206"/>
      <c r="AE1480" s="186">
        <f t="shared" si="2847"/>
        <v>-1768</v>
      </c>
      <c r="AF1480" s="206"/>
      <c r="AG1480" s="8"/>
    </row>
    <row r="1481" spans="1:36" ht="14.65" thickBot="1" x14ac:dyDescent="0.5">
      <c r="A1481" s="179">
        <f>A1474</f>
        <v>46096</v>
      </c>
      <c r="B1481" s="187" t="s">
        <v>122</v>
      </c>
      <c r="C1481" s="151">
        <f>80*W1481</f>
        <v>1740</v>
      </c>
      <c r="D1481" s="180">
        <v>0</v>
      </c>
      <c r="E1481" s="180">
        <v>0</v>
      </c>
      <c r="F1481" s="180">
        <v>0</v>
      </c>
      <c r="G1481" s="180">
        <v>0</v>
      </c>
      <c r="H1481" s="180">
        <v>0</v>
      </c>
      <c r="I1481" s="180">
        <v>0</v>
      </c>
      <c r="J1481" s="180">
        <v>0</v>
      </c>
      <c r="K1481" s="180">
        <v>80</v>
      </c>
      <c r="L1481" s="181">
        <v>0</v>
      </c>
      <c r="M1481" s="154"/>
      <c r="N1481" s="180">
        <v>0</v>
      </c>
      <c r="O1481" s="180">
        <v>0</v>
      </c>
      <c r="P1481" s="180">
        <v>0</v>
      </c>
      <c r="Q1481" s="180">
        <v>0</v>
      </c>
      <c r="R1481" s="154"/>
      <c r="S1481" s="180">
        <f t="shared" ref="S1481:S1488" si="2852">SUM(D1481:G1481)</f>
        <v>0</v>
      </c>
      <c r="T1481" s="180">
        <f t="shared" ref="T1481:T1488" si="2853">SUM(N1481:Q1481)</f>
        <v>0</v>
      </c>
      <c r="U1481" s="180">
        <f t="shared" ref="U1481:U1488" si="2854">SUM(H1481:K1481)</f>
        <v>80</v>
      </c>
      <c r="V1481" s="154"/>
      <c r="W1481" s="182">
        <v>21.75</v>
      </c>
      <c r="X1481" s="182">
        <f t="shared" si="2848"/>
        <v>0</v>
      </c>
      <c r="Y1481" s="182">
        <f t="shared" si="2842"/>
        <v>0</v>
      </c>
      <c r="Z1481" s="182">
        <f t="shared" si="2843"/>
        <v>0</v>
      </c>
      <c r="AA1481" s="183">
        <f t="shared" si="2844"/>
        <v>1740</v>
      </c>
      <c r="AB1481" s="183">
        <f t="shared" ref="AB1481:AB1487" si="2855">(W1481*1*N1481)+(W1481*1.5*O1481)+(W1481*2*P1481)+(W1481*1*Q1481)</f>
        <v>0</v>
      </c>
      <c r="AC1481" s="184">
        <f t="shared" si="2846"/>
        <v>-1740</v>
      </c>
      <c r="AD1481" s="207"/>
      <c r="AE1481" s="184">
        <f t="shared" si="2847"/>
        <v>0</v>
      </c>
      <c r="AF1481" s="207"/>
      <c r="AG1481" s="8"/>
      <c r="AH1481">
        <f>SUM(AH1476:AH1479)</f>
        <v>22158.63</v>
      </c>
    </row>
    <row r="1482" spans="1:36" x14ac:dyDescent="0.45">
      <c r="A1482" s="129">
        <f>A1481+14</f>
        <v>46110</v>
      </c>
      <c r="B1482" s="130" t="s">
        <v>30</v>
      </c>
      <c r="C1482" s="131">
        <f>120*W1482</f>
        <v>4680</v>
      </c>
      <c r="D1482" s="132">
        <v>78</v>
      </c>
      <c r="E1482" s="132">
        <v>32</v>
      </c>
      <c r="F1482" s="132">
        <v>24</v>
      </c>
      <c r="G1482" s="132">
        <v>8</v>
      </c>
      <c r="H1482" s="132">
        <v>0</v>
      </c>
      <c r="I1482" s="132">
        <v>0</v>
      </c>
      <c r="J1482" s="132">
        <v>0</v>
      </c>
      <c r="K1482" s="132">
        <v>0</v>
      </c>
      <c r="L1482" s="161">
        <v>0</v>
      </c>
      <c r="M1482" s="134"/>
      <c r="N1482" s="132">
        <v>78</v>
      </c>
      <c r="O1482" s="132">
        <v>32</v>
      </c>
      <c r="P1482" s="132">
        <v>24</v>
      </c>
      <c r="Q1482" s="132">
        <v>8</v>
      </c>
      <c r="R1482" s="134"/>
      <c r="S1482" s="132">
        <f t="shared" si="2852"/>
        <v>142</v>
      </c>
      <c r="T1482" s="132">
        <f t="shared" si="2853"/>
        <v>142</v>
      </c>
      <c r="U1482" s="132">
        <f t="shared" si="2854"/>
        <v>0</v>
      </c>
      <c r="V1482" s="134"/>
      <c r="W1482" s="161">
        <v>39</v>
      </c>
      <c r="X1482" s="161">
        <f t="shared" si="2848"/>
        <v>7098</v>
      </c>
      <c r="Y1482" s="161">
        <f t="shared" ref="Y1482:Y1489" si="2856">(W1482*0*H1482)+(W1482*1*I1482)</f>
        <v>0</v>
      </c>
      <c r="Z1482" s="161">
        <f t="shared" ref="Z1482:Z1489" si="2857">(W1482*1*J1482)+L1482</f>
        <v>0</v>
      </c>
      <c r="AA1482" s="195">
        <f t="shared" ref="AA1482:AA1489" si="2858">(W1482*1*K1482)</f>
        <v>0</v>
      </c>
      <c r="AB1482" s="195">
        <f t="shared" si="2855"/>
        <v>7098</v>
      </c>
      <c r="AC1482" s="196">
        <f t="shared" ref="AC1482:AC1489" si="2859">0-Y1482-AA1482</f>
        <v>0</v>
      </c>
      <c r="AD1482" s="205"/>
      <c r="AE1482" s="196">
        <f t="shared" ref="AE1482:AE1489" si="2860">AB1482-(X1482+Z1482)</f>
        <v>0</v>
      </c>
      <c r="AF1482" s="205">
        <f>SUM(AE1482:AE1487)</f>
        <v>-14.75</v>
      </c>
      <c r="AG1482" s="8"/>
    </row>
    <row r="1483" spans="1:36" x14ac:dyDescent="0.45">
      <c r="A1483" s="137">
        <f>A1482</f>
        <v>46110</v>
      </c>
      <c r="B1483" s="138" t="s">
        <v>5</v>
      </c>
      <c r="C1483" s="139">
        <f>120*W1483</f>
        <v>4200</v>
      </c>
      <c r="D1483" s="140">
        <v>74.75</v>
      </c>
      <c r="E1483" s="140">
        <v>0</v>
      </c>
      <c r="F1483" s="140">
        <v>0</v>
      </c>
      <c r="G1483" s="140">
        <v>0</v>
      </c>
      <c r="H1483" s="140">
        <v>0</v>
      </c>
      <c r="I1483" s="140">
        <v>7</v>
      </c>
      <c r="J1483" s="140">
        <v>0</v>
      </c>
      <c r="K1483" s="140">
        <v>0</v>
      </c>
      <c r="L1483" s="162">
        <v>0</v>
      </c>
      <c r="M1483" s="142"/>
      <c r="N1483" s="140">
        <v>73.75</v>
      </c>
      <c r="O1483" s="140">
        <v>0</v>
      </c>
      <c r="P1483" s="140">
        <v>0</v>
      </c>
      <c r="Q1483" s="140">
        <v>0</v>
      </c>
      <c r="R1483" s="142"/>
      <c r="S1483" s="140">
        <f t="shared" si="2852"/>
        <v>74.75</v>
      </c>
      <c r="T1483" s="140">
        <f t="shared" si="2853"/>
        <v>73.75</v>
      </c>
      <c r="U1483" s="140">
        <f t="shared" si="2854"/>
        <v>7</v>
      </c>
      <c r="V1483" s="142"/>
      <c r="W1483" s="141">
        <v>35</v>
      </c>
      <c r="X1483" s="141">
        <f t="shared" si="2848"/>
        <v>2616.25</v>
      </c>
      <c r="Y1483" s="141">
        <f t="shared" si="2856"/>
        <v>245</v>
      </c>
      <c r="Z1483" s="141">
        <f t="shared" si="2857"/>
        <v>0</v>
      </c>
      <c r="AA1483" s="143">
        <f t="shared" si="2858"/>
        <v>0</v>
      </c>
      <c r="AB1483" s="143">
        <f t="shared" si="2855"/>
        <v>2581.25</v>
      </c>
      <c r="AC1483" s="144">
        <f t="shared" si="2859"/>
        <v>-245</v>
      </c>
      <c r="AD1483" s="206"/>
      <c r="AE1483" s="144">
        <f t="shared" si="2860"/>
        <v>-35</v>
      </c>
      <c r="AF1483" s="206"/>
      <c r="AG1483" s="8"/>
    </row>
    <row r="1484" spans="1:36" x14ac:dyDescent="0.45">
      <c r="A1484" s="137">
        <f>A1482</f>
        <v>46110</v>
      </c>
      <c r="B1484" s="145" t="s">
        <v>31</v>
      </c>
      <c r="C1484" s="139">
        <f>120*W1484</f>
        <v>4320</v>
      </c>
      <c r="D1484" s="140">
        <v>66.5</v>
      </c>
      <c r="E1484" s="140">
        <v>0</v>
      </c>
      <c r="F1484" s="140">
        <v>12</v>
      </c>
      <c r="G1484" s="140">
        <v>12</v>
      </c>
      <c r="H1484" s="140">
        <v>0</v>
      </c>
      <c r="I1484" s="140">
        <v>0</v>
      </c>
      <c r="J1484" s="140">
        <v>0</v>
      </c>
      <c r="K1484" s="140">
        <v>0</v>
      </c>
      <c r="L1484" s="162">
        <v>0</v>
      </c>
      <c r="M1484" s="142"/>
      <c r="N1484" s="140">
        <v>70.5</v>
      </c>
      <c r="O1484" s="140">
        <v>0</v>
      </c>
      <c r="P1484" s="140">
        <v>12</v>
      </c>
      <c r="Q1484" s="140">
        <v>8</v>
      </c>
      <c r="R1484" s="142"/>
      <c r="S1484" s="140">
        <f t="shared" si="2852"/>
        <v>90.5</v>
      </c>
      <c r="T1484" s="140">
        <f t="shared" si="2853"/>
        <v>90.5</v>
      </c>
      <c r="U1484" s="140">
        <f t="shared" si="2854"/>
        <v>0</v>
      </c>
      <c r="V1484" s="142"/>
      <c r="W1484" s="162">
        <v>36</v>
      </c>
      <c r="X1484" s="201">
        <f t="shared" si="2848"/>
        <v>3690</v>
      </c>
      <c r="Y1484" s="201">
        <f t="shared" si="2856"/>
        <v>0</v>
      </c>
      <c r="Z1484" s="201">
        <f t="shared" si="2857"/>
        <v>0</v>
      </c>
      <c r="AA1484" s="202">
        <f t="shared" si="2858"/>
        <v>0</v>
      </c>
      <c r="AB1484" s="202">
        <f t="shared" si="2855"/>
        <v>3690</v>
      </c>
      <c r="AC1484" s="203">
        <f t="shared" si="2859"/>
        <v>0</v>
      </c>
      <c r="AD1484" s="206"/>
      <c r="AE1484" s="203">
        <f t="shared" si="2860"/>
        <v>0</v>
      </c>
      <c r="AF1484" s="206"/>
      <c r="AG1484" s="8"/>
      <c r="AH1484">
        <v>26362.41</v>
      </c>
      <c r="AJ1484" s="204"/>
    </row>
    <row r="1485" spans="1:36" x14ac:dyDescent="0.45">
      <c r="A1485" s="137">
        <f>A1482</f>
        <v>46110</v>
      </c>
      <c r="B1485" s="145" t="s">
        <v>64</v>
      </c>
      <c r="C1485" s="139">
        <f>80*W1485</f>
        <v>2400</v>
      </c>
      <c r="D1485" s="140">
        <v>74</v>
      </c>
      <c r="E1485" s="140">
        <v>5.25</v>
      </c>
      <c r="F1485" s="140">
        <v>12</v>
      </c>
      <c r="G1485" s="140">
        <v>29.5</v>
      </c>
      <c r="H1485" s="140">
        <v>0</v>
      </c>
      <c r="I1485" s="140">
        <v>0</v>
      </c>
      <c r="J1485" s="140">
        <v>0</v>
      </c>
      <c r="K1485" s="140">
        <v>0</v>
      </c>
      <c r="L1485" s="162">
        <v>0</v>
      </c>
      <c r="M1485" s="142"/>
      <c r="N1485" s="140">
        <v>74</v>
      </c>
      <c r="O1485" s="140">
        <v>5.25</v>
      </c>
      <c r="P1485" s="140">
        <v>12</v>
      </c>
      <c r="Q1485" s="140">
        <v>29.5</v>
      </c>
      <c r="R1485" s="142"/>
      <c r="S1485" s="140">
        <f t="shared" si="2852"/>
        <v>120.75</v>
      </c>
      <c r="T1485" s="140">
        <f t="shared" si="2853"/>
        <v>120.75</v>
      </c>
      <c r="U1485" s="140">
        <f t="shared" si="2854"/>
        <v>0</v>
      </c>
      <c r="V1485" s="142"/>
      <c r="W1485" s="201">
        <v>30</v>
      </c>
      <c r="X1485" s="201">
        <f>(W1485*1*D1485)+(W1485*1.5*E1485)+(W1485*2*F1485)+(W1485*1*G1485)</f>
        <v>4061.25</v>
      </c>
      <c r="Y1485" s="201">
        <f t="shared" si="2856"/>
        <v>0</v>
      </c>
      <c r="Z1485" s="201">
        <f t="shared" si="2857"/>
        <v>0</v>
      </c>
      <c r="AA1485" s="202">
        <f t="shared" si="2858"/>
        <v>0</v>
      </c>
      <c r="AB1485" s="202">
        <f t="shared" si="2855"/>
        <v>4061.25</v>
      </c>
      <c r="AC1485" s="203">
        <f t="shared" si="2859"/>
        <v>0</v>
      </c>
      <c r="AD1485" s="206"/>
      <c r="AE1485" s="203">
        <f t="shared" si="2860"/>
        <v>0</v>
      </c>
      <c r="AF1485" s="206"/>
      <c r="AG1485" s="8"/>
      <c r="AH1485">
        <v>-2276.66</v>
      </c>
      <c r="AJ1485" s="204"/>
    </row>
    <row r="1486" spans="1:36" x14ac:dyDescent="0.45">
      <c r="A1486" s="137">
        <f>A1482</f>
        <v>46110</v>
      </c>
      <c r="B1486" s="145" t="s">
        <v>54</v>
      </c>
      <c r="C1486" s="139">
        <f>80*W1486</f>
        <v>2453.6000000000004</v>
      </c>
      <c r="D1486" s="140">
        <v>77.5</v>
      </c>
      <c r="E1486" s="140">
        <v>6.5</v>
      </c>
      <c r="F1486" s="140">
        <v>0</v>
      </c>
      <c r="G1486" s="140">
        <v>11.5</v>
      </c>
      <c r="H1486" s="140">
        <v>0</v>
      </c>
      <c r="I1486" s="140">
        <v>0</v>
      </c>
      <c r="J1486" s="140">
        <v>0</v>
      </c>
      <c r="K1486" s="140">
        <v>0</v>
      </c>
      <c r="L1486" s="162">
        <v>0</v>
      </c>
      <c r="M1486" s="142"/>
      <c r="N1486" s="140">
        <v>77.5</v>
      </c>
      <c r="O1486" s="140">
        <v>6.5</v>
      </c>
      <c r="P1486" s="140">
        <v>0</v>
      </c>
      <c r="Q1486" s="140">
        <v>11.5</v>
      </c>
      <c r="R1486" s="142"/>
      <c r="S1486" s="140">
        <f t="shared" si="2852"/>
        <v>95.5</v>
      </c>
      <c r="T1486" s="140">
        <f t="shared" si="2853"/>
        <v>95.5</v>
      </c>
      <c r="U1486" s="140">
        <f t="shared" si="2854"/>
        <v>0</v>
      </c>
      <c r="V1486" s="142"/>
      <c r="W1486" s="201">
        <v>30.67</v>
      </c>
      <c r="X1486" s="201">
        <f t="shared" ref="X1486:X1489" si="2861">(W1486*1*D1486)+(W1486*1.5*E1486)+(W1486*2*F1486)+(W1486*1*G1486)</f>
        <v>3028.6625000000004</v>
      </c>
      <c r="Y1486" s="201">
        <f t="shared" si="2856"/>
        <v>0</v>
      </c>
      <c r="Z1486" s="201">
        <f t="shared" si="2857"/>
        <v>0</v>
      </c>
      <c r="AA1486" s="202">
        <f t="shared" si="2858"/>
        <v>0</v>
      </c>
      <c r="AB1486" s="202">
        <f t="shared" si="2855"/>
        <v>3028.6625000000004</v>
      </c>
      <c r="AC1486" s="203">
        <f t="shared" si="2859"/>
        <v>0</v>
      </c>
      <c r="AD1486" s="206"/>
      <c r="AE1486" s="203">
        <f t="shared" si="2860"/>
        <v>0</v>
      </c>
      <c r="AF1486" s="206"/>
      <c r="AG1486" s="8"/>
      <c r="AH1486">
        <v>-3475.37</v>
      </c>
      <c r="AI1486">
        <v>2900</v>
      </c>
      <c r="AJ1486" s="204">
        <f>-(AH1486)-AI1486</f>
        <v>575.36999999999989</v>
      </c>
    </row>
    <row r="1487" spans="1:36" x14ac:dyDescent="0.45">
      <c r="A1487" s="137">
        <f>A1482</f>
        <v>46110</v>
      </c>
      <c r="B1487" s="192" t="s">
        <v>66</v>
      </c>
      <c r="C1487" s="193">
        <f>80*W1487</f>
        <v>2160</v>
      </c>
      <c r="D1487" s="189">
        <v>74</v>
      </c>
      <c r="E1487" s="140">
        <v>19</v>
      </c>
      <c r="F1487" s="140">
        <v>0</v>
      </c>
      <c r="G1487" s="140">
        <v>2.5</v>
      </c>
      <c r="H1487" s="140">
        <v>0</v>
      </c>
      <c r="I1487" s="140">
        <v>8</v>
      </c>
      <c r="J1487" s="140">
        <v>0</v>
      </c>
      <c r="K1487" s="140">
        <v>0</v>
      </c>
      <c r="L1487" s="162">
        <v>0</v>
      </c>
      <c r="M1487" s="190"/>
      <c r="N1487" s="140">
        <v>74</v>
      </c>
      <c r="O1487" s="140">
        <v>17.5</v>
      </c>
      <c r="P1487" s="140">
        <v>1.5</v>
      </c>
      <c r="Q1487" s="188">
        <v>2.5</v>
      </c>
      <c r="R1487" s="190"/>
      <c r="S1487" s="189">
        <f t="shared" si="2852"/>
        <v>95.5</v>
      </c>
      <c r="T1487" s="140">
        <f t="shared" si="2853"/>
        <v>95.5</v>
      </c>
      <c r="U1487" s="188">
        <f t="shared" si="2854"/>
        <v>8</v>
      </c>
      <c r="V1487" s="190"/>
      <c r="W1487" s="197">
        <v>27</v>
      </c>
      <c r="X1487" s="162">
        <f t="shared" si="2861"/>
        <v>2835</v>
      </c>
      <c r="Y1487" s="162">
        <f t="shared" si="2856"/>
        <v>216</v>
      </c>
      <c r="Z1487" s="162">
        <f t="shared" si="2857"/>
        <v>0</v>
      </c>
      <c r="AA1487" s="198">
        <f t="shared" si="2858"/>
        <v>0</v>
      </c>
      <c r="AB1487" s="198">
        <f t="shared" si="2855"/>
        <v>2855.25</v>
      </c>
      <c r="AC1487" s="199">
        <f t="shared" si="2859"/>
        <v>-216</v>
      </c>
      <c r="AD1487" s="206"/>
      <c r="AE1487" s="200">
        <f t="shared" si="2860"/>
        <v>20.25</v>
      </c>
      <c r="AF1487" s="206"/>
      <c r="AG1487" s="8"/>
    </row>
    <row r="1488" spans="1:36" x14ac:dyDescent="0.45">
      <c r="A1488" s="137">
        <f>A1483</f>
        <v>46110</v>
      </c>
      <c r="B1488" s="194" t="s">
        <v>121</v>
      </c>
      <c r="C1488" s="193">
        <f>80*W1488</f>
        <v>2720</v>
      </c>
      <c r="D1488" s="189">
        <v>51</v>
      </c>
      <c r="E1488" s="140">
        <v>0</v>
      </c>
      <c r="F1488" s="140">
        <v>0</v>
      </c>
      <c r="G1488" s="140">
        <v>0</v>
      </c>
      <c r="H1488" s="140">
        <v>0</v>
      </c>
      <c r="I1488" s="140">
        <v>0</v>
      </c>
      <c r="J1488" s="140">
        <v>0</v>
      </c>
      <c r="K1488" s="140">
        <v>0</v>
      </c>
      <c r="L1488" s="162">
        <v>0</v>
      </c>
      <c r="M1488" s="190"/>
      <c r="N1488" s="140">
        <v>0</v>
      </c>
      <c r="O1488" s="140">
        <v>0</v>
      </c>
      <c r="P1488" s="140">
        <v>0</v>
      </c>
      <c r="Q1488" s="188">
        <v>0</v>
      </c>
      <c r="R1488" s="190"/>
      <c r="S1488" s="189">
        <f t="shared" si="2852"/>
        <v>51</v>
      </c>
      <c r="T1488" s="140">
        <f t="shared" si="2853"/>
        <v>0</v>
      </c>
      <c r="U1488" s="188">
        <f t="shared" si="2854"/>
        <v>0</v>
      </c>
      <c r="V1488" s="190"/>
      <c r="W1488" s="191">
        <v>34</v>
      </c>
      <c r="X1488" s="141">
        <f t="shared" si="2861"/>
        <v>1734</v>
      </c>
      <c r="Y1488" s="141">
        <f t="shared" si="2856"/>
        <v>0</v>
      </c>
      <c r="Z1488" s="141">
        <f t="shared" si="2857"/>
        <v>0</v>
      </c>
      <c r="AA1488" s="143">
        <f t="shared" si="2858"/>
        <v>0</v>
      </c>
      <c r="AB1488" s="143">
        <f>(W1488*1*N1488)+(W1488*1.5*O1488)+(W1488*2*P1488)+(W1488*1*Q1488)</f>
        <v>0</v>
      </c>
      <c r="AC1488" s="144">
        <f t="shared" si="2859"/>
        <v>0</v>
      </c>
      <c r="AD1488" s="206"/>
      <c r="AE1488" s="186">
        <f t="shared" si="2860"/>
        <v>-1734</v>
      </c>
      <c r="AF1488" s="206"/>
      <c r="AG1488" s="8"/>
    </row>
    <row r="1489" spans="1:34" ht="14.65" thickBot="1" x14ac:dyDescent="0.5">
      <c r="A1489" s="179">
        <f>A1483</f>
        <v>46110</v>
      </c>
      <c r="B1489" s="187" t="s">
        <v>122</v>
      </c>
      <c r="C1489" s="151">
        <f>80*W1489</f>
        <v>1740</v>
      </c>
      <c r="D1489" s="180">
        <v>0</v>
      </c>
      <c r="E1489" s="180">
        <v>0</v>
      </c>
      <c r="F1489" s="180">
        <v>0</v>
      </c>
      <c r="G1489" s="180">
        <v>0</v>
      </c>
      <c r="H1489" s="180">
        <v>0</v>
      </c>
      <c r="I1489" s="180">
        <v>0</v>
      </c>
      <c r="J1489" s="180">
        <v>0</v>
      </c>
      <c r="K1489" s="180">
        <v>80</v>
      </c>
      <c r="L1489" s="181">
        <v>0</v>
      </c>
      <c r="M1489" s="154"/>
      <c r="N1489" s="180">
        <v>0</v>
      </c>
      <c r="O1489" s="180">
        <v>0</v>
      </c>
      <c r="P1489" s="180">
        <v>0</v>
      </c>
      <c r="Q1489" s="180">
        <v>0</v>
      </c>
      <c r="R1489" s="154"/>
      <c r="S1489" s="180">
        <f t="shared" ref="S1489" si="2862">SUM(D1489:G1489)</f>
        <v>0</v>
      </c>
      <c r="T1489" s="180">
        <f t="shared" ref="T1489" si="2863">SUM(N1489:Q1489)</f>
        <v>0</v>
      </c>
      <c r="U1489" s="180">
        <f t="shared" ref="U1489" si="2864">SUM(H1489:K1489)</f>
        <v>80</v>
      </c>
      <c r="V1489" s="154"/>
      <c r="W1489" s="182">
        <v>21.75</v>
      </c>
      <c r="X1489" s="182">
        <f t="shared" si="2861"/>
        <v>0</v>
      </c>
      <c r="Y1489" s="182">
        <f t="shared" si="2856"/>
        <v>0</v>
      </c>
      <c r="Z1489" s="182">
        <f t="shared" si="2857"/>
        <v>0</v>
      </c>
      <c r="AA1489" s="183">
        <f t="shared" si="2858"/>
        <v>1740</v>
      </c>
      <c r="AB1489" s="183">
        <f t="shared" ref="AB1489" si="2865">(W1489*1*N1489)+(W1489*1.5*O1489)+(W1489*2*P1489)+(W1489*1*Q1489)</f>
        <v>0</v>
      </c>
      <c r="AC1489" s="184">
        <f t="shared" si="2859"/>
        <v>-1740</v>
      </c>
      <c r="AD1489" s="207"/>
      <c r="AE1489" s="184">
        <f t="shared" si="2860"/>
        <v>0</v>
      </c>
      <c r="AF1489" s="207"/>
      <c r="AG1489" s="8"/>
      <c r="AH1489">
        <f>SUM(AH1484:AH1487)</f>
        <v>20610.38</v>
      </c>
    </row>
  </sheetData>
  <mergeCells count="349">
    <mergeCell ref="AD1482:AD1489"/>
    <mergeCell ref="AF1482:AF1489"/>
    <mergeCell ref="AD1464:AD1472"/>
    <mergeCell ref="AF1464:AF1472"/>
    <mergeCell ref="AD1455:AD1463"/>
    <mergeCell ref="AF1455:AF1463"/>
    <mergeCell ref="AD1447:AD1454"/>
    <mergeCell ref="AF1447:AF1454"/>
    <mergeCell ref="AD1433:AD1439"/>
    <mergeCell ref="AF1433:AF1439"/>
    <mergeCell ref="AD1426:AD1432"/>
    <mergeCell ref="AF1426:AF1432"/>
    <mergeCell ref="AD1419:AD1425"/>
    <mergeCell ref="AF1419:AF1425"/>
    <mergeCell ref="AD1412:AD1418"/>
    <mergeCell ref="AF1412:AF1418"/>
    <mergeCell ref="AD1440:AD1446"/>
    <mergeCell ref="AF1440:AF1446"/>
    <mergeCell ref="AD1398:AD1404"/>
    <mergeCell ref="AF1398:AF1404"/>
    <mergeCell ref="AD1405:AD1411"/>
    <mergeCell ref="AF1405:AF1411"/>
    <mergeCell ref="AF1391:AF1397"/>
    <mergeCell ref="BA1258:BC1258"/>
    <mergeCell ref="AD1265:AD1271"/>
    <mergeCell ref="AF1265:AF1271"/>
    <mergeCell ref="AD1335:AD1341"/>
    <mergeCell ref="AF1335:AF1341"/>
    <mergeCell ref="AD1321:AD1327"/>
    <mergeCell ref="AF1321:AF1327"/>
    <mergeCell ref="AD1258:AD1264"/>
    <mergeCell ref="AF1258:AF1264"/>
    <mergeCell ref="AD1307:AD1313"/>
    <mergeCell ref="AF1307:AF1313"/>
    <mergeCell ref="AD1300:AD1306"/>
    <mergeCell ref="AF1300:AF1306"/>
    <mergeCell ref="AD1293:AD1299"/>
    <mergeCell ref="AF1293:AF1299"/>
    <mergeCell ref="AD1286:AD1292"/>
    <mergeCell ref="AF1286:AF1292"/>
    <mergeCell ref="AD1279:AD1285"/>
    <mergeCell ref="AF1279:AF1285"/>
    <mergeCell ref="AF1370:AF1376"/>
    <mergeCell ref="AD1272:AD1278"/>
    <mergeCell ref="AD1370:AD1376"/>
    <mergeCell ref="AD1180:AD1187"/>
    <mergeCell ref="AF1180:AF1187"/>
    <mergeCell ref="AD1091:AD1099"/>
    <mergeCell ref="AF1091:AF1099"/>
    <mergeCell ref="AD1145:AD1153"/>
    <mergeCell ref="AF1145:AF1153"/>
    <mergeCell ref="AF1118:AF1126"/>
    <mergeCell ref="AD1136:AD1144"/>
    <mergeCell ref="AF1136:AF1144"/>
    <mergeCell ref="AD1127:AD1135"/>
    <mergeCell ref="AF1127:AF1135"/>
    <mergeCell ref="AD1109:AD1117"/>
    <mergeCell ref="AD1163:AD1171"/>
    <mergeCell ref="AF1163:AF1171"/>
    <mergeCell ref="AD1172:AD1179"/>
    <mergeCell ref="AF1172:AF1179"/>
    <mergeCell ref="AD1100:AD1108"/>
    <mergeCell ref="AF1100:AF1108"/>
    <mergeCell ref="AF1109:AF1117"/>
    <mergeCell ref="AD1118:AD1126"/>
    <mergeCell ref="AD1154:AD1162"/>
    <mergeCell ref="AF1154:AF1162"/>
    <mergeCell ref="AF1188:AF1194"/>
    <mergeCell ref="AD1028:AD1036"/>
    <mergeCell ref="AF1028:AF1036"/>
    <mergeCell ref="AD1082:AD1090"/>
    <mergeCell ref="AF1082:AF1090"/>
    <mergeCell ref="AF613:AF622"/>
    <mergeCell ref="AD594:AD602"/>
    <mergeCell ref="AF594:AF602"/>
    <mergeCell ref="AD623:AD632"/>
    <mergeCell ref="AF623:AF632"/>
    <mergeCell ref="AD603:AD612"/>
    <mergeCell ref="AF603:AF612"/>
    <mergeCell ref="AD644:AD654"/>
    <mergeCell ref="AF644:AF654"/>
    <mergeCell ref="AD633:AD643"/>
    <mergeCell ref="AF633:AF643"/>
    <mergeCell ref="AD613:AD622"/>
    <mergeCell ref="AD1064:AD1072"/>
    <mergeCell ref="AF1064:AF1072"/>
    <mergeCell ref="AD1073:AD1081"/>
    <mergeCell ref="AF1073:AF1081"/>
    <mergeCell ref="AF666:AF676"/>
    <mergeCell ref="AF687:AF696"/>
    <mergeCell ref="AD797:AD806"/>
    <mergeCell ref="AD192:AD200"/>
    <mergeCell ref="AD334:AD342"/>
    <mergeCell ref="AF334:AF342"/>
    <mergeCell ref="AF325:AF333"/>
    <mergeCell ref="AD325:AD333"/>
    <mergeCell ref="AD441:AD449"/>
    <mergeCell ref="AD343:AD351"/>
    <mergeCell ref="AF379:AF387"/>
    <mergeCell ref="AD379:AD387"/>
    <mergeCell ref="AD432:AD440"/>
    <mergeCell ref="AF432:AF440"/>
    <mergeCell ref="AD414:AD422"/>
    <mergeCell ref="AF423:AF431"/>
    <mergeCell ref="AF414:AF422"/>
    <mergeCell ref="AF441:AF449"/>
    <mergeCell ref="AF352:AF360"/>
    <mergeCell ref="AD396:AD404"/>
    <mergeCell ref="AF396:AF404"/>
    <mergeCell ref="AD388:AD395"/>
    <mergeCell ref="AD405:AD413"/>
    <mergeCell ref="AD276:AD285"/>
    <mergeCell ref="AF276:AF285"/>
    <mergeCell ref="AF237:AF245"/>
    <mergeCell ref="AD459:AD467"/>
    <mergeCell ref="AF459:AF467"/>
    <mergeCell ref="AD495:AD503"/>
    <mergeCell ref="AF495:AF503"/>
    <mergeCell ref="AD477:AD485"/>
    <mergeCell ref="AD361:AD369"/>
    <mergeCell ref="AF486:AF494"/>
    <mergeCell ref="AD486:AD494"/>
    <mergeCell ref="AD468:AD476"/>
    <mergeCell ref="AD450:AD458"/>
    <mergeCell ref="AF450:AF458"/>
    <mergeCell ref="AF585:AF593"/>
    <mergeCell ref="AD576:AD584"/>
    <mergeCell ref="AF567:AF575"/>
    <mergeCell ref="AD558:AD566"/>
    <mergeCell ref="AD585:AD593"/>
    <mergeCell ref="AD567:AD575"/>
    <mergeCell ref="AF558:AF566"/>
    <mergeCell ref="AF531:AF539"/>
    <mergeCell ref="AF468:AF476"/>
    <mergeCell ref="AD522:AD530"/>
    <mergeCell ref="AD531:AD539"/>
    <mergeCell ref="AF477:AF485"/>
    <mergeCell ref="AD549:AD557"/>
    <mergeCell ref="AF549:AF557"/>
    <mergeCell ref="AF576:AF584"/>
    <mergeCell ref="AD513:AD521"/>
    <mergeCell ref="AF513:AF521"/>
    <mergeCell ref="AF504:AF512"/>
    <mergeCell ref="AD540:AD548"/>
    <mergeCell ref="AF522:AF530"/>
    <mergeCell ref="AD504:AD512"/>
    <mergeCell ref="AF540:AF548"/>
    <mergeCell ref="AD84:AD92"/>
    <mergeCell ref="AF129:AF137"/>
    <mergeCell ref="AD174:AD182"/>
    <mergeCell ref="AF138:AF146"/>
    <mergeCell ref="AD156:AD164"/>
    <mergeCell ref="AF156:AF164"/>
    <mergeCell ref="AF66:AF74"/>
    <mergeCell ref="AF405:AF413"/>
    <mergeCell ref="AD423:AD431"/>
    <mergeCell ref="AF370:AF378"/>
    <mergeCell ref="AF388:AF395"/>
    <mergeCell ref="AF343:AF351"/>
    <mergeCell ref="AD306:AD315"/>
    <mergeCell ref="AF306:AF315"/>
    <mergeCell ref="AD296:AD305"/>
    <mergeCell ref="AD370:AD378"/>
    <mergeCell ref="AF361:AF369"/>
    <mergeCell ref="AD352:AD360"/>
    <mergeCell ref="AF192:AF200"/>
    <mergeCell ref="AD237:AD245"/>
    <mergeCell ref="AD266:AD275"/>
    <mergeCell ref="AF266:AF275"/>
    <mergeCell ref="AD256:AD265"/>
    <mergeCell ref="AF256:AF265"/>
    <mergeCell ref="AD120:AD128"/>
    <mergeCell ref="AF120:AF128"/>
    <mergeCell ref="AD102:AD110"/>
    <mergeCell ref="AD93:AD101"/>
    <mergeCell ref="AF93:AF101"/>
    <mergeCell ref="AF174:AF182"/>
    <mergeCell ref="AD165:AD173"/>
    <mergeCell ref="AF165:AF173"/>
    <mergeCell ref="AD129:AD137"/>
    <mergeCell ref="AF75:AF83"/>
    <mergeCell ref="AQ1:AW1"/>
    <mergeCell ref="AS2:AT2"/>
    <mergeCell ref="AE1:AF1"/>
    <mergeCell ref="AD3:AD11"/>
    <mergeCell ref="AI2:AJ2"/>
    <mergeCell ref="AK2:AL2"/>
    <mergeCell ref="AQ2:AR2"/>
    <mergeCell ref="AF3:AF11"/>
    <mergeCell ref="AF12:AF20"/>
    <mergeCell ref="AI1:AO1"/>
    <mergeCell ref="AF57:AF65"/>
    <mergeCell ref="AF21:AF29"/>
    <mergeCell ref="AF30:AF38"/>
    <mergeCell ref="AF39:AF47"/>
    <mergeCell ref="AD48:AD56"/>
    <mergeCell ref="AD57:AD65"/>
    <mergeCell ref="AD66:AD74"/>
    <mergeCell ref="AD75:AD83"/>
    <mergeCell ref="AF48:AF56"/>
    <mergeCell ref="D1:L1"/>
    <mergeCell ref="N1:Q1"/>
    <mergeCell ref="S1:U1"/>
    <mergeCell ref="W1:AB1"/>
    <mergeCell ref="AC1:AD1"/>
    <mergeCell ref="AD12:AD20"/>
    <mergeCell ref="AD21:AD29"/>
    <mergeCell ref="AD30:AD38"/>
    <mergeCell ref="AD39:AD47"/>
    <mergeCell ref="AF84:AF92"/>
    <mergeCell ref="AF102:AF110"/>
    <mergeCell ref="AF111:AF119"/>
    <mergeCell ref="AD111:AD119"/>
    <mergeCell ref="AD147:AD155"/>
    <mergeCell ref="AF246:AF255"/>
    <mergeCell ref="AF316:AF324"/>
    <mergeCell ref="AD316:AD324"/>
    <mergeCell ref="AD246:AD255"/>
    <mergeCell ref="AD183:AD191"/>
    <mergeCell ref="AF183:AF191"/>
    <mergeCell ref="AF228:AF236"/>
    <mergeCell ref="AD219:AD227"/>
    <mergeCell ref="AF219:AF227"/>
    <mergeCell ref="AD210:AD218"/>
    <mergeCell ref="AF210:AF218"/>
    <mergeCell ref="AD228:AD236"/>
    <mergeCell ref="AF286:AF295"/>
    <mergeCell ref="AD201:AD209"/>
    <mergeCell ref="AD286:AD295"/>
    <mergeCell ref="AF296:AF305"/>
    <mergeCell ref="AF147:AF155"/>
    <mergeCell ref="AD138:AD146"/>
    <mergeCell ref="AF201:AF209"/>
    <mergeCell ref="AF655:AF665"/>
    <mergeCell ref="AD787:AD796"/>
    <mergeCell ref="AF787:AF796"/>
    <mergeCell ref="AD666:AD676"/>
    <mergeCell ref="AD687:AD696"/>
    <mergeCell ref="AF697:AF706"/>
    <mergeCell ref="AD677:AD686"/>
    <mergeCell ref="AF677:AF686"/>
    <mergeCell ref="AD737:AD746"/>
    <mergeCell ref="AF737:AF746"/>
    <mergeCell ref="AF717:AF726"/>
    <mergeCell ref="AD697:AD706"/>
    <mergeCell ref="AD655:AD665"/>
    <mergeCell ref="AD819:AD829"/>
    <mergeCell ref="AF819:AF829"/>
    <mergeCell ref="AD707:AD716"/>
    <mergeCell ref="AF707:AF716"/>
    <mergeCell ref="AD807:AD818"/>
    <mergeCell ref="AF807:AF818"/>
    <mergeCell ref="AD777:AD786"/>
    <mergeCell ref="AF777:AF786"/>
    <mergeCell ref="AD757:AD766"/>
    <mergeCell ref="AF757:AF766"/>
    <mergeCell ref="AD747:AD756"/>
    <mergeCell ref="AF747:AF756"/>
    <mergeCell ref="AD727:AD736"/>
    <mergeCell ref="AF727:AF736"/>
    <mergeCell ref="AD717:AD726"/>
    <mergeCell ref="AD767:AD776"/>
    <mergeCell ref="AF767:AF776"/>
    <mergeCell ref="AF797:AF806"/>
    <mergeCell ref="AD830:AD840"/>
    <mergeCell ref="AF830:AF840"/>
    <mergeCell ref="AD918:AD928"/>
    <mergeCell ref="AF918:AF928"/>
    <mergeCell ref="AD938:AD946"/>
    <mergeCell ref="AF938:AF946"/>
    <mergeCell ref="AD907:AD917"/>
    <mergeCell ref="AF907:AF917"/>
    <mergeCell ref="AD885:AD895"/>
    <mergeCell ref="AF885:AF895"/>
    <mergeCell ref="AD863:AD873"/>
    <mergeCell ref="AF863:AF873"/>
    <mergeCell ref="AD841:AD851"/>
    <mergeCell ref="AF841:AF851"/>
    <mergeCell ref="AD929:AD937"/>
    <mergeCell ref="AF929:AF937"/>
    <mergeCell ref="AD852:AD862"/>
    <mergeCell ref="AF852:AF862"/>
    <mergeCell ref="AD874:AD884"/>
    <mergeCell ref="AF874:AF884"/>
    <mergeCell ref="AD896:AD906"/>
    <mergeCell ref="AF896:AF906"/>
    <mergeCell ref="AD947:AD955"/>
    <mergeCell ref="AF947:AF955"/>
    <mergeCell ref="AD1001:AD1009"/>
    <mergeCell ref="AF1001:AF1009"/>
    <mergeCell ref="AD1055:AD1063"/>
    <mergeCell ref="AF1055:AF1063"/>
    <mergeCell ref="AD1037:AD1045"/>
    <mergeCell ref="AF1037:AF1045"/>
    <mergeCell ref="AD1019:AD1027"/>
    <mergeCell ref="AF1019:AF1027"/>
    <mergeCell ref="AD983:AD991"/>
    <mergeCell ref="AF983:AF991"/>
    <mergeCell ref="AD956:AD964"/>
    <mergeCell ref="AF956:AF964"/>
    <mergeCell ref="AD1010:AD1018"/>
    <mergeCell ref="AF1010:AF1018"/>
    <mergeCell ref="AD992:AD1000"/>
    <mergeCell ref="AF992:AF1000"/>
    <mergeCell ref="AD974:AD982"/>
    <mergeCell ref="AF974:AF982"/>
    <mergeCell ref="AD965:AD973"/>
    <mergeCell ref="AF965:AF973"/>
    <mergeCell ref="AD1046:AD1054"/>
    <mergeCell ref="AF1046:AF1054"/>
    <mergeCell ref="AF1349:AF1355"/>
    <mergeCell ref="AD1195:AD1201"/>
    <mergeCell ref="AF1195:AF1201"/>
    <mergeCell ref="AD1244:AD1250"/>
    <mergeCell ref="AF1244:AF1250"/>
    <mergeCell ref="AD1230:AD1236"/>
    <mergeCell ref="AF1230:AF1236"/>
    <mergeCell ref="AD1216:AD1222"/>
    <mergeCell ref="AF1216:AF1222"/>
    <mergeCell ref="AD1202:AD1208"/>
    <mergeCell ref="AF1202:AF1208"/>
    <mergeCell ref="AD1209:AD1215"/>
    <mergeCell ref="AF1209:AF1215"/>
    <mergeCell ref="AD1223:AD1229"/>
    <mergeCell ref="AF1223:AF1229"/>
    <mergeCell ref="AD1473:AD1481"/>
    <mergeCell ref="AF1473:AF1481"/>
    <mergeCell ref="AD1188:AD1194"/>
    <mergeCell ref="AD1391:AD1397"/>
    <mergeCell ref="AD1384:AD1390"/>
    <mergeCell ref="AF1384:AF1390"/>
    <mergeCell ref="AD1251:AD1257"/>
    <mergeCell ref="AF1251:AF1257"/>
    <mergeCell ref="AD1237:AD1243"/>
    <mergeCell ref="AF1237:AF1243"/>
    <mergeCell ref="AD1342:AD1348"/>
    <mergeCell ref="AF1342:AF1348"/>
    <mergeCell ref="AD1328:AD1334"/>
    <mergeCell ref="AF1328:AF1334"/>
    <mergeCell ref="AD1314:AD1320"/>
    <mergeCell ref="AF1314:AF1320"/>
    <mergeCell ref="AD1377:AD1383"/>
    <mergeCell ref="AF1377:AF1383"/>
    <mergeCell ref="AD1363:AD1369"/>
    <mergeCell ref="AF1356:AF1362"/>
    <mergeCell ref="AF1363:AF1369"/>
    <mergeCell ref="AD1356:AD1362"/>
    <mergeCell ref="AF1272:AF1278"/>
    <mergeCell ref="AD1349:AD1355"/>
  </mergeCells>
  <conditionalFormatting sqref="T3:T1489">
    <cfRule type="cellIs" dxfId="1" priority="1" operator="greaterThan">
      <formula>$S3</formula>
    </cfRule>
    <cfRule type="cellIs" dxfId="0" priority="2" operator="lessThan">
      <formula>$S3</formula>
    </cfRule>
  </conditionalFormatting>
  <pageMargins left="0.7" right="0.7" top="0.75" bottom="0.75" header="0.3" footer="0.3"/>
  <pageSetup orientation="portrait" horizontalDpi="4294967293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BDFE4-BEC7-41F0-B7CD-BF1301639524}">
  <sheetPr codeName="Sheet5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33AA-E2FE-4E8F-871D-4F4CFD6974E6}">
  <sheetPr codeName="Sheet4"/>
  <dimension ref="A1:O32"/>
  <sheetViews>
    <sheetView workbookViewId="0">
      <selection activeCell="A27" sqref="A27"/>
    </sheetView>
  </sheetViews>
  <sheetFormatPr defaultRowHeight="14.25" x14ac:dyDescent="0.45"/>
  <cols>
    <col min="1" max="1" width="30.265625" bestFit="1" customWidth="1"/>
    <col min="3" max="3" width="27.73046875" bestFit="1" customWidth="1"/>
    <col min="8" max="8" width="10.3984375" bestFit="1" customWidth="1"/>
    <col min="10" max="10" width="13.3984375" bestFit="1" customWidth="1"/>
    <col min="11" max="14" width="11.3984375" customWidth="1"/>
    <col min="15" max="15" width="15.265625" customWidth="1"/>
  </cols>
  <sheetData>
    <row r="1" spans="1:8" x14ac:dyDescent="0.45">
      <c r="A1" s="85" t="s">
        <v>76</v>
      </c>
      <c r="B1" s="86"/>
      <c r="C1" s="86"/>
      <c r="D1" s="87"/>
    </row>
    <row r="2" spans="1:8" x14ac:dyDescent="0.45">
      <c r="A2" s="83"/>
      <c r="B2" s="83"/>
      <c r="C2" s="83" t="s">
        <v>70</v>
      </c>
      <c r="D2" s="83">
        <f>COUNTA('Time Log'!Q737:Q1493)</f>
        <v>753</v>
      </c>
    </row>
    <row r="3" spans="1:8" x14ac:dyDescent="0.45">
      <c r="A3" s="83" t="s">
        <v>68</v>
      </c>
      <c r="B3" s="83">
        <f>COUNTIF('Time Log'!O737:O1493, "&gt;0")</f>
        <v>586</v>
      </c>
      <c r="C3" s="83" t="s">
        <v>71</v>
      </c>
      <c r="D3" s="83">
        <f>COUNTIF('Time Log'!Q737:Q1493, "&gt;0")</f>
        <v>348</v>
      </c>
      <c r="H3">
        <v>52670.83</v>
      </c>
    </row>
    <row r="4" spans="1:8" x14ac:dyDescent="0.45">
      <c r="A4" s="83" t="s">
        <v>67</v>
      </c>
      <c r="B4" s="83">
        <f>COUNTIF('Time Log'!O737:O1493, "&gt;8")</f>
        <v>445</v>
      </c>
      <c r="C4" s="83" t="s">
        <v>72</v>
      </c>
      <c r="D4" s="83">
        <f>COUNTIF('Time Log'!Q737:Q1493, "&gt;8")</f>
        <v>167</v>
      </c>
      <c r="H4">
        <v>-7591.8</v>
      </c>
    </row>
    <row r="5" spans="1:8" x14ac:dyDescent="0.45">
      <c r="A5" s="83" t="s">
        <v>73</v>
      </c>
      <c r="B5" s="83">
        <f>B3-B4</f>
        <v>141</v>
      </c>
      <c r="C5" s="83" t="s">
        <v>74</v>
      </c>
      <c r="D5" s="83">
        <f>D3-D4</f>
        <v>181</v>
      </c>
      <c r="H5">
        <v>-9085.27</v>
      </c>
    </row>
    <row r="6" spans="1:8" x14ac:dyDescent="0.45">
      <c r="A6" s="83"/>
      <c r="B6" s="83"/>
      <c r="C6" s="83"/>
      <c r="D6" s="83"/>
      <c r="H6">
        <v>-11862.81</v>
      </c>
    </row>
    <row r="7" spans="1:8" x14ac:dyDescent="0.45">
      <c r="A7" s="83" t="s">
        <v>69</v>
      </c>
      <c r="B7" s="84">
        <f>SUM('Time Log'!O737:O1493)</f>
        <v>10623</v>
      </c>
      <c r="C7" s="83" t="s">
        <v>75</v>
      </c>
      <c r="D7" s="84">
        <f>SUM('Time Log'!Q737:Q1493)</f>
        <v>3495.75</v>
      </c>
      <c r="H7">
        <f>SUM(H3:H6)</f>
        <v>24130.949999999997</v>
      </c>
    </row>
    <row r="8" spans="1:8" x14ac:dyDescent="0.45">
      <c r="H8">
        <v>-17600.93</v>
      </c>
    </row>
    <row r="9" spans="1:8" x14ac:dyDescent="0.45">
      <c r="H9">
        <f>SUM(H7:H8)</f>
        <v>6530.0199999999968</v>
      </c>
    </row>
    <row r="23" spans="7:15" x14ac:dyDescent="0.45">
      <c r="G23" s="118"/>
      <c r="H23" s="121"/>
      <c r="I23" s="123"/>
      <c r="J23" s="124"/>
      <c r="K23" s="231" t="s">
        <v>80</v>
      </c>
      <c r="L23" s="231"/>
      <c r="M23" s="231" t="s">
        <v>84</v>
      </c>
      <c r="N23" s="231"/>
      <c r="O23" s="232" t="s">
        <v>87</v>
      </c>
    </row>
    <row r="24" spans="7:15" x14ac:dyDescent="0.45">
      <c r="G24" s="119"/>
      <c r="H24" s="122"/>
      <c r="I24" s="120"/>
      <c r="J24" s="109" t="s">
        <v>79</v>
      </c>
      <c r="K24" s="114" t="s">
        <v>85</v>
      </c>
      <c r="L24" s="109" t="s">
        <v>86</v>
      </c>
      <c r="M24" s="114" t="s">
        <v>85</v>
      </c>
      <c r="N24" s="109" t="s">
        <v>86</v>
      </c>
      <c r="O24" s="233"/>
    </row>
    <row r="25" spans="7:15" x14ac:dyDescent="0.45">
      <c r="G25" s="109" t="s">
        <v>77</v>
      </c>
      <c r="H25" s="109" t="s">
        <v>81</v>
      </c>
      <c r="I25" s="115" t="s">
        <v>78</v>
      </c>
      <c r="J25" s="109">
        <v>40</v>
      </c>
      <c r="K25" s="114">
        <v>5.5</v>
      </c>
      <c r="L25" s="110">
        <f>K25*1.5</f>
        <v>8.25</v>
      </c>
      <c r="M25" s="114">
        <v>0</v>
      </c>
      <c r="N25" s="110">
        <f>M25*2</f>
        <v>0</v>
      </c>
      <c r="O25" s="111">
        <f>J25+L25+N25</f>
        <v>48.25</v>
      </c>
    </row>
    <row r="26" spans="7:15" ht="14.65" thickBot="1" x14ac:dyDescent="0.5">
      <c r="G26" s="109" t="s">
        <v>82</v>
      </c>
      <c r="H26" s="109" t="s">
        <v>83</v>
      </c>
      <c r="I26" s="115" t="s">
        <v>78</v>
      </c>
      <c r="J26" s="109">
        <v>40</v>
      </c>
      <c r="K26" s="114">
        <v>16</v>
      </c>
      <c r="L26" s="110">
        <f>K26*1.5</f>
        <v>24</v>
      </c>
      <c r="M26" s="114">
        <v>0</v>
      </c>
      <c r="N26" s="110">
        <f>M26*2</f>
        <v>0</v>
      </c>
      <c r="O26" s="112">
        <f>J26+L26+N26</f>
        <v>64</v>
      </c>
    </row>
    <row r="27" spans="7:15" ht="14.65" thickBot="1" x14ac:dyDescent="0.5">
      <c r="G27" s="116"/>
      <c r="H27" s="125"/>
      <c r="I27" s="86"/>
      <c r="J27" s="126"/>
      <c r="K27" s="126"/>
      <c r="L27" s="125"/>
      <c r="M27" s="86"/>
      <c r="N27" s="127"/>
      <c r="O27" s="113">
        <f>SUM(O25:O26)</f>
        <v>112.25</v>
      </c>
    </row>
    <row r="31" spans="7:15" x14ac:dyDescent="0.45">
      <c r="L31" s="128"/>
    </row>
    <row r="32" spans="7:15" x14ac:dyDescent="0.45">
      <c r="H32" s="117"/>
      <c r="M32" s="128"/>
    </row>
  </sheetData>
  <mergeCells count="3">
    <mergeCell ref="K23:L23"/>
    <mergeCell ref="M23:N23"/>
    <mergeCell ref="O23:O2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Worksheet</vt:lpstr>
      <vt:lpstr>Current</vt:lpstr>
      <vt:lpstr>Time Log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Drew Alkemade</dc:creator>
  <cp:lastModifiedBy>Drew Alkemade</cp:lastModifiedBy>
  <cp:lastPrinted>2026-04-02T16:40:40Z</cp:lastPrinted>
  <dcterms:created xsi:type="dcterms:W3CDTF">2019-01-31T16:10:10Z</dcterms:created>
  <dcterms:modified xsi:type="dcterms:W3CDTF">2026-04-02T19:12:05Z</dcterms:modified>
</cp:coreProperties>
</file>