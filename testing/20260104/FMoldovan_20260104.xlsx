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mc:AlternateContent xmlns:mc="http://schemas.openxmlformats.org/markup-compatibility/2006">
    <mc:Choice Requires="x15">
      <x15ac:absPath xmlns:x15ac="http://schemas.microsoft.com/office/spreadsheetml/2010/11/ac" url="C:\Users\Florin\Dropbox\_66 MOLDOVAN, FLORIN\Timesheets\"/>
    </mc:Choice>
  </mc:AlternateContent>
  <xr:revisionPtr revIDLastSave="0" documentId="13_ncr:1_{03F7721A-F201-4901-A0EA-B1263E56C91C}"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3" i="5"/>
  <c r="B23" i="5"/>
  <c r="L3" i="5"/>
  <c r="P23" i="3"/>
  <c r="P22" i="3"/>
  <c r="P21" i="3"/>
  <c r="P20" i="3"/>
  <c r="P19" i="3"/>
  <c r="P18" i="3"/>
  <c r="P17" i="3"/>
  <c r="P16" i="3"/>
  <c r="P15" i="3"/>
  <c r="P14" i="3"/>
  <c r="P13" i="3"/>
  <c r="P12" i="3"/>
  <c r="P11" i="3"/>
  <c r="P10" i="3"/>
  <c r="L4" i="3"/>
  <c r="C15" i="3"/>
  <c r="B15" i="3"/>
  <c r="L3" i="3"/>
  <c r="H24" i="3"/>
  <c r="G24" i="3"/>
  <c r="F24" i="3"/>
  <c r="E24" i="3"/>
  <c r="P24" i="5"/>
  <c r="C11" i="4"/>
  <c r="M24" i="3"/>
  <c r="L24" i="3"/>
  <c r="K24" i="3"/>
  <c r="J24" i="3"/>
  <c r="I24" i="3"/>
  <c r="D24" i="3"/>
  <c r="J23" i="1"/>
  <c r="C8" i="4"/>
  <c r="I23" i="1"/>
  <c r="C7" i="4"/>
  <c r="H23" i="1"/>
  <c r="C6" i="4"/>
  <c r="G23" i="1"/>
  <c r="F23" i="1"/>
  <c r="C4" i="4"/>
  <c r="E23" i="1"/>
  <c r="C3" i="4"/>
  <c r="D23" i="1"/>
  <c r="C2" i="4"/>
  <c r="H5" i="1"/>
  <c r="L5" i="3"/>
  <c r="C11" i="1"/>
  <c r="B11" i="1"/>
  <c r="C22" i="1"/>
  <c r="B22" i="1"/>
  <c r="C21" i="1"/>
  <c r="B21" i="1"/>
  <c r="C20" i="1"/>
  <c r="B20" i="1"/>
  <c r="C19" i="1"/>
  <c r="B19" i="1"/>
  <c r="C18" i="1"/>
  <c r="B18" i="1"/>
  <c r="C17" i="1"/>
  <c r="B17" i="1"/>
  <c r="C16" i="1"/>
  <c r="B16" i="1"/>
  <c r="C15" i="1"/>
  <c r="B15" i="1"/>
  <c r="C14" i="1"/>
  <c r="B14" i="1"/>
  <c r="C13" i="1"/>
  <c r="B13" i="1"/>
  <c r="C10" i="1"/>
  <c r="B10" i="1"/>
  <c r="C9" i="1"/>
  <c r="B9" i="1"/>
  <c r="C21" i="5"/>
  <c r="B21" i="5"/>
  <c r="L5" i="5"/>
  <c r="C15" i="5"/>
  <c r="B15" i="5"/>
  <c r="C12" i="5"/>
  <c r="B12" i="5"/>
  <c r="C10" i="5"/>
  <c r="B10" i="5"/>
  <c r="C20" i="5"/>
  <c r="B20" i="5"/>
  <c r="C13" i="3"/>
  <c r="B13" i="3"/>
  <c r="C17" i="5"/>
  <c r="B17" i="5"/>
  <c r="C19" i="3"/>
  <c r="B19" i="3"/>
  <c r="C16" i="5"/>
  <c r="B16" i="5"/>
  <c r="C18" i="3"/>
  <c r="B18" i="3"/>
  <c r="C23" i="3"/>
  <c r="B23" i="3"/>
  <c r="C12" i="3"/>
  <c r="B12" i="3"/>
  <c r="C11" i="3"/>
  <c r="B11" i="3"/>
  <c r="C22" i="5"/>
  <c r="B22" i="5"/>
  <c r="C11" i="5"/>
  <c r="B11" i="5"/>
  <c r="C19" i="5"/>
  <c r="B19" i="5"/>
  <c r="C14" i="5"/>
  <c r="B14" i="5"/>
  <c r="C13" i="5"/>
  <c r="B13" i="5"/>
  <c r="C18" i="5"/>
  <c r="B18" i="5"/>
  <c r="C16" i="3"/>
  <c r="B16" i="3"/>
  <c r="C17" i="3"/>
  <c r="B17" i="3"/>
  <c r="C14" i="3"/>
  <c r="B14" i="3"/>
  <c r="C20" i="3"/>
  <c r="B20" i="3"/>
  <c r="P24" i="3"/>
  <c r="C10" i="4"/>
  <c r="C22" i="3"/>
  <c r="B22" i="3"/>
  <c r="C21" i="3"/>
  <c r="B21" i="3"/>
  <c r="C10" i="3"/>
  <c r="B10" i="3"/>
  <c r="L23" i="1"/>
  <c r="C5" i="4"/>
</calcChain>
</file>

<file path=xl/sharedStrings.xml><?xml version="1.0" encoding="utf-8"?>
<sst xmlns="http://schemas.openxmlformats.org/spreadsheetml/2006/main" count="89" uniqueCount="55">
  <si>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</si>
  <si>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</si>
  <si>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</si>
  <si>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</si>
  <si>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</si>
  <si>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</si>
  <si>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</si>
  <si>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</si>
  <si>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</si>
  <si>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</si>
  <si>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</si>
  <si>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</si>
  <si>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</si>
  <si>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</si>
  <si>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</si>
  <si>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</si>
  <si>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</si>
  <si>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</si>
  <si>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</si>
  <si>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</si>
  <si>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</si>
  <si>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</si>
  <si>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</si>
  <si>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</si>
  <si>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</si>
  <si>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</si>
  <si>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</si>
  <si>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</si>
  <si>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</si>
  <si>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</si>
  <si>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</si>
  <si>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</si>
  <si>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</si>
  <si>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</si>
  <si>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</si>
  <si>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</si>
  <si>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</si>
  <si>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</si>
  <si>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</si>
  <si>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</si>
  <si>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</si>
  <si>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</si>
  <si>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</si>
  <si>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</si>
  <si>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</si>
  <si>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</si>
  <si>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</si>
  <si>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</si>
  <si>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Florin Moldovan</t>
  </si>
  <si>
    <t>Florin Moldovan Has</t>
  </si>
  <si>
    <t xml:space="preserve"> </t>
  </si>
  <si>
    <t>Centerline {6290}</t>
  </si>
  <si>
    <t>Boxing Day</t>
  </si>
  <si>
    <t>New Years Day</t>
  </si>
  <si>
    <t>Christmas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</si>
</sst>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639128</xdr:colOff>
      <xdr:row>6</xdr:row>
      <xdr:rowOff>7810</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2" zoomScale="70" zoomScaleNormal="70" workbookViewId="0">
      <selection activeCell="J16" sqref="J16"/>
    </sheetView>
  </sheetViews>
  <sheetFormatPr defaultRowHeight="30" customHeight="1" x14ac:dyDescent="0.3"/>
  <cols>
    <col min="1" max="1" width="2.75" customWidth="1"/>
    <col min="2" max="4" width="16.625" customWidth="1"/>
    <col min="5" max="5" width="18.125" bestFit="1" customWidth="1"/>
    <col min="6" max="6" width="18.625" bestFit="1" customWidth="1"/>
    <col min="7" max="8" width="16.875" customWidth="1"/>
    <col min="9" max="11" width="16.625" customWidth="1"/>
    <col min="12" max="12" width="18.625" customWidth="1"/>
    <col min="13" max="13" width="2.7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46013</v>
      </c>
      <c r="I4" s="52"/>
      <c r="J4" s="52"/>
      <c r="K4" s="52"/>
      <c r="L4" s="52"/>
    </row>
    <row r="5" spans="2:15" ht="30" customHeight="1" x14ac:dyDescent="0.3">
      <c r="G5" s="5" t="s">
        <v>7</v>
      </c>
      <c r="H5" s="46">
        <f>IFERROR(IF($H$4="","",$H$4+13), "")</f>
        <v>46026</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46013</v>
      </c>
      <c r="D9" s="12">
        <v>12</v>
      </c>
      <c r="E9" s="13"/>
      <c r="F9" s="12"/>
      <c r="G9" s="13"/>
      <c r="H9" s="12"/>
      <c r="I9" s="13"/>
      <c r="J9" s="12"/>
      <c r="K9" s="13"/>
      <c r="L9" s="43">
        <f>IFERROR(SUM(D9:K9), "")</f>
        <v>12</v>
      </c>
      <c r="O9" s="44" t="s">
        <v>51</v>
      </c>
    </row>
    <row r="10" spans="2:15" ht="30" customHeight="1" x14ac:dyDescent="0.3">
      <c r="B10" s="8" t="str">
        <f>IFERROR(TEXT('Biweekly Time Sheet'!$C10,"aaaa"), "")</f>
        <v>Tuesday</v>
      </c>
      <c r="C10" s="11">
        <f>IF($H$4="","",$H$4+1)</f>
        <v>46014</v>
      </c>
      <c r="D10" s="12">
        <v>11.5</v>
      </c>
      <c r="E10" s="13"/>
      <c r="F10" s="12"/>
      <c r="G10" s="13"/>
      <c r="H10" s="12"/>
      <c r="I10" s="13"/>
      <c r="J10" s="12"/>
      <c r="K10" s="13"/>
      <c r="L10" s="43">
        <f t="shared" ref="L10:L22" si="0">IFERROR(SUM(D10:K10), "")</f>
        <v>11.5</v>
      </c>
      <c r="O10" s="44" t="s">
        <v>51</v>
      </c>
    </row>
    <row r="11" spans="2:15" ht="30" customHeight="1" x14ac:dyDescent="0.3">
      <c r="B11" s="8" t="str">
        <f>IFERROR(TEXT('Biweekly Time Sheet'!$C11,"aaaa"), "")</f>
        <v>Wednesday</v>
      </c>
      <c r="C11" s="11">
        <f>IF($H$4="","",$H$4+2)</f>
        <v>46015</v>
      </c>
      <c r="D11" s="12"/>
      <c r="E11" s="13"/>
      <c r="F11" s="12"/>
      <c r="G11" s="13"/>
      <c r="H11" s="12"/>
      <c r="I11" s="13">
        <v>8</v>
      </c>
      <c r="J11" s="12"/>
      <c r="K11" s="13"/>
      <c r="L11" s="43">
        <f t="shared" si="0"/>
        <v>8</v>
      </c>
      <c r="O11" s="44"/>
    </row>
    <row r="12" spans="2:15" ht="30" customHeight="1" x14ac:dyDescent="0.3">
      <c r="B12" s="8" t="str">
        <f>IFERROR(TEXT('Biweekly Time Sheet'!$C12,"aaaa"), "")</f>
        <v>Thursday</v>
      </c>
      <c r="C12" s="11">
        <f>IF($H$4="","",$H$4+3)</f>
        <v>46016</v>
      </c>
      <c r="D12" s="12"/>
      <c r="E12" s="13"/>
      <c r="F12" s="12"/>
      <c r="G12" s="13"/>
      <c r="H12" s="12"/>
      <c r="I12" s="13"/>
      <c r="J12" s="12">
        <v>8</v>
      </c>
      <c r="K12" s="13"/>
      <c r="L12" s="43">
        <f t="shared" si="0"/>
        <v>8</v>
      </c>
      <c r="O12" s="44" t="s">
        <v>54</v>
      </c>
    </row>
    <row r="13" spans="2:15" ht="30" customHeight="1" x14ac:dyDescent="0.3">
      <c r="B13" s="8" t="str">
        <f>IFERROR(TEXT('Biweekly Time Sheet'!$C13,"aaaa"), "")</f>
        <v>Friday</v>
      </c>
      <c r="C13" s="11">
        <f>IF($H$4="","",$H$4+4)</f>
        <v>46017</v>
      </c>
      <c r="D13" s="12"/>
      <c r="E13" s="13"/>
      <c r="F13" s="12"/>
      <c r="G13" s="13"/>
      <c r="H13" s="12"/>
      <c r="I13" s="13"/>
      <c r="J13" s="12">
        <v>8</v>
      </c>
      <c r="K13" s="13"/>
      <c r="L13" s="43">
        <f t="shared" si="0"/>
        <v>8</v>
      </c>
      <c r="O13" s="44" t="s">
        <v>52</v>
      </c>
    </row>
    <row r="14" spans="2:15" ht="30" customHeight="1" x14ac:dyDescent="0.3">
      <c r="B14" s="8" t="str">
        <f>IFERROR(TEXT('Biweekly Time Sheet'!$C14,"aaaa"), "")</f>
        <v>Saturday</v>
      </c>
      <c r="C14" s="11">
        <f>IF($H$4="","",$H$4+5)</f>
        <v>46018</v>
      </c>
      <c r="D14" s="12"/>
      <c r="E14" s="13"/>
      <c r="F14" s="12"/>
      <c r="G14" s="13"/>
      <c r="H14" s="12"/>
      <c r="I14" s="13"/>
      <c r="J14" s="12"/>
      <c r="K14" s="13"/>
      <c r="L14" s="43">
        <f t="shared" si="0"/>
        <v>0</v>
      </c>
      <c r="O14" s="44"/>
    </row>
    <row r="15" spans="2:15" ht="30" customHeight="1" x14ac:dyDescent="0.3">
      <c r="B15" s="8" t="str">
        <f>IFERROR(TEXT('Biweekly Time Sheet'!$C15,"aaaa"), "")</f>
        <v>Sunday</v>
      </c>
      <c r="C15" s="11">
        <f>IF($H$4="","",$H$4+6)</f>
        <v>46019</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46020</v>
      </c>
      <c r="D16" s="12"/>
      <c r="E16" s="13"/>
      <c r="F16" s="12"/>
      <c r="G16" s="13"/>
      <c r="H16" s="12"/>
      <c r="I16" s="13">
        <v>8</v>
      </c>
      <c r="J16" s="12"/>
      <c r="K16" s="13">
        <v>0</v>
      </c>
      <c r="L16" s="43">
        <f t="shared" si="0"/>
        <v>8</v>
      </c>
      <c r="O16" s="44"/>
    </row>
    <row r="17" spans="2:15" ht="30" customHeight="1" x14ac:dyDescent="0.3">
      <c r="B17" s="8" t="str">
        <f>IFERROR(TEXT('Biweekly Time Sheet'!$C17,"aaaa"), "")</f>
        <v>Tuesday</v>
      </c>
      <c r="C17" s="11">
        <f>IF($H$4="","",$H$4+8)</f>
        <v>46021</v>
      </c>
      <c r="D17" s="12"/>
      <c r="E17" s="13"/>
      <c r="F17" s="12"/>
      <c r="G17" s="13"/>
      <c r="H17" s="12"/>
      <c r="I17" s="13">
        <v>8</v>
      </c>
      <c r="J17" s="12"/>
      <c r="K17" s="13"/>
      <c r="L17" s="43">
        <f t="shared" si="0"/>
        <v>8</v>
      </c>
      <c r="O17" s="44"/>
    </row>
    <row r="18" spans="2:15" ht="30" customHeight="1" x14ac:dyDescent="0.3">
      <c r="B18" s="8" t="str">
        <f>IFERROR(TEXT('Biweekly Time Sheet'!$C18,"aaaa"), "")</f>
        <v>Wednesday</v>
      </c>
      <c r="C18" s="11">
        <f>IF($H$4="","",$H$4+9)</f>
        <v>46022</v>
      </c>
      <c r="D18" s="12"/>
      <c r="E18" s="13"/>
      <c r="F18" s="12"/>
      <c r="G18" s="13"/>
      <c r="H18" s="12"/>
      <c r="I18" s="13">
        <v>8</v>
      </c>
      <c r="J18" s="12"/>
      <c r="K18" s="13">
        <v>0</v>
      </c>
      <c r="L18" s="43">
        <f t="shared" si="0"/>
        <v>8</v>
      </c>
      <c r="O18" s="44"/>
    </row>
    <row r="19" spans="2:15" ht="30" customHeight="1" x14ac:dyDescent="0.3">
      <c r="B19" s="8" t="str">
        <f>IFERROR(TEXT('Biweekly Time Sheet'!$C19,"aaaa"), "")</f>
        <v>Thursday</v>
      </c>
      <c r="C19" s="11">
        <f>IF($H$4="","",$H$4+10)</f>
        <v>46023</v>
      </c>
      <c r="D19" s="12"/>
      <c r="E19" s="13"/>
      <c r="F19" s="12"/>
      <c r="G19" s="13"/>
      <c r="H19" s="12"/>
      <c r="I19" s="13"/>
      <c r="J19" s="12">
        <v>8</v>
      </c>
      <c r="K19" s="13"/>
      <c r="L19" s="43">
        <f t="shared" si="0"/>
        <v>8</v>
      </c>
      <c r="O19" s="44" t="s">
        <v>53</v>
      </c>
    </row>
    <row r="20" spans="2:15" ht="30" customHeight="1" x14ac:dyDescent="0.3">
      <c r="B20" s="8" t="str">
        <f>IFERROR(TEXT('Biweekly Time Sheet'!$C20,"aaaa"), "")</f>
        <v>Friday</v>
      </c>
      <c r="C20" s="11">
        <f>IF($H$4="","",$H$4+11)</f>
        <v>46024</v>
      </c>
      <c r="D20" s="12"/>
      <c r="E20" s="13"/>
      <c r="F20" s="12"/>
      <c r="G20" s="13"/>
      <c r="H20" s="12"/>
      <c r="I20" s="13">
        <v>8</v>
      </c>
      <c r="J20" s="12"/>
      <c r="K20" s="13"/>
      <c r="L20" s="43">
        <f t="shared" si="0"/>
        <v>8</v>
      </c>
      <c r="O20" s="44"/>
    </row>
    <row r="21" spans="2:15" ht="30" customHeight="1" x14ac:dyDescent="0.3">
      <c r="B21" s="8" t="str">
        <f>IFERROR(TEXT('Biweekly Time Sheet'!$C21,"aaaa"), "")</f>
        <v>Saturday</v>
      </c>
      <c r="C21" s="11">
        <f>IF($H$4="","",$H$4+12)</f>
        <v>46025</v>
      </c>
      <c r="D21" s="12"/>
      <c r="E21" s="13"/>
      <c r="F21" s="12"/>
      <c r="G21" s="13"/>
      <c r="H21" s="12"/>
      <c r="I21" s="13"/>
      <c r="J21" s="12"/>
      <c r="K21" s="13"/>
      <c r="L21" s="43">
        <f t="shared" si="0"/>
        <v>0</v>
      </c>
      <c r="O21" s="44"/>
    </row>
    <row r="22" spans="2:15" ht="30" customHeight="1" x14ac:dyDescent="0.3">
      <c r="B22" s="14" t="str">
        <f>IFERROR(TEXT('Biweekly Time Sheet'!$C22,"aaaa"), "")</f>
        <v>Sunday</v>
      </c>
      <c r="C22" s="15">
        <f>IF($H$4="","",$H$4+13)</f>
        <v>46026</v>
      </c>
      <c r="D22" s="16"/>
      <c r="E22" s="17"/>
      <c r="F22" s="16"/>
      <c r="G22" s="17" t="s">
        <v>50</v>
      </c>
      <c r="H22" s="16"/>
      <c r="I22" s="17"/>
      <c r="J22" s="16"/>
      <c r="K22" s="17"/>
      <c r="L22" s="43">
        <f t="shared" si="0"/>
        <v>0</v>
      </c>
      <c r="O22" s="44"/>
    </row>
    <row r="23" spans="2:15" ht="30" customHeight="1" x14ac:dyDescent="0.3">
      <c r="C23" s="2" t="s">
        <v>5</v>
      </c>
      <c r="D23" s="3">
        <f t="shared" ref="D23:K23" si="1">IFERROR(SUM(D9:D22), "")</f>
        <v>23.5</v>
      </c>
      <c r="E23" s="3">
        <f t="shared" si="1"/>
        <v>0</v>
      </c>
      <c r="F23" s="3">
        <f t="shared" si="1"/>
        <v>0</v>
      </c>
      <c r="G23" s="3">
        <f t="shared" si="1"/>
        <v>0</v>
      </c>
      <c r="H23" s="3">
        <f t="shared" si="1"/>
        <v>0</v>
      </c>
      <c r="I23" s="3">
        <f t="shared" si="1"/>
        <v>40</v>
      </c>
      <c r="J23" s="3">
        <f t="shared" si="1"/>
        <v>24</v>
      </c>
      <c r="K23" s="3">
        <f t="shared" si="1"/>
        <v>0</v>
      </c>
      <c r="L23" s="3">
        <f>IFERROR(SUM(D23:K23), "")</f>
        <v>87.5</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49</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61" yWindow="387"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zoomScale="80" zoomScaleNormal="80" workbookViewId="0">
      <selection activeCell="C26" sqref="C26"/>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46013</v>
      </c>
      <c r="M4" s="46"/>
      <c r="N4" s="46"/>
      <c r="O4" s="46"/>
      <c r="P4" s="46"/>
    </row>
    <row r="5" spans="2:16" ht="30" customHeight="1" x14ac:dyDescent="0.3">
      <c r="K5" s="5" t="s">
        <v>7</v>
      </c>
      <c r="L5" s="46">
        <f>'Biweekly Time Sheet'!H5</f>
        <v>46026</v>
      </c>
      <c r="M5" s="46"/>
      <c r="N5" s="46"/>
      <c r="O5" s="46"/>
      <c r="P5" s="46"/>
    </row>
    <row r="6" spans="2:16" ht="30" customHeight="1" x14ac:dyDescent="0.3">
      <c r="N6" s="47"/>
      <c r="O6" s="47"/>
      <c r="P6" s="47"/>
    </row>
    <row r="7" spans="2:16" ht="15" customHeight="1" thickBot="1" x14ac:dyDescent="0.35"/>
    <row r="8" spans="2:16" ht="22.5" customHeight="1" thickBot="1" x14ac:dyDescent="0.35">
      <c r="D8" s="56" t="s">
        <v>26</v>
      </c>
      <c r="E8" s="57"/>
      <c r="F8" s="57"/>
      <c r="G8" s="57"/>
      <c r="H8" s="58"/>
      <c r="I8" s="56" t="s">
        <v>27</v>
      </c>
      <c r="J8" s="57"/>
      <c r="K8" s="57"/>
      <c r="L8" s="57"/>
      <c r="M8" s="57"/>
      <c r="N8" s="57"/>
      <c r="O8" s="58"/>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3">
      <c r="B10" s="8" t="str">
        <f>IFERROR(TEXT('Biweekly Expense Report CAD'!$C10,"aaaa"), "")</f>
        <v>Monday</v>
      </c>
      <c r="C10" s="11">
        <f>L4</f>
        <v>46013</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46014</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46015</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46016</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46017</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46018</v>
      </c>
      <c r="D15" s="21"/>
      <c r="E15" s="20"/>
      <c r="F15" s="19"/>
      <c r="G15" s="20"/>
      <c r="H15" s="22"/>
      <c r="I15" s="27"/>
      <c r="J15" s="19">
        <v>0</v>
      </c>
      <c r="K15" s="20"/>
      <c r="L15" s="19"/>
      <c r="M15" s="20"/>
      <c r="N15" s="41"/>
      <c r="O15" s="42">
        <v>0.48</v>
      </c>
      <c r="P15" s="40">
        <f t="shared" si="0"/>
        <v>0</v>
      </c>
    </row>
    <row r="16" spans="2:16" ht="30" customHeight="1" x14ac:dyDescent="0.3">
      <c r="B16" s="8" t="str">
        <f>IFERROR(TEXT('Biweekly Expense Report CAD'!$C16,"aaaa"), "")</f>
        <v>Sunday</v>
      </c>
      <c r="C16" s="11">
        <f>IF($L$4="","",$L$4+6)</f>
        <v>46019</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46020</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46021</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46022</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46023</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46024</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46025</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46026</v>
      </c>
      <c r="D23" s="21"/>
      <c r="E23" s="20"/>
      <c r="F23" s="19"/>
      <c r="G23" s="20"/>
      <c r="H23" s="22"/>
      <c r="I23" s="27"/>
      <c r="J23" s="19"/>
      <c r="K23" s="20">
        <v>0</v>
      </c>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Florin Moldovan Has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5" zoomScale="80" zoomScaleNormal="80" workbookViewId="0">
      <selection activeCell="D12" sqref="D12"/>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46013</v>
      </c>
      <c r="M4" s="46"/>
      <c r="N4" s="46"/>
      <c r="O4" s="46"/>
      <c r="P4" s="46"/>
    </row>
    <row r="5" spans="2:16" ht="30" customHeight="1" x14ac:dyDescent="0.3">
      <c r="K5" s="5" t="s">
        <v>7</v>
      </c>
      <c r="L5" s="46">
        <f>'Biweekly Time Sheet'!H5</f>
        <v>46026</v>
      </c>
      <c r="M5" s="46"/>
      <c r="N5" s="46"/>
      <c r="O5" s="46"/>
      <c r="P5" s="46"/>
    </row>
    <row r="6" spans="2:16" ht="30" customHeight="1" x14ac:dyDescent="0.3">
      <c r="N6" s="47"/>
      <c r="O6" s="47"/>
      <c r="P6" s="47"/>
    </row>
    <row r="7" spans="2:16" ht="15" customHeight="1" thickBot="1" x14ac:dyDescent="0.35"/>
    <row r="8" spans="2:16" ht="22.5" customHeight="1" thickBot="1" x14ac:dyDescent="0.35">
      <c r="D8" s="56" t="s">
        <v>26</v>
      </c>
      <c r="E8" s="57"/>
      <c r="F8" s="57"/>
      <c r="G8" s="57"/>
      <c r="H8" s="58"/>
      <c r="I8" s="56" t="s">
        <v>27</v>
      </c>
      <c r="J8" s="57"/>
      <c r="K8" s="57"/>
      <c r="L8" s="57"/>
      <c r="M8" s="57"/>
      <c r="N8" s="57"/>
      <c r="O8" s="58"/>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3">
      <c r="B10" s="8" t="str">
        <f>IFERROR(TEXT('Biweekly Expense Report USD'!$C10,"aaaa"), "")</f>
        <v>Monday</v>
      </c>
      <c r="C10" s="11">
        <f>L4</f>
        <v>46013</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46014</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46015</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46016</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46017</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46018</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46019</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46020</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46021</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46022</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46023</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46024</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46025</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46026</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Florin Moldovan Has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A38" sqref="A38"/>
    </sheetView>
  </sheetViews>
  <sheetFormatPr defaultRowHeight="16.5" x14ac:dyDescent="0.3"/>
  <cols>
    <col min="1" max="1" width="24.375" bestFit="1" customWidth="1"/>
    <col min="3" max="3" width="9.375" bestFit="1" customWidth="1"/>
  </cols>
  <sheetData>
    <row r="1" spans="1:4" ht="17.25" thickBot="1" x14ac:dyDescent="0.35">
      <c r="A1" s="31" t="s">
        <v>28</v>
      </c>
      <c r="B1" s="31"/>
      <c r="C1" s="31"/>
      <c r="D1" s="31"/>
    </row>
    <row r="2" spans="1:4" x14ac:dyDescent="0.3">
      <c r="A2" s="32" t="s">
        <v>29</v>
      </c>
      <c r="B2" s="32"/>
      <c r="C2" s="33">
        <f>'Biweekly Time Sheet'!D$23</f>
        <v>23.5</v>
      </c>
      <c r="D2" s="32"/>
    </row>
    <row r="3" spans="1:4" x14ac:dyDescent="0.3">
      <c r="A3" s="32" t="s">
        <v>30</v>
      </c>
      <c r="B3" s="32"/>
      <c r="C3" s="33">
        <f>'Biweekly Time Sheet'!E$23</f>
        <v>0</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40</v>
      </c>
      <c r="D7" s="32"/>
    </row>
    <row r="8" spans="1:4" x14ac:dyDescent="0.3">
      <c r="A8" s="32" t="s">
        <v>34</v>
      </c>
      <c r="B8" s="32"/>
      <c r="C8" s="33">
        <f>'Biweekly Time Sheet'!J$23</f>
        <v>24</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056D306BF14A42A1FD4136D0D4646D" ma:contentTypeVersion="0" ma:contentTypeDescription="Create a new document." ma:contentTypeScope="" ma:versionID="62c3d23f2889b5d493e98ce6d883458f">
  <xsd:schema xmlns:xsd="http://www.w3.org/2001/XMLSchema" xmlns:xs="http://www.w3.org/2001/XMLSchema" xmlns:p="http://schemas.microsoft.com/office/2006/metadata/properties" targetNamespace="http://schemas.microsoft.com/office/2006/metadata/properties" ma:root="true" ma:fieldsID="b22e68a0580b5fcd377f70013429e8d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C45281-76EC-40AF-9B05-6C03C786CAB1}">
  <ds:schemaRefs>
    <ds:schemaRef ds:uri="http://schemas.microsoft.com/office/2006/metadata/properties"/>
    <ds:schemaRef ds:uri="http://www.w3.org/2000/xmlns/"/>
    <ds:schemaRef ds:uri="http://schemas.microsoft.com/office/infopath/2007/PartnerControls"/>
  </ds:schemaRefs>
</ds:datastoreItem>
</file>

<file path=customXml/itemProps2.xml><?xml version="1.0" encoding="utf-8"?>
<ds:datastoreItem xmlns:ds="http://schemas.openxmlformats.org/officeDocument/2006/customXml" ds:itemID="{7419FBFA-D69D-4F9F-BCA7-9B21D27048EA}">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E76D0370-7099-44EA-8ECA-A11DD89853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florinmoldavan has</cp:lastModifiedBy>
  <cp:lastPrinted>2018-03-15T16:37:49Z</cp:lastPrinted>
  <dcterms:created xsi:type="dcterms:W3CDTF">2017-09-11T06:48:50Z</dcterms:created>
  <dcterms:modified xsi:type="dcterms:W3CDTF">2025-12-30T16:43:00Z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0x01010055056D306BF14A42A1FD4136D0D4646D</vt:lpwstr>
  </property>
</Properties>
</file>