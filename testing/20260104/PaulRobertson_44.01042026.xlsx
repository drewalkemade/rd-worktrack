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paul\Dropbox\_44 ROBERTSON, PAUL\Timesheets\"/>
    </mc:Choice>
  </mc:AlternateContent>
  <xr:revisionPtr revIDLastSave="0" documentId="13_ncr:1_{457F6BFA-6598-474F-877F-3F5DD2ACB06D}" xr6:coauthVersionLast="47" xr6:coauthVersionMax="47" xr10:uidLastSave="{00000000-0000-0000-0000-000000000000}"/>
  <bookViews>
    <workbookView xWindow="-93" yWindow="-93" windowWidth="25786" windowHeight="1546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2" i="5"/>
  <c r="B22" i="5"/>
  <c r="L3" i="5"/>
  <c r="P23" i="3"/>
  <c r="P22" i="3"/>
  <c r="P21" i="3"/>
  <c r="P20" i="3"/>
  <c r="P19" i="3"/>
  <c r="P18" i="3"/>
  <c r="P17" i="3"/>
  <c r="P16" i="3"/>
  <c r="P15" i="3"/>
  <c r="P14" i="3"/>
  <c r="P13" i="3"/>
  <c r="P12" i="3"/>
  <c r="P11" i="3"/>
  <c r="P10" i="3"/>
  <c r="L4" i="3"/>
  <c r="C21" i="3"/>
  <c r="B21" i="3"/>
  <c r="L3" i="3"/>
  <c r="H24" i="3"/>
  <c r="G24" i="3"/>
  <c r="F24" i="3"/>
  <c r="E24" i="3"/>
  <c r="M24" i="3"/>
  <c r="L24" i="3"/>
  <c r="K24" i="3"/>
  <c r="J24" i="3"/>
  <c r="I24" i="3"/>
  <c r="D24" i="3"/>
  <c r="J23" i="1"/>
  <c r="C8" i="4"/>
  <c r="I23" i="1"/>
  <c r="C7" i="4"/>
  <c r="H23" i="1"/>
  <c r="C6" i="4"/>
  <c r="G23" i="1"/>
  <c r="C5" i="4"/>
  <c r="F23" i="1"/>
  <c r="C4" i="4"/>
  <c r="E23" i="1"/>
  <c r="C3" i="4"/>
  <c r="D23" i="1"/>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C16" i="5"/>
  <c r="B16" i="5"/>
  <c r="P24" i="3"/>
  <c r="C10" i="4"/>
  <c r="P24" i="5"/>
  <c r="C11" i="4"/>
  <c r="C18" i="5"/>
  <c r="B18" i="5"/>
  <c r="C10" i="3"/>
  <c r="B10" i="3"/>
  <c r="C18" i="3"/>
  <c r="B18" i="3"/>
  <c r="C10" i="5"/>
  <c r="B10" i="5"/>
  <c r="C11" i="5"/>
  <c r="B11" i="5"/>
  <c r="C12" i="3"/>
  <c r="B12" i="3"/>
  <c r="C23" i="5"/>
  <c r="B23" i="5"/>
  <c r="C19" i="5"/>
  <c r="B19" i="5"/>
  <c r="C21" i="5"/>
  <c r="B21" i="5"/>
  <c r="C11" i="3"/>
  <c r="B11" i="3"/>
  <c r="C15" i="5"/>
  <c r="B15" i="5"/>
  <c r="C13" i="3"/>
  <c r="B13" i="3"/>
  <c r="C20" i="5"/>
  <c r="B20" i="5"/>
  <c r="C17" i="3"/>
  <c r="B17" i="3"/>
  <c r="C12" i="5"/>
  <c r="B12" i="5"/>
  <c r="C15" i="3"/>
  <c r="B15" i="3"/>
  <c r="C17" i="5"/>
  <c r="B17" i="5"/>
  <c r="C16" i="3"/>
  <c r="B16" i="3"/>
  <c r="C20" i="3"/>
  <c r="B20" i="3"/>
  <c r="C13" i="5"/>
  <c r="B13" i="5"/>
  <c r="C14" i="5"/>
  <c r="B14" i="5"/>
  <c r="C19" i="3"/>
  <c r="B19" i="3"/>
  <c r="C14" i="3"/>
  <c r="B14" i="3"/>
  <c r="C23" i="3"/>
  <c r="B23" i="3"/>
  <c r="C22" i="3"/>
  <c r="B22" i="3"/>
  <c r="L26" i="1"/>
  <c r="L5" i="3"/>
  <c r="L23" i="1"/>
  <c r="C2" i="4"/>
  <c r="P27" i="3"/>
  <c r="P27" i="5"/>
</calcChain>
</file>

<file path=xl/sharedStrings.xml><?xml version="1.0" encoding="utf-8"?>
<sst xmlns="http://schemas.openxmlformats.org/spreadsheetml/2006/main" count="83" uniqueCount="49">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</sst>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69" zoomScaleNormal="70" workbookViewId="0">
      <selection activeCell="J20" sqref="J20"/>
    </sheetView>
  </sheetViews>
  <sheetFormatPr defaultRowHeight="30" customHeight="1" x14ac:dyDescent="0.4"/>
  <cols>
    <col min="1" max="1" width="2.609375" customWidth="1"/>
    <col min="2" max="4" width="16.609375" customWidth="1"/>
    <col min="5" max="5" width="18.109375" bestFit="1" customWidth="1"/>
    <col min="6" max="6" width="18.5" bestFit="1" customWidth="1"/>
    <col min="7" max="8" width="16.71875" customWidth="1"/>
    <col min="9" max="11" width="16.609375" customWidth="1"/>
    <col min="12" max="12" width="18.609375" customWidth="1"/>
    <col min="13" max="13" width="2.609375" customWidth="1"/>
    <col min="15" max="15" width="62.21875" customWidth="1"/>
  </cols>
  <sheetData>
    <row r="1" spans="2:15" ht="55.5" customHeight="1" x14ac:dyDescent="0.75">
      <c r="B1" s="49" t="s">
        <v>0</v>
      </c>
      <c r="C1" s="49"/>
      <c r="D1" s="49"/>
      <c r="E1" s="49"/>
      <c r="F1" s="49"/>
      <c r="G1" s="49"/>
      <c r="H1" s="49"/>
      <c r="I1" s="49"/>
      <c r="J1" s="49"/>
      <c r="K1" s="49"/>
      <c r="L1" s="49"/>
    </row>
    <row r="2" spans="2:15" ht="42.75" customHeight="1" x14ac:dyDescent="0.4">
      <c r="B2" s="1"/>
      <c r="C2" s="1"/>
      <c r="D2" s="1"/>
    </row>
    <row r="3" spans="2:15" ht="30" customHeight="1" x14ac:dyDescent="0.4">
      <c r="C3" s="48"/>
      <c r="D3" s="48"/>
      <c r="G3" s="4" t="s">
        <v>1</v>
      </c>
      <c r="H3" s="52" t="s">
        <v>2</v>
      </c>
      <c r="I3" s="52"/>
      <c r="J3" s="52"/>
      <c r="K3" s="52"/>
      <c r="L3" s="52"/>
    </row>
    <row r="4" spans="2:15" ht="30" customHeight="1" x14ac:dyDescent="0.4">
      <c r="G4" s="5" t="s">
        <v>3</v>
      </c>
      <c r="H4" s="53">
        <v>46013</v>
      </c>
      <c r="I4" s="53"/>
      <c r="J4" s="53"/>
      <c r="K4" s="53"/>
      <c r="L4" s="53"/>
    </row>
    <row r="5" spans="2:15" ht="30" customHeight="1" x14ac:dyDescent="0.4">
      <c r="G5" s="5" t="s">
        <v>4</v>
      </c>
      <c r="H5" s="47">
        <f>IFERROR(IF($H$4="","",$H$4+13), "")</f>
        <v>46026</v>
      </c>
      <c r="I5" s="47"/>
      <c r="J5" s="47"/>
      <c r="K5" s="47"/>
      <c r="L5" s="47"/>
    </row>
    <row r="6" spans="2:15" ht="30" customHeight="1" x14ac:dyDescent="0.4">
      <c r="J6" s="48"/>
      <c r="K6" s="48"/>
      <c r="L6" s="48"/>
    </row>
    <row r="7" spans="2:15" ht="15" customHeight="1" x14ac:dyDescent="0.4"/>
    <row r="8" spans="2:15" ht="30" customHeight="1" x14ac:dyDescent="0.4">
      <c r="B8" s="7" t="s">
        <v>5</v>
      </c>
      <c r="C8" s="7" t="s">
        <v>6</v>
      </c>
      <c r="D8" s="8" t="s">
        <v>7</v>
      </c>
      <c r="E8" s="8" t="s">
        <v>8</v>
      </c>
      <c r="F8" s="8" t="s">
        <v>9</v>
      </c>
      <c r="G8" s="8" t="s">
        <v>10</v>
      </c>
      <c r="H8" s="8" t="s">
        <v>11</v>
      </c>
      <c r="I8" s="8" t="s">
        <v>12</v>
      </c>
      <c r="J8" s="8" t="s">
        <v>13</v>
      </c>
      <c r="K8" s="8" t="s">
        <v>14</v>
      </c>
      <c r="L8" s="9" t="s">
        <v>15</v>
      </c>
      <c r="O8" s="43" t="s">
        <v>16</v>
      </c>
    </row>
    <row r="9" spans="2:15" ht="30" customHeight="1" x14ac:dyDescent="0.4">
      <c r="B9" s="7" t="str">
        <f>IFERROR(TEXT('Biweekly Time Sheet'!$C9,"aaaa"), "")</f>
        <v>Monday</v>
      </c>
      <c r="C9" s="10">
        <f>H4</f>
        <v>46013</v>
      </c>
      <c r="D9" s="11"/>
      <c r="E9" s="12"/>
      <c r="F9" s="11"/>
      <c r="G9" s="12"/>
      <c r="H9" s="11"/>
      <c r="I9" s="12"/>
      <c r="J9" s="11"/>
      <c r="K9" s="12"/>
      <c r="L9" s="41">
        <f>IFERROR(SUM(D9:K9), "")</f>
        <v>0</v>
      </c>
      <c r="O9" s="42"/>
    </row>
    <row r="10" spans="2:15" ht="30" customHeight="1" x14ac:dyDescent="0.4">
      <c r="B10" s="7" t="str">
        <f>IFERROR(TEXT('Biweekly Time Sheet'!$C10,"aaaa"), "")</f>
        <v>Tuesday</v>
      </c>
      <c r="C10" s="10">
        <f>IF($H$4="","",$H$4+1)</f>
        <v>46014</v>
      </c>
      <c r="D10" s="11"/>
      <c r="E10" s="12"/>
      <c r="F10" s="11"/>
      <c r="G10" s="12"/>
      <c r="H10" s="11"/>
      <c r="I10" s="12"/>
      <c r="J10" s="11"/>
      <c r="K10" s="12"/>
      <c r="L10" s="41">
        <f t="shared" ref="L10:L22" si="0">IFERROR(SUM(D10:K10), "")</f>
        <v>0</v>
      </c>
      <c r="O10" s="42"/>
    </row>
    <row r="11" spans="2:15" ht="30" customHeight="1" x14ac:dyDescent="0.4">
      <c r="B11" s="7" t="str">
        <f>IFERROR(TEXT('Biweekly Time Sheet'!$C11,"aaaa"), "")</f>
        <v>Wednesday</v>
      </c>
      <c r="C11" s="10">
        <f>IF($H$4="","",$H$4+2)</f>
        <v>46015</v>
      </c>
      <c r="D11" s="11"/>
      <c r="E11" s="12"/>
      <c r="F11" s="11"/>
      <c r="G11" s="12"/>
      <c r="H11" s="11"/>
      <c r="I11" s="12"/>
      <c r="J11" s="11"/>
      <c r="K11" s="12"/>
      <c r="L11" s="41">
        <f t="shared" si="0"/>
        <v>0</v>
      </c>
      <c r="O11" s="42"/>
    </row>
    <row r="12" spans="2:15" ht="30" customHeight="1" x14ac:dyDescent="0.4">
      <c r="B12" s="7" t="str">
        <f>IFERROR(TEXT('Biweekly Time Sheet'!$C12,"aaaa"), "")</f>
        <v>Thursday</v>
      </c>
      <c r="C12" s="10">
        <f>IF($H$4="","",$H$4+3)</f>
        <v>46016</v>
      </c>
      <c r="D12" s="11"/>
      <c r="E12" s="12"/>
      <c r="F12" s="11"/>
      <c r="G12" s="12"/>
      <c r="H12" s="11"/>
      <c r="I12" s="12"/>
      <c r="J12" s="11">
        <v>8</v>
      </c>
      <c r="K12" s="12"/>
      <c r="L12" s="41">
        <f t="shared" si="0"/>
        <v>8</v>
      </c>
      <c r="O12" s="42"/>
    </row>
    <row r="13" spans="2:15" ht="30" customHeight="1" x14ac:dyDescent="0.4">
      <c r="B13" s="7" t="str">
        <f>IFERROR(TEXT('Biweekly Time Sheet'!$C13,"aaaa"), "")</f>
        <v>Friday</v>
      </c>
      <c r="C13" s="10">
        <f>IF($H$4="","",$H$4+4)</f>
        <v>46017</v>
      </c>
      <c r="D13" s="11"/>
      <c r="E13" s="12"/>
      <c r="F13" s="11"/>
      <c r="G13" s="12"/>
      <c r="H13" s="11"/>
      <c r="I13" s="12"/>
      <c r="J13" s="11">
        <v>8</v>
      </c>
      <c r="K13" s="12"/>
      <c r="L13" s="41">
        <f t="shared" si="0"/>
        <v>8</v>
      </c>
      <c r="O13" s="42"/>
    </row>
    <row r="14" spans="2:15" ht="30" customHeight="1" x14ac:dyDescent="0.4">
      <c r="B14" s="7" t="str">
        <f>IFERROR(TEXT('Biweekly Time Sheet'!$C14,"aaaa"), "")</f>
        <v>Saturday</v>
      </c>
      <c r="C14" s="10">
        <f>IF($H$4="","",$H$4+5)</f>
        <v>46018</v>
      </c>
      <c r="D14" s="11"/>
      <c r="E14" s="12"/>
      <c r="F14" s="11"/>
      <c r="G14" s="12"/>
      <c r="H14" s="11"/>
      <c r="I14" s="12"/>
      <c r="J14" s="11"/>
      <c r="K14" s="12"/>
      <c r="L14" s="41">
        <f t="shared" si="0"/>
        <v>0</v>
      </c>
      <c r="O14" s="42"/>
    </row>
    <row r="15" spans="2:15" ht="30" customHeight="1" x14ac:dyDescent="0.4">
      <c r="B15" s="7" t="str">
        <f>IFERROR(TEXT('Biweekly Time Sheet'!$C15,"aaaa"), "")</f>
        <v>Sunday</v>
      </c>
      <c r="C15" s="10">
        <f>IF($H$4="","",$H$4+6)</f>
        <v>46019</v>
      </c>
      <c r="D15" s="11"/>
      <c r="E15" s="12"/>
      <c r="F15" s="11"/>
      <c r="G15" s="12"/>
      <c r="H15" s="11"/>
      <c r="I15" s="12"/>
      <c r="J15" s="11"/>
      <c r="K15" s="12"/>
      <c r="L15" s="41">
        <f t="shared" si="0"/>
        <v>0</v>
      </c>
      <c r="O15" s="42"/>
    </row>
    <row r="16" spans="2:15" ht="30" customHeight="1" x14ac:dyDescent="0.4">
      <c r="B16" s="7" t="str">
        <f>IFERROR(TEXT('Biweekly Time Sheet'!$C16,"aaaa"), "")</f>
        <v>Monday</v>
      </c>
      <c r="C16" s="10">
        <f>IF($H$4="","",$H$4+7)</f>
        <v>46020</v>
      </c>
      <c r="D16" s="11"/>
      <c r="E16" s="12"/>
      <c r="F16" s="11"/>
      <c r="G16" s="12"/>
      <c r="H16" s="11"/>
      <c r="I16" s="12"/>
      <c r="J16" s="11"/>
      <c r="K16" s="12"/>
      <c r="L16" s="41">
        <f t="shared" si="0"/>
        <v>0</v>
      </c>
      <c r="O16" s="42"/>
    </row>
    <row r="17" spans="2:15" ht="30" customHeight="1" x14ac:dyDescent="0.4">
      <c r="B17" s="7" t="str">
        <f>IFERROR(TEXT('Biweekly Time Sheet'!$C17,"aaaa"), "")</f>
        <v>Tuesday</v>
      </c>
      <c r="C17" s="10">
        <f>IF($H$4="","",$H$4+8)</f>
        <v>46021</v>
      </c>
      <c r="D17" s="11"/>
      <c r="E17" s="12"/>
      <c r="F17" s="11"/>
      <c r="G17" s="12"/>
      <c r="H17" s="11"/>
      <c r="I17" s="12"/>
      <c r="J17" s="11"/>
      <c r="K17" s="12"/>
      <c r="L17" s="41">
        <f t="shared" si="0"/>
        <v>0</v>
      </c>
      <c r="O17" s="42"/>
    </row>
    <row r="18" spans="2:15" ht="30" customHeight="1" x14ac:dyDescent="0.4">
      <c r="B18" s="7" t="str">
        <f>IFERROR(TEXT('Biweekly Time Sheet'!$C18,"aaaa"), "")</f>
        <v>Wednesday</v>
      </c>
      <c r="C18" s="10">
        <f>IF($H$4="","",$H$4+9)</f>
        <v>46022</v>
      </c>
      <c r="D18" s="11"/>
      <c r="E18" s="12"/>
      <c r="F18" s="11"/>
      <c r="G18" s="12"/>
      <c r="H18" s="11"/>
      <c r="I18" s="12"/>
      <c r="J18" s="11"/>
      <c r="K18" s="12"/>
      <c r="L18" s="41">
        <f t="shared" si="0"/>
        <v>0</v>
      </c>
      <c r="O18" s="42"/>
    </row>
    <row r="19" spans="2:15" ht="30" customHeight="1" x14ac:dyDescent="0.4">
      <c r="B19" s="7" t="str">
        <f>IFERROR(TEXT('Biweekly Time Sheet'!$C19,"aaaa"), "")</f>
        <v>Thursday</v>
      </c>
      <c r="C19" s="10">
        <f>IF($H$4="","",$H$4+10)</f>
        <v>46023</v>
      </c>
      <c r="D19" s="11"/>
      <c r="E19" s="12"/>
      <c r="F19" s="11"/>
      <c r="G19" s="12"/>
      <c r="H19" s="11"/>
      <c r="I19" s="12"/>
      <c r="J19" s="11">
        <v>8</v>
      </c>
      <c r="K19" s="12"/>
      <c r="L19" s="41">
        <f t="shared" si="0"/>
        <v>8</v>
      </c>
      <c r="O19" s="42"/>
    </row>
    <row r="20" spans="2:15" ht="30" customHeight="1" x14ac:dyDescent="0.4">
      <c r="B20" s="7" t="str">
        <f>IFERROR(TEXT('Biweekly Time Sheet'!$C20,"aaaa"), "")</f>
        <v>Friday</v>
      </c>
      <c r="C20" s="10">
        <f>IF($H$4="","",$H$4+11)</f>
        <v>46024</v>
      </c>
      <c r="D20" s="11"/>
      <c r="E20" s="12"/>
      <c r="F20" s="11"/>
      <c r="G20" s="12"/>
      <c r="H20" s="11"/>
      <c r="I20" s="12"/>
      <c r="J20" s="11"/>
      <c r="K20" s="12"/>
      <c r="L20" s="41">
        <f t="shared" si="0"/>
        <v>0</v>
      </c>
      <c r="O20" s="42"/>
    </row>
    <row r="21" spans="2:15" ht="30" customHeight="1" x14ac:dyDescent="0.4">
      <c r="B21" s="7" t="str">
        <f>IFERROR(TEXT('Biweekly Time Sheet'!$C21,"aaaa"), "")</f>
        <v>Saturday</v>
      </c>
      <c r="C21" s="10">
        <f>IF($H$4="","",$H$4+12)</f>
        <v>46025</v>
      </c>
      <c r="D21" s="11"/>
      <c r="E21" s="12"/>
      <c r="F21" s="11"/>
      <c r="G21" s="12"/>
      <c r="H21" s="11"/>
      <c r="I21" s="12"/>
      <c r="J21" s="11"/>
      <c r="K21" s="12"/>
      <c r="L21" s="41">
        <f t="shared" si="0"/>
        <v>0</v>
      </c>
      <c r="O21" s="42"/>
    </row>
    <row r="22" spans="2:15" ht="30" customHeight="1" x14ac:dyDescent="0.4">
      <c r="B22" s="13" t="str">
        <f>IFERROR(TEXT('Biweekly Time Sheet'!$C22,"aaaa"), "")</f>
        <v>Sunday</v>
      </c>
      <c r="C22" s="14">
        <f>IF($H$4="","",$H$4+13)</f>
        <v>46026</v>
      </c>
      <c r="D22" s="15"/>
      <c r="E22" s="16"/>
      <c r="F22" s="15"/>
      <c r="G22" s="16"/>
      <c r="H22" s="15"/>
      <c r="I22" s="16"/>
      <c r="J22" s="15"/>
      <c r="K22" s="16"/>
      <c r="L22" s="41">
        <f t="shared" si="0"/>
        <v>0</v>
      </c>
      <c r="O22" s="42"/>
    </row>
    <row r="23" spans="2:15" ht="30" customHeight="1" x14ac:dyDescent="0.4">
      <c r="C23" s="2" t="s">
        <v>17</v>
      </c>
      <c r="D23" s="3">
        <f t="shared" ref="D23:K23" si="1">IFERROR(SUM(D9:D22), "")</f>
        <v>0</v>
      </c>
      <c r="E23" s="3">
        <f t="shared" si="1"/>
        <v>0</v>
      </c>
      <c r="F23" s="3">
        <f t="shared" si="1"/>
        <v>0</v>
      </c>
      <c r="G23" s="3">
        <f t="shared" si="1"/>
        <v>0</v>
      </c>
      <c r="H23" s="3">
        <f t="shared" si="1"/>
        <v>0</v>
      </c>
      <c r="I23" s="3">
        <f t="shared" si="1"/>
        <v>0</v>
      </c>
      <c r="J23" s="3">
        <f t="shared" si="1"/>
        <v>24</v>
      </c>
      <c r="K23" s="3">
        <f t="shared" si="1"/>
        <v>0</v>
      </c>
      <c r="L23" s="3">
        <f>IFERROR(SUM(D23:K23), "")</f>
        <v>24</v>
      </c>
    </row>
    <row r="24" spans="2:15" ht="30" customHeight="1" x14ac:dyDescent="0.4">
      <c r="D24" s="48"/>
      <c r="E24" s="48"/>
      <c r="F24" s="48"/>
      <c r="G24" s="48"/>
      <c r="H24" s="48"/>
      <c r="I24" s="48"/>
      <c r="J24" s="48"/>
    </row>
    <row r="25" spans="2:15" ht="30" customHeight="1" x14ac:dyDescent="0.4">
      <c r="D25" s="48"/>
      <c r="E25" s="48"/>
      <c r="F25" s="48"/>
      <c r="G25" s="48"/>
      <c r="H25" s="48"/>
      <c r="I25" s="48"/>
      <c r="J25" s="48"/>
    </row>
    <row r="26" spans="2:15" ht="30" customHeight="1" x14ac:dyDescent="0.4">
      <c r="D26" s="50" t="s">
        <v>2</v>
      </c>
      <c r="E26" s="51"/>
      <c r="F26" s="51"/>
      <c r="G26" s="51"/>
      <c r="H26" s="51"/>
      <c r="I26" s="51"/>
      <c r="J26" s="51"/>
      <c r="K26" s="46"/>
      <c r="L26" s="6">
        <f>H5</f>
        <v>46026</v>
      </c>
    </row>
    <row r="27" spans="2:15" ht="30" customHeight="1" x14ac:dyDescent="0.4">
      <c r="D27" s="48" t="s">
        <v>18</v>
      </c>
      <c r="E27" s="48"/>
      <c r="F27" s="48"/>
      <c r="G27" s="48"/>
      <c r="H27" s="48"/>
      <c r="I27" s="48"/>
      <c r="J27" s="48"/>
      <c r="L27" t="s">
        <v>6</v>
      </c>
    </row>
    <row r="28" spans="2:15" ht="30" customHeight="1" x14ac:dyDescent="0.4">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3" zoomScale="70" zoomScaleNormal="70" workbookViewId="0">
      <selection activeCell="E10" sqref="E10:E21"/>
    </sheetView>
  </sheetViews>
  <sheetFormatPr defaultColWidth="9" defaultRowHeight="30" customHeight="1" x14ac:dyDescent="0.4"/>
  <cols>
    <col min="1" max="1" width="2.609375" customWidth="1"/>
    <col min="2" max="13" width="15" customWidth="1"/>
    <col min="14" max="15" width="11.21875" customWidth="1"/>
    <col min="16" max="16" width="15" customWidth="1"/>
    <col min="17" max="17" width="2.609375" customWidth="1"/>
  </cols>
  <sheetData>
    <row r="1" spans="2:16" ht="55.5" customHeight="1" x14ac:dyDescent="0.75">
      <c r="B1" s="49" t="s">
        <v>20</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46013</v>
      </c>
      <c r="M4" s="47"/>
      <c r="N4" s="47"/>
      <c r="O4" s="47"/>
      <c r="P4" s="47"/>
    </row>
    <row r="5" spans="2:16" ht="30" customHeight="1" x14ac:dyDescent="0.4">
      <c r="K5" s="5" t="s">
        <v>4</v>
      </c>
      <c r="L5" s="47">
        <f>'Biweekly Time Sheet'!H5</f>
        <v>46026</v>
      </c>
      <c r="M5" s="47"/>
      <c r="N5" s="47"/>
      <c r="O5" s="47"/>
      <c r="P5" s="47"/>
    </row>
    <row r="6" spans="2:16" ht="30" customHeight="1" x14ac:dyDescent="0.4">
      <c r="N6" s="48"/>
      <c r="O6" s="48"/>
      <c r="P6" s="48"/>
    </row>
    <row r="7" spans="2:16" ht="15" customHeight="1" thickBot="1" x14ac:dyDescent="0.45"/>
    <row r="8" spans="2:16" ht="22.5" customHeight="1" thickBot="1" x14ac:dyDescent="0.45">
      <c r="D8" s="54" t="s">
        <v>21</v>
      </c>
      <c r="E8" s="55"/>
      <c r="F8" s="55"/>
      <c r="G8" s="55"/>
      <c r="H8" s="56"/>
      <c r="I8" s="54" t="s">
        <v>22</v>
      </c>
      <c r="J8" s="55"/>
      <c r="K8" s="55"/>
      <c r="L8" s="55"/>
      <c r="M8" s="55"/>
      <c r="N8" s="55"/>
      <c r="O8" s="56"/>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4">
      <c r="B10" s="7" t="str">
        <f>IFERROR(TEXT('Biweekly Expense Report CAD'!$C10,"aaaa"), "")</f>
        <v>Monday</v>
      </c>
      <c r="C10" s="10">
        <f>L4</f>
        <v>46013</v>
      </c>
      <c r="D10" s="20"/>
      <c r="E10" s="19"/>
      <c r="F10" s="18"/>
      <c r="G10" s="19"/>
      <c r="H10" s="21"/>
      <c r="I10" s="26"/>
      <c r="J10" s="18"/>
      <c r="K10" s="19"/>
      <c r="L10" s="18"/>
      <c r="M10" s="19"/>
      <c r="N10" s="40"/>
      <c r="O10" s="22">
        <v>0.48</v>
      </c>
      <c r="P10" s="39">
        <f>IFERROR(SUM(D10:M10)+(N10*O10), "")</f>
        <v>0</v>
      </c>
    </row>
    <row r="11" spans="2:16" ht="30" customHeight="1" x14ac:dyDescent="0.4">
      <c r="B11" s="7" t="str">
        <f>IFERROR(TEXT('Biweekly Expense Report CAD'!$C11,"aaaa"), "")</f>
        <v>Tuesday</v>
      </c>
      <c r="C11" s="10">
        <f>IF($L$4="","",$L$4+1)</f>
        <v>46014</v>
      </c>
      <c r="D11" s="20"/>
      <c r="E11" s="19"/>
      <c r="F11" s="18"/>
      <c r="G11" s="19"/>
      <c r="H11" s="21"/>
      <c r="I11" s="26"/>
      <c r="J11" s="18"/>
      <c r="K11" s="19"/>
      <c r="L11" s="18"/>
      <c r="M11" s="19"/>
      <c r="N11" s="40"/>
      <c r="O11" s="22">
        <v>0.48</v>
      </c>
      <c r="P11" s="39">
        <f t="shared" ref="P11:P23" si="0">IFERROR(SUM(D11:M11)+(N11*O11), "")</f>
        <v>0</v>
      </c>
    </row>
    <row r="12" spans="2:16" ht="30" customHeight="1" x14ac:dyDescent="0.4">
      <c r="B12" s="7" t="str">
        <f>IFERROR(TEXT('Biweekly Expense Report CAD'!$C12,"aaaa"), "")</f>
        <v>Wednesday</v>
      </c>
      <c r="C12" s="10">
        <f>IF($L$4="","",$L$4+2)</f>
        <v>46015</v>
      </c>
      <c r="D12" s="20"/>
      <c r="E12" s="19"/>
      <c r="F12" s="18"/>
      <c r="G12" s="19"/>
      <c r="H12" s="21"/>
      <c r="I12" s="26"/>
      <c r="J12" s="18"/>
      <c r="K12" s="19"/>
      <c r="L12" s="18"/>
      <c r="M12" s="19"/>
      <c r="N12" s="40"/>
      <c r="O12" s="22">
        <v>0.48</v>
      </c>
      <c r="P12" s="39">
        <f t="shared" si="0"/>
        <v>0</v>
      </c>
    </row>
    <row r="13" spans="2:16" ht="30" customHeight="1" x14ac:dyDescent="0.4">
      <c r="B13" s="7" t="str">
        <f>IFERROR(TEXT('Biweekly Expense Report CAD'!$C13,"aaaa"), "")</f>
        <v>Thursday</v>
      </c>
      <c r="C13" s="10">
        <f>IF($L$4="","",$L$4+3)</f>
        <v>46016</v>
      </c>
      <c r="D13" s="20"/>
      <c r="E13" s="19"/>
      <c r="F13" s="18"/>
      <c r="G13" s="19"/>
      <c r="H13" s="21"/>
      <c r="I13" s="26"/>
      <c r="J13" s="18"/>
      <c r="K13" s="19"/>
      <c r="L13" s="18"/>
      <c r="M13" s="19"/>
      <c r="N13" s="40"/>
      <c r="O13" s="22">
        <v>0.48</v>
      </c>
      <c r="P13" s="39">
        <f t="shared" si="0"/>
        <v>0</v>
      </c>
    </row>
    <row r="14" spans="2:16" ht="30" customHeight="1" x14ac:dyDescent="0.4">
      <c r="B14" s="7" t="str">
        <f>IFERROR(TEXT('Biweekly Expense Report CAD'!$C14,"aaaa"), "")</f>
        <v>Friday</v>
      </c>
      <c r="C14" s="10">
        <f>IF($L$4="","",$L$4+4)</f>
        <v>46017</v>
      </c>
      <c r="D14" s="20"/>
      <c r="E14" s="19"/>
      <c r="F14" s="18"/>
      <c r="G14" s="19"/>
      <c r="H14" s="21"/>
      <c r="I14" s="26"/>
      <c r="J14" s="18"/>
      <c r="K14" s="19"/>
      <c r="L14" s="18"/>
      <c r="M14" s="19"/>
      <c r="N14" s="40"/>
      <c r="O14" s="22">
        <v>0.48</v>
      </c>
      <c r="P14" s="39">
        <f t="shared" si="0"/>
        <v>0</v>
      </c>
    </row>
    <row r="15" spans="2:16" ht="30" customHeight="1" x14ac:dyDescent="0.4">
      <c r="B15" s="7" t="str">
        <f>IFERROR(TEXT('Biweekly Expense Report CAD'!$C15,"aaaa"), "")</f>
        <v>Saturday</v>
      </c>
      <c r="C15" s="10">
        <f>IF($L$4="","",$L$4+5)</f>
        <v>46018</v>
      </c>
      <c r="D15" s="20"/>
      <c r="E15" s="19"/>
      <c r="F15" s="18"/>
      <c r="G15" s="19"/>
      <c r="H15" s="21"/>
      <c r="I15" s="26"/>
      <c r="J15" s="18"/>
      <c r="K15" s="19"/>
      <c r="L15" s="18"/>
      <c r="M15" s="19"/>
      <c r="N15" s="40"/>
      <c r="O15" s="22">
        <v>0.48</v>
      </c>
      <c r="P15" s="39">
        <f t="shared" si="0"/>
        <v>0</v>
      </c>
    </row>
    <row r="16" spans="2:16" ht="30" customHeight="1" x14ac:dyDescent="0.4">
      <c r="B16" s="7" t="str">
        <f>IFERROR(TEXT('Biweekly Expense Report CAD'!$C16,"aaaa"), "")</f>
        <v>Sunday</v>
      </c>
      <c r="C16" s="10">
        <f>IF($L$4="","",$L$4+6)</f>
        <v>46019</v>
      </c>
      <c r="D16" s="20"/>
      <c r="E16" s="19"/>
      <c r="F16" s="18"/>
      <c r="G16" s="19"/>
      <c r="H16" s="21"/>
      <c r="I16" s="26"/>
      <c r="J16" s="18"/>
      <c r="K16" s="19"/>
      <c r="L16" s="18"/>
      <c r="M16" s="19"/>
      <c r="N16" s="40"/>
      <c r="O16" s="22">
        <v>0.48</v>
      </c>
      <c r="P16" s="39">
        <f t="shared" si="0"/>
        <v>0</v>
      </c>
    </row>
    <row r="17" spans="2:16" ht="30" customHeight="1" x14ac:dyDescent="0.4">
      <c r="B17" s="7" t="str">
        <f>IFERROR(TEXT('Biweekly Expense Report CAD'!$C17,"aaaa"), "")</f>
        <v>Monday</v>
      </c>
      <c r="C17" s="10">
        <f>IF($L$4="","",$L$4+7)</f>
        <v>46020</v>
      </c>
      <c r="D17" s="20"/>
      <c r="E17" s="19"/>
      <c r="F17" s="18"/>
      <c r="G17" s="19"/>
      <c r="H17" s="21"/>
      <c r="I17" s="26"/>
      <c r="J17" s="18"/>
      <c r="K17" s="19"/>
      <c r="L17" s="18"/>
      <c r="M17" s="19"/>
      <c r="N17" s="40"/>
      <c r="O17" s="22">
        <v>0.48</v>
      </c>
      <c r="P17" s="39">
        <f t="shared" si="0"/>
        <v>0</v>
      </c>
    </row>
    <row r="18" spans="2:16" ht="30" customHeight="1" x14ac:dyDescent="0.4">
      <c r="B18" s="7" t="str">
        <f>IFERROR(TEXT('Biweekly Expense Report CAD'!$C18,"aaaa"), "")</f>
        <v>Tuesday</v>
      </c>
      <c r="C18" s="10">
        <f>IF($L$4="","",$L$4+8)</f>
        <v>46021</v>
      </c>
      <c r="D18" s="20"/>
      <c r="E18" s="45"/>
      <c r="F18" s="18"/>
      <c r="G18" s="19"/>
      <c r="H18" s="21"/>
      <c r="I18" s="26"/>
      <c r="J18" s="18"/>
      <c r="K18" s="19"/>
      <c r="L18" s="18"/>
      <c r="M18" s="19"/>
      <c r="N18" s="40"/>
      <c r="O18" s="22">
        <v>0.48</v>
      </c>
      <c r="P18" s="39">
        <f t="shared" si="0"/>
        <v>0</v>
      </c>
    </row>
    <row r="19" spans="2:16" ht="30" customHeight="1" x14ac:dyDescent="0.4">
      <c r="B19" s="7" t="str">
        <f>IFERROR(TEXT('Biweekly Expense Report CAD'!$C19,"aaaa"), "")</f>
        <v>Wednesday</v>
      </c>
      <c r="C19" s="10">
        <f>IF($L$4="","",$L$4+9)</f>
        <v>46022</v>
      </c>
      <c r="D19" s="20"/>
      <c r="E19" s="45"/>
      <c r="F19" s="18"/>
      <c r="G19" s="19"/>
      <c r="H19" s="21"/>
      <c r="I19" s="26"/>
      <c r="J19" s="18"/>
      <c r="K19" s="19"/>
      <c r="L19" s="18"/>
      <c r="M19" s="19"/>
      <c r="N19" s="40"/>
      <c r="O19" s="22">
        <v>0.48</v>
      </c>
      <c r="P19" s="39">
        <f t="shared" si="0"/>
        <v>0</v>
      </c>
    </row>
    <row r="20" spans="2:16" ht="30" customHeight="1" x14ac:dyDescent="0.4">
      <c r="B20" s="7" t="str">
        <f>IFERROR(TEXT('Biweekly Expense Report CAD'!$C20,"aaaa"), "")</f>
        <v>Thursday</v>
      </c>
      <c r="C20" s="10">
        <f>IF($L$4="","",$L$4+10)</f>
        <v>46023</v>
      </c>
      <c r="D20" s="20"/>
      <c r="E20" s="45"/>
      <c r="F20" s="18"/>
      <c r="G20" s="19"/>
      <c r="H20" s="21"/>
      <c r="I20" s="26"/>
      <c r="J20" s="18"/>
      <c r="K20" s="19"/>
      <c r="L20" s="18"/>
      <c r="M20" s="19"/>
      <c r="N20" s="40"/>
      <c r="O20" s="22">
        <v>0.48</v>
      </c>
      <c r="P20" s="39">
        <f t="shared" si="0"/>
        <v>0</v>
      </c>
    </row>
    <row r="21" spans="2:16" ht="30" customHeight="1" x14ac:dyDescent="0.4">
      <c r="B21" s="7" t="str">
        <f>IFERROR(TEXT('Biweekly Expense Report CAD'!$C21,"aaaa"), "")</f>
        <v>Friday</v>
      </c>
      <c r="C21" s="10">
        <f>IF($L$4="","",$L$4+11)</f>
        <v>46024</v>
      </c>
      <c r="D21" s="20"/>
      <c r="E21" s="45"/>
      <c r="F21" s="18"/>
      <c r="G21" s="19"/>
      <c r="H21" s="21"/>
      <c r="I21" s="26"/>
      <c r="J21" s="18"/>
      <c r="K21" s="19"/>
      <c r="L21" s="18"/>
      <c r="M21" s="19"/>
      <c r="N21" s="40"/>
      <c r="O21" s="22">
        <v>0.48</v>
      </c>
      <c r="P21" s="39">
        <f t="shared" si="0"/>
        <v>0</v>
      </c>
    </row>
    <row r="22" spans="2:16" ht="30" customHeight="1" x14ac:dyDescent="0.4">
      <c r="B22" s="7" t="str">
        <f>IFERROR(TEXT('Biweekly Expense Report CAD'!$C22,"aaaa"), "")</f>
        <v>Saturday</v>
      </c>
      <c r="C22" s="10">
        <f>IF($L$4="","",$L$4+12)</f>
        <v>46025</v>
      </c>
      <c r="D22" s="20"/>
      <c r="E22" s="45"/>
      <c r="F22" s="18"/>
      <c r="G22" s="19"/>
      <c r="H22" s="21"/>
      <c r="I22" s="26"/>
      <c r="J22" s="18"/>
      <c r="K22" s="19"/>
      <c r="L22" s="18"/>
      <c r="M22" s="19"/>
      <c r="N22" s="40"/>
      <c r="O22" s="22">
        <v>0.48</v>
      </c>
      <c r="P22" s="39">
        <f t="shared" si="0"/>
        <v>0</v>
      </c>
    </row>
    <row r="23" spans="2:16" ht="30" customHeight="1" x14ac:dyDescent="0.4">
      <c r="B23" s="13" t="str">
        <f>IFERROR(TEXT('Biweekly Expense Report CAD'!$C23,"aaaa"), "")</f>
        <v>Sunday</v>
      </c>
      <c r="C23" s="14">
        <f>IF($L$4="","",$L$4+13)</f>
        <v>46026</v>
      </c>
      <c r="D23" s="20"/>
      <c r="E23" s="45"/>
      <c r="F23" s="18"/>
      <c r="G23" s="19"/>
      <c r="H23" s="21"/>
      <c r="I23" s="26"/>
      <c r="J23" s="18"/>
      <c r="K23" s="19"/>
      <c r="L23" s="18"/>
      <c r="M23" s="19"/>
      <c r="N23" s="40"/>
      <c r="O23" s="22">
        <v>0.48</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7" t="str">
        <f>'Biweekly Time Sheet'!D26:J26</f>
        <v>Paul Robertson</v>
      </c>
      <c r="E27" s="57"/>
      <c r="F27" s="57"/>
      <c r="G27" s="57"/>
      <c r="H27" s="57"/>
      <c r="I27" s="57"/>
      <c r="J27" s="57"/>
      <c r="K27" s="57"/>
      <c r="L27" s="57"/>
      <c r="M27" s="57"/>
      <c r="N27" s="57"/>
      <c r="O27" s="57"/>
      <c r="P27" s="17">
        <f>'Biweekly Time Sheet'!L26</f>
        <v>46026</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4"/>
  <cols>
    <col min="1" max="1" width="2.609375" customWidth="1"/>
    <col min="2" max="13" width="15" customWidth="1"/>
    <col min="14" max="15" width="11.21875" customWidth="1"/>
    <col min="16" max="16" width="15" customWidth="1"/>
    <col min="17" max="17" width="2.609375" customWidth="1"/>
  </cols>
  <sheetData>
    <row r="1" spans="2:16" ht="55.5" customHeight="1" x14ac:dyDescent="0.75">
      <c r="B1" s="49" t="s">
        <v>35</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46013</v>
      </c>
      <c r="M4" s="47"/>
      <c r="N4" s="47"/>
      <c r="O4" s="47"/>
      <c r="P4" s="47"/>
    </row>
    <row r="5" spans="2:16" ht="30" customHeight="1" x14ac:dyDescent="0.4">
      <c r="K5" s="5" t="s">
        <v>4</v>
      </c>
      <c r="L5" s="47">
        <f>'Biweekly Time Sheet'!H5</f>
        <v>46026</v>
      </c>
      <c r="M5" s="47"/>
      <c r="N5" s="47"/>
      <c r="O5" s="47"/>
      <c r="P5" s="47"/>
    </row>
    <row r="6" spans="2:16" ht="30" customHeight="1" x14ac:dyDescent="0.4">
      <c r="N6" s="48"/>
      <c r="O6" s="48"/>
      <c r="P6" s="48"/>
    </row>
    <row r="7" spans="2:16" ht="15" customHeight="1" thickBot="1" x14ac:dyDescent="0.45"/>
    <row r="8" spans="2:16" ht="22.5" customHeight="1" thickBot="1" x14ac:dyDescent="0.45">
      <c r="D8" s="54" t="s">
        <v>21</v>
      </c>
      <c r="E8" s="55"/>
      <c r="F8" s="55"/>
      <c r="G8" s="55"/>
      <c r="H8" s="56"/>
      <c r="I8" s="54" t="s">
        <v>22</v>
      </c>
      <c r="J8" s="55"/>
      <c r="K8" s="55"/>
      <c r="L8" s="55"/>
      <c r="M8" s="55"/>
      <c r="N8" s="55"/>
      <c r="O8" s="56"/>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4">
      <c r="B10" s="7" t="str">
        <f>IFERROR(TEXT('Biweekly Expense Report USD'!$C10,"aaaa"), "")</f>
        <v>Monday</v>
      </c>
      <c r="C10" s="10">
        <f>L4</f>
        <v>46013</v>
      </c>
      <c r="D10" s="20"/>
      <c r="E10" s="19"/>
      <c r="F10" s="18"/>
      <c r="G10" s="19"/>
      <c r="H10" s="21"/>
      <c r="I10" s="26"/>
      <c r="J10" s="18"/>
      <c r="K10" s="19"/>
      <c r="L10" s="18"/>
      <c r="M10" s="19"/>
      <c r="N10" s="40"/>
      <c r="O10" s="22">
        <v>0.19</v>
      </c>
      <c r="P10" s="39">
        <f>IFERROR(SUM(D10:M10)+(N10*O10), "")</f>
        <v>0</v>
      </c>
    </row>
    <row r="11" spans="2:16" ht="30" customHeight="1" x14ac:dyDescent="0.4">
      <c r="B11" s="7" t="str">
        <f>IFERROR(TEXT('Biweekly Expense Report USD'!$C11,"aaaa"), "")</f>
        <v>Tuesday</v>
      </c>
      <c r="C11" s="10">
        <f>IF($L$4="","",$L$4+1)</f>
        <v>46014</v>
      </c>
      <c r="D11" s="20"/>
      <c r="E11" s="19"/>
      <c r="F11" s="18"/>
      <c r="G11" s="19"/>
      <c r="H11" s="21"/>
      <c r="I11" s="26"/>
      <c r="J11" s="18"/>
      <c r="K11" s="19"/>
      <c r="L11" s="18"/>
      <c r="M11" s="19"/>
      <c r="N11" s="40"/>
      <c r="O11" s="44">
        <v>0.19</v>
      </c>
      <c r="P11" s="39">
        <f t="shared" ref="P11:P23" si="0">IFERROR(SUM(D11:M11)+(N11*O11), "")</f>
        <v>0</v>
      </c>
    </row>
    <row r="12" spans="2:16" ht="30" customHeight="1" x14ac:dyDescent="0.4">
      <c r="B12" s="7" t="str">
        <f>IFERROR(TEXT('Biweekly Expense Report USD'!$C12,"aaaa"), "")</f>
        <v>Wednesday</v>
      </c>
      <c r="C12" s="10">
        <f>IF($L$4="","",$L$4+2)</f>
        <v>46015</v>
      </c>
      <c r="D12" s="20"/>
      <c r="E12" s="19"/>
      <c r="F12" s="18"/>
      <c r="G12" s="19"/>
      <c r="H12" s="21"/>
      <c r="I12" s="26"/>
      <c r="J12" s="18"/>
      <c r="K12" s="19"/>
      <c r="L12" s="18"/>
      <c r="M12" s="19"/>
      <c r="N12" s="40"/>
      <c r="O12" s="44">
        <v>0.19</v>
      </c>
      <c r="P12" s="39">
        <f t="shared" si="0"/>
        <v>0</v>
      </c>
    </row>
    <row r="13" spans="2:16" ht="30" customHeight="1" x14ac:dyDescent="0.4">
      <c r="B13" s="7" t="str">
        <f>IFERROR(TEXT('Biweekly Expense Report USD'!$C13,"aaaa"), "")</f>
        <v>Thursday</v>
      </c>
      <c r="C13" s="10">
        <f>IF($L$4="","",$L$4+3)</f>
        <v>46016</v>
      </c>
      <c r="D13" s="20"/>
      <c r="E13" s="19"/>
      <c r="F13" s="18"/>
      <c r="G13" s="19"/>
      <c r="H13" s="21"/>
      <c r="I13" s="26"/>
      <c r="J13" s="18"/>
      <c r="K13" s="19"/>
      <c r="L13" s="18"/>
      <c r="M13" s="19"/>
      <c r="N13" s="40"/>
      <c r="O13" s="44">
        <v>0.19</v>
      </c>
      <c r="P13" s="39">
        <f t="shared" si="0"/>
        <v>0</v>
      </c>
    </row>
    <row r="14" spans="2:16" ht="30" customHeight="1" x14ac:dyDescent="0.4">
      <c r="B14" s="7" t="str">
        <f>IFERROR(TEXT('Biweekly Expense Report USD'!$C14,"aaaa"), "")</f>
        <v>Friday</v>
      </c>
      <c r="C14" s="10">
        <f>IF($L$4="","",$L$4+4)</f>
        <v>46017</v>
      </c>
      <c r="D14" s="20"/>
      <c r="E14" s="45"/>
      <c r="F14" s="18"/>
      <c r="G14" s="19"/>
      <c r="H14" s="21"/>
      <c r="I14" s="26"/>
      <c r="J14" s="18"/>
      <c r="K14" s="19"/>
      <c r="L14" s="18"/>
      <c r="M14" s="19"/>
      <c r="N14" s="40"/>
      <c r="O14" s="44">
        <v>0.19</v>
      </c>
      <c r="P14" s="39">
        <f t="shared" si="0"/>
        <v>0</v>
      </c>
    </row>
    <row r="15" spans="2:16" ht="30" customHeight="1" x14ac:dyDescent="0.4">
      <c r="B15" s="7" t="str">
        <f>IFERROR(TEXT('Biweekly Expense Report USD'!$C15,"aaaa"), "")</f>
        <v>Saturday</v>
      </c>
      <c r="C15" s="10">
        <f>IF($L$4="","",$L$4+5)</f>
        <v>46018</v>
      </c>
      <c r="D15" s="20"/>
      <c r="E15" s="45"/>
      <c r="F15" s="18"/>
      <c r="G15" s="19"/>
      <c r="H15" s="21"/>
      <c r="I15" s="26"/>
      <c r="J15" s="18"/>
      <c r="K15" s="19"/>
      <c r="L15" s="18"/>
      <c r="M15" s="19"/>
      <c r="N15" s="40"/>
      <c r="O15" s="44">
        <v>0.19</v>
      </c>
      <c r="P15" s="39">
        <f t="shared" si="0"/>
        <v>0</v>
      </c>
    </row>
    <row r="16" spans="2:16" ht="30" customHeight="1" x14ac:dyDescent="0.4">
      <c r="B16" s="7" t="str">
        <f>IFERROR(TEXT('Biweekly Expense Report USD'!$C16,"aaaa"), "")</f>
        <v>Sunday</v>
      </c>
      <c r="C16" s="10">
        <f>IF($L$4="","",$L$4+6)</f>
        <v>46019</v>
      </c>
      <c r="D16" s="20"/>
      <c r="E16" s="45"/>
      <c r="F16" s="18"/>
      <c r="G16" s="19"/>
      <c r="H16" s="21"/>
      <c r="I16" s="26"/>
      <c r="J16" s="18"/>
      <c r="K16" s="19"/>
      <c r="L16" s="18"/>
      <c r="M16" s="19"/>
      <c r="N16" s="40"/>
      <c r="O16" s="44">
        <v>0.19</v>
      </c>
      <c r="P16" s="39">
        <f t="shared" si="0"/>
        <v>0</v>
      </c>
    </row>
    <row r="17" spans="2:16" ht="30" customHeight="1" x14ac:dyDescent="0.4">
      <c r="B17" s="7" t="str">
        <f>IFERROR(TEXT('Biweekly Expense Report USD'!$C17,"aaaa"), "")</f>
        <v>Monday</v>
      </c>
      <c r="C17" s="10">
        <f>IF($L$4="","",$L$4+7)</f>
        <v>46020</v>
      </c>
      <c r="D17" s="20"/>
      <c r="E17" s="45"/>
      <c r="F17" s="18"/>
      <c r="G17" s="19"/>
      <c r="H17" s="21"/>
      <c r="I17" s="26"/>
      <c r="J17" s="18"/>
      <c r="K17" s="19"/>
      <c r="L17" s="18"/>
      <c r="M17" s="19"/>
      <c r="N17" s="40"/>
      <c r="O17" s="44">
        <v>0.19</v>
      </c>
      <c r="P17" s="39">
        <f t="shared" si="0"/>
        <v>0</v>
      </c>
    </row>
    <row r="18" spans="2:16" ht="30" customHeight="1" x14ac:dyDescent="0.4">
      <c r="B18" s="7" t="str">
        <f>IFERROR(TEXT('Biweekly Expense Report USD'!$C18,"aaaa"), "")</f>
        <v>Tuesday</v>
      </c>
      <c r="C18" s="10">
        <f>IF($L$4="","",$L$4+8)</f>
        <v>46021</v>
      </c>
      <c r="D18" s="20"/>
      <c r="E18" s="45"/>
      <c r="F18" s="18"/>
      <c r="G18" s="19"/>
      <c r="H18" s="21"/>
      <c r="I18" s="26"/>
      <c r="J18" s="18"/>
      <c r="K18" s="19"/>
      <c r="L18" s="18"/>
      <c r="M18" s="19"/>
      <c r="N18" s="40"/>
      <c r="O18" s="44">
        <v>0.19</v>
      </c>
      <c r="P18" s="39">
        <f t="shared" si="0"/>
        <v>0</v>
      </c>
    </row>
    <row r="19" spans="2:16" ht="30" customHeight="1" x14ac:dyDescent="0.4">
      <c r="B19" s="7" t="str">
        <f>IFERROR(TEXT('Biweekly Expense Report USD'!$C19,"aaaa"), "")</f>
        <v>Wednesday</v>
      </c>
      <c r="C19" s="10">
        <f>IF($L$4="","",$L$4+9)</f>
        <v>46022</v>
      </c>
      <c r="D19" s="20"/>
      <c r="E19" s="45"/>
      <c r="F19" s="18"/>
      <c r="G19" s="19"/>
      <c r="H19" s="21"/>
      <c r="I19" s="26"/>
      <c r="J19" s="18"/>
      <c r="K19" s="19"/>
      <c r="L19" s="18"/>
      <c r="M19" s="19"/>
      <c r="N19" s="40"/>
      <c r="O19" s="44">
        <v>0.19</v>
      </c>
      <c r="P19" s="39">
        <f t="shared" si="0"/>
        <v>0</v>
      </c>
    </row>
    <row r="20" spans="2:16" ht="30" customHeight="1" x14ac:dyDescent="0.4">
      <c r="B20" s="7" t="str">
        <f>IFERROR(TEXT('Biweekly Expense Report USD'!$C20,"aaaa"), "")</f>
        <v>Thursday</v>
      </c>
      <c r="C20" s="10">
        <f>IF($L$4="","",$L$4+10)</f>
        <v>46023</v>
      </c>
      <c r="D20" s="20"/>
      <c r="E20" s="45"/>
      <c r="F20" s="18"/>
      <c r="G20" s="19"/>
      <c r="H20" s="21"/>
      <c r="I20" s="26"/>
      <c r="J20" s="18"/>
      <c r="K20" s="19"/>
      <c r="L20" s="18"/>
      <c r="M20" s="19"/>
      <c r="N20" s="40"/>
      <c r="O20" s="44">
        <v>0.19</v>
      </c>
      <c r="P20" s="39">
        <f t="shared" si="0"/>
        <v>0</v>
      </c>
    </row>
    <row r="21" spans="2:16" ht="30" customHeight="1" x14ac:dyDescent="0.4">
      <c r="B21" s="7" t="str">
        <f>IFERROR(TEXT('Biweekly Expense Report USD'!$C21,"aaaa"), "")</f>
        <v>Friday</v>
      </c>
      <c r="C21" s="10">
        <f>IF($L$4="","",$L$4+11)</f>
        <v>46024</v>
      </c>
      <c r="D21" s="20"/>
      <c r="E21" s="45"/>
      <c r="F21" s="18"/>
      <c r="G21" s="19"/>
      <c r="H21" s="21"/>
      <c r="I21" s="26"/>
      <c r="J21" s="18"/>
      <c r="K21" s="19"/>
      <c r="L21" s="18"/>
      <c r="M21" s="19"/>
      <c r="N21" s="40"/>
      <c r="O21" s="44">
        <v>0.19</v>
      </c>
      <c r="P21" s="39">
        <f t="shared" si="0"/>
        <v>0</v>
      </c>
    </row>
    <row r="22" spans="2:16" ht="30" customHeight="1" x14ac:dyDescent="0.4">
      <c r="B22" s="7" t="str">
        <f>IFERROR(TEXT('Biweekly Expense Report USD'!$C22,"aaaa"), "")</f>
        <v>Saturday</v>
      </c>
      <c r="C22" s="10">
        <f>IF($L$4="","",$L$4+12)</f>
        <v>46025</v>
      </c>
      <c r="D22" s="20"/>
      <c r="E22" s="45"/>
      <c r="F22" s="18"/>
      <c r="G22" s="19"/>
      <c r="H22" s="21"/>
      <c r="I22" s="26"/>
      <c r="J22" s="18"/>
      <c r="K22" s="19"/>
      <c r="L22" s="18"/>
      <c r="M22" s="19"/>
      <c r="N22" s="40"/>
      <c r="O22" s="44">
        <v>0.19</v>
      </c>
      <c r="P22" s="39">
        <f t="shared" si="0"/>
        <v>0</v>
      </c>
    </row>
    <row r="23" spans="2:16" ht="30" customHeight="1" x14ac:dyDescent="0.4">
      <c r="B23" s="13" t="str">
        <f>IFERROR(TEXT('Biweekly Expense Report USD'!$C23,"aaaa"), "")</f>
        <v>Sunday</v>
      </c>
      <c r="C23" s="14">
        <f>IF($L$4="","",$L$4+13)</f>
        <v>46026</v>
      </c>
      <c r="D23" s="20"/>
      <c r="E23" s="45"/>
      <c r="F23" s="18"/>
      <c r="G23" s="19"/>
      <c r="H23" s="21"/>
      <c r="I23" s="26"/>
      <c r="J23" s="18"/>
      <c r="K23" s="19"/>
      <c r="L23" s="18"/>
      <c r="M23" s="19"/>
      <c r="N23" s="40"/>
      <c r="O23" s="44">
        <v>0.19</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7" t="str">
        <f>'Biweekly Time Sheet'!D26:J26</f>
        <v>Paul Robertson</v>
      </c>
      <c r="E27" s="57"/>
      <c r="F27" s="57"/>
      <c r="G27" s="57"/>
      <c r="H27" s="57"/>
      <c r="I27" s="57"/>
      <c r="J27" s="57"/>
      <c r="K27" s="57"/>
      <c r="L27" s="57"/>
      <c r="M27" s="57"/>
      <c r="N27" s="57"/>
      <c r="O27" s="57"/>
      <c r="P27" s="17">
        <f>'Biweekly Time Sheet'!L26</f>
        <v>46026</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4" x14ac:dyDescent="0.4"/>
  <cols>
    <col min="1" max="1" width="24.38671875" bestFit="1" customWidth="1"/>
  </cols>
  <sheetData>
    <row r="1" spans="1:4" ht="14.35" thickBot="1" x14ac:dyDescent="0.45">
      <c r="A1" s="30" t="s">
        <v>36</v>
      </c>
      <c r="B1" s="30"/>
      <c r="C1" s="30"/>
      <c r="D1" s="30"/>
    </row>
    <row r="2" spans="1:4" x14ac:dyDescent="0.4">
      <c r="A2" s="31" t="s">
        <v>37</v>
      </c>
      <c r="B2" s="31"/>
      <c r="C2" s="32">
        <f>'Biweekly Time Sheet'!D$23</f>
        <v>0</v>
      </c>
      <c r="D2" s="31"/>
    </row>
    <row r="3" spans="1:4" x14ac:dyDescent="0.4">
      <c r="A3" s="31" t="s">
        <v>38</v>
      </c>
      <c r="B3" s="31"/>
      <c r="C3" s="32">
        <f>'Biweekly Time Sheet'!E$23</f>
        <v>0</v>
      </c>
      <c r="D3" s="31"/>
    </row>
    <row r="4" spans="1:4" x14ac:dyDescent="0.4">
      <c r="A4" s="31" t="s">
        <v>39</v>
      </c>
      <c r="B4" s="31"/>
      <c r="C4" s="32">
        <f>'Biweekly Time Sheet'!F$23</f>
        <v>0</v>
      </c>
      <c r="D4" s="31"/>
    </row>
    <row r="5" spans="1:4" x14ac:dyDescent="0.4">
      <c r="A5" s="31" t="s">
        <v>40</v>
      </c>
      <c r="B5" s="31"/>
      <c r="C5" s="32">
        <f>'Biweekly Time Sheet'!G$23</f>
        <v>0</v>
      </c>
      <c r="D5" s="31"/>
    </row>
    <row r="6" spans="1:4" x14ac:dyDescent="0.4">
      <c r="A6" s="31" t="s">
        <v>41</v>
      </c>
      <c r="B6" s="31"/>
      <c r="C6" s="32">
        <f>'Biweekly Time Sheet'!H$23</f>
        <v>0</v>
      </c>
      <c r="D6" s="31"/>
    </row>
    <row r="7" spans="1:4" x14ac:dyDescent="0.4">
      <c r="A7" s="31" t="s">
        <v>42</v>
      </c>
      <c r="B7" s="31"/>
      <c r="C7" s="32">
        <f>'Biweekly Time Sheet'!I$23</f>
        <v>0</v>
      </c>
      <c r="D7" s="31"/>
    </row>
    <row r="8" spans="1:4" x14ac:dyDescent="0.4">
      <c r="A8" s="31" t="s">
        <v>43</v>
      </c>
      <c r="B8" s="31"/>
      <c r="C8" s="32">
        <f>'Biweekly Time Sheet'!J$23</f>
        <v>24</v>
      </c>
      <c r="D8" s="31"/>
    </row>
    <row r="9" spans="1:4" x14ac:dyDescent="0.4">
      <c r="A9" s="31" t="s">
        <v>44</v>
      </c>
      <c r="B9" s="31"/>
      <c r="C9" s="32">
        <f>'Biweekly Time Sheet'!K$23</f>
        <v>0</v>
      </c>
      <c r="D9" s="31"/>
    </row>
    <row r="10" spans="1:4" x14ac:dyDescent="0.4">
      <c r="A10" s="31" t="s">
        <v>45</v>
      </c>
      <c r="B10" s="31"/>
      <c r="C10" s="33">
        <f>'Biweekly Expense Report CAD'!P24</f>
        <v>0</v>
      </c>
      <c r="D10" s="31" t="s">
        <v>46</v>
      </c>
    </row>
    <row r="11" spans="1:4" x14ac:dyDescent="0.4">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Paul Robertson</cp:lastModifiedBy>
  <cp:revision/>
  <dcterms:created xsi:type="dcterms:W3CDTF">2017-09-11T06:48:50Z</dcterms:created>
  <dcterms:modified xsi:type="dcterms:W3CDTF">2026-01-05T13:48:27Z</dcterms:modified>
  <cp:category/>
  <cp:contentStatus/>
</cp:coreProperties>
</file>