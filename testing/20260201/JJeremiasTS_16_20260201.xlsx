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mc:AlternateContent xmlns:mc="http://schemas.openxmlformats.org/markup-compatibility/2006">
    <mc:Choice Requires="x15">
      <x15ac:absPath xmlns:x15ac="http://schemas.microsoft.com/office/spreadsheetml/2010/11/ac" url="C:\Users\jerry\Desktop\VM Shared Folder\Time Sheets\"/>
    </mc:Choice>
  </mc:AlternateContent>
  <xr:revisionPtr revIDLastSave="0" documentId="13_ncr:1_{4A1A8939-6180-4BFC-888B-A81F3242718E}"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USD" sheetId="5" r:id="rId2"/>
    <sheet name="Biweekly Expense Report CAD" sheetId="3" r:id="rId3"/>
    <sheet name="Accounting Use Only" sheetId="4" r:id="rId4"/>
  </sheets>
  <definedNames>
    <definedName name="_xlnm.Print_Area" localSheetId="0">'Biweekly Time Sheet'!$A$1:$L$28</definedName>
    <definedName name="_xlnm.Print_Titles" localSheetId="2">'Biweekly Expense Report CAD'!$9:$9</definedName>
    <definedName name="_xlnm.Print_Titles" localSheetId="1">'Biweekly Expense Report USD'!$9:$9</definedName>
    <definedName name="_xlnm.Print_Titles" localSheetId="0">'Biweekly Time Sheet'!$8:$8</definedName>
    <definedName name="RowTitleRegion1..C5" localSheetId="2">'Biweekly Expense Report CAD'!$B$3</definedName>
    <definedName name="RowTitleRegion1..C5" localSheetId="1">'Biweekly Expense Report USD'!$B$3</definedName>
    <definedName name="RowTitleRegion1..C5">'Biweekly Time Sheet'!$B$3</definedName>
    <definedName name="RowTitleRegion2..G4" localSheetId="2">'Biweekly Expense Report CAD'!$K$4</definedName>
    <definedName name="RowTitleRegion2..G4" localSheetId="1">'Biweekly Expense Report USD'!$K$4</definedName>
    <definedName name="RowTitleRegion2..G4">'Biweekly Time Sheet'!$G$4</definedName>
    <definedName name="RowTitleRegion3..C7" localSheetId="2">'Biweekly Expense Report CAD'!$K$3</definedName>
    <definedName name="RowTitleRegion3..C7" localSheetId="1">'Biweekly Expense Report USD'!$K$3</definedName>
    <definedName name="RowTitleRegion3..C7">'Biweekly Time Sheet'!$G$3</definedName>
    <definedName name="RowTitleRegion4..G7" localSheetId="2">'Biweekly Expense Report CAD'!$M$6</definedName>
    <definedName name="RowTitleRegion4..G7" localSheetId="1">'Biweekly Expense Report USD'!$M$6</definedName>
    <definedName name="RowTitleRegion4..G7">'Biweekly Time Sheet'!$I$6</definedName>
    <definedName name="RowTitleRegion5..H24" localSheetId="2">'Biweekly Expense Report CAD'!$C$24</definedName>
    <definedName name="RowTitleRegion5..H24" localSheetId="1">'Biweekly Expense Report USD'!$C$24</definedName>
    <definedName name="RowTitleRegion5..H24">'Biweekly Time Sheet'!$C$23</definedName>
    <definedName name="RowTitleRegion6..G25" localSheetId="2">'Biweekly Expense Report CAD'!#REF!</definedName>
    <definedName name="RowTitleRegion6..G25" localSheetId="1">'Biweekly Expense Report USD'!#REF!</definedName>
    <definedName name="RowTitleRegion6..G25">'Biweekly Time Sheet'!#REF!</definedName>
    <definedName name="RowTitleRegion7..H26" localSheetId="2">'Biweekly Expense Report CAD'!#REF!</definedName>
    <definedName name="RowTitleRegion7..H26" localSheetId="1">'Biweekly Expense Report USD'!#REF!</definedName>
    <definedName name="RowTitleRegion7..H26">'Biweekly Time Sheet'!#REF!</definedName>
    <definedName name="Title1" localSheetId="2">'Biweekly Expense Report CAD'!$B$9</definedName>
    <definedName name="Title1" localSheetId="1">'Biweekly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<sst xmlns="http://schemas.openxmlformats.org/spreadsheetml/2006/main" count="83" uniqueCount="49">
  <si>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</si>
  <si>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</si>
  <si>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</si>
  <si>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</si>
  <si>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</si>
  <si>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</si>
  <si>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</si>
  <si>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</si>
  <si>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</si>
  <si>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</si>
  <si>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</si>
  <si>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</si>
  <si>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</si>
  <si>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</si>
  <si>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</si>
  <si>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</si>
  <si>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</si>
  <si>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</si>
  <si>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</si>
  <si>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</si>
  <si>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</si>
  <si>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</si>
  <si>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</si>
  <si>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</si>
  <si>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</si>
  <si>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</si>
  <si>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</si>
  <si>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</si>
  <si>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</si>
  <si>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</si>
  <si>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</si>
  <si>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</si>
  <si>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</si>
  <si>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</si>
  <si>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</si>
  <si>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</si>
  <si>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</si>
  <si>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</si>
  <si>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</si>
  <si>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</si>
  <si>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</si>
  <si>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</si>
  <si>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</si>
  <si>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</si>
  <si>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</si>
  <si>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</si>
  <si>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</si>
  <si>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</si>
  <si>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Jerry Jeremias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</si>
</sst>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D21" sqref="D21"/>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46041</v>
      </c>
      <c r="I4" s="52"/>
      <c r="J4" s="52"/>
      <c r="K4" s="52"/>
      <c r="L4" s="52"/>
    </row>
    <row r="5" spans="2:15" ht="30" customHeight="1" x14ac:dyDescent="0.3">
      <c r="G5" s="5" t="s">
        <v>7</v>
      </c>
      <c r="H5" s="46">
        <f>IFERROR(IF($H$4="","",$H$4+13), "")</f>
        <v>46054</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46041</v>
      </c>
      <c r="D9" s="12">
        <v>8</v>
      </c>
      <c r="E9" s="13"/>
      <c r="F9" s="12"/>
      <c r="G9" s="13"/>
      <c r="H9" s="12"/>
      <c r="I9" s="13"/>
      <c r="J9" s="12"/>
      <c r="K9" s="13"/>
      <c r="L9" s="43">
        <f>IFERROR(SUM(D9:K9), "")</f>
        <v>8</v>
      </c>
      <c r="O9" s="44"/>
    </row>
    <row r="10" spans="2:15" ht="30" customHeight="1" x14ac:dyDescent="0.3">
      <c r="B10" s="8" t="str">
        <f>IFERROR(TEXT('Biweekly Time Sheet'!$C10,"aaaa"), "")</f>
        <v>Tuesday</v>
      </c>
      <c r="C10" s="11">
        <f>IF($H$4="","",$H$4+1)</f>
        <v>46042</v>
      </c>
      <c r="D10" s="12">
        <v>8</v>
      </c>
      <c r="E10" s="13"/>
      <c r="F10" s="12"/>
      <c r="G10" s="13"/>
      <c r="H10" s="12"/>
      <c r="I10" s="13"/>
      <c r="J10" s="12"/>
      <c r="K10" s="13"/>
      <c r="L10" s="43">
        <f t="shared" ref="L10:L22" si="0">IFERROR(SUM(D10:K10), "")</f>
        <v>8</v>
      </c>
      <c r="O10" s="44"/>
    </row>
    <row r="11" spans="2:15" ht="30" customHeight="1" x14ac:dyDescent="0.3">
      <c r="B11" s="8" t="str">
        <f>IFERROR(TEXT('Biweekly Time Sheet'!$C11,"aaaa"), "")</f>
        <v>Wednesday</v>
      </c>
      <c r="C11" s="11">
        <f>IF($H$4="","",$H$4+2)</f>
        <v>46043</v>
      </c>
      <c r="D11" s="12">
        <v>8</v>
      </c>
      <c r="E11" s="13"/>
      <c r="F11" s="12"/>
      <c r="G11" s="13"/>
      <c r="H11" s="12"/>
      <c r="I11" s="13"/>
      <c r="J11" s="12"/>
      <c r="K11" s="13"/>
      <c r="L11" s="43">
        <f t="shared" si="0"/>
        <v>8</v>
      </c>
      <c r="O11" s="44"/>
    </row>
    <row r="12" spans="2:15" ht="30" customHeight="1" x14ac:dyDescent="0.3">
      <c r="B12" s="8" t="str">
        <f>IFERROR(TEXT('Biweekly Time Sheet'!$C12,"aaaa"), "")</f>
        <v>Thursday</v>
      </c>
      <c r="C12" s="11">
        <f>IF($H$4="","",$H$4+3)</f>
        <v>46044</v>
      </c>
      <c r="D12" s="12">
        <v>8</v>
      </c>
      <c r="E12" s="13"/>
      <c r="F12" s="12"/>
      <c r="G12" s="13"/>
      <c r="H12" s="12"/>
      <c r="I12" s="13"/>
      <c r="J12" s="12"/>
      <c r="K12" s="13"/>
      <c r="L12" s="43">
        <f t="shared" si="0"/>
        <v>8</v>
      </c>
      <c r="O12" s="44"/>
    </row>
    <row r="13" spans="2:15" ht="30" customHeight="1" x14ac:dyDescent="0.3">
      <c r="B13" s="8" t="str">
        <f>IFERROR(TEXT('Biweekly Time Sheet'!$C13,"aaaa"), "")</f>
        <v>Friday</v>
      </c>
      <c r="C13" s="11">
        <f>IF($H$4="","",$H$4+4)</f>
        <v>46045</v>
      </c>
      <c r="D13" s="12">
        <v>8</v>
      </c>
      <c r="E13" s="13"/>
      <c r="F13" s="12"/>
      <c r="G13" s="13"/>
      <c r="H13" s="12"/>
      <c r="I13" s="13"/>
      <c r="J13" s="12"/>
      <c r="K13" s="13"/>
      <c r="L13" s="43">
        <f t="shared" si="0"/>
        <v>8</v>
      </c>
      <c r="O13" s="44"/>
    </row>
    <row r="14" spans="2:15" ht="30" customHeight="1" x14ac:dyDescent="0.3">
      <c r="B14" s="8" t="str">
        <f>IFERROR(TEXT('Biweekly Time Sheet'!$C14,"aaaa"), "")</f>
        <v>Saturday</v>
      </c>
      <c r="C14" s="11">
        <f>IF($H$4="","",$H$4+5)</f>
        <v>46046</v>
      </c>
      <c r="D14" s="12"/>
      <c r="E14" s="13"/>
      <c r="F14" s="12"/>
      <c r="G14" s="13"/>
      <c r="H14" s="12"/>
      <c r="I14" s="13"/>
      <c r="J14" s="12"/>
      <c r="K14" s="13"/>
      <c r="L14" s="43">
        <f t="shared" si="0"/>
        <v>0</v>
      </c>
      <c r="O14" s="44"/>
    </row>
    <row r="15" spans="2:15" ht="30" customHeight="1" x14ac:dyDescent="0.3">
      <c r="B15" s="8" t="str">
        <f>IFERROR(TEXT('Biweekly Time Sheet'!$C15,"aaaa"), "")</f>
        <v>Sunday</v>
      </c>
      <c r="C15" s="11">
        <f>IF($H$4="","",$H$4+6)</f>
        <v>46047</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46048</v>
      </c>
      <c r="D16" s="12">
        <v>8</v>
      </c>
      <c r="E16" s="13"/>
      <c r="F16" s="12"/>
      <c r="G16" s="13"/>
      <c r="H16" s="12"/>
      <c r="I16" s="13"/>
      <c r="J16" s="12"/>
      <c r="K16" s="13"/>
      <c r="L16" s="43">
        <f t="shared" si="0"/>
        <v>8</v>
      </c>
      <c r="O16" s="44"/>
    </row>
    <row r="17" spans="2:15" ht="30" customHeight="1" x14ac:dyDescent="0.3">
      <c r="B17" s="8" t="str">
        <f>IFERROR(TEXT('Biweekly Time Sheet'!$C17,"aaaa"), "")</f>
        <v>Tuesday</v>
      </c>
      <c r="C17" s="11">
        <f>IF($H$4="","",$H$4+8)</f>
        <v>46049</v>
      </c>
      <c r="D17" s="12">
        <v>8</v>
      </c>
      <c r="E17" s="13"/>
      <c r="F17" s="12"/>
      <c r="G17" s="13"/>
      <c r="H17" s="12"/>
      <c r="I17" s="13"/>
      <c r="J17" s="12"/>
      <c r="K17" s="13"/>
      <c r="L17" s="43">
        <f t="shared" si="0"/>
        <v>8</v>
      </c>
      <c r="O17" s="44"/>
    </row>
    <row r="18" spans="2:15" ht="30" customHeight="1" x14ac:dyDescent="0.3">
      <c r="B18" s="8" t="str">
        <f>IFERROR(TEXT('Biweekly Time Sheet'!$C18,"aaaa"), "")</f>
        <v>Wednesday</v>
      </c>
      <c r="C18" s="11">
        <f>IF($H$4="","",$H$4+9)</f>
        <v>46050</v>
      </c>
      <c r="D18" s="12">
        <v>8</v>
      </c>
      <c r="E18" s="13"/>
      <c r="F18" s="12"/>
      <c r="G18" s="13"/>
      <c r="H18" s="12"/>
      <c r="I18" s="13"/>
      <c r="J18" s="12"/>
      <c r="K18" s="13"/>
      <c r="L18" s="43">
        <f t="shared" si="0"/>
        <v>8</v>
      </c>
      <c r="O18" s="44"/>
    </row>
    <row r="19" spans="2:15" ht="30" customHeight="1" x14ac:dyDescent="0.3">
      <c r="B19" s="8" t="str">
        <f>IFERROR(TEXT('Biweekly Time Sheet'!$C19,"aaaa"), "")</f>
        <v>Thursday</v>
      </c>
      <c r="C19" s="11">
        <f>IF($H$4="","",$H$4+10)</f>
        <v>46051</v>
      </c>
      <c r="D19" s="12">
        <v>8</v>
      </c>
      <c r="E19" s="13"/>
      <c r="F19" s="12"/>
      <c r="G19" s="13"/>
      <c r="H19" s="12"/>
      <c r="I19" s="13"/>
      <c r="J19" s="12"/>
      <c r="K19" s="13"/>
      <c r="L19" s="43">
        <f t="shared" si="0"/>
        <v>8</v>
      </c>
      <c r="O19" s="44"/>
    </row>
    <row r="20" spans="2:15" ht="30" customHeight="1" x14ac:dyDescent="0.3">
      <c r="B20" s="8" t="str">
        <f>IFERROR(TEXT('Biweekly Time Sheet'!$C20,"aaaa"), "")</f>
        <v>Friday</v>
      </c>
      <c r="C20" s="11">
        <f>IF($H$4="","",$H$4+11)</f>
        <v>46052</v>
      </c>
      <c r="D20" s="12">
        <v>8</v>
      </c>
      <c r="E20" s="13"/>
      <c r="F20" s="12"/>
      <c r="G20" s="13"/>
      <c r="H20" s="12"/>
      <c r="I20" s="13"/>
      <c r="J20" s="12"/>
      <c r="K20" s="13"/>
      <c r="L20" s="43">
        <f t="shared" si="0"/>
        <v>8</v>
      </c>
      <c r="O20" s="44"/>
    </row>
    <row r="21" spans="2:15" ht="30" customHeight="1" x14ac:dyDescent="0.3">
      <c r="B21" s="8" t="str">
        <f>IFERROR(TEXT('Biweekly Time Sheet'!$C21,"aaaa"), "")</f>
        <v>Saturday</v>
      </c>
      <c r="C21" s="11">
        <f>IF($H$4="","",$H$4+12)</f>
        <v>46053</v>
      </c>
      <c r="D21" s="12"/>
      <c r="E21" s="13"/>
      <c r="F21" s="12"/>
      <c r="G21" s="13"/>
      <c r="H21" s="12"/>
      <c r="I21" s="13"/>
      <c r="J21" s="12"/>
      <c r="K21" s="13"/>
      <c r="L21" s="43">
        <f t="shared" si="0"/>
        <v>0</v>
      </c>
      <c r="O21" s="44"/>
    </row>
    <row r="22" spans="2:15" ht="30" customHeight="1" x14ac:dyDescent="0.3">
      <c r="B22" s="14" t="str">
        <f>IFERROR(TEXT('Biweekly Time Sheet'!$C22,"aaaa"), "")</f>
        <v>Sunday</v>
      </c>
      <c r="C22" s="15">
        <f>IF($H$4="","",$H$4+13)</f>
        <v>46054</v>
      </c>
      <c r="D22" s="16"/>
      <c r="E22" s="17"/>
      <c r="F22" s="16"/>
      <c r="G22" s="17"/>
      <c r="H22" s="16"/>
      <c r="I22" s="17"/>
      <c r="J22" s="16"/>
      <c r="K22" s="17"/>
      <c r="L22" s="43">
        <f t="shared" si="0"/>
        <v>0</v>
      </c>
      <c r="O22" s="44"/>
    </row>
    <row r="23" spans="2:15" ht="30" customHeight="1" x14ac:dyDescent="0.3">
      <c r="C23" s="2" t="s">
        <v>5</v>
      </c>
      <c r="D23" s="3">
        <f t="shared" ref="D23:K23" si="1">IFERROR(SUM(D9:D22), "")</f>
        <v>80</v>
      </c>
      <c r="E23" s="3">
        <f t="shared" si="1"/>
        <v>0</v>
      </c>
      <c r="F23" s="3">
        <f t="shared" si="1"/>
        <v>0</v>
      </c>
      <c r="G23" s="3">
        <f t="shared" si="1"/>
        <v>0</v>
      </c>
      <c r="H23" s="3">
        <f t="shared" si="1"/>
        <v>0</v>
      </c>
      <c r="I23" s="3">
        <f t="shared" si="1"/>
        <v>0</v>
      </c>
      <c r="J23" s="3">
        <f t="shared" si="1"/>
        <v>0</v>
      </c>
      <c r="K23" s="3">
        <f t="shared" si="1"/>
        <v>0</v>
      </c>
      <c r="L23" s="3">
        <f>IFERROR(SUM(D23:K23), "")</f>
        <v>80</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48</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850" yWindow="462"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9" zoomScale="80" zoomScaleNormal="80" workbookViewId="0">
      <selection activeCell="G31" sqref="G31"/>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46041</v>
      </c>
      <c r="M4" s="46"/>
      <c r="N4" s="46"/>
      <c r="O4" s="46"/>
      <c r="P4" s="46"/>
    </row>
    <row r="5" spans="2:16" ht="30" customHeight="1" x14ac:dyDescent="0.3">
      <c r="K5" s="5" t="s">
        <v>7</v>
      </c>
      <c r="L5" s="46">
        <f>'Biweekly Time Sheet'!H5</f>
        <v>46054</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USD'!$C10,"aaaa"), "")</f>
        <v>Monday</v>
      </c>
      <c r="C10" s="11">
        <f>L4</f>
        <v>46041</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46042</v>
      </c>
      <c r="D11" s="21"/>
      <c r="E11" s="20"/>
      <c r="F11" s="19"/>
      <c r="G11" s="20"/>
      <c r="H11" s="22"/>
      <c r="I11" s="27"/>
      <c r="J11" s="19"/>
      <c r="K11" s="20"/>
      <c r="L11" s="19"/>
      <c r="M11" s="20"/>
      <c r="N11" s="41"/>
      <c r="O11" s="42">
        <v>0.54500000000000004</v>
      </c>
      <c r="P11" s="40">
        <f t="shared" ref="P11:P23" si="0">IFERROR(SUM(D11:M11)+(N11*O11), "")</f>
        <v>0</v>
      </c>
    </row>
    <row r="12" spans="2:16" ht="30" customHeight="1" x14ac:dyDescent="0.3">
      <c r="B12" s="8" t="str">
        <f>IFERROR(TEXT('Biweekly Expense Report USD'!$C12,"aaaa"), "")</f>
        <v>Wednesday</v>
      </c>
      <c r="C12" s="11">
        <f>IF($L$4="","",$L$4+2)</f>
        <v>46043</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46044</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46045</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46046</v>
      </c>
      <c r="D15" s="21"/>
      <c r="E15" s="20"/>
      <c r="F15" s="19"/>
      <c r="G15" s="20"/>
      <c r="H15" s="22"/>
      <c r="I15" s="27"/>
      <c r="J15" s="19"/>
      <c r="K15" s="20"/>
      <c r="L15" s="19"/>
      <c r="M15" s="20"/>
      <c r="N15" s="41"/>
      <c r="O15" s="42">
        <v>0.54500000000000004</v>
      </c>
      <c r="P15" s="40">
        <f t="shared" si="0"/>
        <v>0</v>
      </c>
    </row>
    <row r="16" spans="2:16" ht="30" customHeight="1" x14ac:dyDescent="0.3">
      <c r="B16" s="8" t="str">
        <f>IFERROR(TEXT('Biweekly Expense Report USD'!$C16,"aaaa"), "")</f>
        <v>Sunday</v>
      </c>
      <c r="C16" s="11">
        <f>IF($L$4="","",$L$4+6)</f>
        <v>46047</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46048</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46049</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46050</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46051</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46052</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46053</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46054</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100-000000000000}"/>
    <dataValidation allowBlank="1" showInputMessage="1" showErrorMessage="1" prompt="Title of this worksheet is in this cell" sqref="B1:P1" xr:uid="{00000000-0002-0000-0100-000001000000}"/>
    <dataValidation allowBlank="1" showInputMessage="1" showErrorMessage="1" prompt="Enter Company Name in this cell. Enter company Address in cells B3 to C5, Pay period start date and end date in cells G3 and G4, and employee details in cells B6 to G7" sqref="B2" xr:uid="{00000000-0002-0000-0100-000002000000}"/>
    <dataValidation allowBlank="1" showInputMessage="1" showErrorMessage="1" prompt="Enter Street Address in this cell" sqref="C3:D3" xr:uid="{00000000-0002-0000-0100-000003000000}"/>
    <dataValidation allowBlank="1" showInputMessage="1" showErrorMessage="1" prompt="Enter Employee name in cell at right" sqref="K3" xr:uid="{00000000-0002-0000-0100-000004000000}"/>
    <dataValidation allowBlank="1" showInputMessage="1" showErrorMessage="1" prompt="Enter Employee name in this cell" sqref="L3" xr:uid="{00000000-0002-0000-0100-000005000000}"/>
    <dataValidation allowBlank="1" showInputMessage="1" showErrorMessage="1" prompt="Enter Pay period start date in this cell" sqref="L4" xr:uid="{00000000-0002-0000-0100-000006000000}"/>
    <dataValidation allowBlank="1" showInputMessage="1" showErrorMessage="1" prompt="Enter Pay period end date in cell at right" sqref="K5" xr:uid="{00000000-0002-0000-0100-000007000000}"/>
    <dataValidation allowBlank="1" showInputMessage="1" showErrorMessage="1" prompt="Enter Pay period start date in cell at right" sqref="K4" xr:uid="{00000000-0002-0000-0100-000008000000}"/>
    <dataValidation allowBlank="1" showInputMessage="1" showErrorMessage="1" prompt="Enter Pay period end date in this cell" sqref="L5" xr:uid="{00000000-0002-0000-0100-000009000000}"/>
    <dataValidation allowBlank="1" showInputMessage="1" showErrorMessage="1" prompt="Enter Employee phone number in cell at right" sqref="M6 O6" xr:uid="{00000000-0002-0000-0100-00000A000000}"/>
    <dataValidation allowBlank="1" showInputMessage="1" showErrorMessage="1" prompt="Enter Employee phone number in this cell" sqref="N6 P6" xr:uid="{00000000-0002-0000-0100-00000B000000}"/>
    <dataValidation allowBlank="1" showInputMessage="1" showErrorMessage="1" prompt="Enter Regular Hours in this column under this heading" sqref="D9" xr:uid="{00000000-0002-0000-0100-00000C000000}"/>
    <dataValidation allowBlank="1" showInputMessage="1" showErrorMessage="1" prompt="Date is automatically updated in this column under this heading based on Pay period start and end date in cells G3 and G4" sqref="C9" xr:uid="{00000000-0002-0000-0100-00000D000000}"/>
    <dataValidation allowBlank="1" showInputMessage="1" showErrorMessage="1" prompt="Enter Overtime Hours in this column under this heading" sqref="E9:L9" xr:uid="{00000000-0002-0000-0100-00000E000000}"/>
    <dataValidation allowBlank="1" showInputMessage="1" showErrorMessage="1" prompt="Enter Sick hours in this column under this heading" sqref="M9" xr:uid="{00000000-0002-0000-0100-00000F000000}"/>
    <dataValidation allowBlank="1" showInputMessage="1" showErrorMessage="1" prompt="Enter Vacation hours in this column under this heading" sqref="N9" xr:uid="{00000000-0002-0000-0100-000010000000}"/>
    <dataValidation allowBlank="1" showInputMessage="1" showErrorMessage="1" prompt="Total Hours for each weekday are automatically calculated in this column under this heading" sqref="P9" xr:uid="{00000000-0002-0000-0100-000011000000}"/>
    <dataValidation allowBlank="1" showInputMessage="1" showErrorMessage="1" prompt="Total hours for the entire period are automatically calculated in cells at right" sqref="C24" xr:uid="{00000000-0002-0000-0100-000012000000}"/>
    <dataValidation allowBlank="1" showInputMessage="1" showErrorMessage="1" prompt="Enter Employee Signature in this cell" sqref="D25:O25" xr:uid="{00000000-0002-0000-0100-000013000000}"/>
    <dataValidation allowBlank="1" showInputMessage="1" showErrorMessage="1" prompt="Enter Manager Signature in this cell" sqref="D27" xr:uid="{00000000-0002-0000-0100-000014000000}"/>
    <dataValidation allowBlank="1" showInputMessage="1" showErrorMessage="1" prompt="Enter Date in this cell" sqref="P25" xr:uid="{00000000-0002-0000-0100-000015000000}"/>
    <dataValidation allowBlank="1" showInputMessage="1" showErrorMessage="1" prompt="Enter Street Address in cell at right" sqref="B3"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46041</v>
      </c>
      <c r="M4" s="46"/>
      <c r="N4" s="46"/>
      <c r="O4" s="46"/>
      <c r="P4" s="46"/>
    </row>
    <row r="5" spans="2:16" ht="30" customHeight="1" x14ac:dyDescent="0.3">
      <c r="K5" s="5" t="s">
        <v>7</v>
      </c>
      <c r="L5" s="46">
        <f>'Biweekly Time Sheet'!H5</f>
        <v>46054</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CAD'!$C10,"aaaa"), "")</f>
        <v>Monday</v>
      </c>
      <c r="C10" s="11">
        <f>L4</f>
        <v>46041</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46042</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46043</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46044</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46045</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46046</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46047</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46048</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46049</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46050</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46051</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46052</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46053</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46054</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200-000000000000}"/>
    <dataValidation allowBlank="1" showInputMessage="1" showErrorMessage="1" prompt="Enter Date in this cell" sqref="P25" xr:uid="{00000000-0002-0000-0200-000001000000}"/>
    <dataValidation allowBlank="1" showInputMessage="1" showErrorMessage="1" prompt="Enter Manager Signature in this cell" sqref="D27" xr:uid="{00000000-0002-0000-0200-000002000000}"/>
    <dataValidation allowBlank="1" showInputMessage="1" showErrorMessage="1" prompt="Enter Employee Signature in this cell" sqref="D25:O25" xr:uid="{00000000-0002-0000-0200-000003000000}"/>
    <dataValidation allowBlank="1" showInputMessage="1" showErrorMessage="1" prompt="Total hours for the entire period are automatically calculated in cells at right" sqref="C24" xr:uid="{00000000-0002-0000-0200-000004000000}"/>
    <dataValidation allowBlank="1" showInputMessage="1" showErrorMessage="1" prompt="Total Hours for each weekday are automatically calculated in this column under this heading" sqref="P9" xr:uid="{00000000-0002-0000-0200-000005000000}"/>
    <dataValidation allowBlank="1" showInputMessage="1" showErrorMessage="1" prompt="Enter Vacation hours in this column under this heading" sqref="N9" xr:uid="{00000000-0002-0000-0200-000006000000}"/>
    <dataValidation allowBlank="1" showInputMessage="1" showErrorMessage="1" prompt="Enter Sick hours in this column under this heading" sqref="M9" xr:uid="{00000000-0002-0000-0200-000007000000}"/>
    <dataValidation allowBlank="1" showInputMessage="1" showErrorMessage="1" prompt="Enter Overtime Hours in this column under this heading" sqref="E9:L9" xr:uid="{00000000-0002-0000-0200-000008000000}"/>
    <dataValidation allowBlank="1" showInputMessage="1" showErrorMessage="1" prompt="Date is automatically updated in this column under this heading based on Pay period start and end date in cells G3 and G4" sqref="C9" xr:uid="{00000000-0002-0000-0200-000009000000}"/>
    <dataValidation allowBlank="1" showInputMessage="1" showErrorMessage="1" prompt="Enter Regular Hours in this column under this heading" sqref="D9" xr:uid="{00000000-0002-0000-0200-00000A000000}"/>
    <dataValidation allowBlank="1" showInputMessage="1" showErrorMessage="1" prompt="Enter Employee phone number in this cell" sqref="N6 P6" xr:uid="{00000000-0002-0000-0200-00000B000000}"/>
    <dataValidation allowBlank="1" showInputMessage="1" showErrorMessage="1" prompt="Enter Employee phone number in cell at right" sqref="M6 O6" xr:uid="{00000000-0002-0000-0200-00000C000000}"/>
    <dataValidation allowBlank="1" showInputMessage="1" showErrorMessage="1" prompt="Enter Pay period end date in this cell" sqref="L5" xr:uid="{00000000-0002-0000-0200-00000D000000}"/>
    <dataValidation allowBlank="1" showInputMessage="1" showErrorMessage="1" prompt="Enter Pay period start date in cell at right" sqref="K4" xr:uid="{00000000-0002-0000-0200-00000E000000}"/>
    <dataValidation allowBlank="1" showInputMessage="1" showErrorMessage="1" prompt="Enter Pay period end date in cell at right" sqref="K5" xr:uid="{00000000-0002-0000-0200-00000F000000}"/>
    <dataValidation allowBlank="1" showInputMessage="1" showErrorMessage="1" prompt="Enter Pay period start date in this cell" sqref="L4" xr:uid="{00000000-0002-0000-0200-000010000000}"/>
    <dataValidation allowBlank="1" showInputMessage="1" showErrorMessage="1" prompt="Enter Employee name in this cell" sqref="L3" xr:uid="{00000000-0002-0000-0200-000011000000}"/>
    <dataValidation allowBlank="1" showInputMessage="1" showErrorMessage="1" prompt="Enter Employee name in cell at right" sqref="K3" xr:uid="{00000000-0002-0000-0200-000012000000}"/>
    <dataValidation allowBlank="1" showInputMessage="1" showErrorMessage="1" prompt="Enter Street Address in this cell" sqref="C3:D3" xr:uid="{00000000-0002-0000-0200-000013000000}"/>
    <dataValidation allowBlank="1" showInputMessage="1" showErrorMessage="1" prompt="Enter Company Name in this cell. Enter company Address in cells B3 to C5, Pay period start date and end date in cells G3 and G4, and employee details in cells B6 to G7" sqref="B2" xr:uid="{00000000-0002-0000-0200-000014000000}"/>
    <dataValidation allowBlank="1" showInputMessage="1" showErrorMessage="1" prompt="Title of this worksheet is in this cell" sqref="B1:P1" xr:uid="{00000000-0002-0000-0200-000015000000}"/>
    <dataValidation allowBlank="1" showInputMessage="1" showErrorMessage="1" prompt="Create a Biweekly Time Sheet in this worksheet. Total Hours and Total Pay are automatically calculated" sqref="A1"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0</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USD</vt:lpstr>
      <vt:lpstr>Biweekly Expense Report CAD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Jerry Jeremias</cp:lastModifiedBy>
  <cp:lastPrinted>2018-03-15T16:37:49Z</cp:lastPrinted>
  <dcterms:created xsi:type="dcterms:W3CDTF">2017-09-11T06:48:50Z</dcterms:created>
  <dcterms:modified xsi:type="dcterms:W3CDTF">2026-01-31T05:12:43Z</dcterms:modified>
</cp:coreProperties>
</file>