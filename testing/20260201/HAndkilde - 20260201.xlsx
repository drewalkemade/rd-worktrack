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Z:\VM Shared Folder\Shared Folder\Documents\TIme Sheets - Archive\"/>
    </mc:Choice>
  </mc:AlternateContent>
  <bookViews>
    <workbookView xWindow="0" yWindow="0" windowWidth="28800" windowHeight="11760" tabRatio="478"/>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L23" i="1" s="1"/>
  <c r="H5" i="1"/>
  <c r="L5" i="5" l="1"/>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<sst xmlns="http://schemas.openxmlformats.org/spreadsheetml/2006/main" count="83" uniqueCount="49">
  <si>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</si>
  <si>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</si>
  <si>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</si>
  <si>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</si>
  <si>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</si>
  <si>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</si>
  <si>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</si>
  <si>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</si>
  <si>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</si>
  <si>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</si>
  <si>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</si>
  <si>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</si>
  <si>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</si>
  <si>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</si>
  <si>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</si>
  <si>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</si>
  <si>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</si>
  <si>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</si>
  <si>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</si>
  <si>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</si>
  <si>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</si>
  <si>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</si>
  <si>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</si>
  <si>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</si>
  <si>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</si>
  <si>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</si>
  <si>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</si>
  <si>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</si>
  <si>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</si>
  <si>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</si>
  <si>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</si>
  <si>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</si>
  <si>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</si>
  <si>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</si>
  <si>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</si>
  <si>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</si>
  <si>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</si>
  <si>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</si>
  <si>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</si>
  <si>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</si>
  <si>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</si>
  <si>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</si>
  <si>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</si>
  <si>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</si>
  <si>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</si>
  <si>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</si>
  <si>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</si>
  <si>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</si>
  <si>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 xml:space="preserve">Henry Andkilde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</si>
</sst>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2">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4" fontId="0" fillId="0" borderId="3" xfId="2" applyNumberFormat="1" applyFont="1" applyBorder="1" applyAlignment="1">
      <alignment horizontal="right" vertical="center" indent="1"/>
    </xf>
    <xf numFmtId="164"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4" fontId="0" fillId="0" borderId="6" xfId="2" applyNumberFormat="1" applyFont="1" applyBorder="1" applyAlignment="1">
      <alignment horizontal="right" vertical="center" indent="1"/>
    </xf>
    <xf numFmtId="164" fontId="0" fillId="0" borderId="7" xfId="2" applyNumberFormat="1" applyFont="1" applyBorder="1" applyAlignment="1">
      <alignment horizontal="right" vertical="center" indent="1"/>
    </xf>
    <xf numFmtId="164" fontId="0" fillId="0" borderId="8" xfId="2" applyNumberFormat="1" applyFont="1" applyBorder="1" applyAlignment="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pplyAlignment="1">
      <alignment horizontal="center" vertical="center"/>
    </xf>
    <xf numFmtId="164" fontId="0" fillId="6" borderId="23" xfId="2" applyNumberFormat="1" applyFont="1" applyFill="1" applyBorder="1" applyAlignment="1">
      <alignment horizontal="right" vertical="center" indent="1"/>
    </xf>
    <xf numFmtId="167" fontId="0" fillId="0" borderId="1" xfId="2" applyNumberFormat="1" applyFont="1" applyBorder="1" applyAlignment="1">
      <alignment horizontal="right" vertical="center" indent="1"/>
    </xf>
    <xf numFmtId="164"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zoomScale="70" zoomScaleNormal="70" workbookViewId="0">
      <selection activeCell="H5" sqref="H5:L5"/>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1" t="s">
        <v>14</v>
      </c>
      <c r="C1" s="51"/>
      <c r="D1" s="51"/>
      <c r="E1" s="51"/>
      <c r="F1" s="51"/>
      <c r="G1" s="51"/>
      <c r="H1" s="51"/>
      <c r="I1" s="51"/>
      <c r="J1" s="51"/>
      <c r="K1" s="51"/>
      <c r="L1" s="51"/>
    </row>
    <row r="2" spans="2:15" ht="42.75" customHeight="1" x14ac:dyDescent="0.3">
      <c r="B2" s="1"/>
      <c r="C2" s="1"/>
      <c r="D2" s="1"/>
    </row>
    <row r="3" spans="2:15" ht="30" customHeight="1" x14ac:dyDescent="0.3">
      <c r="B3" s="7"/>
      <c r="C3" s="50"/>
      <c r="D3" s="50"/>
      <c r="G3" s="4" t="s">
        <v>0</v>
      </c>
      <c r="H3" s="54" t="s">
        <v>48</v>
      </c>
      <c r="I3" s="54"/>
      <c r="J3" s="54"/>
      <c r="K3" s="54"/>
      <c r="L3" s="54"/>
    </row>
    <row r="4" spans="2:15" ht="30" customHeight="1" x14ac:dyDescent="0.3">
      <c r="G4" s="5" t="s">
        <v>6</v>
      </c>
      <c r="H4" s="55">
        <v>46041</v>
      </c>
      <c r="I4" s="55"/>
      <c r="J4" s="55"/>
      <c r="K4" s="55"/>
      <c r="L4" s="55"/>
    </row>
    <row r="5" spans="2:15" ht="30" customHeight="1" x14ac:dyDescent="0.3">
      <c r="G5" s="5" t="s">
        <v>7</v>
      </c>
      <c r="H5" s="49">
        <f>IFERROR(IF($H$4="","",$H$4+13), "")</f>
        <v>46054</v>
      </c>
      <c r="I5" s="49"/>
      <c r="J5" s="49"/>
      <c r="K5" s="49"/>
      <c r="L5" s="49"/>
    </row>
    <row r="6" spans="2:15" s="7" customFormat="1" ht="30" customHeight="1" x14ac:dyDescent="0.3">
      <c r="J6" s="50"/>
      <c r="K6" s="50"/>
      <c r="L6" s="50"/>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46041</v>
      </c>
      <c r="D9" s="14">
        <v>5</v>
      </c>
      <c r="E9" s="15"/>
      <c r="F9" s="14"/>
      <c r="G9" s="15"/>
      <c r="H9" s="14"/>
      <c r="I9" s="15"/>
      <c r="J9" s="14"/>
      <c r="K9" s="15"/>
      <c r="L9" s="46">
        <f>IFERROR(SUM(D9:K9), "")</f>
        <v>5</v>
      </c>
      <c r="O9" s="47"/>
    </row>
    <row r="10" spans="2:15" ht="30" customHeight="1" x14ac:dyDescent="0.3">
      <c r="B10" s="10" t="str">
        <f>IFERROR(TEXT('Biweekly Time Sheet'!$C10,"aaaa"), "")</f>
        <v>Tuesday</v>
      </c>
      <c r="C10" s="13">
        <f>IF($H$4="","",$H$4+1)</f>
        <v>46042</v>
      </c>
      <c r="D10" s="14">
        <v>7</v>
      </c>
      <c r="E10" s="15"/>
      <c r="F10" s="14"/>
      <c r="G10" s="15"/>
      <c r="H10" s="14"/>
      <c r="I10" s="15"/>
      <c r="J10" s="14"/>
      <c r="K10" s="15"/>
      <c r="L10" s="46">
        <f t="shared" ref="L10:L22" si="0">IFERROR(SUM(D10:K10), "")</f>
        <v>7</v>
      </c>
      <c r="O10" s="47"/>
    </row>
    <row r="11" spans="2:15" ht="30" customHeight="1" x14ac:dyDescent="0.3">
      <c r="B11" s="10" t="str">
        <f>IFERROR(TEXT('Biweekly Time Sheet'!$C11,"aaaa"), "")</f>
        <v>Wednesday</v>
      </c>
      <c r="C11" s="13">
        <f>IF($H$4="","",$H$4+2)</f>
        <v>46043</v>
      </c>
      <c r="D11" s="14">
        <v>6</v>
      </c>
      <c r="E11" s="15"/>
      <c r="F11" s="14"/>
      <c r="G11" s="15"/>
      <c r="H11" s="14"/>
      <c r="I11" s="15"/>
      <c r="J11" s="14"/>
      <c r="K11" s="15"/>
      <c r="L11" s="46">
        <f t="shared" si="0"/>
        <v>6</v>
      </c>
      <c r="O11" s="47"/>
    </row>
    <row r="12" spans="2:15" ht="30" customHeight="1" x14ac:dyDescent="0.3">
      <c r="B12" s="10" t="str">
        <f>IFERROR(TEXT('Biweekly Time Sheet'!$C12,"aaaa"), "")</f>
        <v>Thursday</v>
      </c>
      <c r="C12" s="13">
        <f>IF($H$4="","",$H$4+3)</f>
        <v>46044</v>
      </c>
      <c r="D12" s="14">
        <v>6</v>
      </c>
      <c r="E12" s="15"/>
      <c r="F12" s="14"/>
      <c r="G12" s="15"/>
      <c r="H12" s="14"/>
      <c r="I12" s="15"/>
      <c r="J12" s="14"/>
      <c r="K12" s="15"/>
      <c r="L12" s="46">
        <f t="shared" si="0"/>
        <v>6</v>
      </c>
      <c r="O12" s="47"/>
    </row>
    <row r="13" spans="2:15" ht="30" customHeight="1" x14ac:dyDescent="0.3">
      <c r="B13" s="10" t="str">
        <f>IFERROR(TEXT('Biweekly Time Sheet'!$C13,"aaaa"), "")</f>
        <v>Friday</v>
      </c>
      <c r="C13" s="13">
        <f>IF($H$4="","",$H$4+4)</f>
        <v>46045</v>
      </c>
      <c r="D13" s="14">
        <v>7</v>
      </c>
      <c r="E13" s="15"/>
      <c r="F13" s="14"/>
      <c r="G13" s="15"/>
      <c r="H13" s="14"/>
      <c r="I13" s="15"/>
      <c r="J13" s="14"/>
      <c r="K13" s="15"/>
      <c r="L13" s="46">
        <f t="shared" si="0"/>
        <v>7</v>
      </c>
      <c r="O13" s="47"/>
    </row>
    <row r="14" spans="2:15" ht="30" customHeight="1" x14ac:dyDescent="0.3">
      <c r="B14" s="10" t="str">
        <f>IFERROR(TEXT('Biweekly Time Sheet'!$C14,"aaaa"), "")</f>
        <v>Saturday</v>
      </c>
      <c r="C14" s="13">
        <f>IF($H$4="","",$H$4+5)</f>
        <v>46046</v>
      </c>
      <c r="D14" s="14">
        <v>6</v>
      </c>
      <c r="E14" s="15"/>
      <c r="F14" s="14"/>
      <c r="G14" s="15"/>
      <c r="H14" s="14"/>
      <c r="I14" s="15"/>
      <c r="J14" s="14"/>
      <c r="K14" s="15"/>
      <c r="L14" s="46">
        <f t="shared" si="0"/>
        <v>6</v>
      </c>
      <c r="O14" s="47"/>
    </row>
    <row r="15" spans="2:15" ht="30" customHeight="1" x14ac:dyDescent="0.3">
      <c r="B15" s="10" t="str">
        <f>IFERROR(TEXT('Biweekly Time Sheet'!$C15,"aaaa"), "")</f>
        <v>Sunday</v>
      </c>
      <c r="C15" s="13">
        <f>IF($H$4="","",$H$4+6)</f>
        <v>46047</v>
      </c>
      <c r="D15" s="14">
        <v>3</v>
      </c>
      <c r="E15" s="15"/>
      <c r="F15" s="14"/>
      <c r="G15" s="15"/>
      <c r="H15" s="14"/>
      <c r="I15" s="15"/>
      <c r="J15" s="14"/>
      <c r="K15" s="15"/>
      <c r="L15" s="46">
        <f t="shared" si="0"/>
        <v>3</v>
      </c>
      <c r="O15" s="47"/>
    </row>
    <row r="16" spans="2:15" ht="30" customHeight="1" x14ac:dyDescent="0.3">
      <c r="B16" s="10" t="str">
        <f>IFERROR(TEXT('Biweekly Time Sheet'!$C16,"aaaa"), "")</f>
        <v>Monday</v>
      </c>
      <c r="C16" s="13">
        <f>IF($H$4="","",$H$4+7)</f>
        <v>46048</v>
      </c>
      <c r="D16" s="14">
        <v>7</v>
      </c>
      <c r="E16" s="15"/>
      <c r="F16" s="14"/>
      <c r="G16" s="15"/>
      <c r="H16" s="14"/>
      <c r="I16" s="15"/>
      <c r="J16" s="14"/>
      <c r="K16" s="15"/>
      <c r="L16" s="46">
        <f t="shared" si="0"/>
        <v>7</v>
      </c>
      <c r="O16" s="47"/>
    </row>
    <row r="17" spans="2:15" ht="30" customHeight="1" x14ac:dyDescent="0.3">
      <c r="B17" s="10" t="str">
        <f>IFERROR(TEXT('Biweekly Time Sheet'!$C17,"aaaa"), "")</f>
        <v>Tuesday</v>
      </c>
      <c r="C17" s="13">
        <f>IF($H$4="","",$H$4+8)</f>
        <v>46049</v>
      </c>
      <c r="D17" s="14">
        <v>7</v>
      </c>
      <c r="E17" s="15"/>
      <c r="F17" s="14"/>
      <c r="G17" s="15"/>
      <c r="H17" s="14"/>
      <c r="I17" s="15"/>
      <c r="J17" s="14"/>
      <c r="K17" s="15"/>
      <c r="L17" s="46">
        <f t="shared" si="0"/>
        <v>7</v>
      </c>
      <c r="O17" s="47"/>
    </row>
    <row r="18" spans="2:15" ht="30" customHeight="1" x14ac:dyDescent="0.3">
      <c r="B18" s="10" t="str">
        <f>IFERROR(TEXT('Biweekly Time Sheet'!$C18,"aaaa"), "")</f>
        <v>Wednesday</v>
      </c>
      <c r="C18" s="13">
        <f>IF($H$4="","",$H$4+9)</f>
        <v>46050</v>
      </c>
      <c r="D18" s="14">
        <v>7</v>
      </c>
      <c r="E18" s="15"/>
      <c r="F18" s="14"/>
      <c r="G18" s="15"/>
      <c r="H18" s="14"/>
      <c r="I18" s="15"/>
      <c r="J18" s="14"/>
      <c r="K18" s="15"/>
      <c r="L18" s="46">
        <f t="shared" si="0"/>
        <v>7</v>
      </c>
      <c r="O18" s="47"/>
    </row>
    <row r="19" spans="2:15" ht="30" customHeight="1" x14ac:dyDescent="0.3">
      <c r="B19" s="10" t="str">
        <f>IFERROR(TEXT('Biweekly Time Sheet'!$C19,"aaaa"), "")</f>
        <v>Thursday</v>
      </c>
      <c r="C19" s="13">
        <f>IF($H$4="","",$H$4+10)</f>
        <v>46051</v>
      </c>
      <c r="D19" s="14">
        <v>7</v>
      </c>
      <c r="E19" s="15"/>
      <c r="F19" s="14"/>
      <c r="G19" s="15"/>
      <c r="H19" s="14"/>
      <c r="I19" s="15"/>
      <c r="J19" s="14"/>
      <c r="K19" s="15"/>
      <c r="L19" s="46">
        <f t="shared" si="0"/>
        <v>7</v>
      </c>
      <c r="O19" s="47"/>
    </row>
    <row r="20" spans="2:15" ht="30" customHeight="1" x14ac:dyDescent="0.3">
      <c r="B20" s="10" t="str">
        <f>IFERROR(TEXT('Biweekly Time Sheet'!$C20,"aaaa"), "")</f>
        <v>Friday</v>
      </c>
      <c r="C20" s="13">
        <f>IF($H$4="","",$H$4+11)</f>
        <v>46052</v>
      </c>
      <c r="D20" s="14">
        <v>7</v>
      </c>
      <c r="E20" s="15"/>
      <c r="F20" s="14"/>
      <c r="G20" s="15"/>
      <c r="H20" s="14"/>
      <c r="I20" s="15"/>
      <c r="J20" s="14"/>
      <c r="K20" s="15"/>
      <c r="L20" s="46">
        <f t="shared" si="0"/>
        <v>7</v>
      </c>
      <c r="O20" s="47"/>
    </row>
    <row r="21" spans="2:15" ht="30" customHeight="1" x14ac:dyDescent="0.3">
      <c r="B21" s="10" t="str">
        <f>IFERROR(TEXT('Biweekly Time Sheet'!$C21,"aaaa"), "")</f>
        <v>Saturday</v>
      </c>
      <c r="C21" s="13">
        <f>IF($H$4="","",$H$4+12)</f>
        <v>46053</v>
      </c>
      <c r="D21" s="14">
        <v>6</v>
      </c>
      <c r="E21" s="15"/>
      <c r="F21" s="14"/>
      <c r="G21" s="15"/>
      <c r="H21" s="14"/>
      <c r="I21" s="15"/>
      <c r="J21" s="14"/>
      <c r="K21" s="15"/>
      <c r="L21" s="46">
        <f t="shared" si="0"/>
        <v>6</v>
      </c>
      <c r="O21" s="47"/>
    </row>
    <row r="22" spans="2:15" ht="30" customHeight="1" x14ac:dyDescent="0.3">
      <c r="B22" s="16" t="str">
        <f>IFERROR(TEXT('Biweekly Time Sheet'!$C22,"aaaa"), "")</f>
        <v>Sunday</v>
      </c>
      <c r="C22" s="17">
        <f>IF($H$4="","",$H$4+13)</f>
        <v>46054</v>
      </c>
      <c r="D22" s="18"/>
      <c r="E22" s="19"/>
      <c r="F22" s="18"/>
      <c r="G22" s="19"/>
      <c r="H22" s="18"/>
      <c r="I22" s="19"/>
      <c r="J22" s="18"/>
      <c r="K22" s="19"/>
      <c r="L22" s="46">
        <f t="shared" si="0"/>
        <v>0</v>
      </c>
      <c r="O22" s="47"/>
    </row>
    <row r="23" spans="2:15" ht="30" customHeight="1" x14ac:dyDescent="0.3">
      <c r="C23" s="2" t="s">
        <v>5</v>
      </c>
      <c r="D23" s="3">
        <f t="shared" ref="D23:K23" si="1">IFERROR(SUM(D9:D22), "")</f>
        <v>81</v>
      </c>
      <c r="E23" s="3">
        <f t="shared" si="1"/>
        <v>0</v>
      </c>
      <c r="F23" s="3">
        <f t="shared" si="1"/>
        <v>0</v>
      </c>
      <c r="G23" s="3">
        <f t="shared" si="1"/>
        <v>0</v>
      </c>
      <c r="H23" s="3">
        <f t="shared" si="1"/>
        <v>0</v>
      </c>
      <c r="I23" s="3">
        <f t="shared" si="1"/>
        <v>0</v>
      </c>
      <c r="J23" s="3">
        <f t="shared" si="1"/>
        <v>0</v>
      </c>
      <c r="K23" s="3">
        <f t="shared" si="1"/>
        <v>0</v>
      </c>
      <c r="L23" s="3">
        <f>IFERROR(SUM(D23:K23), "")</f>
        <v>81</v>
      </c>
    </row>
    <row r="24" spans="2:15" ht="30" customHeight="1" x14ac:dyDescent="0.3">
      <c r="D24" s="50"/>
      <c r="E24" s="50"/>
      <c r="F24" s="50"/>
      <c r="G24" s="50"/>
      <c r="H24" s="50"/>
      <c r="I24" s="50"/>
      <c r="J24" s="50"/>
      <c r="L24" s="7"/>
    </row>
    <row r="25" spans="2:15" ht="30" customHeight="1" x14ac:dyDescent="0.3">
      <c r="D25" s="50"/>
      <c r="E25" s="50"/>
      <c r="F25" s="50"/>
      <c r="G25" s="50"/>
      <c r="H25" s="50"/>
      <c r="I25" s="50"/>
      <c r="J25" s="50"/>
    </row>
    <row r="26" spans="2:15" ht="30" customHeight="1" x14ac:dyDescent="0.3">
      <c r="D26" s="52" t="s">
        <v>48</v>
      </c>
      <c r="E26" s="53"/>
      <c r="F26" s="53"/>
      <c r="G26" s="53"/>
      <c r="H26" s="53"/>
      <c r="I26" s="53"/>
      <c r="J26" s="53"/>
      <c r="K26" s="9"/>
      <c r="L26" s="6">
        <v>46054</v>
      </c>
    </row>
    <row r="27" spans="2:15" ht="30" customHeight="1" x14ac:dyDescent="0.3">
      <c r="D27" s="50" t="s">
        <v>8</v>
      </c>
      <c r="E27" s="50"/>
      <c r="F27" s="50"/>
      <c r="G27" s="50"/>
      <c r="H27" s="50"/>
      <c r="I27" s="50"/>
      <c r="J27" s="50"/>
      <c r="L27" t="s">
        <v>9</v>
      </c>
    </row>
    <row r="28" spans="2:15" ht="30" customHeight="1" x14ac:dyDescent="0.3">
      <c r="L28" s="38"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41</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46041</v>
      </c>
      <c r="M4" s="49"/>
      <c r="N4" s="49"/>
      <c r="O4" s="49"/>
      <c r="P4" s="49"/>
    </row>
    <row r="5" spans="2:16" ht="30" customHeight="1" x14ac:dyDescent="0.3">
      <c r="K5" s="5" t="s">
        <v>7</v>
      </c>
      <c r="L5" s="49">
        <f>'Biweekly Time Sheet'!H5</f>
        <v>46054</v>
      </c>
      <c r="M5" s="49"/>
      <c r="N5" s="49"/>
      <c r="O5" s="49"/>
      <c r="P5" s="49"/>
    </row>
    <row r="6" spans="2:16" ht="30" customHeight="1" x14ac:dyDescent="0.3">
      <c r="N6" s="50"/>
      <c r="O6" s="50"/>
      <c r="P6" s="50"/>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0" t="s">
        <v>25</v>
      </c>
      <c r="O9" s="61"/>
      <c r="P9" s="42" t="s">
        <v>4</v>
      </c>
    </row>
    <row r="10" spans="2:16" ht="30" customHeight="1" x14ac:dyDescent="0.3">
      <c r="B10" s="10" t="str">
        <f>IFERROR(TEXT('Biweekly Expense Report CAD'!$C10,"aaaa"), "")</f>
        <v>Monday</v>
      </c>
      <c r="C10" s="13">
        <f>L4</f>
        <v>46041</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46042</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46043</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46044</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46045</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46046</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46047</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46048</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CAD'!$C18,"aaaa"), "")</f>
        <v>Tuesday</v>
      </c>
      <c r="C18" s="13">
        <f>IF($L$4="","",$L$4+8)</f>
        <v>46049</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CAD'!$C19,"aaaa"), "")</f>
        <v>Wednesday</v>
      </c>
      <c r="C19" s="13">
        <f>IF($L$4="","",$L$4+9)</f>
        <v>46050</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CAD'!$C20,"aaaa"), "")</f>
        <v>Thursday</v>
      </c>
      <c r="C20" s="13">
        <f>IF($L$4="","",$L$4+10)</f>
        <v>46051</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CAD'!$C21,"aaaa"), "")</f>
        <v>Friday</v>
      </c>
      <c r="C21" s="13">
        <f>IF($L$4="","",$L$4+11)</f>
        <v>46052</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CAD'!$C22,"aaaa"), "")</f>
        <v>Saturday</v>
      </c>
      <c r="C22" s="13">
        <f>IF($L$4="","",$L$4+12)</f>
        <v>46053</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46054</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9" t="str">
        <f>'Biweekly Time Sheet'!D26:J26</f>
        <v xml:space="preserve">Henry Andkilde </v>
      </c>
      <c r="E27" s="59"/>
      <c r="F27" s="59"/>
      <c r="G27" s="59"/>
      <c r="H27" s="59"/>
      <c r="I27" s="59"/>
      <c r="J27" s="59"/>
      <c r="K27" s="59"/>
      <c r="L27" s="59"/>
      <c r="M27" s="59"/>
      <c r="N27" s="59"/>
      <c r="O27" s="59"/>
      <c r="P27" s="20">
        <f>'Biweekly Time Sheet'!L26</f>
        <v>46054</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40</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46041</v>
      </c>
      <c r="M4" s="49"/>
      <c r="N4" s="49"/>
      <c r="O4" s="49"/>
      <c r="P4" s="49"/>
    </row>
    <row r="5" spans="2:16" ht="30" customHeight="1" x14ac:dyDescent="0.3">
      <c r="K5" s="5" t="s">
        <v>7</v>
      </c>
      <c r="L5" s="49">
        <f>'Biweekly Time Sheet'!H5</f>
        <v>46054</v>
      </c>
      <c r="M5" s="49"/>
      <c r="N5" s="49"/>
      <c r="O5" s="49"/>
      <c r="P5" s="49"/>
    </row>
    <row r="6" spans="2:16" ht="30" customHeight="1" x14ac:dyDescent="0.3">
      <c r="N6" s="50"/>
      <c r="O6" s="50"/>
      <c r="P6" s="50"/>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0" t="s">
        <v>25</v>
      </c>
      <c r="O9" s="61"/>
      <c r="P9" s="42" t="s">
        <v>4</v>
      </c>
    </row>
    <row r="10" spans="2:16" ht="30" customHeight="1" x14ac:dyDescent="0.3">
      <c r="B10" s="10" t="str">
        <f>IFERROR(TEXT('Biweekly Expense Report USD'!$C10,"aaaa"), "")</f>
        <v>Monday</v>
      </c>
      <c r="C10" s="13">
        <f>L4</f>
        <v>46041</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46042</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46043</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46044</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46045</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46046</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USD'!$C16,"aaaa"), "")</f>
        <v>Sunday</v>
      </c>
      <c r="C16" s="13">
        <f>IF($L$4="","",$L$4+6)</f>
        <v>46047</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46048</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46049</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USD'!$C19,"aaaa"), "")</f>
        <v>Wednesday</v>
      </c>
      <c r="C19" s="13">
        <f>IF($L$4="","",$L$4+9)</f>
        <v>46050</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46051</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46052</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46053</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46054</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9" t="str">
        <f>'Biweekly Time Sheet'!D26:J26</f>
        <v xml:space="preserve">Henry Andkilde </v>
      </c>
      <c r="E27" s="59"/>
      <c r="F27" s="59"/>
      <c r="G27" s="59"/>
      <c r="H27" s="59"/>
      <c r="I27" s="59"/>
      <c r="J27" s="59"/>
      <c r="K27" s="59"/>
      <c r="L27" s="59"/>
      <c r="M27" s="59"/>
      <c r="N27" s="59"/>
      <c r="O27" s="59"/>
      <c r="P27" s="20">
        <f>'Biweekly Time Sheet'!L26</f>
        <v>46054</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81</v>
      </c>
      <c r="D2" s="35"/>
    </row>
    <row r="3" spans="1:4" x14ac:dyDescent="0.3">
      <c r="A3" s="35" t="s">
        <v>30</v>
      </c>
      <c r="B3" s="35"/>
      <c r="C3" s="36">
        <f>'Biweekly Time Sheet'!E$23</f>
        <v>0</v>
      </c>
      <c r="D3" s="35"/>
    </row>
    <row r="4" spans="1:4" x14ac:dyDescent="0.3">
      <c r="A4" s="35" t="s">
        <v>31</v>
      </c>
      <c r="B4" s="35"/>
      <c r="C4" s="36">
        <f>'Biweekly Time Sheet'!F$23</f>
        <v>0</v>
      </c>
      <c r="D4" s="35"/>
    </row>
    <row r="5" spans="1:4" x14ac:dyDescent="0.3">
      <c r="A5" s="35" t="s">
        <v>32</v>
      </c>
      <c r="B5" s="35"/>
      <c r="C5" s="36">
        <f>'Biweekly Time Sheet'!G$23</f>
        <v>0</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0</v>
      </c>
      <c r="D10" s="35" t="s">
        <v>37</v>
      </c>
    </row>
    <row r="11" spans="1:4" x14ac:dyDescent="0.3">
      <c r="A11" s="35" t="s">
        <v>36</v>
      </c>
      <c r="B11" s="35"/>
      <c r="C11" s="37">
        <f>'Biweekly Expense Report USD'!P24</f>
        <v>0</v>
      </c>
      <c r="D11" s="35"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R&amp;D Controls Corp</cp:lastModifiedBy>
  <cp:lastPrinted>2018-03-15T16:37:49Z</cp:lastPrinted>
  <dcterms:created xsi:type="dcterms:W3CDTF">2017-09-11T06:48:50Z</dcterms:created>
  <dcterms:modified xsi:type="dcterms:W3CDTF">2026-02-02T13:23:11Z</dcterms:modified>
</cp:coreProperties>
</file>