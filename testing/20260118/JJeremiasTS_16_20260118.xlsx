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441EF3CC-CE13-48AF-9BF1-41083C5150DF}"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<sst xmlns="http://schemas.openxmlformats.org/spreadsheetml/2006/main" count="83" uniqueCount="49">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</sst>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F14" sqref="F14"/>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46027</v>
      </c>
      <c r="I4" s="52"/>
      <c r="J4" s="52"/>
      <c r="K4" s="52"/>
      <c r="L4" s="52"/>
    </row>
    <row r="5" spans="2:15" ht="30" customHeight="1" x14ac:dyDescent="0.3">
      <c r="G5" s="5" t="s">
        <v>7</v>
      </c>
      <c r="H5" s="46">
        <f>IFERROR(IF($H$4="","",$H$4+13), "")</f>
        <v>46040</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46027</v>
      </c>
      <c r="D9" s="12">
        <v>12</v>
      </c>
      <c r="E9" s="13"/>
      <c r="F9" s="12"/>
      <c r="G9" s="13"/>
      <c r="H9" s="12"/>
      <c r="I9" s="13"/>
      <c r="J9" s="12"/>
      <c r="K9" s="13"/>
      <c r="L9" s="43">
        <f>IFERROR(SUM(D9:K9), "")</f>
        <v>12</v>
      </c>
      <c r="O9" s="44"/>
    </row>
    <row r="10" spans="2:15" ht="30" customHeight="1" x14ac:dyDescent="0.3">
      <c r="B10" s="8" t="str">
        <f>IFERROR(TEXT('Biweekly Time Sheet'!$C10,"aaaa"), "")</f>
        <v>Tuesday</v>
      </c>
      <c r="C10" s="11">
        <f>IF($H$4="","",$H$4+1)</f>
        <v>46028</v>
      </c>
      <c r="D10" s="12">
        <v>13</v>
      </c>
      <c r="E10" s="13"/>
      <c r="F10" s="12"/>
      <c r="G10" s="13"/>
      <c r="H10" s="12"/>
      <c r="I10" s="13"/>
      <c r="J10" s="12"/>
      <c r="K10" s="13"/>
      <c r="L10" s="43">
        <f t="shared" ref="L10:L22" si="0">IFERROR(SUM(D10:K10), "")</f>
        <v>13</v>
      </c>
      <c r="O10" s="44"/>
    </row>
    <row r="11" spans="2:15" ht="30" customHeight="1" x14ac:dyDescent="0.3">
      <c r="B11" s="8" t="str">
        <f>IFERROR(TEXT('Biweekly Time Sheet'!$C11,"aaaa"), "")</f>
        <v>Wednesday</v>
      </c>
      <c r="C11" s="11">
        <f>IF($H$4="","",$H$4+2)</f>
        <v>46029</v>
      </c>
      <c r="D11" s="12">
        <v>12</v>
      </c>
      <c r="E11" s="13"/>
      <c r="F11" s="12"/>
      <c r="G11" s="13"/>
      <c r="H11" s="12"/>
      <c r="I11" s="13"/>
      <c r="J11" s="12"/>
      <c r="K11" s="13"/>
      <c r="L11" s="43">
        <f t="shared" si="0"/>
        <v>12</v>
      </c>
      <c r="O11" s="44"/>
    </row>
    <row r="12" spans="2:15" ht="30" customHeight="1" x14ac:dyDescent="0.3">
      <c r="B12" s="8" t="str">
        <f>IFERROR(TEXT('Biweekly Time Sheet'!$C12,"aaaa"), "")</f>
        <v>Thursday</v>
      </c>
      <c r="C12" s="11">
        <f>IF($H$4="","",$H$4+3)</f>
        <v>46030</v>
      </c>
      <c r="D12" s="12">
        <v>3</v>
      </c>
      <c r="E12" s="13">
        <v>5.5</v>
      </c>
      <c r="F12" s="12"/>
      <c r="G12" s="13"/>
      <c r="H12" s="12"/>
      <c r="I12" s="13"/>
      <c r="J12" s="12"/>
      <c r="K12" s="13"/>
      <c r="L12" s="43">
        <f t="shared" si="0"/>
        <v>8.5</v>
      </c>
      <c r="O12" s="44"/>
    </row>
    <row r="13" spans="2:15" ht="30" customHeight="1" x14ac:dyDescent="0.3">
      <c r="B13" s="8" t="str">
        <f>IFERROR(TEXT('Biweekly Time Sheet'!$C13,"aaaa"), "")</f>
        <v>Friday</v>
      </c>
      <c r="C13" s="11">
        <f>IF($H$4="","",$H$4+4)</f>
        <v>46031</v>
      </c>
      <c r="D13" s="12"/>
      <c r="E13" s="13">
        <v>8</v>
      </c>
      <c r="F13" s="12"/>
      <c r="G13" s="13"/>
      <c r="H13" s="12"/>
      <c r="I13" s="13"/>
      <c r="J13" s="12"/>
      <c r="K13" s="13"/>
      <c r="L13" s="43">
        <f t="shared" si="0"/>
        <v>8</v>
      </c>
      <c r="O13" s="44"/>
    </row>
    <row r="14" spans="2:15" ht="30" customHeight="1" x14ac:dyDescent="0.3">
      <c r="B14" s="8" t="str">
        <f>IFERROR(TEXT('Biweekly Time Sheet'!$C14,"aaaa"), "")</f>
        <v>Saturday</v>
      </c>
      <c r="C14" s="11">
        <f>IF($H$4="","",$H$4+5)</f>
        <v>46032</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46033</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46034</v>
      </c>
      <c r="D16" s="12">
        <v>8.5</v>
      </c>
      <c r="E16" s="13"/>
      <c r="F16" s="12"/>
      <c r="G16" s="13"/>
      <c r="H16" s="12"/>
      <c r="I16" s="13"/>
      <c r="J16" s="12"/>
      <c r="K16" s="13"/>
      <c r="L16" s="43">
        <f t="shared" si="0"/>
        <v>8.5</v>
      </c>
      <c r="O16" s="44"/>
    </row>
    <row r="17" spans="2:15" ht="30" customHeight="1" x14ac:dyDescent="0.3">
      <c r="B17" s="8" t="str">
        <f>IFERROR(TEXT('Biweekly Time Sheet'!$C17,"aaaa"), "")</f>
        <v>Tuesday</v>
      </c>
      <c r="C17" s="11">
        <f>IF($H$4="","",$H$4+8)</f>
        <v>46035</v>
      </c>
      <c r="D17" s="12">
        <v>8.5</v>
      </c>
      <c r="E17" s="13"/>
      <c r="F17" s="12"/>
      <c r="G17" s="13"/>
      <c r="H17" s="12"/>
      <c r="I17" s="13"/>
      <c r="J17" s="12"/>
      <c r="K17" s="13"/>
      <c r="L17" s="43">
        <f t="shared" si="0"/>
        <v>8.5</v>
      </c>
      <c r="O17" s="44"/>
    </row>
    <row r="18" spans="2:15" ht="30" customHeight="1" x14ac:dyDescent="0.3">
      <c r="B18" s="8" t="str">
        <f>IFERROR(TEXT('Biweekly Time Sheet'!$C18,"aaaa"), "")</f>
        <v>Wednesday</v>
      </c>
      <c r="C18" s="11">
        <f>IF($H$4="","",$H$4+9)</f>
        <v>46036</v>
      </c>
      <c r="D18" s="12">
        <v>8.25</v>
      </c>
      <c r="E18" s="13"/>
      <c r="F18" s="12"/>
      <c r="G18" s="13"/>
      <c r="H18" s="12"/>
      <c r="I18" s="13"/>
      <c r="J18" s="12"/>
      <c r="K18" s="13"/>
      <c r="L18" s="43">
        <f t="shared" si="0"/>
        <v>8.25</v>
      </c>
      <c r="O18" s="44"/>
    </row>
    <row r="19" spans="2:15" ht="30" customHeight="1" x14ac:dyDescent="0.3">
      <c r="B19" s="8" t="str">
        <f>IFERROR(TEXT('Biweekly Time Sheet'!$C19,"aaaa"), "")</f>
        <v>Thursday</v>
      </c>
      <c r="C19" s="11">
        <f>IF($H$4="","",$H$4+10)</f>
        <v>46037</v>
      </c>
      <c r="D19" s="12">
        <v>8.75</v>
      </c>
      <c r="E19" s="13"/>
      <c r="F19" s="12"/>
      <c r="G19" s="13"/>
      <c r="H19" s="12"/>
      <c r="I19" s="13"/>
      <c r="J19" s="12"/>
      <c r="K19" s="13"/>
      <c r="L19" s="43">
        <f t="shared" si="0"/>
        <v>8.75</v>
      </c>
      <c r="O19" s="44"/>
    </row>
    <row r="20" spans="2:15" ht="30" customHeight="1" x14ac:dyDescent="0.3">
      <c r="B20" s="8" t="str">
        <f>IFERROR(TEXT('Biweekly Time Sheet'!$C20,"aaaa"), "")</f>
        <v>Friday</v>
      </c>
      <c r="C20" s="11">
        <f>IF($H$4="","",$H$4+11)</f>
        <v>46038</v>
      </c>
      <c r="D20" s="12">
        <v>6</v>
      </c>
      <c r="E20" s="13">
        <v>2.5</v>
      </c>
      <c r="F20" s="12"/>
      <c r="G20" s="13"/>
      <c r="H20" s="12"/>
      <c r="I20" s="13"/>
      <c r="J20" s="12"/>
      <c r="K20" s="13"/>
      <c r="L20" s="43">
        <f t="shared" si="0"/>
        <v>8.5</v>
      </c>
      <c r="O20" s="44"/>
    </row>
    <row r="21" spans="2:15" ht="30" customHeight="1" x14ac:dyDescent="0.3">
      <c r="B21" s="8" t="str">
        <f>IFERROR(TEXT('Biweekly Time Sheet'!$C21,"aaaa"), "")</f>
        <v>Saturday</v>
      </c>
      <c r="C21" s="11">
        <f>IF($H$4="","",$H$4+12)</f>
        <v>46039</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46040</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16</v>
      </c>
      <c r="F23" s="3">
        <f t="shared" si="1"/>
        <v>0</v>
      </c>
      <c r="G23" s="3">
        <f t="shared" si="1"/>
        <v>0</v>
      </c>
      <c r="H23" s="3">
        <f t="shared" si="1"/>
        <v>0</v>
      </c>
      <c r="I23" s="3">
        <f t="shared" si="1"/>
        <v>0</v>
      </c>
      <c r="J23" s="3">
        <f t="shared" si="1"/>
        <v>0</v>
      </c>
      <c r="K23" s="3">
        <f t="shared" si="1"/>
        <v>0</v>
      </c>
      <c r="L23" s="3">
        <f>IFERROR(SUM(D23:K23), "")</f>
        <v>96</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46027</v>
      </c>
      <c r="M4" s="46"/>
      <c r="N4" s="46"/>
      <c r="O4" s="46"/>
      <c r="P4" s="46"/>
    </row>
    <row r="5" spans="2:16" ht="30" customHeight="1" x14ac:dyDescent="0.3">
      <c r="K5" s="5" t="s">
        <v>7</v>
      </c>
      <c r="L5" s="46">
        <f>'Biweekly Time Sheet'!H5</f>
        <v>46040</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46028</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46031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46032</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46033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46034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46027</v>
      </c>
      <c r="M4" s="46"/>
      <c r="N4" s="46"/>
      <c r="O4" s="46"/>
      <c r="P4" s="46"/>
    </row>
    <row r="5" spans="2:16" ht="30" customHeight="1" x14ac:dyDescent="0.3">
      <c r="K5" s="5" t="s">
        <v>7</v>
      </c>
      <c r="L5" s="46">
        <f>'Biweekly Time Sheet'!H5</f>
        <v>46040</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46031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46032</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46033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46034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16</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2026-01-19T22:06:13Z</dcterms:modified>
</cp:coreProperties>
</file>