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C:\Users\dtrif\Dropbox\_17 TRIF, D\Timesheets\2026\"/>
    </mc:Choice>
  </mc:AlternateContent>
  <bookViews>
    <workbookView xWindow="23580" yWindow="2160" windowWidth="21600" windowHeight="11385" tabRatio="529"/>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D27" i="5" l="1"/>
  <c r="D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C21" i="1"/>
  <c r="B21" i="1" s="1"/>
  <c r="C20" i="1"/>
  <c r="B20" i="1" s="1"/>
  <c r="C19" i="1"/>
  <c r="B19" i="1" s="1"/>
  <c r="C18" i="1"/>
  <c r="B18" i="1" s="1"/>
  <c r="C17" i="1"/>
  <c r="B17" i="1" s="1"/>
  <c r="C16" i="1"/>
  <c r="B16" i="1" s="1"/>
  <c r="C15" i="1"/>
  <c r="B15" i="1" s="1"/>
  <c r="C14" i="1"/>
  <c r="B14" i="1" s="1"/>
  <c r="C13" i="1"/>
  <c r="B13" i="1" s="1"/>
  <c r="B12" i="1"/>
  <c r="C10" i="1"/>
  <c r="B10" i="1" s="1"/>
  <c r="C9" i="1"/>
  <c r="B9" i="1" s="1"/>
  <c r="B22" i="1" l="1"/>
  <c r="L26" i="1"/>
  <c r="P27" i="3" l="1"/>
  <c r="P27" i="5"/>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<sst xmlns="http://schemas.openxmlformats.org/spreadsheetml/2006/main" count="83" uniqueCount="49">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</sst>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0" fillId="0" borderId="0" xfId="0">
      <alignment horizontal="left" vertical="center" indent="1"/>
    </xf>
    <xf numFmtId="0" fontId="0" fillId="0" borderId="0" xfId="0">
      <alignment horizontal="left" vertical="center" indent="1"/>
    </xf>
    <xf numFmtId="0" fontId="4" fillId="0" borderId="2" xfId="18" applyAlignment="1">
      <alignment horizontal="left"/>
    </xf>
    <xf numFmtId="0" fontId="6" fillId="4" borderId="3" xfId="0" applyFont="1" applyFill="1" applyBorder="1" applyAlignment="1">
      <alignment horizontal="left" vertical="center" indent="1"/>
    </xf>
    <xf numFmtId="0" fontId="6" fillId="4" borderId="3" xfId="20" applyFont="1" applyFill="1" applyBorder="1" applyAlignment="1">
      <alignment horizontal="center" vertical="center"/>
    </xf>
    <xf numFmtId="0" fontId="6" fillId="4" borderId="4" xfId="20" applyFont="1" applyFill="1" applyBorder="1" applyAlignment="1">
      <alignment horizontal="center" vertical="center"/>
    </xf>
    <xf numFmtId="14" fontId="0" fillId="2" borderId="3" xfId="19" applyNumberFormat="1" applyFont="1" applyFill="1" applyBorder="1" applyAlignment="1">
      <alignment horizontal="left" vertical="center" indent="1"/>
    </xf>
    <xf numFmtId="2" fontId="0" fillId="0" borderId="3" xfId="2" applyNumberFormat="1" applyFont="1" applyBorder="1" applyAlignment="1">
      <alignment horizontal="right" vertical="center" indent="1"/>
    </xf>
    <xf numFmtId="2" fontId="0" fillId="6" borderId="3" xfId="2" applyNumberFormat="1" applyFont="1" applyFill="1" applyBorder="1" applyAlignment="1">
      <alignment horizontal="right" vertical="center" indent="1"/>
    </xf>
    <xf numFmtId="0" fontId="6" fillId="4" borderId="5" xfId="0" applyFont="1" applyFill="1" applyBorder="1" applyAlignment="1">
      <alignment horizontal="left" vertical="center" indent="1"/>
    </xf>
    <xf numFmtId="14" fontId="0" fillId="2" borderId="5" xfId="19" applyNumberFormat="1" applyFont="1" applyFill="1" applyBorder="1" applyAlignment="1">
      <alignment horizontal="left" vertical="center" indent="1"/>
    </xf>
    <xf numFmtId="2" fontId="0" fillId="0" borderId="5" xfId="2" applyNumberFormat="1" applyFont="1" applyBorder="1" applyAlignment="1">
      <alignment horizontal="right" vertical="center" indent="1"/>
    </xf>
    <xf numFmtId="2" fontId="0" fillId="6" borderId="5" xfId="2" applyNumberFormat="1" applyFont="1" applyFill="1" applyBorder="1" applyAlignment="1">
      <alignment horizontal="right" vertical="center" indent="1"/>
    </xf>
    <xf numFmtId="14" fontId="0" fillId="2" borderId="2" xfId="19" applyFont="1" applyBorder="1" applyAlignment="1">
      <alignment wrapText="1"/>
    </xf>
    <xf numFmtId="165" fontId="0" fillId="0" borderId="3" xfId="2" applyNumberFormat="1" applyFont="1" applyBorder="1" applyAlignment="1">
      <alignment horizontal="right" vertical="center" indent="1"/>
    </xf>
    <xf numFmtId="165" fontId="0" fillId="6" borderId="3" xfId="2" applyNumberFormat="1" applyFont="1" applyFill="1" applyBorder="1" applyAlignment="1">
      <alignment horizontal="right" vertical="center" indent="1"/>
    </xf>
    <xf numFmtId="0" fontId="6" fillId="4" borderId="5" xfId="0" applyFont="1" applyFill="1" applyBorder="1">
      <alignment horizontal="left" vertical="center" indent="1"/>
    </xf>
    <xf numFmtId="165" fontId="0" fillId="0" borderId="6" xfId="2" applyNumberFormat="1" applyFont="1" applyBorder="1" applyAlignment="1">
      <alignment horizontal="right" vertical="center" indent="1"/>
    </xf>
    <xf numFmtId="165" fontId="0" fillId="0" borderId="7" xfId="2" applyNumberFormat="1" applyFont="1" applyBorder="1" applyAlignment="1">
      <alignment horizontal="right" vertical="center" indent="1"/>
    </xf>
    <xf numFmtId="165" fontId="0" fillId="0" borderId="8" xfId="2" applyNumberFormat="1" applyFont="1" applyBorder="1" applyAlignment="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pplyAlignment="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pplyAlignment="1">
      <alignment horizontal="center" vertical="center"/>
    </xf>
    <xf numFmtId="165" fontId="0" fillId="6" borderId="23" xfId="2" applyNumberFormat="1" applyFont="1" applyFill="1" applyBorder="1" applyAlignment="1">
      <alignment horizontal="right" vertical="center" indent="1"/>
    </xf>
    <xf numFmtId="168" fontId="0" fillId="0" borderId="1" xfId="2" applyNumberFormat="1" applyFont="1" applyBorder="1" applyAlignment="1">
      <alignment horizontal="right" vertical="center" indent="1"/>
    </xf>
    <xf numFmtId="165" fontId="0" fillId="0" borderId="8" xfId="2" applyNumberFormat="1" applyFont="1" applyBorder="1" applyAlignment="1" applyProtection="1">
      <alignment horizontal="right" vertical="center" indent="1"/>
    </xf>
    <xf numFmtId="2" fontId="0" fillId="7" borderId="4" xfId="2" applyNumberFormat="1" applyFont="1" applyFill="1" applyBorder="1" applyAlignment="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NumberFormat="1" applyFont="1" applyBorder="1" applyAlignment="1" applyProtection="1">
      <alignment horizontal="right" vertical="center" indent="1"/>
    </xf>
    <xf numFmtId="2" fontId="0" fillId="6" borderId="3" xfId="2" applyNumberFormat="1" applyFont="1" applyFill="1" applyBorder="1" applyAlignment="1" applyProtection="1">
      <alignment horizontal="right" vertical="center" indent="1"/>
    </xf>
    <xf numFmtId="165" fontId="0" fillId="0" borderId="6" xfId="2" applyNumberFormat="1" applyFont="1" applyBorder="1" applyAlignment="1" applyProtection="1">
      <alignment horizontal="right" vertical="center" indent="1"/>
    </xf>
    <xf numFmtId="165" fontId="0" fillId="6" borderId="3" xfId="2" applyNumberFormat="1" applyFont="1" applyFill="1" applyBorder="1" applyAlignment="1" applyProtection="1">
      <alignment horizontal="right" vertical="center" indent="1"/>
    </xf>
    <xf numFmtId="165" fontId="0" fillId="0" borderId="7" xfId="2" applyNumberFormat="1" applyFont="1" applyBorder="1" applyAlignment="1" applyProtection="1">
      <alignment horizontal="right" vertical="center" indent="1"/>
    </xf>
    <xf numFmtId="0" fontId="0" fillId="0" borderId="1" xfId="0" applyBorder="1" applyProtection="1">
      <alignment horizontal="left" vertical="center" indent="1"/>
    </xf>
    <xf numFmtId="165" fontId="0" fillId="0" borderId="3" xfId="2" applyNumberFormat="1" applyFont="1" applyBorder="1" applyAlignment="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cellStyle name="Date Fill" xfId="19"/>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cellStyle name="Hyperlink" xfId="16" builtinId="8" customBuiltin="1"/>
    <cellStyle name="Input" xfId="18" builtinId="20" customBuiltin="1"/>
    <cellStyle name="Normal" xfId="0" builtinId="0" customBuiltin="1"/>
    <cellStyle name="Percent" xfId="5" builtinId="5" customBuiltin="1"/>
    <cellStyle name="Phone" xfId="14"/>
    <cellStyle name="Table heading center align" xfId="2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O28"/>
  <sheetViews>
    <sheetView showGridLines="0" showZeros="0" tabSelected="1" topLeftCell="B1" zoomScale="70" zoomScaleNormal="70" workbookViewId="0">
      <selection activeCell="B23" sqref="B23"/>
    </sheetView>
  </sheetViews>
  <sheetFormatPr defaultRowHeight="30" customHeight="1" x14ac:dyDescent="0.3"/>
  <cols>
    <col min="1" max="1" width="2.625" customWidth="1"/>
    <col min="2" max="4" width="16.625" customWidth="1"/>
    <col min="5" max="5" width="18.125" bestFit="1" customWidth="1"/>
    <col min="6" max="6" width="18.5" style="7" bestFit="1" customWidth="1"/>
    <col min="7" max="8" width="16.75" style="7" customWidth="1"/>
    <col min="9" max="10" width="16.625" customWidth="1"/>
    <col min="11" max="11" width="16.625" style="8" customWidth="1"/>
    <col min="12" max="12" width="18.625" customWidth="1"/>
    <col min="13" max="13" width="2.625" customWidth="1"/>
    <col min="15" max="15" width="62.25" customWidth="1"/>
  </cols>
  <sheetData>
    <row r="1" spans="2:15" ht="55.5" customHeight="1" x14ac:dyDescent="0.4">
      <c r="B1" s="58" t="s">
        <v>14</v>
      </c>
      <c r="C1" s="58"/>
      <c r="D1" s="58"/>
      <c r="E1" s="58"/>
      <c r="F1" s="58"/>
      <c r="G1" s="58"/>
      <c r="H1" s="58"/>
      <c r="I1" s="58"/>
      <c r="J1" s="58"/>
      <c r="K1" s="58"/>
      <c r="L1" s="58"/>
    </row>
    <row r="2" spans="2:15" ht="42.75" customHeight="1" x14ac:dyDescent="0.3">
      <c r="B2" s="1"/>
      <c r="C2" s="1"/>
      <c r="D2" s="1"/>
    </row>
    <row r="3" spans="2:15" ht="30" customHeight="1" x14ac:dyDescent="0.3">
      <c r="B3" s="7"/>
      <c r="C3" s="57"/>
      <c r="D3" s="57"/>
      <c r="G3" s="4" t="s">
        <v>0</v>
      </c>
      <c r="H3" s="61" t="s">
        <v>48</v>
      </c>
      <c r="I3" s="61"/>
      <c r="J3" s="61"/>
      <c r="K3" s="61"/>
      <c r="L3" s="61"/>
    </row>
    <row r="4" spans="2:15" ht="30" customHeight="1" x14ac:dyDescent="0.3">
      <c r="G4" s="5" t="s">
        <v>6</v>
      </c>
      <c r="H4" s="62">
        <v>46027</v>
      </c>
      <c r="I4" s="62"/>
      <c r="J4" s="62"/>
      <c r="K4" s="62"/>
      <c r="L4" s="62"/>
    </row>
    <row r="5" spans="2:15" ht="30" customHeight="1" x14ac:dyDescent="0.3">
      <c r="G5" s="5" t="s">
        <v>7</v>
      </c>
      <c r="H5" s="56">
        <f>IFERROR(IF($H$4="","",$H$4+13), "")</f>
        <v>46040</v>
      </c>
      <c r="I5" s="56"/>
      <c r="J5" s="56"/>
      <c r="K5" s="56"/>
      <c r="L5" s="56"/>
    </row>
    <row r="6" spans="2:15" s="7" customFormat="1" ht="30" customHeight="1" x14ac:dyDescent="0.3">
      <c r="J6" s="57"/>
      <c r="K6" s="57"/>
      <c r="L6" s="57"/>
    </row>
    <row r="7" spans="2:15" ht="15" customHeight="1" x14ac:dyDescent="0.3"/>
    <row r="8" spans="2:15" ht="30" customHeight="1" x14ac:dyDescent="0.3">
      <c r="B8" s="10" t="s">
        <v>1</v>
      </c>
      <c r="C8" s="10" t="s">
        <v>9</v>
      </c>
      <c r="D8" s="11" t="s">
        <v>2</v>
      </c>
      <c r="E8" s="11" t="s">
        <v>11</v>
      </c>
      <c r="F8" s="11" t="s">
        <v>12</v>
      </c>
      <c r="G8" s="11" t="s">
        <v>13</v>
      </c>
      <c r="H8" s="11" t="s">
        <v>39</v>
      </c>
      <c r="I8" s="11" t="s">
        <v>3</v>
      </c>
      <c r="J8" s="11" t="s">
        <v>10</v>
      </c>
      <c r="K8" s="11" t="s">
        <v>44</v>
      </c>
      <c r="L8" s="12" t="s">
        <v>4</v>
      </c>
      <c r="O8" s="48" t="s">
        <v>46</v>
      </c>
    </row>
    <row r="9" spans="2:15" ht="30" customHeight="1" x14ac:dyDescent="0.3">
      <c r="B9" s="10" t="str">
        <f>IFERROR(TEXT('Biweekly Time Sheet'!$C9,"aaaa"), "")</f>
        <v>Monday</v>
      </c>
      <c r="C9" s="13">
        <f>H4</f>
        <v>46027</v>
      </c>
      <c r="D9" s="49">
        <v>9.5</v>
      </c>
      <c r="E9" s="50"/>
      <c r="F9" s="49"/>
      <c r="G9" s="50"/>
      <c r="H9" s="14"/>
      <c r="I9" s="15"/>
      <c r="J9" s="14"/>
      <c r="K9" s="15"/>
      <c r="L9" s="46">
        <f>IFERROR(SUM(D9:K9), "")</f>
        <v>9.5</v>
      </c>
      <c r="O9" s="47"/>
    </row>
    <row r="10" spans="2:15" ht="30" customHeight="1" x14ac:dyDescent="0.3">
      <c r="B10" s="10" t="str">
        <f>IFERROR(TEXT('Biweekly Time Sheet'!$C10,"aaaa"), "")</f>
        <v>Tuesday</v>
      </c>
      <c r="C10" s="13">
        <f>IF($H$4="","",$H$4+1)</f>
        <v>46028</v>
      </c>
      <c r="D10" s="49">
        <v>9.5</v>
      </c>
      <c r="E10" s="50"/>
      <c r="F10" s="49"/>
      <c r="G10" s="50"/>
      <c r="H10" s="14"/>
      <c r="I10" s="50"/>
      <c r="J10" s="14"/>
      <c r="K10" s="15"/>
      <c r="L10" s="46">
        <f t="shared" ref="L10:L22" si="0">IFERROR(SUM(D10:K10), "")</f>
        <v>9.5</v>
      </c>
      <c r="O10" s="47"/>
    </row>
    <row r="11" spans="2:15" ht="30" customHeight="1" x14ac:dyDescent="0.3">
      <c r="B11" s="10" t="str">
        <f>IFERROR(TEXT('Biweekly Time Sheet'!$C11,"aaaa"), "")</f>
        <v>Wednesday</v>
      </c>
      <c r="C11" s="13">
        <f>IF($H$4="","",$H$4+2)</f>
        <v>46029</v>
      </c>
      <c r="D11" s="49">
        <v>8</v>
      </c>
      <c r="E11" s="50"/>
      <c r="F11" s="49"/>
      <c r="G11" s="50"/>
      <c r="H11" s="14"/>
      <c r="I11" s="50"/>
      <c r="J11" s="14"/>
      <c r="K11" s="15"/>
      <c r="L11" s="46">
        <f t="shared" si="0"/>
        <v>8</v>
      </c>
      <c r="O11" s="47"/>
    </row>
    <row r="12" spans="2:15" ht="30" customHeight="1" x14ac:dyDescent="0.3">
      <c r="B12" s="10" t="str">
        <f>IFERROR(TEXT('Biweekly Time Sheet'!$C12,"aaaa"), "")</f>
        <v>Thursday</v>
      </c>
      <c r="C12" s="13">
        <f>IF($H$4="","",$H$4+3)</f>
        <v>46030</v>
      </c>
      <c r="D12" s="49">
        <v>9.5</v>
      </c>
      <c r="E12" s="50"/>
      <c r="F12" s="49"/>
      <c r="G12" s="50"/>
      <c r="H12" s="14"/>
      <c r="I12" s="50"/>
      <c r="J12" s="14"/>
      <c r="K12" s="15"/>
      <c r="L12" s="46">
        <f t="shared" si="0"/>
        <v>9.5</v>
      </c>
      <c r="O12" s="47"/>
    </row>
    <row r="13" spans="2:15" ht="30" customHeight="1" x14ac:dyDescent="0.3">
      <c r="B13" s="10" t="str">
        <f>IFERROR(TEXT('Biweekly Time Sheet'!$C13,"aaaa"), "")</f>
        <v>Friday</v>
      </c>
      <c r="C13" s="13">
        <f>IF($H$4="","",$H$4+4)</f>
        <v>46031</v>
      </c>
      <c r="D13" s="49">
        <v>3.5</v>
      </c>
      <c r="E13" s="50">
        <v>3</v>
      </c>
      <c r="F13" s="49"/>
      <c r="G13" s="50">
        <v>3</v>
      </c>
      <c r="H13" s="14"/>
      <c r="I13" s="50"/>
      <c r="J13" s="14"/>
      <c r="K13" s="15"/>
      <c r="L13" s="46">
        <f t="shared" si="0"/>
        <v>9.5</v>
      </c>
      <c r="O13" s="54"/>
    </row>
    <row r="14" spans="2:15" ht="30" customHeight="1" x14ac:dyDescent="0.3">
      <c r="B14" s="10" t="str">
        <f>IFERROR(TEXT('Biweekly Time Sheet'!$C14,"aaaa"), "")</f>
        <v>Saturday</v>
      </c>
      <c r="C14" s="13">
        <f>IF($H$4="","",$H$4+5)</f>
        <v>46032</v>
      </c>
      <c r="D14" s="49"/>
      <c r="E14" s="15"/>
      <c r="F14" s="14"/>
      <c r="G14" s="15"/>
      <c r="H14" s="14"/>
      <c r="I14" s="15"/>
      <c r="J14" s="14"/>
      <c r="K14" s="15"/>
      <c r="L14" s="46">
        <f t="shared" si="0"/>
        <v>0</v>
      </c>
      <c r="O14" s="47"/>
    </row>
    <row r="15" spans="2:15" ht="30" customHeight="1" x14ac:dyDescent="0.3">
      <c r="B15" s="10" t="str">
        <f>IFERROR(TEXT('Biweekly Time Sheet'!$C15,"aaaa"), "")</f>
        <v>Sunday</v>
      </c>
      <c r="C15" s="13">
        <f>IF($H$4="","",$H$4+6)</f>
        <v>46033</v>
      </c>
      <c r="D15" s="49"/>
      <c r="E15" s="15"/>
      <c r="F15" s="14"/>
      <c r="G15" s="15"/>
      <c r="H15" s="14"/>
      <c r="I15" s="15"/>
      <c r="J15" s="14"/>
      <c r="K15" s="15"/>
      <c r="L15" s="46">
        <f t="shared" si="0"/>
        <v>0</v>
      </c>
      <c r="O15" s="47"/>
    </row>
    <row r="16" spans="2:15" ht="30" customHeight="1" x14ac:dyDescent="0.3">
      <c r="B16" s="10" t="str">
        <f>IFERROR(TEXT('Biweekly Time Sheet'!$C16,"aaaa"), "")</f>
        <v>Monday</v>
      </c>
      <c r="C16" s="13">
        <f>IF($H$4="","",$H$4+7)</f>
        <v>46034</v>
      </c>
      <c r="D16" s="49">
        <v>9.5</v>
      </c>
      <c r="E16" s="50"/>
      <c r="F16" s="49"/>
      <c r="G16" s="50"/>
      <c r="H16" s="49"/>
      <c r="I16" s="15"/>
      <c r="J16" s="14"/>
      <c r="K16" s="15"/>
      <c r="L16" s="46">
        <f t="shared" si="0"/>
        <v>9.5</v>
      </c>
      <c r="O16" s="54"/>
    </row>
    <row r="17" spans="2:15" ht="30" customHeight="1" x14ac:dyDescent="0.3">
      <c r="B17" s="10" t="str">
        <f>IFERROR(TEXT('Biweekly Time Sheet'!$C17,"aaaa"), "")</f>
        <v>Tuesday</v>
      </c>
      <c r="C17" s="13">
        <f>IF($H$4="","",$H$4+8)</f>
        <v>46035</v>
      </c>
      <c r="D17" s="49">
        <v>9.5</v>
      </c>
      <c r="E17" s="50"/>
      <c r="F17" s="49"/>
      <c r="G17" s="50"/>
      <c r="H17" s="49"/>
      <c r="I17" s="50"/>
      <c r="J17" s="14"/>
      <c r="K17" s="15"/>
      <c r="L17" s="46">
        <f t="shared" si="0"/>
        <v>9.5</v>
      </c>
      <c r="O17" s="47"/>
    </row>
    <row r="18" spans="2:15" ht="30" customHeight="1" x14ac:dyDescent="0.3">
      <c r="B18" s="10" t="str">
        <f>IFERROR(TEXT('Biweekly Time Sheet'!$C18,"aaaa"), "")</f>
        <v>Wednesday</v>
      </c>
      <c r="C18" s="13">
        <f>IF($H$4="","",$H$4+9)</f>
        <v>46036</v>
      </c>
      <c r="D18" s="49">
        <v>8</v>
      </c>
      <c r="E18" s="50"/>
      <c r="F18" s="49"/>
      <c r="G18" s="50"/>
      <c r="H18" s="49"/>
      <c r="I18" s="50"/>
      <c r="J18" s="14"/>
      <c r="K18" s="15"/>
      <c r="L18" s="46">
        <f t="shared" si="0"/>
        <v>8</v>
      </c>
      <c r="O18" s="47"/>
    </row>
    <row r="19" spans="2:15" ht="30" customHeight="1" x14ac:dyDescent="0.3">
      <c r="B19" s="10" t="str">
        <f>IFERROR(TEXT('Biweekly Time Sheet'!$C19,"aaaa"), "")</f>
        <v>Thursday</v>
      </c>
      <c r="C19" s="13">
        <f>IF($H$4="","",$H$4+10)</f>
        <v>46037</v>
      </c>
      <c r="D19" s="49">
        <v>9.5</v>
      </c>
      <c r="E19" s="50"/>
      <c r="F19" s="49"/>
      <c r="G19" s="50"/>
      <c r="H19" s="49"/>
      <c r="I19" s="50"/>
      <c r="J19" s="14"/>
      <c r="K19" s="15"/>
      <c r="L19" s="46">
        <f t="shared" si="0"/>
        <v>9.5</v>
      </c>
      <c r="O19" s="47"/>
    </row>
    <row r="20" spans="2:15" ht="30" customHeight="1" x14ac:dyDescent="0.3">
      <c r="B20" s="10" t="str">
        <f>IFERROR(TEXT('Biweekly Time Sheet'!$C20,"aaaa"), "")</f>
        <v>Friday</v>
      </c>
      <c r="C20" s="13">
        <f>IF($H$4="","",$H$4+11)</f>
        <v>46038</v>
      </c>
      <c r="D20" s="49">
        <v>3.5</v>
      </c>
      <c r="E20" s="50">
        <v>6</v>
      </c>
      <c r="F20" s="49"/>
      <c r="G20" s="50"/>
      <c r="H20" s="49"/>
      <c r="I20" s="50"/>
      <c r="J20" s="14"/>
      <c r="K20" s="15"/>
      <c r="L20" s="46">
        <f t="shared" si="0"/>
        <v>9.5</v>
      </c>
      <c r="O20" s="54"/>
    </row>
    <row r="21" spans="2:15" ht="30" customHeight="1" x14ac:dyDescent="0.3">
      <c r="B21" s="10" t="str">
        <f>IFERROR(TEXT('Biweekly Time Sheet'!$C21,"aaaa"), "")</f>
        <v>Saturday</v>
      </c>
      <c r="C21" s="13">
        <f>IF($H$4="","",$H$4+12)</f>
        <v>46039</v>
      </c>
      <c r="D21" s="49"/>
      <c r="E21" s="50"/>
      <c r="F21" s="49"/>
      <c r="G21" s="50"/>
      <c r="H21" s="49"/>
      <c r="I21" s="15"/>
      <c r="J21" s="14"/>
      <c r="K21" s="15"/>
      <c r="L21" s="46">
        <f t="shared" si="0"/>
        <v>0</v>
      </c>
      <c r="O21" s="47"/>
    </row>
    <row r="22" spans="2:15" ht="30" customHeight="1" x14ac:dyDescent="0.3">
      <c r="B22" s="16" t="str">
        <f>IFERROR(TEXT('Biweekly Time Sheet'!$C22,"aaaa"), "")</f>
        <v>Sunday</v>
      </c>
      <c r="C22" s="17">
        <f>IF($H$4="","",$H$4+13)</f>
        <v>46040</v>
      </c>
      <c r="D22" s="49"/>
      <c r="E22" s="50"/>
      <c r="F22" s="49"/>
      <c r="G22" s="50"/>
      <c r="H22" s="49"/>
      <c r="I22" s="19"/>
      <c r="J22" s="18"/>
      <c r="K22" s="19"/>
      <c r="L22" s="46">
        <f t="shared" si="0"/>
        <v>0</v>
      </c>
      <c r="O22" s="54"/>
    </row>
    <row r="23" spans="2:15" ht="30" customHeight="1" x14ac:dyDescent="0.3">
      <c r="C23" s="2" t="s">
        <v>5</v>
      </c>
      <c r="D23" s="3">
        <f t="shared" ref="D23:K23" si="1">IFERROR(SUM(D9:D22), "")</f>
        <v>80</v>
      </c>
      <c r="E23" s="3">
        <f t="shared" si="1"/>
        <v>9</v>
      </c>
      <c r="F23" s="3">
        <f t="shared" si="1"/>
        <v>0</v>
      </c>
      <c r="G23" s="3">
        <f t="shared" si="1"/>
        <v>3</v>
      </c>
      <c r="H23" s="3">
        <f t="shared" si="1"/>
        <v>0</v>
      </c>
      <c r="I23" s="3">
        <f t="shared" si="1"/>
        <v>0</v>
      </c>
      <c r="J23" s="3">
        <f t="shared" si="1"/>
        <v>0</v>
      </c>
      <c r="K23" s="3">
        <f t="shared" si="1"/>
        <v>0</v>
      </c>
      <c r="L23" s="3">
        <f>IFERROR(SUM(D23:K23), "")</f>
        <v>92</v>
      </c>
    </row>
    <row r="24" spans="2:15" ht="30" customHeight="1" x14ac:dyDescent="0.3">
      <c r="D24" s="57"/>
      <c r="E24" s="57"/>
      <c r="F24" s="57"/>
      <c r="G24" s="57"/>
      <c r="H24" s="57"/>
      <c r="I24" s="57"/>
      <c r="J24" s="57"/>
      <c r="L24" s="7"/>
    </row>
    <row r="25" spans="2:15" ht="30" customHeight="1" x14ac:dyDescent="0.3">
      <c r="D25" s="57"/>
      <c r="E25" s="57"/>
      <c r="F25" s="57"/>
      <c r="G25" s="57"/>
      <c r="H25" s="57"/>
      <c r="I25" s="57"/>
      <c r="J25" s="57"/>
    </row>
    <row r="26" spans="2:15" ht="30" customHeight="1" x14ac:dyDescent="0.3">
      <c r="D26" s="59" t="s">
        <v>48</v>
      </c>
      <c r="E26" s="60"/>
      <c r="F26" s="60"/>
      <c r="G26" s="60"/>
      <c r="H26" s="60"/>
      <c r="I26" s="60"/>
      <c r="J26" s="60"/>
      <c r="K26" s="9"/>
      <c r="L26" s="6">
        <f>C22</f>
        <v>46040</v>
      </c>
    </row>
    <row r="27" spans="2:15" ht="30" customHeight="1" x14ac:dyDescent="0.3">
      <c r="D27" s="57" t="s">
        <v>8</v>
      </c>
      <c r="E27" s="57"/>
      <c r="F27" s="57"/>
      <c r="G27" s="57"/>
      <c r="H27" s="57"/>
      <c r="I27" s="57"/>
      <c r="J27" s="57"/>
      <c r="L27" t="s">
        <v>9</v>
      </c>
    </row>
    <row r="28" spans="2:15" ht="30" customHeight="1" x14ac:dyDescent="0.3">
      <c r="L28" s="38"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L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G3"/>
    <dataValidation allowBlank="1" showInputMessage="1" showErrorMessage="1" prompt="Enter Employee name in this cell" sqref="H3"/>
    <dataValidation allowBlank="1" showInputMessage="1" showErrorMessage="1" prompt="Enter Pay period start date in this cell" sqref="H4"/>
    <dataValidation allowBlank="1" showInputMessage="1" showErrorMessage="1" prompt="Enter Pay period end date in cell at right" sqref="G5"/>
    <dataValidation allowBlank="1" showInputMessage="1" showErrorMessage="1" prompt="Enter Pay period start date in cell at right" sqref="G4"/>
    <dataValidation allowBlank="1" showInputMessage="1" showErrorMessage="1" prompt="Enter Pay period end date in this cell" sqref="H5"/>
    <dataValidation allowBlank="1" showInputMessage="1" showErrorMessage="1" prompt="Enter Employee phone number in cell at right" sqref="I6"/>
    <dataValidation allowBlank="1" showInputMessage="1" showErrorMessage="1" prompt="Enter Employee phone number in this cell" sqref="J6:L6"/>
    <dataValidation allowBlank="1" showInputMessage="1" showErrorMessage="1" prompt="Enter Regular Hours in this column under this heading" sqref="D8"/>
    <dataValidation allowBlank="1" showInputMessage="1" showErrorMessage="1" prompt="Date is automatically updated in this column under this heading based on Pay period start and end date in cells G3 and G4" sqref="C8"/>
    <dataValidation allowBlank="1" showInputMessage="1" showErrorMessage="1" prompt="Enter Overtime Hours in this column under this heading" sqref="E8:H8"/>
    <dataValidation allowBlank="1" showInputMessage="1" showErrorMessage="1" prompt="Enter Sick hours in this column under this heading" sqref="I8"/>
    <dataValidation allowBlank="1" showInputMessage="1" showErrorMessage="1" prompt="Enter Vacation hours in this column under this heading" sqref="J8:K8"/>
    <dataValidation allowBlank="1" showInputMessage="1" showErrorMessage="1" prompt="Total Hours for each weekday are automatically calculated in this column under this heading" sqref="L8 O8"/>
    <dataValidation allowBlank="1" showInputMessage="1" showErrorMessage="1" prompt="Total hours for the entire period are automatically calculated in cells at right" sqref="C23"/>
    <dataValidation allowBlank="1" showInputMessage="1" showErrorMessage="1" prompt="Enter Employee Signature in this cell" sqref="D24:K24"/>
    <dataValidation allowBlank="1" showInputMessage="1" showErrorMessage="1" prompt="Enter Manager Signature in this cell" sqref="D26:K26"/>
    <dataValidation allowBlank="1" showInputMessage="1" showErrorMessage="1" prompt="Enter Date in this cell" sqref="L24 L26"/>
    <dataValidation allowBlank="1" showInputMessage="1" showErrorMessage="1" prompt="Enter Street Address in cell at right" sqref="B3"/>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41</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46027</v>
      </c>
      <c r="M4" s="56"/>
      <c r="N4" s="56"/>
      <c r="O4" s="56"/>
      <c r="P4" s="56"/>
    </row>
    <row r="5" spans="2:16" ht="30" customHeight="1" x14ac:dyDescent="0.3">
      <c r="K5" s="5" t="s">
        <v>7</v>
      </c>
      <c r="L5" s="56">
        <f>'Biweekly Time Sheet'!H5</f>
        <v>46040</v>
      </c>
      <c r="M5" s="56"/>
      <c r="N5" s="56"/>
      <c r="O5" s="56"/>
      <c r="P5" s="56"/>
    </row>
    <row r="6" spans="2:16" ht="30" customHeight="1" x14ac:dyDescent="0.3">
      <c r="N6" s="57"/>
      <c r="O6" s="57"/>
      <c r="P6" s="57"/>
    </row>
    <row r="7" spans="2:16" ht="15" customHeight="1" thickBot="1" x14ac:dyDescent="0.35"/>
    <row r="8" spans="2:16" ht="22.5" customHeight="1" thickBot="1" x14ac:dyDescent="0.35">
      <c r="D8" s="63" t="s">
        <v>26</v>
      </c>
      <c r="E8" s="64"/>
      <c r="F8" s="64"/>
      <c r="G8" s="64"/>
      <c r="H8" s="65"/>
      <c r="I8" s="63" t="s">
        <v>27</v>
      </c>
      <c r="J8" s="64"/>
      <c r="K8" s="64"/>
      <c r="L8" s="64"/>
      <c r="M8" s="64"/>
      <c r="N8" s="64"/>
      <c r="O8" s="65"/>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7" t="s">
        <v>25</v>
      </c>
      <c r="O9" s="68"/>
      <c r="P9" s="42" t="s">
        <v>4</v>
      </c>
    </row>
    <row r="10" spans="2:16" ht="30" customHeight="1" x14ac:dyDescent="0.3">
      <c r="B10" s="10" t="str">
        <f>IFERROR(TEXT('Biweekly Expense Report CAD'!$C10,"aaaa"), "")</f>
        <v>Monday</v>
      </c>
      <c r="C10" s="13">
        <f>L4</f>
        <v>46027</v>
      </c>
      <c r="D10" s="51"/>
      <c r="E10" s="52"/>
      <c r="F10" s="21"/>
      <c r="G10" s="22"/>
      <c r="H10" s="25"/>
      <c r="I10" s="30"/>
      <c r="J10" s="21"/>
      <c r="K10" s="22"/>
      <c r="L10" s="21"/>
      <c r="M10" s="22"/>
      <c r="N10" s="44"/>
      <c r="O10" s="26">
        <v>0.48</v>
      </c>
      <c r="P10" s="43">
        <f>IFERROR(SUM(D10:M10)+(N10*O10), "")</f>
        <v>0</v>
      </c>
    </row>
    <row r="11" spans="2:16" ht="30" customHeight="1" x14ac:dyDescent="0.3">
      <c r="B11" s="10" t="str">
        <f>IFERROR(TEXT('Biweekly Expense Report CAD'!$C11,"aaaa"), "")</f>
        <v>Tuesday</v>
      </c>
      <c r="C11" s="13">
        <f>IF($L$4="","",$L$4+1)</f>
        <v>46028</v>
      </c>
      <c r="D11" s="51"/>
      <c r="E11" s="5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CAD'!$C12,"aaaa"), "")</f>
        <v>Wednesday</v>
      </c>
      <c r="C12" s="13">
        <f>IF($L$4="","",$L$4+2)</f>
        <v>46029</v>
      </c>
      <c r="D12" s="51"/>
      <c r="E12" s="52"/>
      <c r="F12" s="21"/>
      <c r="G12" s="22"/>
      <c r="H12" s="25"/>
      <c r="I12" s="30"/>
      <c r="J12" s="21"/>
      <c r="K12" s="22"/>
      <c r="L12" s="21"/>
      <c r="M12" s="22"/>
      <c r="N12" s="44"/>
      <c r="O12" s="45">
        <v>0.48</v>
      </c>
      <c r="P12" s="43">
        <f t="shared" si="0"/>
        <v>0</v>
      </c>
    </row>
    <row r="13" spans="2:16" ht="30" customHeight="1" x14ac:dyDescent="0.3">
      <c r="B13" s="10" t="str">
        <f>IFERROR(TEXT('Biweekly Expense Report CAD'!$C13,"aaaa"), "")</f>
        <v>Thursday</v>
      </c>
      <c r="C13" s="13">
        <f>IF($L$4="","",$L$4+3)</f>
        <v>46030</v>
      </c>
      <c r="D13" s="51"/>
      <c r="E13" s="52"/>
      <c r="F13" s="21"/>
      <c r="G13" s="22"/>
      <c r="H13" s="25"/>
      <c r="I13" s="30"/>
      <c r="J13" s="21"/>
      <c r="K13" s="22"/>
      <c r="L13" s="21"/>
      <c r="M13" s="22"/>
      <c r="N13" s="44"/>
      <c r="O13" s="45">
        <v>0.48</v>
      </c>
      <c r="P13" s="43">
        <f t="shared" si="0"/>
        <v>0</v>
      </c>
    </row>
    <row r="14" spans="2:16" ht="30" customHeight="1" x14ac:dyDescent="0.3">
      <c r="B14" s="10" t="str">
        <f>IFERROR(TEXT('Biweekly Expense Report CAD'!$C14,"aaaa"), "")</f>
        <v>Friday</v>
      </c>
      <c r="C14" s="13">
        <f>IF($L$4="","",$L$4+4)</f>
        <v>46031</v>
      </c>
      <c r="D14" s="51">
        <v>70</v>
      </c>
      <c r="E14" s="52"/>
      <c r="F14" s="21"/>
      <c r="G14" s="22"/>
      <c r="H14" s="25"/>
      <c r="I14" s="30"/>
      <c r="J14" s="21"/>
      <c r="K14" s="22"/>
      <c r="L14" s="21"/>
      <c r="M14" s="22"/>
      <c r="N14" s="44"/>
      <c r="O14" s="45">
        <v>0.48</v>
      </c>
      <c r="P14" s="43">
        <f t="shared" si="0"/>
        <v>70</v>
      </c>
    </row>
    <row r="15" spans="2:16" ht="30" customHeight="1" x14ac:dyDescent="0.3">
      <c r="B15" s="10" t="str">
        <f>IFERROR(TEXT('Biweekly Expense Report CAD'!$C15,"aaaa"), "")</f>
        <v>Saturday</v>
      </c>
      <c r="C15" s="13">
        <f>IF($L$4="","",$L$4+5)</f>
        <v>46032</v>
      </c>
      <c r="D15" s="24"/>
      <c r="E15" s="52"/>
      <c r="F15" s="21"/>
      <c r="G15" s="22"/>
      <c r="H15" s="25"/>
      <c r="I15" s="30"/>
      <c r="J15" s="21"/>
      <c r="K15" s="22"/>
      <c r="L15" s="21"/>
      <c r="M15" s="22"/>
      <c r="N15" s="44"/>
      <c r="O15" s="45">
        <v>0.48</v>
      </c>
      <c r="P15" s="43">
        <f t="shared" si="0"/>
        <v>0</v>
      </c>
    </row>
    <row r="16" spans="2:16" ht="30" customHeight="1" x14ac:dyDescent="0.3">
      <c r="B16" s="10" t="str">
        <f>IFERROR(TEXT('Biweekly Expense Report CAD'!$C16,"aaaa"), "")</f>
        <v>Sunday</v>
      </c>
      <c r="C16" s="13">
        <f>IF($L$4="","",$L$4+6)</f>
        <v>46033</v>
      </c>
      <c r="D16" s="24"/>
      <c r="E16" s="52"/>
      <c r="F16" s="21"/>
      <c r="G16" s="22"/>
      <c r="H16" s="25"/>
      <c r="I16" s="30"/>
      <c r="J16" s="21"/>
      <c r="K16" s="22"/>
      <c r="L16" s="21"/>
      <c r="M16" s="22"/>
      <c r="N16" s="44"/>
      <c r="O16" s="45">
        <v>0.48</v>
      </c>
      <c r="P16" s="43">
        <f t="shared" si="0"/>
        <v>0</v>
      </c>
    </row>
    <row r="17" spans="2:16" ht="30" customHeight="1" x14ac:dyDescent="0.3">
      <c r="B17" s="10" t="str">
        <f>IFERROR(TEXT('Biweekly Expense Report CAD'!$C17,"aaaa"), "")</f>
        <v>Monday</v>
      </c>
      <c r="C17" s="13">
        <f>IF($L$4="","",$L$4+7)</f>
        <v>46034</v>
      </c>
      <c r="D17" s="51"/>
      <c r="E17" s="52"/>
      <c r="F17" s="55"/>
      <c r="G17" s="52"/>
      <c r="H17" s="53"/>
      <c r="I17" s="30"/>
      <c r="J17" s="21"/>
      <c r="K17" s="22"/>
      <c r="L17" s="21"/>
      <c r="M17" s="22"/>
      <c r="N17" s="44"/>
      <c r="O17" s="45">
        <v>0.48</v>
      </c>
      <c r="P17" s="43">
        <f t="shared" si="0"/>
        <v>0</v>
      </c>
    </row>
    <row r="18" spans="2:16" ht="30" customHeight="1" x14ac:dyDescent="0.3">
      <c r="B18" s="10" t="str">
        <f>IFERROR(TEXT('Biweekly Expense Report CAD'!$C18,"aaaa"), "")</f>
        <v>Tuesday</v>
      </c>
      <c r="C18" s="13">
        <f>IF($L$4="","",$L$4+8)</f>
        <v>46035</v>
      </c>
      <c r="D18" s="51"/>
      <c r="E18" s="52"/>
      <c r="F18" s="55"/>
      <c r="G18" s="52"/>
      <c r="H18" s="53"/>
      <c r="I18" s="30"/>
      <c r="J18" s="21"/>
      <c r="K18" s="22"/>
      <c r="L18" s="21"/>
      <c r="M18" s="22"/>
      <c r="N18" s="44"/>
      <c r="O18" s="45">
        <v>0.48</v>
      </c>
      <c r="P18" s="43">
        <f t="shared" si="0"/>
        <v>0</v>
      </c>
    </row>
    <row r="19" spans="2:16" ht="30" customHeight="1" x14ac:dyDescent="0.3">
      <c r="B19" s="10" t="str">
        <f>IFERROR(TEXT('Biweekly Expense Report CAD'!$C19,"aaaa"), "")</f>
        <v>Wednesday</v>
      </c>
      <c r="C19" s="13">
        <f>IF($L$4="","",$L$4+9)</f>
        <v>46036</v>
      </c>
      <c r="D19" s="51"/>
      <c r="E19" s="52"/>
      <c r="F19" s="55"/>
      <c r="G19" s="52"/>
      <c r="H19" s="53"/>
      <c r="I19" s="30"/>
      <c r="J19" s="21"/>
      <c r="K19" s="22"/>
      <c r="L19" s="21"/>
      <c r="M19" s="22"/>
      <c r="N19" s="44"/>
      <c r="O19" s="45">
        <v>0.48</v>
      </c>
      <c r="P19" s="43">
        <f t="shared" si="0"/>
        <v>0</v>
      </c>
    </row>
    <row r="20" spans="2:16" ht="30" customHeight="1" x14ac:dyDescent="0.3">
      <c r="B20" s="10" t="str">
        <f>IFERROR(TEXT('Biweekly Expense Report CAD'!$C20,"aaaa"), "")</f>
        <v>Thursday</v>
      </c>
      <c r="C20" s="13">
        <f>IF($L$4="","",$L$4+10)</f>
        <v>46037</v>
      </c>
      <c r="D20" s="51"/>
      <c r="E20" s="52"/>
      <c r="F20" s="55"/>
      <c r="G20" s="52"/>
      <c r="H20" s="53"/>
      <c r="I20" s="30"/>
      <c r="J20" s="21"/>
      <c r="K20" s="22"/>
      <c r="L20" s="21"/>
      <c r="M20" s="22"/>
      <c r="N20" s="44"/>
      <c r="O20" s="45">
        <v>0.48</v>
      </c>
      <c r="P20" s="43">
        <f t="shared" si="0"/>
        <v>0</v>
      </c>
    </row>
    <row r="21" spans="2:16" ht="30" customHeight="1" x14ac:dyDescent="0.3">
      <c r="B21" s="10" t="str">
        <f>IFERROR(TEXT('Biweekly Expense Report CAD'!$C21,"aaaa"), "")</f>
        <v>Friday</v>
      </c>
      <c r="C21" s="13">
        <f>IF($L$4="","",$L$4+11)</f>
        <v>46038</v>
      </c>
      <c r="D21" s="51"/>
      <c r="E21" s="52"/>
      <c r="F21" s="55"/>
      <c r="G21" s="52"/>
      <c r="H21" s="53"/>
      <c r="I21" s="30"/>
      <c r="J21" s="21"/>
      <c r="K21" s="22"/>
      <c r="L21" s="21"/>
      <c r="M21" s="22"/>
      <c r="N21" s="44"/>
      <c r="O21" s="45">
        <v>0.48</v>
      </c>
      <c r="P21" s="43">
        <f t="shared" si="0"/>
        <v>0</v>
      </c>
    </row>
    <row r="22" spans="2:16" ht="30" customHeight="1" x14ac:dyDescent="0.3">
      <c r="B22" s="10" t="str">
        <f>IFERROR(TEXT('Biweekly Expense Report CAD'!$C22,"aaaa"), "")</f>
        <v>Saturday</v>
      </c>
      <c r="C22" s="13">
        <f>IF($L$4="","",$L$4+12)</f>
        <v>46039</v>
      </c>
      <c r="D22" s="24"/>
      <c r="E22" s="52"/>
      <c r="F22" s="21"/>
      <c r="G22" s="22"/>
      <c r="H22" s="25"/>
      <c r="I22" s="30"/>
      <c r="J22" s="21"/>
      <c r="K22" s="22"/>
      <c r="L22" s="21"/>
      <c r="M22" s="22"/>
      <c r="N22" s="44"/>
      <c r="O22" s="45">
        <v>0.48</v>
      </c>
      <c r="P22" s="43">
        <f t="shared" si="0"/>
        <v>0</v>
      </c>
    </row>
    <row r="23" spans="2:16" ht="30" customHeight="1" x14ac:dyDescent="0.3">
      <c r="B23" s="16" t="str">
        <f>IFERROR(TEXT('Biweekly Expense Report CAD'!$C23,"aaaa"), "")</f>
        <v>Sunday</v>
      </c>
      <c r="C23" s="17">
        <f>IF($L$4="","",$L$4+13)</f>
        <v>46040</v>
      </c>
      <c r="D23" s="24"/>
      <c r="E23" s="5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70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70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6" t="str">
        <f>'Biweekly Time Sheet'!D26:J26</f>
        <v>Daniel Trif</v>
      </c>
      <c r="E27" s="66"/>
      <c r="F27" s="66"/>
      <c r="G27" s="66"/>
      <c r="H27" s="66"/>
      <c r="I27" s="66"/>
      <c r="J27" s="66"/>
      <c r="K27" s="66"/>
      <c r="L27" s="66"/>
      <c r="M27" s="66"/>
      <c r="N27" s="66"/>
      <c r="O27" s="66"/>
      <c r="P27" s="20">
        <f>'Biweekly Time Sheet'!L26</f>
        <v>46040</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dataValidation allowBlank="1" showInputMessage="1" showErrorMessage="1" prompt="Enter Date in this cell" sqref="P25"/>
    <dataValidation allowBlank="1" showInputMessage="1" showErrorMessage="1" prompt="Enter Manager Signature in this cell" sqref="D27"/>
    <dataValidation allowBlank="1" showInputMessage="1" showErrorMessage="1" prompt="Enter Employee Signature in this cell" sqref="D25:O25"/>
    <dataValidation allowBlank="1" showInputMessage="1" showErrorMessage="1" prompt="Total hours for the entire period are automatically calculated in cells at right" sqref="C24"/>
    <dataValidation allowBlank="1" showInputMessage="1" showErrorMessage="1" prompt="Total Hours for each weekday are automatically calculated in this column under this heading" sqref="P9"/>
    <dataValidation allowBlank="1" showInputMessage="1" showErrorMessage="1" prompt="Enter Vacation hours in this column under this heading" sqref="N9"/>
    <dataValidation allowBlank="1" showInputMessage="1" showErrorMessage="1" prompt="Enter Sick hours in this column under this heading" sqref="M9"/>
    <dataValidation allowBlank="1" showInputMessage="1" showErrorMessage="1" prompt="Enter Overtime Hours in this column under this heading" sqref="E9:L9"/>
    <dataValidation allowBlank="1" showInputMessage="1" showErrorMessage="1" prompt="Date is automatically updated in this column under this heading based on Pay period start and end date in cells G3 and G4" sqref="C9"/>
    <dataValidation allowBlank="1" showInputMessage="1" showErrorMessage="1" prompt="Enter Regular Hours in this column under this heading" sqref="D9"/>
    <dataValidation allowBlank="1" showInputMessage="1" showErrorMessage="1" prompt="Enter Employee phone number in this cell" sqref="N6 P6"/>
    <dataValidation allowBlank="1" showInputMessage="1" showErrorMessage="1" prompt="Enter Employee phone number in cell at right" sqref="M6 O6"/>
    <dataValidation allowBlank="1" showInputMessage="1" showErrorMessage="1" prompt="Enter Pay period end date in this cell" sqref="L5"/>
    <dataValidation allowBlank="1" showInputMessage="1" showErrorMessage="1" prompt="Enter Pay period start date in cell at right" sqref="K4"/>
    <dataValidation allowBlank="1" showInputMessage="1" showErrorMessage="1" prompt="Enter Pay period end date in cell at right" sqref="K5"/>
    <dataValidation allowBlank="1" showInputMessage="1" showErrorMessage="1" prompt="Enter Pay period start date in this cell" sqref="L4"/>
    <dataValidation allowBlank="1" showInputMessage="1" showErrorMessage="1" prompt="Enter Employee name in this cell" sqref="L3"/>
    <dataValidation allowBlank="1" showInputMessage="1" showErrorMessage="1" prompt="Enter Employee name in cell at right" sqref="K3"/>
    <dataValidation allowBlank="1" showInputMessage="1" showErrorMessage="1" prompt="Enter Street Address in this cell" sqref="C3:D3"/>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Title of this worksheet is in this cell" sqref="B1:P1"/>
    <dataValidation allowBlank="1" showInputMessage="1" showErrorMessage="1" prompt="Create a Biweekly Time Sheet in this worksheet. Total Hours and Total Pay are automatically calculated" sqref="A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40</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46027</v>
      </c>
      <c r="M4" s="56"/>
      <c r="N4" s="56"/>
      <c r="O4" s="56"/>
      <c r="P4" s="56"/>
    </row>
    <row r="5" spans="2:16" ht="30" customHeight="1" x14ac:dyDescent="0.3">
      <c r="K5" s="5" t="s">
        <v>7</v>
      </c>
      <c r="L5" s="56">
        <f>'Biweekly Time Sheet'!H5</f>
        <v>46040</v>
      </c>
      <c r="M5" s="56"/>
      <c r="N5" s="56"/>
      <c r="O5" s="56"/>
      <c r="P5" s="56"/>
    </row>
    <row r="6" spans="2:16" ht="30" customHeight="1" x14ac:dyDescent="0.3">
      <c r="N6" s="57"/>
      <c r="O6" s="57"/>
      <c r="P6" s="57"/>
    </row>
    <row r="7" spans="2:16" ht="15" customHeight="1" thickBot="1" x14ac:dyDescent="0.35"/>
    <row r="8" spans="2:16" ht="22.5" customHeight="1" thickBot="1" x14ac:dyDescent="0.35">
      <c r="D8" s="63" t="s">
        <v>26</v>
      </c>
      <c r="E8" s="64"/>
      <c r="F8" s="64"/>
      <c r="G8" s="64"/>
      <c r="H8" s="65"/>
      <c r="I8" s="63" t="s">
        <v>27</v>
      </c>
      <c r="J8" s="64"/>
      <c r="K8" s="64"/>
      <c r="L8" s="64"/>
      <c r="M8" s="64"/>
      <c r="N8" s="64"/>
      <c r="O8" s="65"/>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7" t="s">
        <v>25</v>
      </c>
      <c r="O9" s="68"/>
      <c r="P9" s="42" t="s">
        <v>4</v>
      </c>
    </row>
    <row r="10" spans="2:16" ht="30" customHeight="1" x14ac:dyDescent="0.3">
      <c r="B10" s="10" t="str">
        <f>IFERROR(TEXT('Biweekly Expense Report USD'!$C10,"aaaa"), "")</f>
        <v>Monday</v>
      </c>
      <c r="C10" s="13">
        <f>L4</f>
        <v>46027</v>
      </c>
      <c r="D10" s="51"/>
      <c r="E10" s="52"/>
      <c r="F10" s="21"/>
      <c r="G10" s="22"/>
      <c r="H10" s="25"/>
      <c r="I10" s="30"/>
      <c r="J10" s="21"/>
      <c r="K10" s="22"/>
      <c r="L10" s="21"/>
      <c r="M10" s="22"/>
      <c r="N10" s="44"/>
      <c r="O10" s="26">
        <v>0.48</v>
      </c>
      <c r="P10" s="43">
        <f>IFERROR(SUM(D10:M10)+(N10*O10), "")</f>
        <v>0</v>
      </c>
    </row>
    <row r="11" spans="2:16" ht="30" customHeight="1" x14ac:dyDescent="0.3">
      <c r="B11" s="10" t="str">
        <f>IFERROR(TEXT('Biweekly Expense Report USD'!$C11,"aaaa"), "")</f>
        <v>Tuesday</v>
      </c>
      <c r="C11" s="13">
        <f>IF($L$4="","",$L$4+1)</f>
        <v>46028</v>
      </c>
      <c r="D11" s="51"/>
      <c r="E11" s="52"/>
      <c r="F11" s="21"/>
      <c r="G11" s="22"/>
      <c r="H11" s="53"/>
      <c r="I11" s="30"/>
      <c r="J11" s="21"/>
      <c r="K11" s="22"/>
      <c r="L11" s="21"/>
      <c r="M11" s="22"/>
      <c r="N11" s="44"/>
      <c r="O11" s="45">
        <v>0.48</v>
      </c>
      <c r="P11" s="43">
        <f t="shared" ref="P11:P23" si="0">IFERROR(SUM(D11:M11)+(N11*O11), "")</f>
        <v>0</v>
      </c>
    </row>
    <row r="12" spans="2:16" ht="30" customHeight="1" x14ac:dyDescent="0.3">
      <c r="B12" s="10" t="str">
        <f>IFERROR(TEXT('Biweekly Expense Report USD'!$C12,"aaaa"), "")</f>
        <v>Wednesday</v>
      </c>
      <c r="C12" s="13">
        <f>IF($L$4="","",$L$4+2)</f>
        <v>46029</v>
      </c>
      <c r="D12" s="51"/>
      <c r="E12" s="52"/>
      <c r="F12" s="21"/>
      <c r="G12" s="22"/>
      <c r="H12" s="25"/>
      <c r="I12" s="30"/>
      <c r="J12" s="21"/>
      <c r="K12" s="22"/>
      <c r="L12" s="21"/>
      <c r="M12" s="22"/>
      <c r="N12" s="44"/>
      <c r="O12" s="45">
        <v>0.48</v>
      </c>
      <c r="P12" s="43">
        <f t="shared" si="0"/>
        <v>0</v>
      </c>
    </row>
    <row r="13" spans="2:16" ht="30" customHeight="1" x14ac:dyDescent="0.3">
      <c r="B13" s="10" t="str">
        <f>IFERROR(TEXT('Biweekly Expense Report USD'!$C13,"aaaa"), "")</f>
        <v>Thursday</v>
      </c>
      <c r="C13" s="13">
        <f>IF($L$4="","",$L$4+3)</f>
        <v>46030</v>
      </c>
      <c r="D13" s="51"/>
      <c r="E13" s="52"/>
      <c r="F13" s="21"/>
      <c r="G13" s="22"/>
      <c r="H13" s="25"/>
      <c r="I13" s="30"/>
      <c r="J13" s="21"/>
      <c r="K13" s="22"/>
      <c r="L13" s="21"/>
      <c r="M13" s="22"/>
      <c r="N13" s="44"/>
      <c r="O13" s="45">
        <v>0.48</v>
      </c>
      <c r="P13" s="43">
        <f t="shared" si="0"/>
        <v>0</v>
      </c>
    </row>
    <row r="14" spans="2:16" ht="30" customHeight="1" x14ac:dyDescent="0.3">
      <c r="B14" s="10" t="str">
        <f>IFERROR(TEXT('Biweekly Expense Report USD'!$C14,"aaaa"), "")</f>
        <v>Friday</v>
      </c>
      <c r="C14" s="13">
        <f>IF($L$4="","",$L$4+4)</f>
        <v>46031</v>
      </c>
      <c r="D14" s="51"/>
      <c r="E14" s="52"/>
      <c r="F14" s="21"/>
      <c r="G14" s="22"/>
      <c r="H14" s="25"/>
      <c r="I14" s="30"/>
      <c r="J14" s="21"/>
      <c r="K14" s="22"/>
      <c r="L14" s="21"/>
      <c r="M14" s="22"/>
      <c r="N14" s="44"/>
      <c r="O14" s="45">
        <v>0.48</v>
      </c>
      <c r="P14" s="43">
        <f t="shared" si="0"/>
        <v>0</v>
      </c>
    </row>
    <row r="15" spans="2:16" ht="30" customHeight="1" x14ac:dyDescent="0.3">
      <c r="B15" s="10" t="str">
        <f>IFERROR(TEXT('Biweekly Expense Report USD'!$C15,"aaaa"), "")</f>
        <v>Saturday</v>
      </c>
      <c r="C15" s="13">
        <f>IF($L$4="","",$L$4+5)</f>
        <v>46032</v>
      </c>
      <c r="D15" s="24"/>
      <c r="E15" s="52"/>
      <c r="F15" s="21"/>
      <c r="G15" s="22"/>
      <c r="H15" s="53"/>
      <c r="I15" s="30"/>
      <c r="J15" s="21"/>
      <c r="K15" s="22"/>
      <c r="L15" s="21"/>
      <c r="M15" s="22"/>
      <c r="N15" s="44"/>
      <c r="O15" s="45">
        <v>0.48</v>
      </c>
      <c r="P15" s="43">
        <f t="shared" si="0"/>
        <v>0</v>
      </c>
    </row>
    <row r="16" spans="2:16" ht="30" customHeight="1" x14ac:dyDescent="0.3">
      <c r="B16" s="10" t="str">
        <f>IFERROR(TEXT('Biweekly Expense Report USD'!$C16,"aaaa"), "")</f>
        <v>Sunday</v>
      </c>
      <c r="C16" s="13">
        <f>IF($L$4="","",$L$4+6)</f>
        <v>46033</v>
      </c>
      <c r="D16" s="24"/>
      <c r="E16" s="52"/>
      <c r="F16" s="21"/>
      <c r="G16" s="22"/>
      <c r="H16" s="25"/>
      <c r="I16" s="30"/>
      <c r="J16" s="21"/>
      <c r="K16" s="22"/>
      <c r="L16" s="21"/>
      <c r="M16" s="22"/>
      <c r="N16" s="44"/>
      <c r="O16" s="45">
        <v>0.48</v>
      </c>
      <c r="P16" s="43">
        <f t="shared" si="0"/>
        <v>0</v>
      </c>
    </row>
    <row r="17" spans="2:16" ht="30" customHeight="1" x14ac:dyDescent="0.3">
      <c r="B17" s="10" t="str">
        <f>IFERROR(TEXT('Biweekly Expense Report USD'!$C17,"aaaa"), "")</f>
        <v>Monday</v>
      </c>
      <c r="C17" s="13">
        <f>IF($L$4="","",$L$4+7)</f>
        <v>46034</v>
      </c>
      <c r="D17" s="24"/>
      <c r="E17" s="52"/>
      <c r="F17" s="21"/>
      <c r="G17" s="22"/>
      <c r="H17" s="25"/>
      <c r="I17" s="30"/>
      <c r="J17" s="21"/>
      <c r="K17" s="22"/>
      <c r="L17" s="21"/>
      <c r="M17" s="22"/>
      <c r="N17" s="44"/>
      <c r="O17" s="45">
        <v>0.48</v>
      </c>
      <c r="P17" s="43">
        <f t="shared" si="0"/>
        <v>0</v>
      </c>
    </row>
    <row r="18" spans="2:16" ht="30" customHeight="1" x14ac:dyDescent="0.3">
      <c r="B18" s="10" t="str">
        <f>IFERROR(TEXT('Biweekly Expense Report USD'!$C18,"aaaa"), "")</f>
        <v>Tuesday</v>
      </c>
      <c r="C18" s="13">
        <f>IF($L$4="","",$L$4+8)</f>
        <v>46035</v>
      </c>
      <c r="D18" s="51"/>
      <c r="E18" s="22"/>
      <c r="F18" s="21"/>
      <c r="G18" s="22"/>
      <c r="H18" s="53"/>
      <c r="I18" s="30"/>
      <c r="J18" s="21"/>
      <c r="K18" s="22"/>
      <c r="L18" s="21"/>
      <c r="M18" s="22"/>
      <c r="N18" s="44"/>
      <c r="O18" s="45">
        <v>0.48</v>
      </c>
      <c r="P18" s="43">
        <f t="shared" si="0"/>
        <v>0</v>
      </c>
    </row>
    <row r="19" spans="2:16" ht="30" customHeight="1" x14ac:dyDescent="0.3">
      <c r="B19" s="10" t="str">
        <f>IFERROR(TEXT('Biweekly Expense Report USD'!$C19,"aaaa"), "")</f>
        <v>Wednesday</v>
      </c>
      <c r="C19" s="13">
        <f>IF($L$4="","",$L$4+9)</f>
        <v>46036</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USD'!$C20,"aaaa"), "")</f>
        <v>Thursday</v>
      </c>
      <c r="C20" s="13">
        <f>IF($L$4="","",$L$4+10)</f>
        <v>46037</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USD'!$C21,"aaaa"), "")</f>
        <v>Friday</v>
      </c>
      <c r="C21" s="13">
        <f>IF($L$4="","",$L$4+11)</f>
        <v>46038</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USD'!$C22,"aaaa"), "")</f>
        <v>Saturday</v>
      </c>
      <c r="C22" s="13">
        <f>IF($L$4="","",$L$4+12)</f>
        <v>46039</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USD'!$C23,"aaaa"), "")</f>
        <v>Sunday</v>
      </c>
      <c r="C23" s="17">
        <f>IF($L$4="","",$L$4+13)</f>
        <v>46040</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6" t="str">
        <f>'Biweekly Time Sheet'!D26:J26</f>
        <v>Daniel Trif</v>
      </c>
      <c r="E27" s="66"/>
      <c r="F27" s="66"/>
      <c r="G27" s="66"/>
      <c r="H27" s="66"/>
      <c r="I27" s="66"/>
      <c r="J27" s="66"/>
      <c r="K27" s="66"/>
      <c r="L27" s="66"/>
      <c r="M27" s="66"/>
      <c r="N27" s="66"/>
      <c r="O27" s="66"/>
      <c r="P27" s="20">
        <f>'Biweekly Time Sheet'!L26</f>
        <v>46040</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P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K3"/>
    <dataValidation allowBlank="1" showInputMessage="1" showErrorMessage="1" prompt="Enter Employee name in this cell" sqref="L3"/>
    <dataValidation allowBlank="1" showInputMessage="1" showErrorMessage="1" prompt="Enter Pay period start date in this cell" sqref="L4"/>
    <dataValidation allowBlank="1" showInputMessage="1" showErrorMessage="1" prompt="Enter Pay period end date in cell at right" sqref="K5"/>
    <dataValidation allowBlank="1" showInputMessage="1" showErrorMessage="1" prompt="Enter Pay period start date in cell at right" sqref="K4"/>
    <dataValidation allowBlank="1" showInputMessage="1" showErrorMessage="1" prompt="Enter Pay period end date in this cell" sqref="L5"/>
    <dataValidation allowBlank="1" showInputMessage="1" showErrorMessage="1" prompt="Enter Employee phone number in cell at right" sqref="M6 O6"/>
    <dataValidation allowBlank="1" showInputMessage="1" showErrorMessage="1" prompt="Enter Employee phone number in this cell" sqref="N6 P6"/>
    <dataValidation allowBlank="1" showInputMessage="1" showErrorMessage="1" prompt="Enter Regular Hours in this column under this heading" sqref="D9"/>
    <dataValidation allowBlank="1" showInputMessage="1" showErrorMessage="1" prompt="Date is automatically updated in this column under this heading based on Pay period start and end date in cells G3 and G4" sqref="C9"/>
    <dataValidation allowBlank="1" showInputMessage="1" showErrorMessage="1" prompt="Enter Overtime Hours in this column under this heading" sqref="E9:L9"/>
    <dataValidation allowBlank="1" showInputMessage="1" showErrorMessage="1" prompt="Enter Sick hours in this column under this heading" sqref="M9"/>
    <dataValidation allowBlank="1" showInputMessage="1" showErrorMessage="1" prompt="Enter Vacation hours in this column under this heading" sqref="N9"/>
    <dataValidation allowBlank="1" showInputMessage="1" showErrorMessage="1" prompt="Total Hours for each weekday are automatically calculated in this column under this heading" sqref="P9"/>
    <dataValidation allowBlank="1" showInputMessage="1" showErrorMessage="1" prompt="Total hours for the entire period are automatically calculated in cells at right" sqref="C24"/>
    <dataValidation allowBlank="1" showInputMessage="1" showErrorMessage="1" prompt="Enter Employee Signature in this cell" sqref="D25:O25"/>
    <dataValidation allowBlank="1" showInputMessage="1" showErrorMessage="1" prompt="Enter Manager Signature in this cell" sqref="D27"/>
    <dataValidation allowBlank="1" showInputMessage="1" showErrorMessage="1" prompt="Enter Date in this cell" sqref="P25"/>
    <dataValidation allowBlank="1" showInputMessage="1" showErrorMessage="1" prompt="Enter Street Address in cell at right" sqref="B3"/>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1"/>
  <sheetViews>
    <sheetView zoomScaleNormal="100" workbookViewId="0"/>
  </sheetViews>
  <sheetFormatPr defaultRowHeight="16.5" x14ac:dyDescent="0.3"/>
  <cols>
    <col min="1" max="1" width="24.375" bestFit="1" customWidth="1"/>
  </cols>
  <sheetData>
    <row r="1" spans="1:4" ht="17.25" thickBot="1" x14ac:dyDescent="0.35">
      <c r="A1" s="34" t="s">
        <v>28</v>
      </c>
      <c r="B1" s="34"/>
      <c r="C1" s="34"/>
      <c r="D1" s="34"/>
    </row>
    <row r="2" spans="1:4" x14ac:dyDescent="0.3">
      <c r="A2" s="35" t="s">
        <v>29</v>
      </c>
      <c r="B2" s="35"/>
      <c r="C2" s="36">
        <f>'Biweekly Time Sheet'!D$23</f>
        <v>80</v>
      </c>
      <c r="D2" s="35"/>
    </row>
    <row r="3" spans="1:4" x14ac:dyDescent="0.3">
      <c r="A3" s="35" t="s">
        <v>30</v>
      </c>
      <c r="B3" s="35"/>
      <c r="C3" s="36">
        <f>'Biweekly Time Sheet'!E$23</f>
        <v>9</v>
      </c>
      <c r="D3" s="35"/>
    </row>
    <row r="4" spans="1:4" x14ac:dyDescent="0.3">
      <c r="A4" s="35" t="s">
        <v>31</v>
      </c>
      <c r="B4" s="35"/>
      <c r="C4" s="36">
        <f>'Biweekly Time Sheet'!F$23</f>
        <v>0</v>
      </c>
      <c r="D4" s="35"/>
    </row>
    <row r="5" spans="1:4" x14ac:dyDescent="0.3">
      <c r="A5" s="35" t="s">
        <v>32</v>
      </c>
      <c r="B5" s="35"/>
      <c r="C5" s="36">
        <f>'Biweekly Time Sheet'!G$23</f>
        <v>3</v>
      </c>
      <c r="D5" s="35"/>
    </row>
    <row r="6" spans="1:4" x14ac:dyDescent="0.3">
      <c r="A6" s="35" t="s">
        <v>43</v>
      </c>
      <c r="B6" s="35"/>
      <c r="C6" s="36">
        <f>'Biweekly Time Sheet'!H$23</f>
        <v>0</v>
      </c>
      <c r="D6" s="35"/>
    </row>
    <row r="7" spans="1:4" x14ac:dyDescent="0.3">
      <c r="A7" s="35" t="s">
        <v>33</v>
      </c>
      <c r="B7" s="35"/>
      <c r="C7" s="36">
        <f>'Biweekly Time Sheet'!I$23</f>
        <v>0</v>
      </c>
      <c r="D7" s="35"/>
    </row>
    <row r="8" spans="1:4" x14ac:dyDescent="0.3">
      <c r="A8" s="35" t="s">
        <v>34</v>
      </c>
      <c r="B8" s="35"/>
      <c r="C8" s="36">
        <f>'Biweekly Time Sheet'!J$23</f>
        <v>0</v>
      </c>
      <c r="D8" s="35"/>
    </row>
    <row r="9" spans="1:4" s="8" customFormat="1" x14ac:dyDescent="0.3">
      <c r="A9" s="35" t="s">
        <v>47</v>
      </c>
      <c r="B9" s="35"/>
      <c r="C9" s="36">
        <f>'Biweekly Time Sheet'!K$23</f>
        <v>0</v>
      </c>
      <c r="D9" s="35"/>
    </row>
    <row r="10" spans="1:4" x14ac:dyDescent="0.3">
      <c r="A10" s="35" t="s">
        <v>35</v>
      </c>
      <c r="B10" s="35"/>
      <c r="C10" s="37">
        <f>'Biweekly Expense Report CAD'!P24</f>
        <v>70</v>
      </c>
      <c r="D10" s="35" t="s">
        <v>37</v>
      </c>
    </row>
    <row r="11" spans="1:4" x14ac:dyDescent="0.3">
      <c r="A11" s="35" t="s">
        <v>36</v>
      </c>
      <c r="B11" s="35"/>
      <c r="C11" s="37">
        <f>'Biweekly Expense Report USD'!P24</f>
        <v>0</v>
      </c>
      <c r="D11" s="35"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Daniel Trif</cp:lastModifiedBy>
  <cp:lastPrinted>2024-10-18T17:40:27Z</cp:lastPrinted>
  <dcterms:created xsi:type="dcterms:W3CDTF">2017-09-11T06:48:50Z</dcterms:created>
  <dcterms:modified xsi:type="dcterms:W3CDTF">2026-01-19T11:29:14Z</dcterms:modified>
</cp:coreProperties>
</file>