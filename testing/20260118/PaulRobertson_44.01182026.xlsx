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showInkAnnotation="0"/>
  <mc:AlternateContent xmlns:mc="http://schemas.openxmlformats.org/markup-compatibility/2006">
    <mc:Choice Requires="x15">
      <x15ac:absPath xmlns:x15ac="http://schemas.microsoft.com/office/spreadsheetml/2010/11/ac" url="https://d.docs.live.net/cd94f35454ffe4a7/02 R^0D Controls Corp/CENTERLINE/_Approved Hours/OCR/timesheets/20260118/"/>
    </mc:Choice>
  </mc:AlternateContent>
  <xr:revisionPtr revIDLastSave="5" documentId="13_ncr:1_{71C77176-D68E-4C54-BC6D-B15FCA288FF8}" xr6:coauthVersionLast="47" xr6:coauthVersionMax="47" xr10:uidLastSave="{BDF9C86B-293C-404F-BB15-5E72E9F63672}"/>
  <bookViews>
    <workbookView xWindow="-120" yWindow="-16320" windowWidth="29040" windowHeight="15720" tabRatio="478"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c r="D27" i="5"/>
  <c r="D27" i="3"/>
  <c r="C12" i="1"/>
  <c r="B12" i="1"/>
  <c r="M24" i="5"/>
  <c r="L24" i="5"/>
  <c r="K24" i="5"/>
  <c r="J24" i="5"/>
  <c r="I24" i="5"/>
  <c r="H24" i="5"/>
  <c r="G24" i="5"/>
  <c r="F24" i="5"/>
  <c r="E24" i="5"/>
  <c r="D24" i="5"/>
  <c r="P23" i="5"/>
  <c r="P22" i="5"/>
  <c r="P21" i="5"/>
  <c r="P20" i="5"/>
  <c r="P19" i="5"/>
  <c r="P18" i="5"/>
  <c r="P17" i="5"/>
  <c r="P16" i="5"/>
  <c r="P15" i="5"/>
  <c r="P14" i="5"/>
  <c r="P13" i="5"/>
  <c r="P12" i="5"/>
  <c r="P11" i="5"/>
  <c r="P10" i="5"/>
  <c r="L4" i="5"/>
  <c r="C22" i="5"/>
  <c r="B22" i="5"/>
  <c r="L3" i="5"/>
  <c r="P23" i="3"/>
  <c r="P22" i="3"/>
  <c r="P21" i="3"/>
  <c r="P20" i="3"/>
  <c r="P19" i="3"/>
  <c r="P18" i="3"/>
  <c r="P17" i="3"/>
  <c r="P16" i="3"/>
  <c r="P15" i="3"/>
  <c r="P14" i="3"/>
  <c r="P13" i="3"/>
  <c r="P12" i="3"/>
  <c r="P11" i="3"/>
  <c r="P10" i="3"/>
  <c r="L4" i="3"/>
  <c r="C21" i="3"/>
  <c r="B21" i="3"/>
  <c r="L3" i="3"/>
  <c r="H24" i="3"/>
  <c r="G24" i="3"/>
  <c r="F24" i="3"/>
  <c r="E24" i="3"/>
  <c r="M24" i="3"/>
  <c r="L24" i="3"/>
  <c r="K24" i="3"/>
  <c r="J24" i="3"/>
  <c r="I24" i="3"/>
  <c r="D24" i="3"/>
  <c r="J23" i="1"/>
  <c r="C8" i="4"/>
  <c r="I23" i="1"/>
  <c r="C7" i="4"/>
  <c r="H23" i="1"/>
  <c r="C6" i="4"/>
  <c r="G23" i="1"/>
  <c r="C5" i="4"/>
  <c r="F23" i="1"/>
  <c r="C4" i="4"/>
  <c r="E23" i="1"/>
  <c r="C3" i="4" s="1"/>
  <c r="D23" i="1"/>
  <c r="C2" i="4" s="1"/>
  <c r="H5" i="1"/>
  <c r="L5" i="5"/>
  <c r="C11" i="1"/>
  <c r="B11" i="1"/>
  <c r="C22" i="1"/>
  <c r="B22" i="1"/>
  <c r="C21" i="1"/>
  <c r="B21" i="1"/>
  <c r="C20" i="1"/>
  <c r="B20" i="1"/>
  <c r="C19" i="1"/>
  <c r="B19" i="1"/>
  <c r="C18" i="1"/>
  <c r="B18" i="1"/>
  <c r="C17" i="1"/>
  <c r="B17" i="1"/>
  <c r="C16" i="1"/>
  <c r="B16" i="1"/>
  <c r="C15" i="1"/>
  <c r="B15" i="1"/>
  <c r="C14" i="1"/>
  <c r="B14" i="1"/>
  <c r="C13" i="1"/>
  <c r="B13" i="1"/>
  <c r="C10" i="1"/>
  <c r="B10" i="1"/>
  <c r="C9" i="1"/>
  <c r="B9" i="1"/>
  <c r="C16" i="5"/>
  <c r="B16" i="5"/>
  <c r="P24" i="3"/>
  <c r="C10" i="4"/>
  <c r="P24" i="5"/>
  <c r="C11" i="4"/>
  <c r="C18" i="5"/>
  <c r="B18" i="5"/>
  <c r="C10" i="3"/>
  <c r="B10" i="3"/>
  <c r="C18" i="3"/>
  <c r="B18" i="3"/>
  <c r="C10" i="5"/>
  <c r="B10" i="5"/>
  <c r="C11" i="5"/>
  <c r="B11" i="5"/>
  <c r="C12" i="3"/>
  <c r="B12" i="3"/>
  <c r="C23" i="5"/>
  <c r="B23" i="5"/>
  <c r="C19" i="5"/>
  <c r="B19" i="5"/>
  <c r="C21" i="5"/>
  <c r="B21" i="5"/>
  <c r="C11" i="3"/>
  <c r="B11" i="3"/>
  <c r="C15" i="5"/>
  <c r="B15" i="5"/>
  <c r="C13" i="3"/>
  <c r="B13" i="3"/>
  <c r="C20" i="5"/>
  <c r="B20" i="5"/>
  <c r="C17" i="3"/>
  <c r="B17" i="3"/>
  <c r="C12" i="5"/>
  <c r="B12" i="5"/>
  <c r="C15" i="3"/>
  <c r="B15" i="3"/>
  <c r="C17" i="5"/>
  <c r="B17" i="5"/>
  <c r="C16" i="3"/>
  <c r="B16" i="3"/>
  <c r="C20" i="3"/>
  <c r="B20" i="3"/>
  <c r="C13" i="5"/>
  <c r="B13" i="5"/>
  <c r="C14" i="5"/>
  <c r="B14" i="5"/>
  <c r="C19" i="3"/>
  <c r="B19" i="3"/>
  <c r="C14" i="3"/>
  <c r="B14" i="3"/>
  <c r="C23" i="3"/>
  <c r="B23" i="3"/>
  <c r="C22" i="3"/>
  <c r="B22" i="3"/>
  <c r="L26" i="1"/>
  <c r="L5" i="3"/>
  <c r="P27" i="3"/>
  <c r="P27" i="5"/>
  <c r="L23" i="1" l="1"/>
</calcChain>
</file>

<file path=xl/sharedStrings.xml><?xml version="1.0" encoding="utf-8"?>
<sst xmlns="http://schemas.openxmlformats.org/spreadsheetml/2006/main" count="89" uniqueCount="53">
  <si>
    <t>R&amp;D Controls Corp. Biweekly Time Sheet</t>
  </si>
  <si>
    <t>Employee:</t>
  </si>
  <si>
    <t>Paul Robertson</t>
  </si>
  <si>
    <t>Pay period start date:</t>
  </si>
  <si>
    <t>Pay period end date:</t>
  </si>
  <si>
    <t>Day</t>
  </si>
  <si>
    <t>Date</t>
  </si>
  <si>
    <t>Regular Hours</t>
  </si>
  <si>
    <t>Overtime 1 Hours</t>
  </si>
  <si>
    <t>Overtime 2 Hours</t>
  </si>
  <si>
    <t>Drive Hours</t>
  </si>
  <si>
    <t>Sick/PEL</t>
  </si>
  <si>
    <t>Vacation</t>
  </si>
  <si>
    <t>Holiday</t>
  </si>
  <si>
    <t>Non-Billable</t>
  </si>
  <si>
    <t>Total</t>
  </si>
  <si>
    <t>Note [Please explain Non-Billable Time]</t>
  </si>
  <si>
    <t>Total hours</t>
  </si>
  <si>
    <t>Employee signature</t>
  </si>
  <si>
    <t>EmpTS_00x-Default_v2.1</t>
  </si>
  <si>
    <t>R&amp;D Controls Corp. Biweekly Expense Report - Canadian Dollars</t>
  </si>
  <si>
    <t>Travel Expenses</t>
  </si>
  <si>
    <t>Transportation</t>
  </si>
  <si>
    <t>Per Diem - Travel</t>
  </si>
  <si>
    <t>Per Diem - Full</t>
  </si>
  <si>
    <t>Lodging</t>
  </si>
  <si>
    <t>Lodging - Per Receipt</t>
  </si>
  <si>
    <t>Luggage</t>
  </si>
  <si>
    <t>Car Rental</t>
  </si>
  <si>
    <t>Tolls</t>
  </si>
  <si>
    <t>Vehicle Maintenance</t>
  </si>
  <si>
    <t>Parking Fees</t>
  </si>
  <si>
    <t>Taxi</t>
  </si>
  <si>
    <t>Mileage</t>
  </si>
  <si>
    <t>EmpTS_00x-Default_v2.0</t>
  </si>
  <si>
    <t>R&amp;D Controls Corp. Biweekly Expense Report - US Dollars</t>
  </si>
  <si>
    <t>Accounting Use Only</t>
  </si>
  <si>
    <t>Total Regular Hours</t>
  </si>
  <si>
    <t>Total Overtime 1 Hours</t>
  </si>
  <si>
    <t>Total Overtime 2 Hours</t>
  </si>
  <si>
    <t>Total Drive Hours</t>
  </si>
  <si>
    <t>Total Sick/PEL Hours</t>
  </si>
  <si>
    <t>Total Vacation Hours</t>
  </si>
  <si>
    <t>Total Holiday Hours</t>
  </si>
  <si>
    <t>Total Non-Billable Hours</t>
  </si>
  <si>
    <t>Total Expenses - CAD</t>
  </si>
  <si>
    <t>CAD</t>
  </si>
  <si>
    <t>Total Expenses - USD</t>
  </si>
  <si>
    <t>USD</t>
  </si>
  <si>
    <t>Office</t>
  </si>
  <si>
    <t>FNG - Detroit</t>
  </si>
  <si>
    <t>Emac</t>
  </si>
  <si>
    <t>FNG - Detroit; Adjusted for 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</si>
</sst>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164" formatCode="&quot;$&quot;#,##0.00"/>
    <numFmt numFmtId="165" formatCode="[&lt;=9999999]###\-####;\(###\)\ ###\-####"/>
    <numFmt numFmtId="166" formatCode="&quot;$&quot;#,##0"/>
    <numFmt numFmtId="167"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4" fontId="4" fillId="0" borderId="0" applyFill="0" applyBorder="0" applyProtection="0">
      <alignment horizontal="right" vertical="center" indent="1"/>
    </xf>
    <xf numFmtId="2" fontId="4" fillId="0" borderId="0" applyFont="0" applyFill="0" applyBorder="0" applyProtection="0">
      <alignment horizontal="right" vertical="center" indent="1"/>
    </xf>
    <xf numFmtId="41" fontId="4" fillId="0" borderId="0" applyFont="0" applyFill="0" applyBorder="0" applyAlignment="0" applyProtection="0"/>
    <xf numFmtId="166"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5"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0">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4" fontId="0" fillId="0" borderId="3" xfId="2" applyNumberFormat="1" applyFont="1" applyBorder="1">
      <alignment horizontal="right" vertical="center" indent="1"/>
    </xf>
    <xf numFmtId="164" fontId="0" fillId="6" borderId="3" xfId="2" applyNumberFormat="1" applyFont="1" applyFill="1" applyBorder="1">
      <alignment horizontal="right" vertical="center" indent="1"/>
    </xf>
    <xf numFmtId="164" fontId="0" fillId="0" borderId="6" xfId="2" applyNumberFormat="1" applyFont="1" applyBorder="1">
      <alignment horizontal="right" vertical="center" indent="1"/>
    </xf>
    <xf numFmtId="164" fontId="0" fillId="0" borderId="7" xfId="2" applyNumberFormat="1" applyFont="1" applyBorder="1">
      <alignment horizontal="right" vertical="center" indent="1"/>
    </xf>
    <xf numFmtId="164" fontId="0" fillId="0" borderId="8" xfId="2" applyNumberFormat="1" applyFont="1" applyBorder="1">
      <alignment horizontal="right" vertical="center" indent="1"/>
    </xf>
    <xf numFmtId="164" fontId="6" fillId="2" borderId="9" xfId="11" applyNumberFormat="1" applyBorder="1">
      <alignment horizontal="right" vertical="center" indent="1"/>
    </xf>
    <xf numFmtId="164" fontId="6" fillId="2" borderId="10" xfId="11" applyNumberFormat="1" applyBorder="1">
      <alignment horizontal="right" vertical="center" indent="1"/>
    </xf>
    <xf numFmtId="164" fontId="6" fillId="2" borderId="11" xfId="11" applyNumberFormat="1" applyBorder="1">
      <alignment horizontal="right" vertical="center" indent="1"/>
    </xf>
    <xf numFmtId="164"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4" fontId="10" fillId="5" borderId="0" xfId="21" applyNumberFormat="1" applyFont="1" applyAlignment="1">
      <alignment horizontal="right" vertical="center" indent="1"/>
    </xf>
    <xf numFmtId="0" fontId="11" fillId="0" borderId="0" xfId="0" applyFont="1" applyAlignment="1">
      <alignment horizontal="right" vertical="center" indent="1"/>
    </xf>
    <xf numFmtId="167" fontId="6" fillId="0" borderId="0" xfId="11" applyNumberFormat="1" applyFill="1" applyBorder="1">
      <alignment horizontal="right" vertical="center" indent="1"/>
    </xf>
    <xf numFmtId="164" fontId="6" fillId="0" borderId="0" xfId="11" applyNumberFormat="1" applyFill="1" applyBorder="1">
      <alignment horizontal="right" vertical="center" indent="1"/>
    </xf>
    <xf numFmtId="164" fontId="6" fillId="2" borderId="21" xfId="11" applyNumberFormat="1" applyBorder="1">
      <alignment horizontal="right" vertical="center" indent="1"/>
    </xf>
    <xf numFmtId="0" fontId="6" fillId="4" borderId="22" xfId="20" applyFont="1" applyFill="1" applyBorder="1">
      <alignment horizontal="center" vertical="center"/>
    </xf>
    <xf numFmtId="164" fontId="0" fillId="6" borderId="23" xfId="2" applyNumberFormat="1" applyFont="1" applyFill="1" applyBorder="1">
      <alignment horizontal="right" vertical="center" indent="1"/>
    </xf>
    <xf numFmtId="167" fontId="0" fillId="0" borderId="1" xfId="2" applyNumberFormat="1" applyFont="1" applyBorder="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64" fontId="0" fillId="0" borderId="8" xfId="2" applyNumberFormat="1" applyFont="1" applyBorder="1" applyProtection="1">
      <alignment horizontal="right" vertical="center" indent="1"/>
    </xf>
    <xf numFmtId="164" fontId="0" fillId="6" borderId="3" xfId="2" applyNumberFormat="1" applyFont="1" applyFill="1" applyBorder="1" applyProtection="1">
      <alignment horizontal="right" vertical="center" indent="1"/>
    </xf>
    <xf numFmtId="0" fontId="4" fillId="0" borderId="2" xfId="18" applyAlignment="1">
      <alignment horizontal="left"/>
    </xf>
    <xf numFmtId="14" fontId="0" fillId="2" borderId="2" xfId="19" applyFont="1" applyBorder="1" applyAlignment="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629815</xdr:colOff>
      <xdr:row>6</xdr:row>
      <xdr:rowOff>19028</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885825</xdr:colOff>
      <xdr:row>6</xdr:row>
      <xdr:rowOff>18287</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zoomScale="69" zoomScaleNormal="70" workbookViewId="0">
      <selection activeCell="D12" activeCellId="1" sqref="K9:K11 D12:D13"/>
    </sheetView>
  </sheetViews>
  <sheetFormatPr defaultRowHeight="30" customHeight="1" x14ac:dyDescent="0.4"/>
  <cols>
    <col min="1" max="1" width="2.625" customWidth="1"/>
    <col min="2" max="4" width="16.625" customWidth="1"/>
    <col min="5" max="5" width="18.125" bestFit="1" customWidth="1"/>
    <col min="6" max="6" width="18.5" bestFit="1" customWidth="1"/>
    <col min="7" max="8" width="16.75" customWidth="1"/>
    <col min="9" max="11" width="16.625" customWidth="1"/>
    <col min="12" max="12" width="18.625" customWidth="1"/>
    <col min="13" max="13" width="2.625" customWidth="1"/>
    <col min="15" max="15" width="62.25" customWidth="1"/>
  </cols>
  <sheetData>
    <row r="1" spans="2:15" ht="55.5" customHeight="1" x14ac:dyDescent="0.65">
      <c r="B1" s="49" t="s">
        <v>0</v>
      </c>
      <c r="C1" s="49"/>
      <c r="D1" s="49"/>
      <c r="E1" s="49"/>
      <c r="F1" s="49"/>
      <c r="G1" s="49"/>
      <c r="H1" s="49"/>
      <c r="I1" s="49"/>
      <c r="J1" s="49"/>
      <c r="K1" s="49"/>
      <c r="L1" s="49"/>
    </row>
    <row r="2" spans="2:15" ht="42.75" customHeight="1" x14ac:dyDescent="0.4">
      <c r="B2" s="1"/>
      <c r="C2" s="1"/>
      <c r="D2" s="1"/>
    </row>
    <row r="3" spans="2:15" ht="30" customHeight="1" x14ac:dyDescent="0.4">
      <c r="C3" s="48"/>
      <c r="D3" s="48"/>
      <c r="G3" s="4" t="s">
        <v>1</v>
      </c>
      <c r="H3" s="52" t="s">
        <v>2</v>
      </c>
      <c r="I3" s="52"/>
      <c r="J3" s="52"/>
      <c r="K3" s="52"/>
      <c r="L3" s="52"/>
    </row>
    <row r="4" spans="2:15" ht="30" customHeight="1" x14ac:dyDescent="0.4">
      <c r="G4" s="5" t="s">
        <v>3</v>
      </c>
      <c r="H4" s="53">
        <v>46027</v>
      </c>
      <c r="I4" s="53"/>
      <c r="J4" s="53"/>
      <c r="K4" s="53"/>
      <c r="L4" s="53"/>
    </row>
    <row r="5" spans="2:15" ht="30" customHeight="1" x14ac:dyDescent="0.4">
      <c r="G5" s="5" t="s">
        <v>4</v>
      </c>
      <c r="H5" s="47">
        <f>IFERROR(IF($H$4="","",$H$4+13), "")</f>
        <v>46040</v>
      </c>
      <c r="I5" s="47"/>
      <c r="J5" s="47"/>
      <c r="K5" s="47"/>
      <c r="L5" s="47"/>
    </row>
    <row r="6" spans="2:15" ht="30" customHeight="1" x14ac:dyDescent="0.4">
      <c r="J6" s="48"/>
      <c r="K6" s="48"/>
      <c r="L6" s="48"/>
    </row>
    <row r="7" spans="2:15" ht="15" customHeight="1" x14ac:dyDescent="0.4"/>
    <row r="8" spans="2:15" ht="30" customHeight="1" x14ac:dyDescent="0.4">
      <c r="B8" s="7" t="s">
        <v>5</v>
      </c>
      <c r="C8" s="7" t="s">
        <v>6</v>
      </c>
      <c r="D8" s="8" t="s">
        <v>7</v>
      </c>
      <c r="E8" s="8" t="s">
        <v>8</v>
      </c>
      <c r="F8" s="8" t="s">
        <v>9</v>
      </c>
      <c r="G8" s="8" t="s">
        <v>10</v>
      </c>
      <c r="H8" s="8" t="s">
        <v>11</v>
      </c>
      <c r="I8" s="8" t="s">
        <v>12</v>
      </c>
      <c r="J8" s="8" t="s">
        <v>13</v>
      </c>
      <c r="K8" s="8" t="s">
        <v>14</v>
      </c>
      <c r="L8" s="9" t="s">
        <v>15</v>
      </c>
      <c r="O8" s="43" t="s">
        <v>16</v>
      </c>
    </row>
    <row r="9" spans="2:15" ht="30" customHeight="1" x14ac:dyDescent="0.4">
      <c r="B9" s="7" t="str">
        <f>IFERROR(TEXT('Biweekly Time Sheet'!$C9,"aaaa"), "")</f>
        <v>Monday</v>
      </c>
      <c r="C9" s="10">
        <f>H4</f>
        <v>46027</v>
      </c>
      <c r="D9" s="11"/>
      <c r="E9" s="12"/>
      <c r="F9" s="11"/>
      <c r="G9" s="12"/>
      <c r="H9" s="11"/>
      <c r="I9" s="12"/>
      <c r="J9" s="11"/>
      <c r="K9" s="12">
        <v>8</v>
      </c>
      <c r="L9" s="41">
        <f>IFERROR(SUM(D9:K9), "")</f>
        <v>8</v>
      </c>
      <c r="O9" s="42" t="s">
        <v>49</v>
      </c>
    </row>
    <row r="10" spans="2:15" ht="30" customHeight="1" x14ac:dyDescent="0.4">
      <c r="B10" s="7" t="str">
        <f>IFERROR(TEXT('Biweekly Time Sheet'!$C10,"aaaa"), "")</f>
        <v>Tuesday</v>
      </c>
      <c r="C10" s="10">
        <f>IF($H$4="","",$H$4+1)</f>
        <v>46028</v>
      </c>
      <c r="D10" s="11"/>
      <c r="E10" s="12"/>
      <c r="F10" s="11"/>
      <c r="G10" s="12"/>
      <c r="H10" s="11"/>
      <c r="I10" s="12"/>
      <c r="J10" s="11"/>
      <c r="K10" s="12">
        <v>7</v>
      </c>
      <c r="L10" s="41">
        <f t="shared" ref="L10:L22" si="0">IFERROR(SUM(D10:K10), "")</f>
        <v>7</v>
      </c>
      <c r="O10" s="42" t="s">
        <v>49</v>
      </c>
    </row>
    <row r="11" spans="2:15" ht="30" customHeight="1" x14ac:dyDescent="0.4">
      <c r="B11" s="7" t="str">
        <f>IFERROR(TEXT('Biweekly Time Sheet'!$C11,"aaaa"), "")</f>
        <v>Wednesday</v>
      </c>
      <c r="C11" s="10">
        <f>IF($H$4="","",$H$4+2)</f>
        <v>46029</v>
      </c>
      <c r="D11" s="11"/>
      <c r="E11" s="12"/>
      <c r="F11" s="11"/>
      <c r="G11" s="12"/>
      <c r="H11" s="11"/>
      <c r="I11" s="12"/>
      <c r="J11" s="11"/>
      <c r="K11" s="12">
        <v>6</v>
      </c>
      <c r="L11" s="41">
        <f t="shared" si="0"/>
        <v>6</v>
      </c>
      <c r="O11" s="42" t="s">
        <v>49</v>
      </c>
    </row>
    <row r="12" spans="2:15" ht="30" customHeight="1" x14ac:dyDescent="0.4">
      <c r="B12" s="7" t="str">
        <f>IFERROR(TEXT('Biweekly Time Sheet'!$C12,"aaaa"), "")</f>
        <v>Thursday</v>
      </c>
      <c r="C12" s="10">
        <f>IF($H$4="","",$H$4+3)</f>
        <v>46030</v>
      </c>
      <c r="D12" s="11">
        <v>11</v>
      </c>
      <c r="E12" s="12"/>
      <c r="F12" s="11"/>
      <c r="G12" s="12">
        <v>1</v>
      </c>
      <c r="H12" s="11"/>
      <c r="I12" s="12"/>
      <c r="J12" s="11"/>
      <c r="K12" s="12"/>
      <c r="L12" s="41">
        <f t="shared" si="0"/>
        <v>12</v>
      </c>
      <c r="O12" s="42" t="s">
        <v>50</v>
      </c>
    </row>
    <row r="13" spans="2:15" ht="30" customHeight="1" x14ac:dyDescent="0.4">
      <c r="B13" s="7" t="str">
        <f>IFERROR(TEXT('Biweekly Time Sheet'!$C13,"aaaa"), "")</f>
        <v>Friday</v>
      </c>
      <c r="C13" s="10">
        <f>IF($H$4="","",$H$4+4)</f>
        <v>46031</v>
      </c>
      <c r="D13" s="11">
        <v>8</v>
      </c>
      <c r="E13" s="12">
        <v>0.5</v>
      </c>
      <c r="F13" s="11"/>
      <c r="G13" s="12">
        <v>1</v>
      </c>
      <c r="H13" s="11"/>
      <c r="I13" s="12"/>
      <c r="J13" s="11"/>
      <c r="K13" s="12"/>
      <c r="L13" s="41">
        <f t="shared" si="0"/>
        <v>9.5</v>
      </c>
      <c r="O13" s="42" t="s">
        <v>52</v>
      </c>
    </row>
    <row r="14" spans="2:15" ht="30" customHeight="1" x14ac:dyDescent="0.4">
      <c r="B14" s="7" t="str">
        <f>IFERROR(TEXT('Biweekly Time Sheet'!$C14,"aaaa"), "")</f>
        <v>Saturday</v>
      </c>
      <c r="C14" s="10">
        <f>IF($H$4="","",$H$4+5)</f>
        <v>46032</v>
      </c>
      <c r="D14" s="11"/>
      <c r="E14" s="12"/>
      <c r="F14" s="11"/>
      <c r="G14" s="12"/>
      <c r="H14" s="11"/>
      <c r="I14" s="12"/>
      <c r="J14" s="11"/>
      <c r="K14" s="12"/>
      <c r="L14" s="41">
        <f t="shared" si="0"/>
        <v>0</v>
      </c>
      <c r="O14" s="42"/>
    </row>
    <row r="15" spans="2:15" ht="30" customHeight="1" x14ac:dyDescent="0.4">
      <c r="B15" s="7" t="str">
        <f>IFERROR(TEXT('Biweekly Time Sheet'!$C15,"aaaa"), "")</f>
        <v>Sunday</v>
      </c>
      <c r="C15" s="10">
        <f>IF($H$4="","",$H$4+6)</f>
        <v>46033</v>
      </c>
      <c r="D15" s="11"/>
      <c r="E15" s="12"/>
      <c r="F15" s="11"/>
      <c r="G15" s="12"/>
      <c r="H15" s="11"/>
      <c r="I15" s="12"/>
      <c r="J15" s="11"/>
      <c r="K15" s="12"/>
      <c r="L15" s="41">
        <f t="shared" si="0"/>
        <v>0</v>
      </c>
      <c r="O15" s="42"/>
    </row>
    <row r="16" spans="2:15" ht="30" customHeight="1" x14ac:dyDescent="0.4">
      <c r="B16" s="7" t="str">
        <f>IFERROR(TEXT('Biweekly Time Sheet'!$C16,"aaaa"), "")</f>
        <v>Monday</v>
      </c>
      <c r="C16" s="10">
        <f>IF($H$4="","",$H$4+7)</f>
        <v>46034</v>
      </c>
      <c r="D16" s="11"/>
      <c r="E16" s="12"/>
      <c r="F16" s="11"/>
      <c r="G16" s="12"/>
      <c r="H16" s="11"/>
      <c r="I16" s="12"/>
      <c r="J16" s="11"/>
      <c r="K16" s="12"/>
      <c r="L16" s="41">
        <f t="shared" si="0"/>
        <v>0</v>
      </c>
      <c r="O16" s="42"/>
    </row>
    <row r="17" spans="2:15" ht="30" customHeight="1" x14ac:dyDescent="0.4">
      <c r="B17" s="7" t="str">
        <f>IFERROR(TEXT('Biweekly Time Sheet'!$C17,"aaaa"), "")</f>
        <v>Tuesday</v>
      </c>
      <c r="C17" s="10">
        <f>IF($H$4="","",$H$4+8)</f>
        <v>46035</v>
      </c>
      <c r="D17" s="11"/>
      <c r="E17" s="12"/>
      <c r="F17" s="11"/>
      <c r="G17" s="12"/>
      <c r="H17" s="11"/>
      <c r="I17" s="12"/>
      <c r="J17" s="11"/>
      <c r="K17" s="12"/>
      <c r="L17" s="41">
        <f t="shared" si="0"/>
        <v>0</v>
      </c>
      <c r="O17" s="42"/>
    </row>
    <row r="18" spans="2:15" ht="30" customHeight="1" x14ac:dyDescent="0.4">
      <c r="B18" s="7" t="str">
        <f>IFERROR(TEXT('Biweekly Time Sheet'!$C18,"aaaa"), "")</f>
        <v>Wednesday</v>
      </c>
      <c r="C18" s="10">
        <f>IF($H$4="","",$H$4+9)</f>
        <v>46036</v>
      </c>
      <c r="D18" s="11"/>
      <c r="E18" s="12"/>
      <c r="F18" s="11"/>
      <c r="G18" s="12"/>
      <c r="H18" s="11"/>
      <c r="I18" s="12"/>
      <c r="J18" s="11"/>
      <c r="K18" s="12"/>
      <c r="L18" s="41">
        <f t="shared" si="0"/>
        <v>0</v>
      </c>
      <c r="O18" s="42"/>
    </row>
    <row r="19" spans="2:15" ht="30" customHeight="1" x14ac:dyDescent="0.4">
      <c r="B19" s="7" t="str">
        <f>IFERROR(TEXT('Biweekly Time Sheet'!$C19,"aaaa"), "")</f>
        <v>Thursday</v>
      </c>
      <c r="C19" s="10">
        <f>IF($H$4="","",$H$4+10)</f>
        <v>46037</v>
      </c>
      <c r="D19" s="11"/>
      <c r="E19" s="12"/>
      <c r="F19" s="11"/>
      <c r="G19" s="12"/>
      <c r="H19" s="11"/>
      <c r="I19" s="12"/>
      <c r="J19" s="11"/>
      <c r="K19" s="12"/>
      <c r="L19" s="41">
        <f t="shared" si="0"/>
        <v>0</v>
      </c>
      <c r="O19" s="42"/>
    </row>
    <row r="20" spans="2:15" ht="30" customHeight="1" x14ac:dyDescent="0.4">
      <c r="B20" s="7" t="str">
        <f>IFERROR(TEXT('Biweekly Time Sheet'!$C20,"aaaa"), "")</f>
        <v>Friday</v>
      </c>
      <c r="C20" s="10">
        <f>IF($H$4="","",$H$4+11)</f>
        <v>46038</v>
      </c>
      <c r="D20" s="11">
        <v>10.5</v>
      </c>
      <c r="E20" s="12"/>
      <c r="F20" s="11"/>
      <c r="G20" s="12"/>
      <c r="H20" s="11"/>
      <c r="I20" s="12"/>
      <c r="J20" s="11"/>
      <c r="K20" s="12"/>
      <c r="L20" s="41">
        <f t="shared" si="0"/>
        <v>10.5</v>
      </c>
      <c r="O20" s="42" t="s">
        <v>51</v>
      </c>
    </row>
    <row r="21" spans="2:15" ht="30" customHeight="1" x14ac:dyDescent="0.4">
      <c r="B21" s="7" t="str">
        <f>IFERROR(TEXT('Biweekly Time Sheet'!$C21,"aaaa"), "")</f>
        <v>Saturday</v>
      </c>
      <c r="C21" s="10">
        <f>IF($H$4="","",$H$4+12)</f>
        <v>46039</v>
      </c>
      <c r="D21" s="11"/>
      <c r="E21" s="12"/>
      <c r="F21" s="11"/>
      <c r="G21" s="12"/>
      <c r="H21" s="11"/>
      <c r="I21" s="12"/>
      <c r="J21" s="11"/>
      <c r="K21" s="12"/>
      <c r="L21" s="41">
        <f t="shared" si="0"/>
        <v>0</v>
      </c>
      <c r="O21" s="42"/>
    </row>
    <row r="22" spans="2:15" ht="30" customHeight="1" x14ac:dyDescent="0.4">
      <c r="B22" s="13" t="str">
        <f>IFERROR(TEXT('Biweekly Time Sheet'!$C22,"aaaa"), "")</f>
        <v>Sunday</v>
      </c>
      <c r="C22" s="14">
        <f>IF($H$4="","",$H$4+13)</f>
        <v>46040</v>
      </c>
      <c r="D22" s="15"/>
      <c r="E22" s="16"/>
      <c r="F22" s="15"/>
      <c r="G22" s="16"/>
      <c r="H22" s="15"/>
      <c r="I22" s="16"/>
      <c r="J22" s="15"/>
      <c r="K22" s="16"/>
      <c r="L22" s="41">
        <f t="shared" si="0"/>
        <v>0</v>
      </c>
      <c r="O22" s="42"/>
    </row>
    <row r="23" spans="2:15" ht="30" customHeight="1" x14ac:dyDescent="0.4">
      <c r="C23" s="2" t="s">
        <v>17</v>
      </c>
      <c r="D23" s="3">
        <f t="shared" ref="D23:K23" si="1">IFERROR(SUM(D9:D22), "")</f>
        <v>29.5</v>
      </c>
      <c r="E23" s="3">
        <f t="shared" si="1"/>
        <v>0.5</v>
      </c>
      <c r="F23" s="3">
        <f t="shared" si="1"/>
        <v>0</v>
      </c>
      <c r="G23" s="3">
        <f t="shared" si="1"/>
        <v>2</v>
      </c>
      <c r="H23" s="3">
        <f t="shared" si="1"/>
        <v>0</v>
      </c>
      <c r="I23" s="3">
        <f t="shared" si="1"/>
        <v>0</v>
      </c>
      <c r="J23" s="3">
        <f t="shared" si="1"/>
        <v>0</v>
      </c>
      <c r="K23" s="3">
        <f t="shared" si="1"/>
        <v>21</v>
      </c>
      <c r="L23" s="3">
        <f>IFERROR(SUM(D23:K23), "")</f>
        <v>53</v>
      </c>
    </row>
    <row r="24" spans="2:15" ht="30" customHeight="1" x14ac:dyDescent="0.4">
      <c r="D24" s="48"/>
      <c r="E24" s="48"/>
      <c r="F24" s="48"/>
      <c r="G24" s="48"/>
      <c r="H24" s="48"/>
      <c r="I24" s="48"/>
      <c r="J24" s="48"/>
    </row>
    <row r="25" spans="2:15" ht="30" customHeight="1" x14ac:dyDescent="0.4">
      <c r="D25" s="48"/>
      <c r="E25" s="48"/>
      <c r="F25" s="48"/>
      <c r="G25" s="48"/>
      <c r="H25" s="48"/>
      <c r="I25" s="48"/>
      <c r="J25" s="48"/>
    </row>
    <row r="26" spans="2:15" ht="30" customHeight="1" x14ac:dyDescent="0.4">
      <c r="D26" s="50" t="s">
        <v>2</v>
      </c>
      <c r="E26" s="51"/>
      <c r="F26" s="51"/>
      <c r="G26" s="51"/>
      <c r="H26" s="51"/>
      <c r="I26" s="51"/>
      <c r="J26" s="51"/>
      <c r="K26" s="46"/>
      <c r="L26" s="6">
        <f>H5</f>
        <v>46040</v>
      </c>
    </row>
    <row r="27" spans="2:15" ht="30" customHeight="1" x14ac:dyDescent="0.4">
      <c r="D27" s="48" t="s">
        <v>18</v>
      </c>
      <c r="E27" s="48"/>
      <c r="F27" s="48"/>
      <c r="G27" s="48"/>
      <c r="H27" s="48"/>
      <c r="I27" s="48"/>
      <c r="J27" s="48"/>
      <c r="L27" t="s">
        <v>6</v>
      </c>
    </row>
    <row r="28" spans="2:15" ht="30" customHeight="1" x14ac:dyDescent="0.4">
      <c r="L28" s="34" t="s">
        <v>19</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A3" zoomScale="70" zoomScaleNormal="70" workbookViewId="0">
      <selection activeCell="E10" sqref="E10:E21"/>
    </sheetView>
  </sheetViews>
  <sheetFormatPr defaultColWidth="9" defaultRowHeight="30" customHeight="1" x14ac:dyDescent="0.4"/>
  <cols>
    <col min="1" max="1" width="2.625" customWidth="1"/>
    <col min="2" max="13" width="15" customWidth="1"/>
    <col min="14" max="15" width="11.25" customWidth="1"/>
    <col min="16" max="16" width="15" customWidth="1"/>
    <col min="17" max="17" width="2.625" customWidth="1"/>
  </cols>
  <sheetData>
    <row r="1" spans="2:16" ht="55.5" customHeight="1" x14ac:dyDescent="0.65">
      <c r="B1" s="49" t="s">
        <v>20</v>
      </c>
      <c r="C1" s="49"/>
      <c r="D1" s="49"/>
      <c r="E1" s="49"/>
      <c r="F1" s="49"/>
      <c r="G1" s="49"/>
      <c r="H1" s="49"/>
      <c r="I1" s="49"/>
      <c r="J1" s="49"/>
      <c r="K1" s="49"/>
      <c r="L1" s="49"/>
      <c r="M1" s="49"/>
      <c r="N1" s="49"/>
      <c r="O1" s="49"/>
      <c r="P1" s="49"/>
    </row>
    <row r="2" spans="2:16" ht="42.75" customHeight="1" x14ac:dyDescent="0.4">
      <c r="B2" s="1"/>
      <c r="C2" s="1"/>
      <c r="D2" s="1"/>
    </row>
    <row r="3" spans="2:16" ht="30" customHeight="1" x14ac:dyDescent="0.4">
      <c r="C3" s="48"/>
      <c r="D3" s="48"/>
      <c r="K3" s="4" t="s">
        <v>1</v>
      </c>
      <c r="L3" s="47" t="str">
        <f>'Biweekly Time Sheet'!H3</f>
        <v>Paul Robertson</v>
      </c>
      <c r="M3" s="47"/>
      <c r="N3" s="47"/>
      <c r="O3" s="47"/>
      <c r="P3" s="47"/>
    </row>
    <row r="4" spans="2:16" ht="30" customHeight="1" x14ac:dyDescent="0.4">
      <c r="K4" s="5" t="s">
        <v>3</v>
      </c>
      <c r="L4" s="47">
        <f>'Biweekly Time Sheet'!H4</f>
        <v>46027</v>
      </c>
      <c r="M4" s="47"/>
      <c r="N4" s="47"/>
      <c r="O4" s="47"/>
      <c r="P4" s="47"/>
    </row>
    <row r="5" spans="2:16" ht="30" customHeight="1" x14ac:dyDescent="0.4">
      <c r="K5" s="5" t="s">
        <v>4</v>
      </c>
      <c r="L5" s="47">
        <f>'Biweekly Time Sheet'!H5</f>
        <v>46040</v>
      </c>
      <c r="M5" s="47"/>
      <c r="N5" s="47"/>
      <c r="O5" s="47"/>
      <c r="P5" s="47"/>
    </row>
    <row r="6" spans="2:16" ht="30" customHeight="1" x14ac:dyDescent="0.4">
      <c r="N6" s="48"/>
      <c r="O6" s="48"/>
      <c r="P6" s="48"/>
    </row>
    <row r="7" spans="2:16" ht="15" customHeight="1" thickBot="1" x14ac:dyDescent="0.45"/>
    <row r="8" spans="2:16" ht="22.5" customHeight="1" thickBot="1" x14ac:dyDescent="0.45">
      <c r="D8" s="54" t="s">
        <v>21</v>
      </c>
      <c r="E8" s="55"/>
      <c r="F8" s="55"/>
      <c r="G8" s="55"/>
      <c r="H8" s="56"/>
      <c r="I8" s="54" t="s">
        <v>22</v>
      </c>
      <c r="J8" s="55"/>
      <c r="K8" s="55"/>
      <c r="L8" s="55"/>
      <c r="M8" s="55"/>
      <c r="N8" s="55"/>
      <c r="O8" s="56"/>
    </row>
    <row r="9" spans="2:16" ht="39.75" customHeight="1" x14ac:dyDescent="0.4">
      <c r="B9" s="7" t="s">
        <v>5</v>
      </c>
      <c r="C9" s="7" t="s">
        <v>6</v>
      </c>
      <c r="D9" s="27" t="s">
        <v>23</v>
      </c>
      <c r="E9" s="28" t="s">
        <v>24</v>
      </c>
      <c r="F9" s="28" t="s">
        <v>25</v>
      </c>
      <c r="G9" s="28" t="s">
        <v>26</v>
      </c>
      <c r="H9" s="29" t="s">
        <v>27</v>
      </c>
      <c r="I9" s="27" t="s">
        <v>28</v>
      </c>
      <c r="J9" s="28" t="s">
        <v>29</v>
      </c>
      <c r="K9" s="28" t="s">
        <v>30</v>
      </c>
      <c r="L9" s="28" t="s">
        <v>31</v>
      </c>
      <c r="M9" s="28" t="s">
        <v>32</v>
      </c>
      <c r="N9" s="58" t="s">
        <v>33</v>
      </c>
      <c r="O9" s="59"/>
      <c r="P9" s="38" t="s">
        <v>15</v>
      </c>
    </row>
    <row r="10" spans="2:16" ht="30" customHeight="1" x14ac:dyDescent="0.4">
      <c r="B10" s="7" t="str">
        <f>IFERROR(TEXT('Biweekly Expense Report CAD'!$C10,"aaaa"), "")</f>
        <v>Monday</v>
      </c>
      <c r="C10" s="10">
        <f>L4</f>
        <v>46027</v>
      </c>
      <c r="D10" s="20"/>
      <c r="E10" s="19"/>
      <c r="F10" s="18"/>
      <c r="G10" s="19"/>
      <c r="H10" s="21"/>
      <c r="I10" s="26"/>
      <c r="J10" s="18"/>
      <c r="K10" s="19"/>
      <c r="L10" s="18"/>
      <c r="M10" s="19"/>
      <c r="N10" s="40"/>
      <c r="O10" s="22">
        <v>0.48</v>
      </c>
      <c r="P10" s="39">
        <f>IFERROR(SUM(D10:M10)+(N10*O10), "")</f>
        <v>0</v>
      </c>
    </row>
    <row r="11" spans="2:16" ht="30" customHeight="1" x14ac:dyDescent="0.4">
      <c r="B11" s="7" t="str">
        <f>IFERROR(TEXT('Biweekly Expense Report CAD'!$C11,"aaaa"), "")</f>
        <v>Tuesday</v>
      </c>
      <c r="C11" s="10">
        <f>IF($L$4="","",$L$4+1)</f>
        <v>46028</v>
      </c>
      <c r="D11" s="20"/>
      <c r="E11" s="19"/>
      <c r="F11" s="18"/>
      <c r="G11" s="19"/>
      <c r="H11" s="21"/>
      <c r="I11" s="26"/>
      <c r="J11" s="18"/>
      <c r="K11" s="19"/>
      <c r="L11" s="18"/>
      <c r="M11" s="19"/>
      <c r="N11" s="40"/>
      <c r="O11" s="22">
        <v>0.48</v>
      </c>
      <c r="P11" s="39">
        <f t="shared" ref="P11:P23" si="0">IFERROR(SUM(D11:M11)+(N11*O11), "")</f>
        <v>0</v>
      </c>
    </row>
    <row r="12" spans="2:16" ht="30" customHeight="1" x14ac:dyDescent="0.4">
      <c r="B12" s="7" t="str">
        <f>IFERROR(TEXT('Biweekly Expense Report CAD'!$C12,"aaaa"), "")</f>
        <v>Wednesday</v>
      </c>
      <c r="C12" s="10">
        <f>IF($L$4="","",$L$4+2)</f>
        <v>46029</v>
      </c>
      <c r="D12" s="20"/>
      <c r="E12" s="19"/>
      <c r="F12" s="18"/>
      <c r="G12" s="19"/>
      <c r="H12" s="21"/>
      <c r="I12" s="26"/>
      <c r="J12" s="18"/>
      <c r="K12" s="19"/>
      <c r="L12" s="18"/>
      <c r="M12" s="19"/>
      <c r="N12" s="40"/>
      <c r="O12" s="22">
        <v>0.48</v>
      </c>
      <c r="P12" s="39">
        <f t="shared" si="0"/>
        <v>0</v>
      </c>
    </row>
    <row r="13" spans="2:16" ht="30" customHeight="1" x14ac:dyDescent="0.4">
      <c r="B13" s="7" t="str">
        <f>IFERROR(TEXT('Biweekly Expense Report CAD'!$C13,"aaaa"), "")</f>
        <v>Thursday</v>
      </c>
      <c r="C13" s="10">
        <f>IF($L$4="","",$L$4+3)</f>
        <v>46030</v>
      </c>
      <c r="D13" s="20"/>
      <c r="E13" s="19"/>
      <c r="F13" s="18"/>
      <c r="G13" s="19"/>
      <c r="H13" s="21"/>
      <c r="I13" s="26"/>
      <c r="J13" s="18"/>
      <c r="K13" s="19"/>
      <c r="L13" s="18"/>
      <c r="M13" s="19"/>
      <c r="N13" s="40"/>
      <c r="O13" s="22">
        <v>0.48</v>
      </c>
      <c r="P13" s="39">
        <f t="shared" si="0"/>
        <v>0</v>
      </c>
    </row>
    <row r="14" spans="2:16" ht="30" customHeight="1" x14ac:dyDescent="0.4">
      <c r="B14" s="7" t="str">
        <f>IFERROR(TEXT('Biweekly Expense Report CAD'!$C14,"aaaa"), "")</f>
        <v>Friday</v>
      </c>
      <c r="C14" s="10">
        <f>IF($L$4="","",$L$4+4)</f>
        <v>46031</v>
      </c>
      <c r="D14" s="20"/>
      <c r="E14" s="19"/>
      <c r="F14" s="18"/>
      <c r="G14" s="19"/>
      <c r="H14" s="21"/>
      <c r="I14" s="26"/>
      <c r="J14" s="18"/>
      <c r="K14" s="19"/>
      <c r="L14" s="18"/>
      <c r="M14" s="19"/>
      <c r="N14" s="40"/>
      <c r="O14" s="22">
        <v>0.48</v>
      </c>
      <c r="P14" s="39">
        <f t="shared" si="0"/>
        <v>0</v>
      </c>
    </row>
    <row r="15" spans="2:16" ht="30" customHeight="1" x14ac:dyDescent="0.4">
      <c r="B15" s="7" t="str">
        <f>IFERROR(TEXT('Biweekly Expense Report CAD'!$C15,"aaaa"), "")</f>
        <v>Saturday</v>
      </c>
      <c r="C15" s="10">
        <f>IF($L$4="","",$L$4+5)</f>
        <v>46032</v>
      </c>
      <c r="D15" s="20"/>
      <c r="E15" s="19"/>
      <c r="F15" s="18"/>
      <c r="G15" s="19"/>
      <c r="H15" s="21"/>
      <c r="I15" s="26"/>
      <c r="J15" s="18"/>
      <c r="K15" s="19"/>
      <c r="L15" s="18"/>
      <c r="M15" s="19"/>
      <c r="N15" s="40"/>
      <c r="O15" s="22">
        <v>0.48</v>
      </c>
      <c r="P15" s="39">
        <f t="shared" si="0"/>
        <v>0</v>
      </c>
    </row>
    <row r="16" spans="2:16" ht="30" customHeight="1" x14ac:dyDescent="0.4">
      <c r="B16" s="7" t="str">
        <f>IFERROR(TEXT('Biweekly Expense Report CAD'!$C16,"aaaa"), "")</f>
        <v>Sunday</v>
      </c>
      <c r="C16" s="10">
        <f>IF($L$4="","",$L$4+6)</f>
        <v>46033</v>
      </c>
      <c r="D16" s="20"/>
      <c r="E16" s="19"/>
      <c r="F16" s="18"/>
      <c r="G16" s="19"/>
      <c r="H16" s="21"/>
      <c r="I16" s="26"/>
      <c r="J16" s="18"/>
      <c r="K16" s="19"/>
      <c r="L16" s="18"/>
      <c r="M16" s="19"/>
      <c r="N16" s="40"/>
      <c r="O16" s="22">
        <v>0.48</v>
      </c>
      <c r="P16" s="39">
        <f t="shared" si="0"/>
        <v>0</v>
      </c>
    </row>
    <row r="17" spans="2:16" ht="30" customHeight="1" x14ac:dyDescent="0.4">
      <c r="B17" s="7" t="str">
        <f>IFERROR(TEXT('Biweekly Expense Report CAD'!$C17,"aaaa"), "")</f>
        <v>Monday</v>
      </c>
      <c r="C17" s="10">
        <f>IF($L$4="","",$L$4+7)</f>
        <v>46034</v>
      </c>
      <c r="D17" s="20"/>
      <c r="E17" s="19"/>
      <c r="F17" s="18"/>
      <c r="G17" s="19"/>
      <c r="H17" s="21"/>
      <c r="I17" s="26"/>
      <c r="J17" s="18"/>
      <c r="K17" s="19"/>
      <c r="L17" s="18"/>
      <c r="M17" s="19"/>
      <c r="N17" s="40"/>
      <c r="O17" s="22">
        <v>0.48</v>
      </c>
      <c r="P17" s="39">
        <f t="shared" si="0"/>
        <v>0</v>
      </c>
    </row>
    <row r="18" spans="2:16" ht="30" customHeight="1" x14ac:dyDescent="0.4">
      <c r="B18" s="7" t="str">
        <f>IFERROR(TEXT('Biweekly Expense Report CAD'!$C18,"aaaa"), "")</f>
        <v>Tuesday</v>
      </c>
      <c r="C18" s="10">
        <f>IF($L$4="","",$L$4+8)</f>
        <v>46035</v>
      </c>
      <c r="D18" s="20"/>
      <c r="E18" s="45"/>
      <c r="F18" s="18"/>
      <c r="G18" s="19"/>
      <c r="H18" s="21"/>
      <c r="I18" s="26"/>
      <c r="J18" s="18"/>
      <c r="K18" s="19"/>
      <c r="L18" s="18"/>
      <c r="M18" s="19"/>
      <c r="N18" s="40"/>
      <c r="O18" s="22">
        <v>0.48</v>
      </c>
      <c r="P18" s="39">
        <f t="shared" si="0"/>
        <v>0</v>
      </c>
    </row>
    <row r="19" spans="2:16" ht="30" customHeight="1" x14ac:dyDescent="0.4">
      <c r="B19" s="7" t="str">
        <f>IFERROR(TEXT('Biweekly Expense Report CAD'!$C19,"aaaa"), "")</f>
        <v>Wednesday</v>
      </c>
      <c r="C19" s="10">
        <f>IF($L$4="","",$L$4+9)</f>
        <v>46036</v>
      </c>
      <c r="D19" s="20"/>
      <c r="E19" s="45"/>
      <c r="F19" s="18"/>
      <c r="G19" s="19"/>
      <c r="H19" s="21"/>
      <c r="I19" s="26"/>
      <c r="J19" s="18"/>
      <c r="K19" s="19"/>
      <c r="L19" s="18"/>
      <c r="M19" s="19"/>
      <c r="N19" s="40"/>
      <c r="O19" s="22">
        <v>0.48</v>
      </c>
      <c r="P19" s="39">
        <f t="shared" si="0"/>
        <v>0</v>
      </c>
    </row>
    <row r="20" spans="2:16" ht="30" customHeight="1" x14ac:dyDescent="0.4">
      <c r="B20" s="7" t="str">
        <f>IFERROR(TEXT('Biweekly Expense Report CAD'!$C20,"aaaa"), "")</f>
        <v>Thursday</v>
      </c>
      <c r="C20" s="10">
        <f>IF($L$4="","",$L$4+10)</f>
        <v>46037</v>
      </c>
      <c r="D20" s="20"/>
      <c r="E20" s="45"/>
      <c r="F20" s="18"/>
      <c r="G20" s="19"/>
      <c r="H20" s="21"/>
      <c r="I20" s="26"/>
      <c r="J20" s="18"/>
      <c r="K20" s="19"/>
      <c r="L20" s="18"/>
      <c r="M20" s="19"/>
      <c r="N20" s="40"/>
      <c r="O20" s="22">
        <v>0.48</v>
      </c>
      <c r="P20" s="39">
        <f t="shared" si="0"/>
        <v>0</v>
      </c>
    </row>
    <row r="21" spans="2:16" ht="30" customHeight="1" x14ac:dyDescent="0.4">
      <c r="B21" s="7" t="str">
        <f>IFERROR(TEXT('Biweekly Expense Report CAD'!$C21,"aaaa"), "")</f>
        <v>Friday</v>
      </c>
      <c r="C21" s="10">
        <f>IF($L$4="","",$L$4+11)</f>
        <v>46038</v>
      </c>
      <c r="D21" s="20"/>
      <c r="E21" s="45"/>
      <c r="F21" s="18"/>
      <c r="G21" s="19"/>
      <c r="H21" s="21"/>
      <c r="I21" s="26"/>
      <c r="J21" s="18"/>
      <c r="K21" s="19"/>
      <c r="L21" s="18"/>
      <c r="M21" s="19"/>
      <c r="N21" s="40"/>
      <c r="O21" s="22">
        <v>0.48</v>
      </c>
      <c r="P21" s="39">
        <f t="shared" si="0"/>
        <v>0</v>
      </c>
    </row>
    <row r="22" spans="2:16" ht="30" customHeight="1" x14ac:dyDescent="0.4">
      <c r="B22" s="7" t="str">
        <f>IFERROR(TEXT('Biweekly Expense Report CAD'!$C22,"aaaa"), "")</f>
        <v>Saturday</v>
      </c>
      <c r="C22" s="10">
        <f>IF($L$4="","",$L$4+12)</f>
        <v>46039</v>
      </c>
      <c r="D22" s="20"/>
      <c r="E22" s="45"/>
      <c r="F22" s="18"/>
      <c r="G22" s="19"/>
      <c r="H22" s="21"/>
      <c r="I22" s="26"/>
      <c r="J22" s="18"/>
      <c r="K22" s="19"/>
      <c r="L22" s="18"/>
      <c r="M22" s="19"/>
      <c r="N22" s="40"/>
      <c r="O22" s="22">
        <v>0.48</v>
      </c>
      <c r="P22" s="39">
        <f t="shared" si="0"/>
        <v>0</v>
      </c>
    </row>
    <row r="23" spans="2:16" ht="30" customHeight="1" x14ac:dyDescent="0.4">
      <c r="B23" s="13" t="str">
        <f>IFERROR(TEXT('Biweekly Expense Report CAD'!$C23,"aaaa"), "")</f>
        <v>Sunday</v>
      </c>
      <c r="C23" s="14">
        <f>IF($L$4="","",$L$4+13)</f>
        <v>46040</v>
      </c>
      <c r="D23" s="20"/>
      <c r="E23" s="45"/>
      <c r="F23" s="18"/>
      <c r="G23" s="19"/>
      <c r="H23" s="21"/>
      <c r="I23" s="26"/>
      <c r="J23" s="18"/>
      <c r="K23" s="19"/>
      <c r="L23" s="18"/>
      <c r="M23" s="19"/>
      <c r="N23" s="40"/>
      <c r="O23" s="22">
        <v>0.48</v>
      </c>
      <c r="P23" s="39">
        <f t="shared" si="0"/>
        <v>0</v>
      </c>
    </row>
    <row r="24" spans="2:16" ht="30" customHeight="1" thickBot="1" x14ac:dyDescent="0.45">
      <c r="C24" s="13" t="s">
        <v>15</v>
      </c>
      <c r="D24" s="23">
        <f t="shared" ref="D24:M24" si="1">IFERROR(SUM(D10:D23), "")</f>
        <v>0</v>
      </c>
      <c r="E24" s="24">
        <f t="shared" si="1"/>
        <v>0</v>
      </c>
      <c r="F24" s="24">
        <f t="shared" si="1"/>
        <v>0</v>
      </c>
      <c r="G24" s="24">
        <f t="shared" si="1"/>
        <v>0</v>
      </c>
      <c r="H24" s="25">
        <f t="shared" si="1"/>
        <v>0</v>
      </c>
      <c r="I24" s="23">
        <f t="shared" si="1"/>
        <v>0</v>
      </c>
      <c r="J24" s="24">
        <f t="shared" si="1"/>
        <v>0</v>
      </c>
      <c r="K24" s="24">
        <f t="shared" si="1"/>
        <v>0</v>
      </c>
      <c r="L24" s="24">
        <f t="shared" si="1"/>
        <v>0</v>
      </c>
      <c r="M24" s="24">
        <f t="shared" si="1"/>
        <v>0</v>
      </c>
      <c r="N24" s="35"/>
      <c r="O24" s="36"/>
      <c r="P24" s="37">
        <f>IFERROR(SUM(P10:P23),"$")</f>
        <v>0</v>
      </c>
    </row>
    <row r="25" spans="2:16" ht="30" customHeight="1" x14ac:dyDescent="0.4">
      <c r="D25" s="48"/>
      <c r="E25" s="48"/>
      <c r="F25" s="48"/>
      <c r="G25" s="48"/>
      <c r="H25" s="48"/>
      <c r="I25" s="48"/>
      <c r="J25" s="48"/>
      <c r="K25" s="48"/>
      <c r="L25" s="48"/>
      <c r="M25" s="48"/>
      <c r="N25" s="48"/>
    </row>
    <row r="26" spans="2:16" ht="30" customHeight="1" x14ac:dyDescent="0.4">
      <c r="D26" s="48"/>
      <c r="E26" s="48"/>
      <c r="F26" s="48"/>
      <c r="G26" s="48"/>
      <c r="H26" s="48"/>
      <c r="I26" s="48"/>
      <c r="J26" s="48"/>
      <c r="K26" s="48"/>
      <c r="L26" s="48"/>
      <c r="M26" s="48"/>
      <c r="N26" s="48"/>
    </row>
    <row r="27" spans="2:16" ht="30" customHeight="1" x14ac:dyDescent="0.4">
      <c r="D27" s="57" t="str">
        <f>'Biweekly Time Sheet'!D26:J26</f>
        <v>Paul Robertson</v>
      </c>
      <c r="E27" s="57"/>
      <c r="F27" s="57"/>
      <c r="G27" s="57"/>
      <c r="H27" s="57"/>
      <c r="I27" s="57"/>
      <c r="J27" s="57"/>
      <c r="K27" s="57"/>
      <c r="L27" s="57"/>
      <c r="M27" s="57"/>
      <c r="N27" s="57"/>
      <c r="O27" s="57"/>
      <c r="P27" s="17">
        <f>'Biweekly Time Sheet'!L26</f>
        <v>46040</v>
      </c>
    </row>
    <row r="28" spans="2:16" ht="30" customHeight="1" x14ac:dyDescent="0.4">
      <c r="D28" s="48" t="s">
        <v>18</v>
      </c>
      <c r="E28" s="48"/>
      <c r="F28" s="48"/>
      <c r="G28" s="48"/>
      <c r="H28" s="48"/>
      <c r="I28" s="48"/>
      <c r="J28" s="48"/>
      <c r="K28" s="48"/>
      <c r="L28" s="48"/>
      <c r="M28" s="48"/>
      <c r="N28" s="48"/>
      <c r="P28" t="s">
        <v>6</v>
      </c>
    </row>
    <row r="29" spans="2:16" ht="30" customHeight="1" x14ac:dyDescent="0.4">
      <c r="P29" s="34" t="s">
        <v>34</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27:O27"/>
    <mergeCell ref="D25:N25"/>
    <mergeCell ref="D26:N26"/>
    <mergeCell ref="D28:N28"/>
    <mergeCell ref="N9:O9"/>
    <mergeCell ref="D8:H8"/>
    <mergeCell ref="I8:O8"/>
    <mergeCell ref="B1:P1"/>
    <mergeCell ref="C3:D3"/>
    <mergeCell ref="L3:P3"/>
    <mergeCell ref="L4:P4"/>
    <mergeCell ref="L5:P5"/>
    <mergeCell ref="N6:P6"/>
  </mergeCells>
  <dataValidations disablePrompts="1"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zoomScale="70" zoomScaleNormal="70" workbookViewId="0">
      <selection activeCell="E10" sqref="E10:E12"/>
    </sheetView>
  </sheetViews>
  <sheetFormatPr defaultColWidth="9" defaultRowHeight="30" customHeight="1" x14ac:dyDescent="0.4"/>
  <cols>
    <col min="1" max="1" width="2.625" customWidth="1"/>
    <col min="2" max="13" width="15" customWidth="1"/>
    <col min="14" max="15" width="11.25" customWidth="1"/>
    <col min="16" max="16" width="15" customWidth="1"/>
    <col min="17" max="17" width="2.625" customWidth="1"/>
  </cols>
  <sheetData>
    <row r="1" spans="2:16" ht="55.5" customHeight="1" x14ac:dyDescent="0.65">
      <c r="B1" s="49" t="s">
        <v>35</v>
      </c>
      <c r="C1" s="49"/>
      <c r="D1" s="49"/>
      <c r="E1" s="49"/>
      <c r="F1" s="49"/>
      <c r="G1" s="49"/>
      <c r="H1" s="49"/>
      <c r="I1" s="49"/>
      <c r="J1" s="49"/>
      <c r="K1" s="49"/>
      <c r="L1" s="49"/>
      <c r="M1" s="49"/>
      <c r="N1" s="49"/>
      <c r="O1" s="49"/>
      <c r="P1" s="49"/>
    </row>
    <row r="2" spans="2:16" ht="42.75" customHeight="1" x14ac:dyDescent="0.4">
      <c r="B2" s="1"/>
      <c r="C2" s="1"/>
      <c r="D2" s="1"/>
    </row>
    <row r="3" spans="2:16" ht="30" customHeight="1" x14ac:dyDescent="0.4">
      <c r="C3" s="48"/>
      <c r="D3" s="48"/>
      <c r="K3" s="4" t="s">
        <v>1</v>
      </c>
      <c r="L3" s="47" t="str">
        <f>'Biweekly Time Sheet'!H3</f>
        <v>Paul Robertson</v>
      </c>
      <c r="M3" s="47"/>
      <c r="N3" s="47"/>
      <c r="O3" s="47"/>
      <c r="P3" s="47"/>
    </row>
    <row r="4" spans="2:16" ht="30" customHeight="1" x14ac:dyDescent="0.4">
      <c r="K4" s="5" t="s">
        <v>3</v>
      </c>
      <c r="L4" s="47">
        <f>'Biweekly Time Sheet'!H4</f>
        <v>46027</v>
      </c>
      <c r="M4" s="47"/>
      <c r="N4" s="47"/>
      <c r="O4" s="47"/>
      <c r="P4" s="47"/>
    </row>
    <row r="5" spans="2:16" ht="30" customHeight="1" x14ac:dyDescent="0.4">
      <c r="K5" s="5" t="s">
        <v>4</v>
      </c>
      <c r="L5" s="47">
        <f>'Biweekly Time Sheet'!H5</f>
        <v>46040</v>
      </c>
      <c r="M5" s="47"/>
      <c r="N5" s="47"/>
      <c r="O5" s="47"/>
      <c r="P5" s="47"/>
    </row>
    <row r="6" spans="2:16" ht="30" customHeight="1" x14ac:dyDescent="0.4">
      <c r="N6" s="48"/>
      <c r="O6" s="48"/>
      <c r="P6" s="48"/>
    </row>
    <row r="7" spans="2:16" ht="15" customHeight="1" thickBot="1" x14ac:dyDescent="0.45"/>
    <row r="8" spans="2:16" ht="22.5" customHeight="1" thickBot="1" x14ac:dyDescent="0.45">
      <c r="D8" s="54" t="s">
        <v>21</v>
      </c>
      <c r="E8" s="55"/>
      <c r="F8" s="55"/>
      <c r="G8" s="55"/>
      <c r="H8" s="56"/>
      <c r="I8" s="54" t="s">
        <v>22</v>
      </c>
      <c r="J8" s="55"/>
      <c r="K8" s="55"/>
      <c r="L8" s="55"/>
      <c r="M8" s="55"/>
      <c r="N8" s="55"/>
      <c r="O8" s="56"/>
    </row>
    <row r="9" spans="2:16" ht="39.75" customHeight="1" x14ac:dyDescent="0.4">
      <c r="B9" s="7" t="s">
        <v>5</v>
      </c>
      <c r="C9" s="7" t="s">
        <v>6</v>
      </c>
      <c r="D9" s="27" t="s">
        <v>23</v>
      </c>
      <c r="E9" s="28" t="s">
        <v>24</v>
      </c>
      <c r="F9" s="28" t="s">
        <v>25</v>
      </c>
      <c r="G9" s="28" t="s">
        <v>26</v>
      </c>
      <c r="H9" s="29" t="s">
        <v>27</v>
      </c>
      <c r="I9" s="27" t="s">
        <v>28</v>
      </c>
      <c r="J9" s="28" t="s">
        <v>29</v>
      </c>
      <c r="K9" s="28" t="s">
        <v>30</v>
      </c>
      <c r="L9" s="28" t="s">
        <v>31</v>
      </c>
      <c r="M9" s="28" t="s">
        <v>32</v>
      </c>
      <c r="N9" s="58" t="s">
        <v>33</v>
      </c>
      <c r="O9" s="59"/>
      <c r="P9" s="38" t="s">
        <v>15</v>
      </c>
    </row>
    <row r="10" spans="2:16" ht="30" customHeight="1" x14ac:dyDescent="0.4">
      <c r="B10" s="7" t="str">
        <f>IFERROR(TEXT('Biweekly Expense Report USD'!$C10,"aaaa"), "")</f>
        <v>Monday</v>
      </c>
      <c r="C10" s="10">
        <f>L4</f>
        <v>46027</v>
      </c>
      <c r="D10" s="20"/>
      <c r="E10" s="19"/>
      <c r="F10" s="18"/>
      <c r="G10" s="19"/>
      <c r="H10" s="21"/>
      <c r="I10" s="26"/>
      <c r="J10" s="18"/>
      <c r="K10" s="19"/>
      <c r="L10" s="18"/>
      <c r="M10" s="19"/>
      <c r="N10" s="40"/>
      <c r="O10" s="22">
        <v>0.19</v>
      </c>
      <c r="P10" s="39">
        <f>IFERROR(SUM(D10:M10)+(N10*O10), "")</f>
        <v>0</v>
      </c>
    </row>
    <row r="11" spans="2:16" ht="30" customHeight="1" x14ac:dyDescent="0.4">
      <c r="B11" s="7" t="str">
        <f>IFERROR(TEXT('Biweekly Expense Report USD'!$C11,"aaaa"), "")</f>
        <v>Tuesday</v>
      </c>
      <c r="C11" s="10">
        <f>IF($L$4="","",$L$4+1)</f>
        <v>46028</v>
      </c>
      <c r="D11" s="20"/>
      <c r="E11" s="19"/>
      <c r="F11" s="18"/>
      <c r="G11" s="19"/>
      <c r="H11" s="21"/>
      <c r="I11" s="26"/>
      <c r="J11" s="18"/>
      <c r="K11" s="19"/>
      <c r="L11" s="18"/>
      <c r="M11" s="19"/>
      <c r="N11" s="40"/>
      <c r="O11" s="44">
        <v>0.19</v>
      </c>
      <c r="P11" s="39">
        <f t="shared" ref="P11:P23" si="0">IFERROR(SUM(D11:M11)+(N11*O11), "")</f>
        <v>0</v>
      </c>
    </row>
    <row r="12" spans="2:16" ht="30" customHeight="1" x14ac:dyDescent="0.4">
      <c r="B12" s="7" t="str">
        <f>IFERROR(TEXT('Biweekly Expense Report USD'!$C12,"aaaa"), "")</f>
        <v>Wednesday</v>
      </c>
      <c r="C12" s="10">
        <f>IF($L$4="","",$L$4+2)</f>
        <v>46029</v>
      </c>
      <c r="D12" s="20"/>
      <c r="E12" s="19"/>
      <c r="F12" s="18"/>
      <c r="G12" s="19"/>
      <c r="H12" s="21"/>
      <c r="I12" s="26"/>
      <c r="J12" s="18"/>
      <c r="K12" s="19"/>
      <c r="L12" s="18"/>
      <c r="M12" s="19"/>
      <c r="N12" s="40"/>
      <c r="O12" s="44">
        <v>0.19</v>
      </c>
      <c r="P12" s="39">
        <f t="shared" si="0"/>
        <v>0</v>
      </c>
    </row>
    <row r="13" spans="2:16" ht="30" customHeight="1" x14ac:dyDescent="0.4">
      <c r="B13" s="7" t="str">
        <f>IFERROR(TEXT('Biweekly Expense Report USD'!$C13,"aaaa"), "")</f>
        <v>Thursday</v>
      </c>
      <c r="C13" s="10">
        <f>IF($L$4="","",$L$4+3)</f>
        <v>46030</v>
      </c>
      <c r="D13" s="20"/>
      <c r="E13" s="19"/>
      <c r="F13" s="18"/>
      <c r="G13" s="19"/>
      <c r="H13" s="21"/>
      <c r="I13" s="26"/>
      <c r="J13" s="18"/>
      <c r="K13" s="19"/>
      <c r="L13" s="18"/>
      <c r="M13" s="19"/>
      <c r="N13" s="40"/>
      <c r="O13" s="44">
        <v>0.19</v>
      </c>
      <c r="P13" s="39">
        <f t="shared" si="0"/>
        <v>0</v>
      </c>
    </row>
    <row r="14" spans="2:16" ht="30" customHeight="1" x14ac:dyDescent="0.4">
      <c r="B14" s="7" t="str">
        <f>IFERROR(TEXT('Biweekly Expense Report USD'!$C14,"aaaa"), "")</f>
        <v>Friday</v>
      </c>
      <c r="C14" s="10">
        <f>IF($L$4="","",$L$4+4)</f>
        <v>46031</v>
      </c>
      <c r="D14" s="20"/>
      <c r="E14" s="45"/>
      <c r="F14" s="18"/>
      <c r="G14" s="19"/>
      <c r="H14" s="21"/>
      <c r="I14" s="26"/>
      <c r="J14" s="18"/>
      <c r="K14" s="19"/>
      <c r="L14" s="18"/>
      <c r="M14" s="19"/>
      <c r="N14" s="40"/>
      <c r="O14" s="44">
        <v>0.19</v>
      </c>
      <c r="P14" s="39">
        <f t="shared" si="0"/>
        <v>0</v>
      </c>
    </row>
    <row r="15" spans="2:16" ht="30" customHeight="1" x14ac:dyDescent="0.4">
      <c r="B15" s="7" t="str">
        <f>IFERROR(TEXT('Biweekly Expense Report USD'!$C15,"aaaa"), "")</f>
        <v>Saturday</v>
      </c>
      <c r="C15" s="10">
        <f>IF($L$4="","",$L$4+5)</f>
        <v>46032</v>
      </c>
      <c r="D15" s="20"/>
      <c r="E15" s="45"/>
      <c r="F15" s="18"/>
      <c r="G15" s="19"/>
      <c r="H15" s="21"/>
      <c r="I15" s="26"/>
      <c r="J15" s="18"/>
      <c r="K15" s="19"/>
      <c r="L15" s="18"/>
      <c r="M15" s="19"/>
      <c r="N15" s="40"/>
      <c r="O15" s="44">
        <v>0.19</v>
      </c>
      <c r="P15" s="39">
        <f t="shared" si="0"/>
        <v>0</v>
      </c>
    </row>
    <row r="16" spans="2:16" ht="30" customHeight="1" x14ac:dyDescent="0.4">
      <c r="B16" s="7" t="str">
        <f>IFERROR(TEXT('Biweekly Expense Report USD'!$C16,"aaaa"), "")</f>
        <v>Sunday</v>
      </c>
      <c r="C16" s="10">
        <f>IF($L$4="","",$L$4+6)</f>
        <v>46033</v>
      </c>
      <c r="D16" s="20"/>
      <c r="E16" s="45"/>
      <c r="F16" s="18"/>
      <c r="G16" s="19"/>
      <c r="H16" s="21"/>
      <c r="I16" s="26"/>
      <c r="J16" s="18"/>
      <c r="K16" s="19"/>
      <c r="L16" s="18"/>
      <c r="M16" s="19"/>
      <c r="N16" s="40"/>
      <c r="O16" s="44">
        <v>0.19</v>
      </c>
      <c r="P16" s="39">
        <f t="shared" si="0"/>
        <v>0</v>
      </c>
    </row>
    <row r="17" spans="2:16" ht="30" customHeight="1" x14ac:dyDescent="0.4">
      <c r="B17" s="7" t="str">
        <f>IFERROR(TEXT('Biweekly Expense Report USD'!$C17,"aaaa"), "")</f>
        <v>Monday</v>
      </c>
      <c r="C17" s="10">
        <f>IF($L$4="","",$L$4+7)</f>
        <v>46034</v>
      </c>
      <c r="D17" s="20"/>
      <c r="E17" s="45"/>
      <c r="F17" s="18"/>
      <c r="G17" s="19"/>
      <c r="H17" s="21"/>
      <c r="I17" s="26"/>
      <c r="J17" s="18"/>
      <c r="K17" s="19"/>
      <c r="L17" s="18"/>
      <c r="M17" s="19"/>
      <c r="N17" s="40"/>
      <c r="O17" s="44">
        <v>0.19</v>
      </c>
      <c r="P17" s="39">
        <f t="shared" si="0"/>
        <v>0</v>
      </c>
    </row>
    <row r="18" spans="2:16" ht="30" customHeight="1" x14ac:dyDescent="0.4">
      <c r="B18" s="7" t="str">
        <f>IFERROR(TEXT('Biweekly Expense Report USD'!$C18,"aaaa"), "")</f>
        <v>Tuesday</v>
      </c>
      <c r="C18" s="10">
        <f>IF($L$4="","",$L$4+8)</f>
        <v>46035</v>
      </c>
      <c r="D18" s="20"/>
      <c r="E18" s="45"/>
      <c r="F18" s="18"/>
      <c r="G18" s="19"/>
      <c r="H18" s="21"/>
      <c r="I18" s="26"/>
      <c r="J18" s="18"/>
      <c r="K18" s="19"/>
      <c r="L18" s="18"/>
      <c r="M18" s="19"/>
      <c r="N18" s="40"/>
      <c r="O18" s="44">
        <v>0.19</v>
      </c>
      <c r="P18" s="39">
        <f t="shared" si="0"/>
        <v>0</v>
      </c>
    </row>
    <row r="19" spans="2:16" ht="30" customHeight="1" x14ac:dyDescent="0.4">
      <c r="B19" s="7" t="str">
        <f>IFERROR(TEXT('Biweekly Expense Report USD'!$C19,"aaaa"), "")</f>
        <v>Wednesday</v>
      </c>
      <c r="C19" s="10">
        <f>IF($L$4="","",$L$4+9)</f>
        <v>46036</v>
      </c>
      <c r="D19" s="20"/>
      <c r="E19" s="45"/>
      <c r="F19" s="18"/>
      <c r="G19" s="19"/>
      <c r="H19" s="21"/>
      <c r="I19" s="26"/>
      <c r="J19" s="18"/>
      <c r="K19" s="19"/>
      <c r="L19" s="18"/>
      <c r="M19" s="19"/>
      <c r="N19" s="40"/>
      <c r="O19" s="44">
        <v>0.19</v>
      </c>
      <c r="P19" s="39">
        <f t="shared" si="0"/>
        <v>0</v>
      </c>
    </row>
    <row r="20" spans="2:16" ht="30" customHeight="1" x14ac:dyDescent="0.4">
      <c r="B20" s="7" t="str">
        <f>IFERROR(TEXT('Biweekly Expense Report USD'!$C20,"aaaa"), "")</f>
        <v>Thursday</v>
      </c>
      <c r="C20" s="10">
        <f>IF($L$4="","",$L$4+10)</f>
        <v>46037</v>
      </c>
      <c r="D20" s="20"/>
      <c r="E20" s="45"/>
      <c r="F20" s="18"/>
      <c r="G20" s="19"/>
      <c r="H20" s="21"/>
      <c r="I20" s="26"/>
      <c r="J20" s="18"/>
      <c r="K20" s="19"/>
      <c r="L20" s="18"/>
      <c r="M20" s="19"/>
      <c r="N20" s="40"/>
      <c r="O20" s="44">
        <v>0.19</v>
      </c>
      <c r="P20" s="39">
        <f t="shared" si="0"/>
        <v>0</v>
      </c>
    </row>
    <row r="21" spans="2:16" ht="30" customHeight="1" x14ac:dyDescent="0.4">
      <c r="B21" s="7" t="str">
        <f>IFERROR(TEXT('Biweekly Expense Report USD'!$C21,"aaaa"), "")</f>
        <v>Friday</v>
      </c>
      <c r="C21" s="10">
        <f>IF($L$4="","",$L$4+11)</f>
        <v>46038</v>
      </c>
      <c r="D21" s="20"/>
      <c r="E21" s="45"/>
      <c r="F21" s="18"/>
      <c r="G21" s="19"/>
      <c r="H21" s="21"/>
      <c r="I21" s="26"/>
      <c r="J21" s="18"/>
      <c r="K21" s="19"/>
      <c r="L21" s="18"/>
      <c r="M21" s="19"/>
      <c r="N21" s="40"/>
      <c r="O21" s="44">
        <v>0.19</v>
      </c>
      <c r="P21" s="39">
        <f t="shared" si="0"/>
        <v>0</v>
      </c>
    </row>
    <row r="22" spans="2:16" ht="30" customHeight="1" x14ac:dyDescent="0.4">
      <c r="B22" s="7" t="str">
        <f>IFERROR(TEXT('Biweekly Expense Report USD'!$C22,"aaaa"), "")</f>
        <v>Saturday</v>
      </c>
      <c r="C22" s="10">
        <f>IF($L$4="","",$L$4+12)</f>
        <v>46039</v>
      </c>
      <c r="D22" s="20"/>
      <c r="E22" s="45"/>
      <c r="F22" s="18"/>
      <c r="G22" s="19"/>
      <c r="H22" s="21"/>
      <c r="I22" s="26"/>
      <c r="J22" s="18"/>
      <c r="K22" s="19"/>
      <c r="L22" s="18"/>
      <c r="M22" s="19"/>
      <c r="N22" s="40"/>
      <c r="O22" s="44">
        <v>0.19</v>
      </c>
      <c r="P22" s="39">
        <f t="shared" si="0"/>
        <v>0</v>
      </c>
    </row>
    <row r="23" spans="2:16" ht="30" customHeight="1" x14ac:dyDescent="0.4">
      <c r="B23" s="13" t="str">
        <f>IFERROR(TEXT('Biweekly Expense Report USD'!$C23,"aaaa"), "")</f>
        <v>Sunday</v>
      </c>
      <c r="C23" s="14">
        <f>IF($L$4="","",$L$4+13)</f>
        <v>46040</v>
      </c>
      <c r="D23" s="20"/>
      <c r="E23" s="45"/>
      <c r="F23" s="18"/>
      <c r="G23" s="19"/>
      <c r="H23" s="21"/>
      <c r="I23" s="26"/>
      <c r="J23" s="18"/>
      <c r="K23" s="19"/>
      <c r="L23" s="18"/>
      <c r="M23" s="19"/>
      <c r="N23" s="40"/>
      <c r="O23" s="44">
        <v>0.19</v>
      </c>
      <c r="P23" s="39">
        <f t="shared" si="0"/>
        <v>0</v>
      </c>
    </row>
    <row r="24" spans="2:16" ht="30" customHeight="1" thickBot="1" x14ac:dyDescent="0.45">
      <c r="C24" s="13" t="s">
        <v>15</v>
      </c>
      <c r="D24" s="23">
        <f t="shared" ref="D24:M24" si="1">IFERROR(SUM(D10:D23), "")</f>
        <v>0</v>
      </c>
      <c r="E24" s="24">
        <f t="shared" si="1"/>
        <v>0</v>
      </c>
      <c r="F24" s="24">
        <f t="shared" si="1"/>
        <v>0</v>
      </c>
      <c r="G24" s="24">
        <f t="shared" si="1"/>
        <v>0</v>
      </c>
      <c r="H24" s="25">
        <f t="shared" si="1"/>
        <v>0</v>
      </c>
      <c r="I24" s="23">
        <f t="shared" si="1"/>
        <v>0</v>
      </c>
      <c r="J24" s="24">
        <f t="shared" si="1"/>
        <v>0</v>
      </c>
      <c r="K24" s="24">
        <f t="shared" si="1"/>
        <v>0</v>
      </c>
      <c r="L24" s="24">
        <f t="shared" si="1"/>
        <v>0</v>
      </c>
      <c r="M24" s="24">
        <f t="shared" si="1"/>
        <v>0</v>
      </c>
      <c r="N24" s="35"/>
      <c r="O24" s="36"/>
      <c r="P24" s="37">
        <f>IFERROR(SUM(P10:P23),"$")</f>
        <v>0</v>
      </c>
    </row>
    <row r="25" spans="2:16" ht="30" customHeight="1" x14ac:dyDescent="0.4">
      <c r="D25" s="48"/>
      <c r="E25" s="48"/>
      <c r="F25" s="48"/>
      <c r="G25" s="48"/>
      <c r="H25" s="48"/>
      <c r="I25" s="48"/>
      <c r="J25" s="48"/>
      <c r="K25" s="48"/>
      <c r="L25" s="48"/>
      <c r="M25" s="48"/>
      <c r="N25" s="48"/>
    </row>
    <row r="26" spans="2:16" ht="30" customHeight="1" x14ac:dyDescent="0.4">
      <c r="D26" s="48"/>
      <c r="E26" s="48"/>
      <c r="F26" s="48"/>
      <c r="G26" s="48"/>
      <c r="H26" s="48"/>
      <c r="I26" s="48"/>
      <c r="J26" s="48"/>
      <c r="K26" s="48"/>
      <c r="L26" s="48"/>
      <c r="M26" s="48"/>
      <c r="N26" s="48"/>
    </row>
    <row r="27" spans="2:16" ht="30" customHeight="1" x14ac:dyDescent="0.4">
      <c r="D27" s="57" t="str">
        <f>'Biweekly Time Sheet'!D26:J26</f>
        <v>Paul Robertson</v>
      </c>
      <c r="E27" s="57"/>
      <c r="F27" s="57"/>
      <c r="G27" s="57"/>
      <c r="H27" s="57"/>
      <c r="I27" s="57"/>
      <c r="J27" s="57"/>
      <c r="K27" s="57"/>
      <c r="L27" s="57"/>
      <c r="M27" s="57"/>
      <c r="N27" s="57"/>
      <c r="O27" s="57"/>
      <c r="P27" s="17">
        <f>'Biweekly Time Sheet'!L26</f>
        <v>46040</v>
      </c>
    </row>
    <row r="28" spans="2:16" ht="30" customHeight="1" x14ac:dyDescent="0.4">
      <c r="D28" s="48" t="s">
        <v>18</v>
      </c>
      <c r="E28" s="48"/>
      <c r="F28" s="48"/>
      <c r="G28" s="48"/>
      <c r="H28" s="48"/>
      <c r="I28" s="48"/>
      <c r="J28" s="48"/>
      <c r="K28" s="48"/>
      <c r="L28" s="48"/>
      <c r="M28" s="48"/>
      <c r="N28" s="48"/>
      <c r="P28" t="s">
        <v>6</v>
      </c>
    </row>
    <row r="29" spans="2:16" ht="30" customHeight="1" x14ac:dyDescent="0.4">
      <c r="P29" s="34" t="s">
        <v>34</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D28:N28"/>
    <mergeCell ref="D27:O27"/>
    <mergeCell ref="D8:H8"/>
    <mergeCell ref="I8:O8"/>
    <mergeCell ref="N9:O9"/>
    <mergeCell ref="D25:N25"/>
    <mergeCell ref="D26:N26"/>
    <mergeCell ref="N6:P6"/>
    <mergeCell ref="B1:P1"/>
    <mergeCell ref="C3:D3"/>
    <mergeCell ref="L3:P3"/>
    <mergeCell ref="L4:P4"/>
    <mergeCell ref="L5:P5"/>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H9" sqref="H9"/>
    </sheetView>
  </sheetViews>
  <sheetFormatPr defaultRowHeight="14.25" x14ac:dyDescent="0.4"/>
  <cols>
    <col min="1" max="1" width="24.375" bestFit="1" customWidth="1"/>
  </cols>
  <sheetData>
    <row r="1" spans="1:4" ht="14.65" thickBot="1" x14ac:dyDescent="0.45">
      <c r="A1" s="30" t="s">
        <v>36</v>
      </c>
      <c r="B1" s="30"/>
      <c r="C1" s="30"/>
      <c r="D1" s="30"/>
    </row>
    <row r="2" spans="1:4" x14ac:dyDescent="0.4">
      <c r="A2" s="31" t="s">
        <v>37</v>
      </c>
      <c r="B2" s="31"/>
      <c r="C2" s="32">
        <f>'Biweekly Time Sheet'!D$23</f>
        <v>29.5</v>
      </c>
      <c r="D2" s="31"/>
    </row>
    <row r="3" spans="1:4" x14ac:dyDescent="0.4">
      <c r="A3" s="31" t="s">
        <v>38</v>
      </c>
      <c r="B3" s="31"/>
      <c r="C3" s="32">
        <f>'Biweekly Time Sheet'!E$23</f>
        <v>0.5</v>
      </c>
      <c r="D3" s="31"/>
    </row>
    <row r="4" spans="1:4" x14ac:dyDescent="0.4">
      <c r="A4" s="31" t="s">
        <v>39</v>
      </c>
      <c r="B4" s="31"/>
      <c r="C4" s="32">
        <f>'Biweekly Time Sheet'!F$23</f>
        <v>0</v>
      </c>
      <c r="D4" s="31"/>
    </row>
    <row r="5" spans="1:4" x14ac:dyDescent="0.4">
      <c r="A5" s="31" t="s">
        <v>40</v>
      </c>
      <c r="B5" s="31"/>
      <c r="C5" s="32">
        <f>'Biweekly Time Sheet'!G$23</f>
        <v>2</v>
      </c>
      <c r="D5" s="31"/>
    </row>
    <row r="6" spans="1:4" x14ac:dyDescent="0.4">
      <c r="A6" s="31" t="s">
        <v>41</v>
      </c>
      <c r="B6" s="31"/>
      <c r="C6" s="32">
        <f>'Biweekly Time Sheet'!H$23</f>
        <v>0</v>
      </c>
      <c r="D6" s="31"/>
    </row>
    <row r="7" spans="1:4" x14ac:dyDescent="0.4">
      <c r="A7" s="31" t="s">
        <v>42</v>
      </c>
      <c r="B7" s="31"/>
      <c r="C7" s="32">
        <f>'Biweekly Time Sheet'!I$23</f>
        <v>0</v>
      </c>
      <c r="D7" s="31"/>
    </row>
    <row r="8" spans="1:4" x14ac:dyDescent="0.4">
      <c r="A8" s="31" t="s">
        <v>43</v>
      </c>
      <c r="B8" s="31"/>
      <c r="C8" s="32">
        <f>'Biweekly Time Sheet'!J$23</f>
        <v>0</v>
      </c>
      <c r="D8" s="31"/>
    </row>
    <row r="9" spans="1:4" x14ac:dyDescent="0.4">
      <c r="A9" s="31" t="s">
        <v>44</v>
      </c>
      <c r="B9" s="31"/>
      <c r="C9" s="32">
        <f>'Biweekly Time Sheet'!K$23</f>
        <v>21</v>
      </c>
      <c r="D9" s="31"/>
    </row>
    <row r="10" spans="1:4" x14ac:dyDescent="0.4">
      <c r="A10" s="31" t="s">
        <v>45</v>
      </c>
      <c r="B10" s="31"/>
      <c r="C10" s="33">
        <f>'Biweekly Expense Report CAD'!P24</f>
        <v>0</v>
      </c>
      <c r="D10" s="31" t="s">
        <v>46</v>
      </c>
    </row>
    <row r="11" spans="1:4" x14ac:dyDescent="0.4">
      <c r="A11" s="31" t="s">
        <v>47</v>
      </c>
      <c r="B11" s="31"/>
      <c r="C11" s="33">
        <f>'Biweekly Expense Report USD'!P24</f>
        <v>0</v>
      </c>
      <c r="D11" s="31" t="s">
        <v>48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LAPTOP</dc:creator>
  <cp:keywords/>
  <dc:description/>
  <cp:lastModifiedBy>Drew Alkemade</cp:lastModifiedBy>
  <cp:revision/>
  <dcterms:created xsi:type="dcterms:W3CDTF">2017-09-11T06:48:50Z</dcterms:created>
  <dcterms:modified xsi:type="dcterms:W3CDTF">2026-01-22T19:25:46Z</dcterms:modified>
  <cp:category/>
  <cp:contentStatus/>
</cp:coreProperties>
</file>