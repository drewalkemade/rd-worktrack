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mc:AlternateContent xmlns:mc="http://schemas.openxmlformats.org/markup-compatibility/2006">
    <mc:Choice Requires="x15">
      <x15ac:absPath xmlns:x15ac="http://schemas.microsoft.com/office/spreadsheetml/2010/11/ac" url="C:\Users\Matina\Dropbox\_73 RAHBAR, MATINA\Timesheets\"/>
    </mc:Choice>
  </mc:AlternateContent>
  <xr:revisionPtr revIDLastSave="0" documentId="13_ncr:1_{E090DDFF-B870-4F8E-B043-C6BED77C8F14}" xr6:coauthVersionLast="47" xr6:coauthVersionMax="47" xr10:uidLastSave="{00000000-0000-0000-0000-000000000000}"/>
  <bookViews>
    <workbookView xWindow="-108" yWindow="-108" windowWidth="23256" windowHeight="1389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<sst xmlns="http://schemas.openxmlformats.org/spreadsheetml/2006/main" count="82" uniqueCount="49">
  <si>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</si>
  <si>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</si>
  <si>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</si>
  <si>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</si>
  <si>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</si>
  <si>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</si>
  <si>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</si>
  <si>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</si>
  <si>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</si>
  <si>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</si>
  <si>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</si>
  <si>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</si>
  <si>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</si>
  <si>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</si>
  <si>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</si>
  <si>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</si>
  <si>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</si>
  <si>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</si>
  <si>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</si>
  <si>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</si>
  <si>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</si>
  <si>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</si>
  <si>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</si>
  <si>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</si>
  <si>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</si>
  <si>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</si>
  <si>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</si>
  <si>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</si>
  <si>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</si>
  <si>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</si>
  <si>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</si>
  <si>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</si>
  <si>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</si>
  <si>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</si>
  <si>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</si>
  <si>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</si>
  <si>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</si>
  <si>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</si>
  <si>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</si>
  <si>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</si>
  <si>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</si>
  <si>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</si>
  <si>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</si>
  <si>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</si>
  <si>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</si>
  <si>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</si>
  <si>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</si>
  <si>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</si>
  <si>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Matina Rahbar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</si>
</sst>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4" zoomScale="70" zoomScaleNormal="70" workbookViewId="0">
      <selection activeCell="L19" sqref="L19"/>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48" t="s">
        <v>14</v>
      </c>
      <c r="C1" s="48"/>
      <c r="D1" s="48"/>
      <c r="E1" s="48"/>
      <c r="F1" s="48"/>
      <c r="G1" s="48"/>
      <c r="H1" s="48"/>
      <c r="I1" s="48"/>
      <c r="J1" s="48"/>
      <c r="K1" s="48"/>
      <c r="L1" s="48"/>
    </row>
    <row r="2" spans="2:15" ht="42.75" customHeight="1" x14ac:dyDescent="0.25">
      <c r="B2" s="1"/>
      <c r="C2" s="1"/>
      <c r="D2" s="1"/>
    </row>
    <row r="3" spans="2:15" ht="30" customHeight="1" x14ac:dyDescent="0.25">
      <c r="C3" s="47"/>
      <c r="D3" s="47"/>
      <c r="G3" s="4" t="s">
        <v>0</v>
      </c>
      <c r="H3" s="50" t="s">
        <v>48</v>
      </c>
      <c r="I3" s="50"/>
      <c r="J3" s="50"/>
      <c r="K3" s="50"/>
      <c r="L3" s="50"/>
    </row>
    <row r="4" spans="2:15" ht="30" customHeight="1" x14ac:dyDescent="0.25">
      <c r="G4" s="5" t="s">
        <v>6</v>
      </c>
      <c r="H4" s="51">
        <v>46055</v>
      </c>
      <c r="I4" s="51"/>
      <c r="J4" s="51"/>
      <c r="K4" s="51"/>
      <c r="L4" s="51"/>
    </row>
    <row r="5" spans="2:15" ht="30" customHeight="1" x14ac:dyDescent="0.25">
      <c r="G5" s="5" t="s">
        <v>7</v>
      </c>
      <c r="H5" s="46">
        <f>IFERROR(IF($H$4="","",$H$4+13), "")</f>
        <v>46068</v>
      </c>
      <c r="I5" s="46"/>
      <c r="J5" s="46"/>
      <c r="K5" s="46"/>
      <c r="L5" s="46"/>
    </row>
    <row r="6" spans="2:15" ht="30" customHeight="1" x14ac:dyDescent="0.25">
      <c r="J6" s="47"/>
      <c r="K6" s="47"/>
      <c r="L6" s="47"/>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46055</v>
      </c>
      <c r="D9" s="12"/>
      <c r="E9" s="13"/>
      <c r="F9" s="12"/>
      <c r="G9" s="13"/>
      <c r="H9" s="12"/>
      <c r="I9" s="13"/>
      <c r="J9" s="12"/>
      <c r="K9" s="13">
        <v>8</v>
      </c>
      <c r="L9" s="43">
        <f>IFERROR(SUM(D9:K9), "")</f>
        <v>8</v>
      </c>
      <c r="O9" s="44"/>
    </row>
    <row r="10" spans="2:15" ht="30" customHeight="1" x14ac:dyDescent="0.25">
      <c r="B10" s="8" t="str">
        <f>IFERROR(TEXT('Biweekly Time Sheet'!$C10,"aaaa"), "")</f>
        <v>Tuesday</v>
      </c>
      <c r="C10" s="11">
        <f>IF($H$4="","",$H$4+1)</f>
        <v>46056</v>
      </c>
      <c r="D10" s="12"/>
      <c r="E10" s="13"/>
      <c r="F10" s="12"/>
      <c r="G10" s="13"/>
      <c r="H10" s="12"/>
      <c r="I10" s="13"/>
      <c r="J10" s="12"/>
      <c r="K10" s="13">
        <v>8</v>
      </c>
      <c r="L10" s="43">
        <f t="shared" ref="L10:L22" si="0">IFERROR(SUM(D10:K10), "")</f>
        <v>8</v>
      </c>
      <c r="O10" s="44"/>
    </row>
    <row r="11" spans="2:15" ht="30" customHeight="1" x14ac:dyDescent="0.25">
      <c r="B11" s="8" t="str">
        <f>IFERROR(TEXT('Biweekly Time Sheet'!$C11,"aaaa"), "")</f>
        <v>Wednesday</v>
      </c>
      <c r="C11" s="11">
        <f>IF($H$4="","",$H$4+2)</f>
        <v>46057</v>
      </c>
      <c r="D11" s="12"/>
      <c r="E11" s="13"/>
      <c r="F11" s="12"/>
      <c r="G11" s="13"/>
      <c r="H11" s="12"/>
      <c r="I11" s="13"/>
      <c r="J11" s="12"/>
      <c r="K11" s="13">
        <v>0</v>
      </c>
      <c r="L11" s="43">
        <f t="shared" si="0"/>
        <v>0</v>
      </c>
      <c r="O11" s="44"/>
    </row>
    <row r="12" spans="2:15" ht="30" customHeight="1" x14ac:dyDescent="0.25">
      <c r="B12" s="8" t="str">
        <f>IFERROR(TEXT('Biweekly Time Sheet'!$C12,"aaaa"), "")</f>
        <v>Thursday</v>
      </c>
      <c r="C12" s="11">
        <f>IF($H$4="","",$H$4+3)</f>
        <v>46058</v>
      </c>
      <c r="D12" s="12"/>
      <c r="E12" s="13"/>
      <c r="F12" s="12"/>
      <c r="G12" s="13"/>
      <c r="H12" s="12"/>
      <c r="I12" s="13"/>
      <c r="J12" s="12"/>
      <c r="K12" s="13">
        <v>5</v>
      </c>
      <c r="L12" s="43">
        <f t="shared" si="0"/>
        <v>5</v>
      </c>
      <c r="O12" s="44"/>
    </row>
    <row r="13" spans="2:15" ht="30" customHeight="1" x14ac:dyDescent="0.25">
      <c r="B13" s="8" t="str">
        <f>IFERROR(TEXT('Biweekly Time Sheet'!$C13,"aaaa"), "")</f>
        <v>Friday</v>
      </c>
      <c r="C13" s="11">
        <f>IF($H$4="","",$H$4+4)</f>
        <v>46059</v>
      </c>
      <c r="D13" s="12"/>
      <c r="E13" s="13"/>
      <c r="F13" s="12"/>
      <c r="G13" s="13"/>
      <c r="H13" s="12"/>
      <c r="I13" s="13"/>
      <c r="J13" s="12"/>
      <c r="K13" s="13">
        <v>8</v>
      </c>
      <c r="L13" s="43">
        <f t="shared" si="0"/>
        <v>8</v>
      </c>
      <c r="O13" s="44"/>
    </row>
    <row r="14" spans="2:15" ht="30" customHeight="1" x14ac:dyDescent="0.25">
      <c r="B14" s="8" t="str">
        <f>IFERROR(TEXT('Biweekly Time Sheet'!$C14,"aaaa"), "")</f>
        <v>Saturday</v>
      </c>
      <c r="C14" s="11">
        <f>IF($H$4="","",$H$4+5)</f>
        <v>46060</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46061</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46062</v>
      </c>
      <c r="D16" s="12"/>
      <c r="E16" s="13"/>
      <c r="F16" s="12"/>
      <c r="G16" s="13"/>
      <c r="H16" s="12"/>
      <c r="I16" s="13"/>
      <c r="J16" s="12"/>
      <c r="K16" s="13">
        <v>8</v>
      </c>
      <c r="L16" s="43">
        <f t="shared" si="0"/>
        <v>8</v>
      </c>
      <c r="O16" s="44"/>
    </row>
    <row r="17" spans="2:15" ht="30" customHeight="1" x14ac:dyDescent="0.25">
      <c r="B17" s="8" t="str">
        <f>IFERROR(TEXT('Biweekly Time Sheet'!$C17,"aaaa"), "")</f>
        <v>Tuesday</v>
      </c>
      <c r="C17" s="11">
        <f>IF($H$4="","",$H$4+8)</f>
        <v>46063</v>
      </c>
      <c r="D17" s="12"/>
      <c r="E17" s="13"/>
      <c r="F17" s="12"/>
      <c r="G17" s="13"/>
      <c r="H17" s="12"/>
      <c r="I17" s="13"/>
      <c r="J17" s="12"/>
      <c r="K17" s="13">
        <v>8</v>
      </c>
      <c r="L17" s="43">
        <f t="shared" si="0"/>
        <v>8</v>
      </c>
      <c r="O17" s="44"/>
    </row>
    <row r="18" spans="2:15" ht="30" customHeight="1" x14ac:dyDescent="0.25">
      <c r="B18" s="8" t="str">
        <f>IFERROR(TEXT('Biweekly Time Sheet'!$C18,"aaaa"), "")</f>
        <v>Wednesday</v>
      </c>
      <c r="C18" s="11">
        <f>IF($H$4="","",$H$4+9)</f>
        <v>46064</v>
      </c>
      <c r="D18" s="12"/>
      <c r="E18" s="13"/>
      <c r="F18" s="12"/>
      <c r="G18" s="13"/>
      <c r="H18" s="12"/>
      <c r="I18" s="13"/>
      <c r="J18" s="12"/>
      <c r="K18" s="13">
        <v>8</v>
      </c>
      <c r="L18" s="43">
        <f t="shared" si="0"/>
        <v>8</v>
      </c>
      <c r="O18" s="44"/>
    </row>
    <row r="19" spans="2:15" ht="30" customHeight="1" x14ac:dyDescent="0.25">
      <c r="B19" s="8" t="str">
        <f>IFERROR(TEXT('Biweekly Time Sheet'!$C19,"aaaa"), "")</f>
        <v>Thursday</v>
      </c>
      <c r="C19" s="11">
        <f>IF($H$4="","",$H$4+10)</f>
        <v>46065</v>
      </c>
      <c r="D19" s="12"/>
      <c r="E19" s="13"/>
      <c r="F19" s="12"/>
      <c r="G19" s="13"/>
      <c r="H19" s="12"/>
      <c r="I19" s="13"/>
      <c r="J19" s="12"/>
      <c r="K19" s="13">
        <v>0</v>
      </c>
      <c r="L19" s="43">
        <f t="shared" si="0"/>
        <v>0</v>
      </c>
      <c r="O19" s="44"/>
    </row>
    <row r="20" spans="2:15" ht="30" customHeight="1" x14ac:dyDescent="0.25">
      <c r="B20" s="8" t="str">
        <f>IFERROR(TEXT('Biweekly Time Sheet'!$C20,"aaaa"), "")</f>
        <v>Friday</v>
      </c>
      <c r="C20" s="11">
        <f>IF($H$4="","",$H$4+11)</f>
        <v>46066</v>
      </c>
      <c r="D20" s="12"/>
      <c r="E20" s="13"/>
      <c r="F20" s="12"/>
      <c r="G20" s="13"/>
      <c r="H20" s="12"/>
      <c r="I20" s="13"/>
      <c r="J20" s="12"/>
      <c r="K20" s="13">
        <v>8</v>
      </c>
      <c r="L20" s="43">
        <f t="shared" si="0"/>
        <v>8</v>
      </c>
      <c r="O20" s="44"/>
    </row>
    <row r="21" spans="2:15" ht="30" customHeight="1" x14ac:dyDescent="0.25">
      <c r="B21" s="8" t="str">
        <f>IFERROR(TEXT('Biweekly Time Sheet'!$C21,"aaaa"), "")</f>
        <v>Saturday</v>
      </c>
      <c r="C21" s="11">
        <f>IF($H$4="","",$H$4+12)</f>
        <v>46067</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46068</v>
      </c>
      <c r="D22" s="16"/>
      <c r="E22" s="17"/>
      <c r="F22" s="16"/>
      <c r="G22" s="17"/>
      <c r="H22" s="16"/>
      <c r="I22" s="17"/>
      <c r="J22" s="16"/>
      <c r="K22" s="17"/>
      <c r="L22" s="43">
        <f t="shared" si="0"/>
        <v>0</v>
      </c>
      <c r="O22" s="44"/>
    </row>
    <row r="23" spans="2:15" ht="30" customHeight="1" x14ac:dyDescent="0.25">
      <c r="C23" s="2" t="s">
        <v>5</v>
      </c>
      <c r="D23" s="3">
        <f t="shared" ref="D23:K23" si="1">IFERROR(SUM(D9:D22), "")</f>
        <v>0</v>
      </c>
      <c r="E23" s="3">
        <f t="shared" si="1"/>
        <v>0</v>
      </c>
      <c r="F23" s="3">
        <f t="shared" si="1"/>
        <v>0</v>
      </c>
      <c r="G23" s="3">
        <f t="shared" si="1"/>
        <v>0</v>
      </c>
      <c r="H23" s="3">
        <f t="shared" si="1"/>
        <v>0</v>
      </c>
      <c r="I23" s="3">
        <f t="shared" si="1"/>
        <v>0</v>
      </c>
      <c r="J23" s="3">
        <f t="shared" si="1"/>
        <v>0</v>
      </c>
      <c r="K23" s="3">
        <f t="shared" si="1"/>
        <v>61</v>
      </c>
      <c r="L23" s="3">
        <f>IFERROR(SUM(D23:K23), "")</f>
        <v>61</v>
      </c>
    </row>
    <row r="24" spans="2:15" ht="30" customHeight="1" x14ac:dyDescent="0.25">
      <c r="D24" s="47"/>
      <c r="E24" s="47"/>
      <c r="F24" s="47"/>
      <c r="G24" s="47"/>
      <c r="H24" s="47"/>
      <c r="I24" s="47"/>
      <c r="J24" s="47"/>
    </row>
    <row r="25" spans="2:15" ht="30" customHeight="1" x14ac:dyDescent="0.25">
      <c r="D25" s="47"/>
      <c r="E25" s="47"/>
      <c r="F25" s="47"/>
      <c r="G25" s="47"/>
      <c r="H25" s="47"/>
      <c r="I25" s="47"/>
      <c r="J25" s="47"/>
    </row>
    <row r="26" spans="2:15" ht="30" customHeight="1" x14ac:dyDescent="0.25">
      <c r="D26" s="49"/>
      <c r="E26" s="49"/>
      <c r="F26" s="49"/>
      <c r="G26" s="49"/>
      <c r="H26" s="49"/>
      <c r="I26" s="49"/>
      <c r="J26" s="49"/>
      <c r="K26" s="7"/>
      <c r="L26" s="6"/>
    </row>
    <row r="27" spans="2:15" ht="30" customHeight="1" x14ac:dyDescent="0.25">
      <c r="D27" s="47" t="s">
        <v>8</v>
      </c>
      <c r="E27" s="47"/>
      <c r="F27" s="47"/>
      <c r="G27" s="47"/>
      <c r="H27" s="47"/>
      <c r="I27" s="47"/>
      <c r="J27" s="47"/>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41</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Matina Rahbar</v>
      </c>
      <c r="M3" s="46"/>
      <c r="N3" s="46"/>
      <c r="O3" s="46"/>
      <c r="P3" s="46"/>
    </row>
    <row r="4" spans="2:16" ht="30" customHeight="1" x14ac:dyDescent="0.25">
      <c r="K4" s="5" t="s">
        <v>6</v>
      </c>
      <c r="L4" s="46">
        <f>'Biweekly Time Sheet'!H4</f>
        <v>46055</v>
      </c>
      <c r="M4" s="46"/>
      <c r="N4" s="46"/>
      <c r="O4" s="46"/>
      <c r="P4" s="46"/>
    </row>
    <row r="5" spans="2:16" ht="30" customHeight="1" x14ac:dyDescent="0.25">
      <c r="K5" s="5" t="s">
        <v>7</v>
      </c>
      <c r="L5" s="46">
        <f>'Biweekly Time Sheet'!H5</f>
        <v>46068</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CAD'!$C10,"aaaa"),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46059</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46061</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46062</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48" t="s">
        <v>40</v>
      </c>
      <c r="C1" s="48"/>
      <c r="D1" s="48"/>
      <c r="E1" s="48"/>
      <c r="F1" s="48"/>
      <c r="G1" s="48"/>
      <c r="H1" s="48"/>
      <c r="I1" s="48"/>
      <c r="J1" s="48"/>
      <c r="K1" s="48"/>
      <c r="L1" s="48"/>
      <c r="M1" s="48"/>
      <c r="N1" s="48"/>
      <c r="O1" s="48"/>
      <c r="P1" s="48"/>
    </row>
    <row r="2" spans="2:16" ht="42.75" customHeight="1" x14ac:dyDescent="0.25">
      <c r="B2" s="1"/>
      <c r="C2" s="1"/>
      <c r="D2" s="1"/>
    </row>
    <row r="3" spans="2:16" ht="30" customHeight="1" x14ac:dyDescent="0.25">
      <c r="C3" s="47"/>
      <c r="D3" s="47"/>
      <c r="K3" s="4" t="s">
        <v>0</v>
      </c>
      <c r="L3" s="46" t="str">
        <f>'Biweekly Time Sheet'!H3</f>
        <v>Matina Rahbar</v>
      </c>
      <c r="M3" s="46"/>
      <c r="N3" s="46"/>
      <c r="O3" s="46"/>
      <c r="P3" s="46"/>
    </row>
    <row r="4" spans="2:16" ht="30" customHeight="1" x14ac:dyDescent="0.25">
      <c r="K4" s="5" t="s">
        <v>6</v>
      </c>
      <c r="L4" s="46">
        <f>'Biweekly Time Sheet'!H4</f>
        <v>46055</v>
      </c>
      <c r="M4" s="46"/>
      <c r="N4" s="46"/>
      <c r="O4" s="46"/>
      <c r="P4" s="46"/>
    </row>
    <row r="5" spans="2:16" ht="30" customHeight="1" x14ac:dyDescent="0.25">
      <c r="K5" s="5" t="s">
        <v>7</v>
      </c>
      <c r="L5" s="46">
        <f>'Biweekly Time Sheet'!H5</f>
        <v>46068</v>
      </c>
      <c r="M5" s="46"/>
      <c r="N5" s="46"/>
      <c r="O5" s="46"/>
      <c r="P5" s="46"/>
    </row>
    <row r="6" spans="2:16" ht="30" customHeight="1" x14ac:dyDescent="0.25">
      <c r="N6" s="47"/>
      <c r="O6" s="47"/>
      <c r="P6" s="47"/>
    </row>
    <row r="7" spans="2:16" ht="15" customHeight="1" thickBot="1" x14ac:dyDescent="0.3"/>
    <row r="8" spans="2:16" ht="22.5" customHeight="1" thickBot="1" x14ac:dyDescent="0.3">
      <c r="D8" s="52" t="s">
        <v>26</v>
      </c>
      <c r="E8" s="53"/>
      <c r="F8" s="53"/>
      <c r="G8" s="53"/>
      <c r="H8" s="54"/>
      <c r="I8" s="52" t="s">
        <v>27</v>
      </c>
      <c r="J8" s="53"/>
      <c r="K8" s="53"/>
      <c r="L8" s="53"/>
      <c r="M8" s="53"/>
      <c r="N8" s="53"/>
      <c r="O8" s="54"/>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25">
      <c r="B10" s="8" t="str">
        <f>IFERROR(TEXT('Biweekly Expense Report USD'!$C10,"aaaa"), "")</f>
        <v>Monday</v>
      </c>
      <c r="C10" s="11">
        <f>L4</f>
        <v>46055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46056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46057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46058</v>
      </c>
      <c r="D13" s="21"/>
      <c r="E13" s="20"/>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46059</v>
      </c>
      <c r="D14" s="21"/>
      <c r="E14" s="20"/>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46060</v>
      </c>
      <c r="D15" s="21"/>
      <c r="E15" s="20"/>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46061</v>
      </c>
      <c r="D16" s="21"/>
      <c r="E16" s="20"/>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46062</v>
      </c>
      <c r="D17" s="21"/>
      <c r="E17" s="20"/>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46063</v>
      </c>
      <c r="D18" s="21"/>
      <c r="E18" s="20"/>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46064</v>
      </c>
      <c r="D19" s="21"/>
      <c r="E19" s="20"/>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46065</v>
      </c>
      <c r="D20" s="21"/>
      <c r="E20" s="20"/>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46066</v>
      </c>
      <c r="D21" s="21"/>
      <c r="E21" s="20"/>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46067</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46068</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7"/>
      <c r="E25" s="47"/>
      <c r="F25" s="47"/>
      <c r="G25" s="47"/>
      <c r="H25" s="47"/>
      <c r="I25" s="47"/>
      <c r="J25" s="47"/>
      <c r="K25" s="47"/>
      <c r="L25" s="47"/>
      <c r="M25" s="47"/>
      <c r="N25" s="47"/>
    </row>
    <row r="26" spans="2:16" ht="30" customHeight="1" x14ac:dyDescent="0.25">
      <c r="D26" s="47"/>
      <c r="E26" s="47"/>
      <c r="F26" s="47"/>
      <c r="G26" s="47"/>
      <c r="H26" s="47"/>
      <c r="I26" s="47"/>
      <c r="J26" s="47"/>
      <c r="K26" s="47"/>
      <c r="L26" s="47"/>
      <c r="M26" s="47"/>
      <c r="N26" s="47"/>
    </row>
    <row r="27" spans="2:16" ht="30" customHeight="1" x14ac:dyDescent="0.25">
      <c r="D27" s="55">
        <f>'Biweekly Time Sheet'!D26:J26</f>
        <v>0</v>
      </c>
      <c r="E27" s="55"/>
      <c r="F27" s="55"/>
      <c r="G27" s="55"/>
      <c r="H27" s="55"/>
      <c r="I27" s="55"/>
      <c r="J27" s="55"/>
      <c r="K27" s="55"/>
      <c r="L27" s="55"/>
      <c r="M27" s="55"/>
      <c r="N27" s="55"/>
      <c r="O27" s="55"/>
      <c r="P27" s="18">
        <f>'Biweekly Time Sheet'!L26</f>
        <v>0</v>
      </c>
    </row>
    <row r="28" spans="2:16" ht="30" customHeight="1" x14ac:dyDescent="0.25">
      <c r="D28" s="47" t="s">
        <v>8</v>
      </c>
      <c r="E28" s="47"/>
      <c r="F28" s="47"/>
      <c r="G28" s="47"/>
      <c r="H28" s="47"/>
      <c r="I28" s="47"/>
      <c r="J28" s="47"/>
      <c r="K28" s="47"/>
      <c r="L28" s="47"/>
      <c r="M28" s="47"/>
      <c r="N28" s="47"/>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I19" sqref="I19"/>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0</v>
      </c>
      <c r="D2" s="32"/>
    </row>
    <row r="3" spans="1:4" x14ac:dyDescent="0.25">
      <c r="A3" s="32" t="s">
        <v>30</v>
      </c>
      <c r="B3" s="32"/>
      <c r="C3" s="33">
        <f>'Biweekly Time Sheet'!E$23</f>
        <v>0</v>
      </c>
      <c r="D3" s="32"/>
    </row>
    <row r="4" spans="1:4" x14ac:dyDescent="0.25">
      <c r="A4" s="32" t="s">
        <v>31</v>
      </c>
      <c r="B4" s="32"/>
      <c r="C4" s="33">
        <f>'Biweekly Time Sheet'!F$23</f>
        <v>0</v>
      </c>
      <c r="D4" s="32"/>
    </row>
    <row r="5" spans="1:4" x14ac:dyDescent="0.25">
      <c r="A5" s="32" t="s">
        <v>32</v>
      </c>
      <c r="B5" s="32"/>
      <c r="C5" s="33">
        <f>'Biweekly Time Sheet'!G$23</f>
        <v>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61</v>
      </c>
      <c r="D9" s="32"/>
    </row>
    <row r="10" spans="1:4" x14ac:dyDescent="0.25">
      <c r="A10" s="32" t="s">
        <v>35</v>
      </c>
      <c r="B10" s="32"/>
      <c r="C10" s="34">
        <f>'Biweekly Expense Report CAD'!P24</f>
        <v>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Matina Rahbar</cp:lastModifiedBy>
  <cp:lastPrinted>2018-03-15T16:37:49Z</cp:lastPrinted>
  <dcterms:created xsi:type="dcterms:W3CDTF">2017-09-11T06:48:50Z</dcterms:created>
  <dcterms:modified xsi:type="dcterms:W3CDTF">2026-02-17T17:46:53Z</dcterms:modified>
</cp:coreProperties>
</file>