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15/"/>
    </mc:Choice>
  </mc:AlternateContent>
  <xr:revisionPtr revIDLastSave="1" documentId="13_ncr:1_{D8C287D4-4F0A-4033-9F6D-E77D82467DBA}" xr6:coauthVersionLast="47" xr6:coauthVersionMax="47" xr10:uidLastSave="{5607A773-1C30-429B-AE62-FDDAF3B8A2A0}"/>
  <bookViews>
    <workbookView xWindow="-98" yWindow="-98" windowWidth="20715" windowHeight="1315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<sst xmlns="http://schemas.openxmlformats.org/spreadsheetml/2006/main" count="82" uniqueCount="49">
  <si>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</si>
  <si>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</si>
  <si>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</si>
  <si>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</si>
  <si>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</si>
  <si>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</si>
  <si>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</si>
  <si>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</si>
  <si>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</si>
  <si>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</si>
  <si>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</si>
  <si>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</si>
  <si>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</si>
  <si>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</si>
  <si>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</si>
  <si>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</si>
  <si>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</si>
  <si>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</si>
  <si>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</si>
  <si>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</si>
  <si>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</si>
  <si>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</si>
  <si>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</si>
  <si>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</si>
  <si>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</si>
  <si>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</si>
  <si>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</si>
  <si>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</si>
  <si>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</si>
  <si>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</si>
  <si>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</si>
  <si>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</si>
  <si>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</si>
  <si>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</si>
  <si>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</si>
  <si>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</si>
  <si>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</si>
  <si>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</si>
  <si>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</si>
  <si>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</si>
  <si>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</si>
  <si>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</si>
  <si>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</si>
  <si>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</si>
  <si>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</si>
  <si>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</si>
  <si>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</si>
  <si>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</si>
  <si>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Matina Rahbar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</si>
</sst>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8" zoomScale="70" zoomScaleNormal="70" workbookViewId="0">
      <selection activeCell="K22" sqref="K22"/>
    </sheetView>
  </sheetViews>
  <sheetFormatPr defaultRowHeight="30" customHeight="1" x14ac:dyDescent="0.4"/>
  <cols>
    <col min="1" max="1" width="2.625" customWidth="1"/>
    <col min="2" max="4" width="16.625" customWidth="1"/>
    <col min="5" max="5" width="18.125" bestFit="1" customWidth="1"/>
    <col min="6" max="6" width="18.5" bestFit="1" customWidth="1"/>
    <col min="7" max="8" width="16.6875" customWidth="1"/>
    <col min="9" max="11" width="16.625" customWidth="1"/>
    <col min="12" max="12" width="18.625" customWidth="1"/>
    <col min="13" max="13" width="2.625" customWidth="1"/>
    <col min="15" max="15" width="62.187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0" t="s">
        <v>48</v>
      </c>
      <c r="I3" s="50"/>
      <c r="J3" s="50"/>
      <c r="K3" s="50"/>
      <c r="L3" s="50"/>
    </row>
    <row r="4" spans="2:15" ht="30" customHeight="1" x14ac:dyDescent="0.4">
      <c r="G4" s="5" t="s">
        <v>6</v>
      </c>
      <c r="H4" s="51">
        <v>46083</v>
      </c>
      <c r="I4" s="51"/>
      <c r="J4" s="51"/>
      <c r="K4" s="51"/>
      <c r="L4" s="51"/>
    </row>
    <row r="5" spans="2:15" ht="30" customHeight="1" x14ac:dyDescent="0.4">
      <c r="G5" s="5" t="s">
        <v>7</v>
      </c>
      <c r="H5" s="46">
        <f>IFERROR(IF($H$4="","",$H$4+13), "")</f>
        <v>46096</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46083</v>
      </c>
      <c r="D9" s="12"/>
      <c r="E9" s="13"/>
      <c r="F9" s="12"/>
      <c r="G9" s="13"/>
      <c r="H9" s="12"/>
      <c r="I9" s="13"/>
      <c r="J9" s="12"/>
      <c r="K9" s="13">
        <v>8</v>
      </c>
      <c r="L9" s="43">
        <f>IFERROR(SUM(D9:K9), "")</f>
        <v>8</v>
      </c>
      <c r="O9" s="44"/>
    </row>
    <row r="10" spans="2:15" ht="30" customHeight="1" x14ac:dyDescent="0.4">
      <c r="B10" s="8" t="str">
        <f>IFERROR(TEXT('Biweekly Time Sheet'!$C10,"aaaa"), "")</f>
        <v>Tuesday</v>
      </c>
      <c r="C10" s="11">
        <f>IF($H$4="","",$H$4+1)</f>
        <v>46084</v>
      </c>
      <c r="D10" s="12"/>
      <c r="E10" s="13"/>
      <c r="F10" s="12"/>
      <c r="G10" s="13"/>
      <c r="H10" s="12"/>
      <c r="I10" s="13"/>
      <c r="J10" s="12"/>
      <c r="K10" s="13">
        <v>8</v>
      </c>
      <c r="L10" s="43">
        <f t="shared" ref="L10:L22" si="0">IFERROR(SUM(D10:K10), "")</f>
        <v>8</v>
      </c>
      <c r="O10" s="44"/>
    </row>
    <row r="11" spans="2:15" ht="30" customHeight="1" x14ac:dyDescent="0.4">
      <c r="B11" s="8" t="str">
        <f>IFERROR(TEXT('Biweekly Time Sheet'!$C11,"aaaa"), "")</f>
        <v>Wednesday</v>
      </c>
      <c r="C11" s="11">
        <f>IF($H$4="","",$H$4+2)</f>
        <v>46085</v>
      </c>
      <c r="D11" s="12"/>
      <c r="E11" s="13"/>
      <c r="F11" s="12"/>
      <c r="G11" s="13"/>
      <c r="H11" s="12"/>
      <c r="I11" s="13"/>
      <c r="J11" s="12"/>
      <c r="K11" s="13">
        <v>8</v>
      </c>
      <c r="L11" s="43">
        <f t="shared" si="0"/>
        <v>8</v>
      </c>
      <c r="O11" s="44"/>
    </row>
    <row r="12" spans="2:15" ht="30" customHeight="1" x14ac:dyDescent="0.4">
      <c r="B12" s="8" t="str">
        <f>IFERROR(TEXT('Biweekly Time Sheet'!$C12,"aaaa"), "")</f>
        <v>Thursday</v>
      </c>
      <c r="C12" s="11">
        <f>IF($H$4="","",$H$4+3)</f>
        <v>46086</v>
      </c>
      <c r="D12" s="12"/>
      <c r="E12" s="13"/>
      <c r="F12" s="12"/>
      <c r="G12" s="13"/>
      <c r="H12" s="12"/>
      <c r="I12" s="13"/>
      <c r="J12" s="12"/>
      <c r="K12" s="13">
        <v>8</v>
      </c>
      <c r="L12" s="43">
        <f t="shared" si="0"/>
        <v>8</v>
      </c>
      <c r="O12" s="44"/>
    </row>
    <row r="13" spans="2:15" ht="30" customHeight="1" x14ac:dyDescent="0.4">
      <c r="B13" s="8" t="str">
        <f>IFERROR(TEXT('Biweekly Time Sheet'!$C13,"aaaa"), "")</f>
        <v>Friday</v>
      </c>
      <c r="C13" s="11">
        <f>IF($H$4="","",$H$4+4)</f>
        <v>46087</v>
      </c>
      <c r="D13" s="12"/>
      <c r="E13" s="13"/>
      <c r="F13" s="12"/>
      <c r="G13" s="13"/>
      <c r="H13" s="12"/>
      <c r="I13" s="13"/>
      <c r="J13" s="12"/>
      <c r="K13" s="13">
        <v>8</v>
      </c>
      <c r="L13" s="43">
        <f t="shared" si="0"/>
        <v>8</v>
      </c>
      <c r="O13" s="44"/>
    </row>
    <row r="14" spans="2:15" ht="30" customHeight="1" x14ac:dyDescent="0.4">
      <c r="B14" s="8" t="str">
        <f>IFERROR(TEXT('Biweekly Time Sheet'!$C14,"aaaa"), "")</f>
        <v>Saturday</v>
      </c>
      <c r="C14" s="11">
        <f>IF($H$4="","",$H$4+5)</f>
        <v>46088</v>
      </c>
      <c r="D14" s="12"/>
      <c r="E14" s="13"/>
      <c r="F14" s="12"/>
      <c r="G14" s="13"/>
      <c r="H14" s="12"/>
      <c r="I14" s="13"/>
      <c r="J14" s="12"/>
      <c r="K14" s="13"/>
      <c r="L14" s="43">
        <f t="shared" si="0"/>
        <v>0</v>
      </c>
      <c r="O14" s="44"/>
    </row>
    <row r="15" spans="2:15" ht="30" customHeight="1" x14ac:dyDescent="0.4">
      <c r="B15" s="8" t="str">
        <f>IFERROR(TEXT('Biweekly Time Sheet'!$C15,"aaaa"), "")</f>
        <v>Sunday</v>
      </c>
      <c r="C15" s="11">
        <f>IF($H$4="","",$H$4+6)</f>
        <v>46089</v>
      </c>
      <c r="D15" s="12"/>
      <c r="E15" s="13"/>
      <c r="F15" s="12"/>
      <c r="G15" s="13"/>
      <c r="H15" s="12"/>
      <c r="I15" s="13"/>
      <c r="J15" s="12"/>
      <c r="K15" s="13"/>
      <c r="L15" s="43">
        <f t="shared" si="0"/>
        <v>0</v>
      </c>
      <c r="O15" s="44"/>
    </row>
    <row r="16" spans="2:15" ht="30" customHeight="1" x14ac:dyDescent="0.4">
      <c r="B16" s="8" t="str">
        <f>IFERROR(TEXT('Biweekly Time Sheet'!$C16,"aaaa"), "")</f>
        <v>Monday</v>
      </c>
      <c r="C16" s="11">
        <f>IF($H$4="","",$H$4+7)</f>
        <v>46090</v>
      </c>
      <c r="D16" s="12"/>
      <c r="E16" s="13"/>
      <c r="F16" s="12"/>
      <c r="G16" s="13"/>
      <c r="H16" s="12"/>
      <c r="I16" s="13"/>
      <c r="J16" s="12"/>
      <c r="K16" s="13">
        <v>8</v>
      </c>
      <c r="L16" s="43">
        <f t="shared" si="0"/>
        <v>8</v>
      </c>
      <c r="O16" s="44"/>
    </row>
    <row r="17" spans="2:15" ht="30" customHeight="1" x14ac:dyDescent="0.4">
      <c r="B17" s="8" t="str">
        <f>IFERROR(TEXT('Biweekly Time Sheet'!$C17,"aaaa"), "")</f>
        <v>Tuesday</v>
      </c>
      <c r="C17" s="11">
        <f>IF($H$4="","",$H$4+8)</f>
        <v>46091</v>
      </c>
      <c r="D17" s="12"/>
      <c r="E17" s="13"/>
      <c r="F17" s="12"/>
      <c r="G17" s="13"/>
      <c r="H17" s="12"/>
      <c r="I17" s="13"/>
      <c r="J17" s="12"/>
      <c r="K17" s="13">
        <v>8</v>
      </c>
      <c r="L17" s="43">
        <f t="shared" si="0"/>
        <v>8</v>
      </c>
      <c r="O17" s="44"/>
    </row>
    <row r="18" spans="2:15" ht="30" customHeight="1" x14ac:dyDescent="0.4">
      <c r="B18" s="8" t="str">
        <f>IFERROR(TEXT('Biweekly Time Sheet'!$C18,"aaaa"), "")</f>
        <v>Wednesday</v>
      </c>
      <c r="C18" s="11">
        <f>IF($H$4="","",$H$4+9)</f>
        <v>46092</v>
      </c>
      <c r="D18" s="12"/>
      <c r="E18" s="13"/>
      <c r="F18" s="12"/>
      <c r="G18" s="13"/>
      <c r="H18" s="12"/>
      <c r="I18" s="13"/>
      <c r="J18" s="12"/>
      <c r="K18" s="13">
        <v>8</v>
      </c>
      <c r="L18" s="43">
        <f t="shared" si="0"/>
        <v>8</v>
      </c>
      <c r="O18" s="44"/>
    </row>
    <row r="19" spans="2:15" ht="30" customHeight="1" x14ac:dyDescent="0.4">
      <c r="B19" s="8" t="str">
        <f>IFERROR(TEXT('Biweekly Time Sheet'!$C19,"aaaa"), "")</f>
        <v>Thursday</v>
      </c>
      <c r="C19" s="11">
        <f>IF($H$4="","",$H$4+10)</f>
        <v>46093</v>
      </c>
      <c r="D19" s="12"/>
      <c r="E19" s="13"/>
      <c r="F19" s="12"/>
      <c r="G19" s="13"/>
      <c r="H19" s="12"/>
      <c r="I19" s="13"/>
      <c r="J19" s="12"/>
      <c r="K19" s="13">
        <v>8</v>
      </c>
      <c r="L19" s="43">
        <f t="shared" si="0"/>
        <v>8</v>
      </c>
      <c r="O19" s="44"/>
    </row>
    <row r="20" spans="2:15" ht="30" customHeight="1" x14ac:dyDescent="0.4">
      <c r="B20" s="8" t="str">
        <f>IFERROR(TEXT('Biweekly Time Sheet'!$C20,"aaaa"), "")</f>
        <v>Friday</v>
      </c>
      <c r="C20" s="11">
        <f>IF($H$4="","",$H$4+11)</f>
        <v>46094</v>
      </c>
      <c r="D20" s="12"/>
      <c r="E20" s="13"/>
      <c r="F20" s="12"/>
      <c r="G20" s="13"/>
      <c r="H20" s="12"/>
      <c r="I20" s="13"/>
      <c r="J20" s="12"/>
      <c r="K20" s="13">
        <v>8</v>
      </c>
      <c r="L20" s="43">
        <f t="shared" si="0"/>
        <v>8</v>
      </c>
      <c r="O20" s="44"/>
    </row>
    <row r="21" spans="2:15" ht="30" customHeight="1" x14ac:dyDescent="0.4">
      <c r="B21" s="8" t="str">
        <f>IFERROR(TEXT('Biweekly Time Sheet'!$C21,"aaaa"), "")</f>
        <v>Saturday</v>
      </c>
      <c r="C21" s="11">
        <f>IF($H$4="","",$H$4+12)</f>
        <v>46095</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46096</v>
      </c>
      <c r="D22" s="16"/>
      <c r="E22" s="17"/>
      <c r="F22" s="16"/>
      <c r="G22" s="17"/>
      <c r="H22" s="16"/>
      <c r="I22" s="17"/>
      <c r="J22" s="16"/>
      <c r="K22" s="17"/>
      <c r="L22" s="43">
        <f t="shared" si="0"/>
        <v>0</v>
      </c>
      <c r="O22" s="44"/>
    </row>
    <row r="23" spans="2:15" ht="30" customHeight="1" x14ac:dyDescent="0.4">
      <c r="C23" s="2" t="s">
        <v>5</v>
      </c>
      <c r="D23" s="3">
        <f t="shared" ref="D23:K23" si="1">IFERROR(SUM(D9:D22), "")</f>
        <v>0</v>
      </c>
      <c r="E23" s="3">
        <f t="shared" si="1"/>
        <v>0</v>
      </c>
      <c r="F23" s="3">
        <f t="shared" si="1"/>
        <v>0</v>
      </c>
      <c r="G23" s="3">
        <f t="shared" si="1"/>
        <v>0</v>
      </c>
      <c r="H23" s="3">
        <f t="shared" si="1"/>
        <v>0</v>
      </c>
      <c r="I23" s="3">
        <f t="shared" si="1"/>
        <v>0</v>
      </c>
      <c r="J23" s="3">
        <f t="shared" si="1"/>
        <v>0</v>
      </c>
      <c r="K23" s="3">
        <f t="shared" si="1"/>
        <v>80</v>
      </c>
      <c r="L23" s="3">
        <f>IFERROR(SUM(D23:K23), "")</f>
        <v>80</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c r="E26" s="49"/>
      <c r="F26" s="49"/>
      <c r="G26" s="49"/>
      <c r="H26" s="49"/>
      <c r="I26" s="49"/>
      <c r="J26" s="49"/>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Matina Rahbar</v>
      </c>
      <c r="M3" s="46"/>
      <c r="N3" s="46"/>
      <c r="O3" s="46"/>
      <c r="P3" s="46"/>
    </row>
    <row r="4" spans="2:16" ht="30" customHeight="1" x14ac:dyDescent="0.4">
      <c r="K4" s="5" t="s">
        <v>6</v>
      </c>
      <c r="L4" s="46">
        <f>'Biweekly Time Sheet'!H4</f>
        <v>46083</v>
      </c>
      <c r="M4" s="46"/>
      <c r="N4" s="46"/>
      <c r="O4" s="46"/>
      <c r="P4" s="46"/>
    </row>
    <row r="5" spans="2:16" ht="30" customHeight="1" x14ac:dyDescent="0.4">
      <c r="K5" s="5" t="s">
        <v>7</v>
      </c>
      <c r="L5" s="46">
        <f>'Biweekly Time Sheet'!H5</f>
        <v>46096</v>
      </c>
      <c r="M5" s="46"/>
      <c r="N5" s="46"/>
      <c r="O5" s="46"/>
      <c r="P5" s="46"/>
    </row>
    <row r="6" spans="2:16" ht="30" customHeight="1" x14ac:dyDescent="0.4">
      <c r="N6" s="47"/>
      <c r="O6" s="47"/>
      <c r="P6" s="47"/>
    </row>
    <row r="7" spans="2:16" ht="15" customHeight="1" thickBot="1" x14ac:dyDescent="0.45"/>
    <row r="8" spans="2:16" ht="22.5" customHeight="1" thickBot="1" x14ac:dyDescent="0.45">
      <c r="D8" s="55" t="s">
        <v>26</v>
      </c>
      <c r="E8" s="56"/>
      <c r="F8" s="56"/>
      <c r="G8" s="56"/>
      <c r="H8" s="57"/>
      <c r="I8" s="55" t="s">
        <v>27</v>
      </c>
      <c r="J8" s="56"/>
      <c r="K8" s="56"/>
      <c r="L8" s="56"/>
      <c r="M8" s="56"/>
      <c r="N8" s="56"/>
      <c r="O8" s="57"/>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4">
      <c r="B10" s="8" t="str">
        <f>IFERROR(TEXT('Biweekly Expense Report CAD'!$C10,"aaaa"),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46087</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46089</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46090</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46094</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2">
        <f>'Biweekly Time Sheet'!D26:J26</f>
        <v>0</v>
      </c>
      <c r="E27" s="52"/>
      <c r="F27" s="52"/>
      <c r="G27" s="52"/>
      <c r="H27" s="52"/>
      <c r="I27" s="52"/>
      <c r="J27" s="52"/>
      <c r="K27" s="52"/>
      <c r="L27" s="52"/>
      <c r="M27" s="52"/>
      <c r="N27" s="52"/>
      <c r="O27" s="52"/>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Matina Rahbar</v>
      </c>
      <c r="M3" s="46"/>
      <c r="N3" s="46"/>
      <c r="O3" s="46"/>
      <c r="P3" s="46"/>
    </row>
    <row r="4" spans="2:16" ht="30" customHeight="1" x14ac:dyDescent="0.4">
      <c r="K4" s="5" t="s">
        <v>6</v>
      </c>
      <c r="L4" s="46">
        <f>'Biweekly Time Sheet'!H4</f>
        <v>46083</v>
      </c>
      <c r="M4" s="46"/>
      <c r="N4" s="46"/>
      <c r="O4" s="46"/>
      <c r="P4" s="46"/>
    </row>
    <row r="5" spans="2:16" ht="30" customHeight="1" x14ac:dyDescent="0.4">
      <c r="K5" s="5" t="s">
        <v>7</v>
      </c>
      <c r="L5" s="46">
        <f>'Biweekly Time Sheet'!H5</f>
        <v>46096</v>
      </c>
      <c r="M5" s="46"/>
      <c r="N5" s="46"/>
      <c r="O5" s="46"/>
      <c r="P5" s="46"/>
    </row>
    <row r="6" spans="2:16" ht="30" customHeight="1" x14ac:dyDescent="0.4">
      <c r="N6" s="47"/>
      <c r="O6" s="47"/>
      <c r="P6" s="47"/>
    </row>
    <row r="7" spans="2:16" ht="15" customHeight="1" thickBot="1" x14ac:dyDescent="0.45"/>
    <row r="8" spans="2:16" ht="22.5" customHeight="1" thickBot="1" x14ac:dyDescent="0.45">
      <c r="D8" s="55" t="s">
        <v>26</v>
      </c>
      <c r="E8" s="56"/>
      <c r="F8" s="56"/>
      <c r="G8" s="56"/>
      <c r="H8" s="57"/>
      <c r="I8" s="55" t="s">
        <v>27</v>
      </c>
      <c r="J8" s="56"/>
      <c r="K8" s="56"/>
      <c r="L8" s="56"/>
      <c r="M8" s="56"/>
      <c r="N8" s="56"/>
      <c r="O8" s="57"/>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3" t="s">
        <v>25</v>
      </c>
      <c r="O9" s="54"/>
      <c r="P9" s="39" t="s">
        <v>4</v>
      </c>
    </row>
    <row r="10" spans="2:16" ht="30" customHeight="1" x14ac:dyDescent="0.4">
      <c r="B10" s="8" t="str">
        <f>IFERROR(TEXT('Biweekly Expense Report USD'!$C10,"aaaa"), "")</f>
        <v>Monday</v>
      </c>
      <c r="C10" s="11">
        <f>L4</f>
        <v>46083</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46084</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46085</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46086</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46087</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46088</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46089</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46090</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46091</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46092</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46093</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46094</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46095</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46096</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2">
        <f>'Biweekly Time Sheet'!D26:J26</f>
        <v>0</v>
      </c>
      <c r="E27" s="52"/>
      <c r="F27" s="52"/>
      <c r="G27" s="52"/>
      <c r="H27" s="52"/>
      <c r="I27" s="52"/>
      <c r="J27" s="52"/>
      <c r="K27" s="52"/>
      <c r="L27" s="52"/>
      <c r="M27" s="52"/>
      <c r="N27" s="52"/>
      <c r="O27" s="52"/>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0</v>
      </c>
      <c r="D2" s="32"/>
    </row>
    <row r="3" spans="1:4" x14ac:dyDescent="0.4">
      <c r="A3" s="32" t="s">
        <v>30</v>
      </c>
      <c r="B3" s="32"/>
      <c r="C3" s="33">
        <f>'Biweekly Time Sheet'!E$23</f>
        <v>0</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80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2026-03-16T16:16:32Z</dcterms:modified>
</cp:coreProperties>
</file>