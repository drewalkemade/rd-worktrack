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filterPrivacy="1" codeName="ThisWorkbook" hidePivotFieldList="1" defaultThemeVersion="124226"/>
  <xr:revisionPtr revIDLastSave="75" documentId="13_ncr:1_{C0A05FC4-169B-4879-994E-690610471C9A}" xr6:coauthVersionLast="47" xr6:coauthVersionMax="47" xr10:uidLastSave="{46FCD04D-6903-4D25-A114-197E8447E457}"/>
  <bookViews>
    <workbookView xWindow="-98" yWindow="-98" windowWidth="20715" windowHeight="13155" tabRatio="599" activeTab="5" xr2:uid="{00000000-000D-0000-FFFF-FFFF00000000}"/>
  </bookViews>
  <sheets>
    <sheet name="Summary" sheetId="3" r:id="rId1"/>
    <sheet name="BackCheck" sheetId="7" r:id="rId2"/>
    <sheet name="Weekly" sheetId="6" r:id="rId3"/>
    <sheet name="Yearly" sheetId="4" r:id="rId4"/>
    <sheet name="Invoice" sheetId="8" r:id="rId5"/>
    <sheet name="RawData" sheetId="1" r:id="rId6"/>
    <sheet name="EmpTbl" sheetId="2" r:id="rId7"/>
    <sheet name="DataAnalysis" sheetId="10" r:id="rId8"/>
    <sheet name="Rates" sheetId="12" r:id="rId9"/>
    <sheet name="Archive" sheetId="9" r:id="rId10"/>
    <sheet name="test" sheetId="11" r:id="rId11"/>
    <sheet name="Sheet1" sheetId="13" r:id="rId12"/>
    <sheet name="Sheet2" sheetId="14" r:id="rId13"/>
    <sheet name="Expense Difference" sheetId="15" r:id="rId14"/>
  </sheets>
  <definedNames>
    <definedName name="_xlnm.Print_Area" localSheetId="5">RawData!#REF!</definedName>
  </definedNames>
  <calcPr calcId="191029"/>
  <pivotCaches>
    <pivotCache cacheId="1" r:id="rId15"/>
    <pivotCache cacheId="22" r:id="rId16"/>
  </pivotCaches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18" i="1" l="1"/>
  <c r="N218" i="1"/>
  <c r="D217" i="1"/>
  <c r="M217" i="1" s="1"/>
  <c r="D216" i="1"/>
  <c r="N216" i="1"/>
  <c r="R219" i="1"/>
  <c r="Q219" i="1"/>
  <c r="P219" i="1"/>
  <c r="O219" i="1"/>
  <c r="S219" i="1" s="1"/>
  <c r="N219" i="1"/>
  <c r="R218" i="1"/>
  <c r="Q218" i="1"/>
  <c r="P218" i="1"/>
  <c r="O218" i="1"/>
  <c r="M218" i="1"/>
  <c r="R217" i="1"/>
  <c r="Q217" i="1"/>
  <c r="P217" i="1"/>
  <c r="O217" i="1"/>
  <c r="N217" i="1"/>
  <c r="S216" i="1"/>
  <c r="R216" i="1"/>
  <c r="Q216" i="1"/>
  <c r="P216" i="1"/>
  <c r="O216" i="1"/>
  <c r="M216" i="1"/>
  <c r="R215" i="1"/>
  <c r="Q215" i="1"/>
  <c r="P215" i="1"/>
  <c r="O215" i="1"/>
  <c r="S215" i="1" s="1"/>
  <c r="N215" i="1"/>
  <c r="M215" i="1"/>
  <c r="A215" i="1"/>
  <c r="R214" i="1"/>
  <c r="Q214" i="1"/>
  <c r="P214" i="1"/>
  <c r="O214" i="1"/>
  <c r="S214" i="1" s="1"/>
  <c r="N214" i="1"/>
  <c r="M214" i="1"/>
  <c r="R213" i="1"/>
  <c r="Q213" i="1"/>
  <c r="P213" i="1"/>
  <c r="O213" i="1"/>
  <c r="S213" i="1" s="1"/>
  <c r="N213" i="1"/>
  <c r="M213" i="1"/>
  <c r="R212" i="1"/>
  <c r="Q212" i="1"/>
  <c r="P212" i="1"/>
  <c r="O212" i="1"/>
  <c r="S212" i="1" s="1"/>
  <c r="N212" i="1"/>
  <c r="M212" i="1"/>
  <c r="R211" i="1"/>
  <c r="Q211" i="1"/>
  <c r="P211" i="1"/>
  <c r="S211" i="1" s="1"/>
  <c r="O211" i="1"/>
  <c r="N211" i="1"/>
  <c r="M211" i="1"/>
  <c r="A211" i="1"/>
  <c r="A213" i="1" s="1"/>
  <c r="E210" i="1"/>
  <c r="E208" i="1"/>
  <c r="A208" i="1"/>
  <c r="R210" i="1"/>
  <c r="Q210" i="1"/>
  <c r="P210" i="1"/>
  <c r="O210" i="1"/>
  <c r="N210" i="1"/>
  <c r="R209" i="1"/>
  <c r="Q209" i="1"/>
  <c r="P209" i="1"/>
  <c r="S209" i="1" s="1"/>
  <c r="O209" i="1"/>
  <c r="N209" i="1"/>
  <c r="R208" i="1"/>
  <c r="Q208" i="1"/>
  <c r="P208" i="1"/>
  <c r="O208" i="1"/>
  <c r="N208" i="1"/>
  <c r="M208" i="1"/>
  <c r="R207" i="1"/>
  <c r="Q207" i="1"/>
  <c r="P207" i="1"/>
  <c r="O207" i="1"/>
  <c r="N207" i="1"/>
  <c r="M207" i="1"/>
  <c r="R206" i="1"/>
  <c r="Q206" i="1"/>
  <c r="P206" i="1"/>
  <c r="O206" i="1"/>
  <c r="N206" i="1"/>
  <c r="M206" i="1"/>
  <c r="R205" i="1"/>
  <c r="Q205" i="1"/>
  <c r="P205" i="1"/>
  <c r="O205" i="1"/>
  <c r="S205" i="1" s="1"/>
  <c r="N205" i="1"/>
  <c r="M205" i="1"/>
  <c r="R204" i="1"/>
  <c r="Q204" i="1"/>
  <c r="P204" i="1"/>
  <c r="S204" i="1" s="1"/>
  <c r="O204" i="1"/>
  <c r="N204" i="1"/>
  <c r="M204" i="1"/>
  <c r="R203" i="1"/>
  <c r="Q203" i="1"/>
  <c r="P203" i="1"/>
  <c r="O203" i="1"/>
  <c r="N203" i="1"/>
  <c r="M203" i="1"/>
  <c r="R202" i="1"/>
  <c r="Q202" i="1"/>
  <c r="P202" i="1"/>
  <c r="O202" i="1"/>
  <c r="S202" i="1" s="1"/>
  <c r="N202" i="1"/>
  <c r="M202" i="1"/>
  <c r="E200" i="1"/>
  <c r="E201" i="1"/>
  <c r="E199" i="1"/>
  <c r="Z200" i="1"/>
  <c r="S218" i="1" l="1"/>
  <c r="T218" i="1" s="1"/>
  <c r="S217" i="1"/>
  <c r="T217" i="1" s="1"/>
  <c r="T216" i="1"/>
  <c r="T215" i="1"/>
  <c r="T213" i="1"/>
  <c r="T212" i="1"/>
  <c r="T211" i="1"/>
  <c r="T214" i="1"/>
  <c r="T219" i="1"/>
  <c r="A214" i="1"/>
  <c r="M219" i="1"/>
  <c r="A216" i="1"/>
  <c r="A217" i="1"/>
  <c r="A212" i="1"/>
  <c r="A219" i="1"/>
  <c r="A218" i="1"/>
  <c r="S210" i="1"/>
  <c r="T210" i="1" s="1"/>
  <c r="S208" i="1"/>
  <c r="T208" i="1" s="1"/>
  <c r="S206" i="1"/>
  <c r="T206" i="1" s="1"/>
  <c r="T204" i="1"/>
  <c r="S203" i="1"/>
  <c r="T203" i="1" s="1"/>
  <c r="S207" i="1"/>
  <c r="T207" i="1" s="1"/>
  <c r="T209" i="1"/>
  <c r="T205" i="1"/>
  <c r="T202" i="1"/>
  <c r="M210" i="1"/>
  <c r="M209" i="1"/>
  <c r="R201" i="1"/>
  <c r="Q201" i="1"/>
  <c r="P201" i="1"/>
  <c r="O201" i="1"/>
  <c r="N201" i="1"/>
  <c r="M201" i="1"/>
  <c r="R200" i="1"/>
  <c r="Q200" i="1"/>
  <c r="P200" i="1"/>
  <c r="S200" i="1" s="1"/>
  <c r="O200" i="1"/>
  <c r="N200" i="1"/>
  <c r="M200" i="1"/>
  <c r="R199" i="1"/>
  <c r="Q199" i="1"/>
  <c r="P199" i="1"/>
  <c r="O199" i="1"/>
  <c r="S199" i="1" s="1"/>
  <c r="T199" i="1" s="1"/>
  <c r="N199" i="1"/>
  <c r="M199" i="1"/>
  <c r="R198" i="1"/>
  <c r="Q198" i="1"/>
  <c r="P198" i="1"/>
  <c r="O198" i="1"/>
  <c r="S198" i="1" s="1"/>
  <c r="N198" i="1"/>
  <c r="M198" i="1"/>
  <c r="R197" i="1"/>
  <c r="Q197" i="1"/>
  <c r="P197" i="1"/>
  <c r="O197" i="1"/>
  <c r="N197" i="1"/>
  <c r="R196" i="1"/>
  <c r="Q196" i="1"/>
  <c r="P196" i="1"/>
  <c r="O196" i="1"/>
  <c r="S196" i="1" s="1"/>
  <c r="N196" i="1"/>
  <c r="M196" i="1"/>
  <c r="R195" i="1"/>
  <c r="Q195" i="1"/>
  <c r="P195" i="1"/>
  <c r="O195" i="1"/>
  <c r="N195" i="1"/>
  <c r="M195" i="1"/>
  <c r="R194" i="1"/>
  <c r="Q194" i="1"/>
  <c r="P194" i="1"/>
  <c r="O194" i="1"/>
  <c r="S194" i="1" s="1"/>
  <c r="N194" i="1"/>
  <c r="M194" i="1"/>
  <c r="R193" i="1"/>
  <c r="Q193" i="1"/>
  <c r="P193" i="1"/>
  <c r="O193" i="1"/>
  <c r="N193" i="1"/>
  <c r="M193" i="1"/>
  <c r="R192" i="1"/>
  <c r="Q192" i="1"/>
  <c r="P192" i="1"/>
  <c r="O192" i="1"/>
  <c r="N192" i="1"/>
  <c r="M192" i="1"/>
  <c r="D180" i="1"/>
  <c r="D187" i="1"/>
  <c r="S193" i="1" l="1"/>
  <c r="S197" i="1"/>
  <c r="T196" i="1"/>
  <c r="S201" i="1"/>
  <c r="T201" i="1" s="1"/>
  <c r="S192" i="1"/>
  <c r="T192" i="1" s="1"/>
  <c r="S195" i="1"/>
  <c r="T198" i="1"/>
  <c r="T200" i="1"/>
  <c r="T193" i="1"/>
  <c r="T197" i="1"/>
  <c r="T194" i="1"/>
  <c r="T195" i="1"/>
  <c r="M197" i="1"/>
  <c r="R191" i="1"/>
  <c r="Q191" i="1"/>
  <c r="P191" i="1"/>
  <c r="O191" i="1"/>
  <c r="S191" i="1" s="1"/>
  <c r="T191" i="1" s="1"/>
  <c r="N191" i="1"/>
  <c r="M191" i="1"/>
  <c r="R190" i="1"/>
  <c r="Q190" i="1"/>
  <c r="P190" i="1"/>
  <c r="S190" i="1" s="1"/>
  <c r="O190" i="1"/>
  <c r="R189" i="1"/>
  <c r="Q189" i="1"/>
  <c r="P189" i="1"/>
  <c r="O189" i="1"/>
  <c r="N189" i="1"/>
  <c r="M189" i="1"/>
  <c r="R188" i="1"/>
  <c r="Q188" i="1"/>
  <c r="P188" i="1"/>
  <c r="O188" i="1"/>
  <c r="N188" i="1"/>
  <c r="M188" i="1"/>
  <c r="R187" i="1"/>
  <c r="Q187" i="1"/>
  <c r="P187" i="1"/>
  <c r="O187" i="1"/>
  <c r="N187" i="1"/>
  <c r="M187" i="1"/>
  <c r="R186" i="1"/>
  <c r="Q186" i="1"/>
  <c r="P186" i="1"/>
  <c r="O186" i="1"/>
  <c r="N186" i="1"/>
  <c r="M186" i="1"/>
  <c r="R185" i="1"/>
  <c r="Q185" i="1"/>
  <c r="P185" i="1"/>
  <c r="O185" i="1"/>
  <c r="N185" i="1"/>
  <c r="M185" i="1"/>
  <c r="R184" i="1"/>
  <c r="Q184" i="1"/>
  <c r="P184" i="1"/>
  <c r="O184" i="1"/>
  <c r="N184" i="1"/>
  <c r="M184" i="1"/>
  <c r="R183" i="1"/>
  <c r="Q183" i="1"/>
  <c r="P183" i="1"/>
  <c r="O183" i="1"/>
  <c r="S183" i="1" s="1"/>
  <c r="N183" i="1"/>
  <c r="M183" i="1"/>
  <c r="R182" i="1"/>
  <c r="Q182" i="1"/>
  <c r="P182" i="1"/>
  <c r="O182" i="1"/>
  <c r="N182" i="1"/>
  <c r="M182" i="1"/>
  <c r="D177" i="1"/>
  <c r="S187" i="1" l="1"/>
  <c r="S182" i="1"/>
  <c r="T182" i="1" s="1"/>
  <c r="S184" i="1"/>
  <c r="S186" i="1"/>
  <c r="T186" i="1" s="1"/>
  <c r="S189" i="1"/>
  <c r="S185" i="1"/>
  <c r="T185" i="1" s="1"/>
  <c r="S188" i="1"/>
  <c r="T188" i="1" s="1"/>
  <c r="T184" i="1"/>
  <c r="T183" i="1"/>
  <c r="T189" i="1"/>
  <c r="T187" i="1"/>
  <c r="M190" i="1"/>
  <c r="N190" i="1"/>
  <c r="T190" i="1" s="1"/>
  <c r="R181" i="1"/>
  <c r="Q181" i="1"/>
  <c r="P181" i="1"/>
  <c r="O181" i="1"/>
  <c r="N181" i="1"/>
  <c r="M181" i="1"/>
  <c r="R180" i="1"/>
  <c r="Q180" i="1"/>
  <c r="P180" i="1"/>
  <c r="O180" i="1"/>
  <c r="N180" i="1"/>
  <c r="M180" i="1"/>
  <c r="R179" i="1"/>
  <c r="Q179" i="1"/>
  <c r="P179" i="1"/>
  <c r="O179" i="1"/>
  <c r="N179" i="1"/>
  <c r="M179" i="1"/>
  <c r="R178" i="1"/>
  <c r="Q178" i="1"/>
  <c r="P178" i="1"/>
  <c r="S178" i="1" s="1"/>
  <c r="O178" i="1"/>
  <c r="M178" i="1"/>
  <c r="N178" i="1"/>
  <c r="R177" i="1"/>
  <c r="Q177" i="1"/>
  <c r="P177" i="1"/>
  <c r="O177" i="1"/>
  <c r="N177" i="1"/>
  <c r="M177" i="1"/>
  <c r="R176" i="1"/>
  <c r="Q176" i="1"/>
  <c r="P176" i="1"/>
  <c r="O176" i="1"/>
  <c r="N176" i="1"/>
  <c r="M176" i="1"/>
  <c r="R175" i="1"/>
  <c r="Q175" i="1"/>
  <c r="P175" i="1"/>
  <c r="O175" i="1"/>
  <c r="S175" i="1" s="1"/>
  <c r="N175" i="1"/>
  <c r="M175" i="1"/>
  <c r="R174" i="1"/>
  <c r="Q174" i="1"/>
  <c r="P174" i="1"/>
  <c r="O174" i="1"/>
  <c r="N174" i="1"/>
  <c r="M174" i="1"/>
  <c r="R173" i="1"/>
  <c r="Q173" i="1"/>
  <c r="P173" i="1"/>
  <c r="O173" i="1"/>
  <c r="N173" i="1"/>
  <c r="M173" i="1"/>
  <c r="R172" i="1"/>
  <c r="Q172" i="1"/>
  <c r="P172" i="1"/>
  <c r="O172" i="1"/>
  <c r="N172" i="1"/>
  <c r="M172" i="1"/>
  <c r="M10" i="15"/>
  <c r="C16" i="15"/>
  <c r="B16" i="15"/>
  <c r="D168" i="1"/>
  <c r="R171" i="1"/>
  <c r="Q171" i="1"/>
  <c r="P171" i="1"/>
  <c r="O171" i="1"/>
  <c r="S171" i="1" s="1"/>
  <c r="N171" i="1"/>
  <c r="M171" i="1"/>
  <c r="R170" i="1"/>
  <c r="Q170" i="1"/>
  <c r="P170" i="1"/>
  <c r="O170" i="1"/>
  <c r="N170" i="1"/>
  <c r="M170" i="1"/>
  <c r="R169" i="1"/>
  <c r="Q169" i="1"/>
  <c r="P169" i="1"/>
  <c r="O169" i="1"/>
  <c r="N169" i="1"/>
  <c r="M169" i="1"/>
  <c r="R168" i="1"/>
  <c r="Q168" i="1"/>
  <c r="P168" i="1"/>
  <c r="O168" i="1"/>
  <c r="S168" i="1" s="1"/>
  <c r="N168" i="1"/>
  <c r="R167" i="1"/>
  <c r="Q167" i="1"/>
  <c r="P167" i="1"/>
  <c r="O167" i="1"/>
  <c r="N167" i="1"/>
  <c r="M167" i="1"/>
  <c r="R166" i="1"/>
  <c r="Q166" i="1"/>
  <c r="P166" i="1"/>
  <c r="O166" i="1"/>
  <c r="N166" i="1"/>
  <c r="M166" i="1"/>
  <c r="R165" i="1"/>
  <c r="Q165" i="1"/>
  <c r="P165" i="1"/>
  <c r="O165" i="1"/>
  <c r="N165" i="1"/>
  <c r="M165" i="1"/>
  <c r="R164" i="1"/>
  <c r="Q164" i="1"/>
  <c r="P164" i="1"/>
  <c r="O164" i="1"/>
  <c r="N164" i="1"/>
  <c r="M164" i="1"/>
  <c r="R163" i="1"/>
  <c r="S163" i="1" s="1"/>
  <c r="Q163" i="1"/>
  <c r="P163" i="1"/>
  <c r="O163" i="1"/>
  <c r="N163" i="1"/>
  <c r="M163" i="1"/>
  <c r="R162" i="1"/>
  <c r="Q162" i="1"/>
  <c r="P162" i="1"/>
  <c r="O162" i="1"/>
  <c r="S162" i="1" s="1"/>
  <c r="N162" i="1"/>
  <c r="M162" i="1"/>
  <c r="N129" i="7"/>
  <c r="M129" i="7"/>
  <c r="L129" i="7"/>
  <c r="K129" i="7"/>
  <c r="M127" i="7"/>
  <c r="M130" i="7" s="1"/>
  <c r="L127" i="7"/>
  <c r="L130" i="7" s="1"/>
  <c r="K127" i="7"/>
  <c r="K130" i="7" s="1"/>
  <c r="E158" i="1"/>
  <c r="N158" i="1" s="1"/>
  <c r="E157" i="1"/>
  <c r="N157" i="1" s="1"/>
  <c r="M157" i="1"/>
  <c r="R161" i="1"/>
  <c r="Q161" i="1"/>
  <c r="P161" i="1"/>
  <c r="O161" i="1"/>
  <c r="N161" i="1"/>
  <c r="M161" i="1"/>
  <c r="R160" i="1"/>
  <c r="Q160" i="1"/>
  <c r="P160" i="1"/>
  <c r="S160" i="1" s="1"/>
  <c r="O160" i="1"/>
  <c r="N160" i="1"/>
  <c r="M160" i="1"/>
  <c r="R159" i="1"/>
  <c r="Q159" i="1"/>
  <c r="P159" i="1"/>
  <c r="O159" i="1"/>
  <c r="N159" i="1"/>
  <c r="M159" i="1"/>
  <c r="R158" i="1"/>
  <c r="Q158" i="1"/>
  <c r="P158" i="1"/>
  <c r="O158" i="1"/>
  <c r="R157" i="1"/>
  <c r="Q157" i="1"/>
  <c r="P157" i="1"/>
  <c r="O157" i="1"/>
  <c r="R156" i="1"/>
  <c r="Q156" i="1"/>
  <c r="P156" i="1"/>
  <c r="O156" i="1"/>
  <c r="N156" i="1"/>
  <c r="M156" i="1"/>
  <c r="R155" i="1"/>
  <c r="Q155" i="1"/>
  <c r="P155" i="1"/>
  <c r="O155" i="1"/>
  <c r="N155" i="1"/>
  <c r="M155" i="1"/>
  <c r="R154" i="1"/>
  <c r="Q154" i="1"/>
  <c r="P154" i="1"/>
  <c r="O154" i="1"/>
  <c r="N154" i="1"/>
  <c r="M154" i="1"/>
  <c r="R153" i="1"/>
  <c r="Q153" i="1"/>
  <c r="P153" i="1"/>
  <c r="O153" i="1"/>
  <c r="N153" i="1"/>
  <c r="M153" i="1"/>
  <c r="R152" i="1"/>
  <c r="Q152" i="1"/>
  <c r="P152" i="1"/>
  <c r="O152" i="1"/>
  <c r="S152" i="1" s="1"/>
  <c r="M152" i="1"/>
  <c r="E150" i="1"/>
  <c r="E148" i="1"/>
  <c r="N148" i="1" s="1"/>
  <c r="T148" i="1" s="1"/>
  <c r="E142" i="1"/>
  <c r="R151" i="1"/>
  <c r="Q151" i="1"/>
  <c r="P151" i="1"/>
  <c r="O151" i="1"/>
  <c r="N151" i="1"/>
  <c r="M151" i="1"/>
  <c r="R150" i="1"/>
  <c r="Q150" i="1"/>
  <c r="P150" i="1"/>
  <c r="O150" i="1"/>
  <c r="N150" i="1"/>
  <c r="M150" i="1"/>
  <c r="R149" i="1"/>
  <c r="Q149" i="1"/>
  <c r="P149" i="1"/>
  <c r="O149" i="1"/>
  <c r="N149" i="1"/>
  <c r="R148" i="1"/>
  <c r="Q148" i="1"/>
  <c r="S148" i="1" s="1"/>
  <c r="P148" i="1"/>
  <c r="O148" i="1"/>
  <c r="R147" i="1"/>
  <c r="Q147" i="1"/>
  <c r="P147" i="1"/>
  <c r="O147" i="1"/>
  <c r="S147" i="1" s="1"/>
  <c r="T147" i="1" s="1"/>
  <c r="N147" i="1"/>
  <c r="M147" i="1"/>
  <c r="R146" i="1"/>
  <c r="Q146" i="1"/>
  <c r="P146" i="1"/>
  <c r="O146" i="1"/>
  <c r="N146" i="1"/>
  <c r="R145" i="1"/>
  <c r="Q145" i="1"/>
  <c r="P145" i="1"/>
  <c r="O145" i="1"/>
  <c r="N145" i="1"/>
  <c r="M145" i="1"/>
  <c r="R144" i="1"/>
  <c r="Q144" i="1"/>
  <c r="P144" i="1"/>
  <c r="O144" i="1"/>
  <c r="N144" i="1"/>
  <c r="M144" i="1"/>
  <c r="R143" i="1"/>
  <c r="Q143" i="1"/>
  <c r="P143" i="1"/>
  <c r="O143" i="1"/>
  <c r="N143" i="1"/>
  <c r="M143" i="1"/>
  <c r="R142" i="1"/>
  <c r="Q142" i="1"/>
  <c r="P142" i="1"/>
  <c r="O142" i="1"/>
  <c r="N142" i="1"/>
  <c r="E132" i="1"/>
  <c r="N132" i="1"/>
  <c r="E139" i="1"/>
  <c r="D138" i="1"/>
  <c r="N138" i="1"/>
  <c r="E136" i="1"/>
  <c r="E127" i="1"/>
  <c r="E126" i="1"/>
  <c r="M126" i="1" s="1"/>
  <c r="E123" i="1"/>
  <c r="E129" i="1"/>
  <c r="N129" i="1" s="1"/>
  <c r="E122" i="1"/>
  <c r="N122" i="1"/>
  <c r="R141" i="1"/>
  <c r="Q141" i="1"/>
  <c r="P141" i="1"/>
  <c r="O141" i="1"/>
  <c r="S141" i="1" s="1"/>
  <c r="N141" i="1"/>
  <c r="M141" i="1"/>
  <c r="R140" i="1"/>
  <c r="Q140" i="1"/>
  <c r="P140" i="1"/>
  <c r="S140" i="1" s="1"/>
  <c r="O140" i="1"/>
  <c r="N140" i="1"/>
  <c r="M140" i="1"/>
  <c r="R139" i="1"/>
  <c r="Q139" i="1"/>
  <c r="P139" i="1"/>
  <c r="O139" i="1"/>
  <c r="N139" i="1"/>
  <c r="M139" i="1"/>
  <c r="R138" i="1"/>
  <c r="Q138" i="1"/>
  <c r="P138" i="1"/>
  <c r="O138" i="1"/>
  <c r="R137" i="1"/>
  <c r="Q137" i="1"/>
  <c r="P137" i="1"/>
  <c r="O137" i="1"/>
  <c r="N137" i="1"/>
  <c r="M137" i="1"/>
  <c r="R136" i="1"/>
  <c r="Q136" i="1"/>
  <c r="P136" i="1"/>
  <c r="O136" i="1"/>
  <c r="N136" i="1"/>
  <c r="M136" i="1"/>
  <c r="S135" i="1"/>
  <c r="R135" i="1"/>
  <c r="Q135" i="1"/>
  <c r="P135" i="1"/>
  <c r="O135" i="1"/>
  <c r="N135" i="1"/>
  <c r="M135" i="1"/>
  <c r="R134" i="1"/>
  <c r="Q134" i="1"/>
  <c r="P134" i="1"/>
  <c r="O134" i="1"/>
  <c r="N134" i="1"/>
  <c r="M134" i="1"/>
  <c r="R133" i="1"/>
  <c r="Q133" i="1"/>
  <c r="P133" i="1"/>
  <c r="O133" i="1"/>
  <c r="N133" i="1"/>
  <c r="M133" i="1"/>
  <c r="R132" i="1"/>
  <c r="Q132" i="1"/>
  <c r="P132" i="1"/>
  <c r="O132" i="1"/>
  <c r="M132" i="1"/>
  <c r="R131" i="1"/>
  <c r="Q131" i="1"/>
  <c r="P131" i="1"/>
  <c r="O131" i="1"/>
  <c r="S131" i="1" s="1"/>
  <c r="N131" i="1"/>
  <c r="R130" i="1"/>
  <c r="Q130" i="1"/>
  <c r="P130" i="1"/>
  <c r="O130" i="1"/>
  <c r="N130" i="1"/>
  <c r="M130" i="1"/>
  <c r="R129" i="1"/>
  <c r="Q129" i="1"/>
  <c r="P129" i="1"/>
  <c r="O129" i="1"/>
  <c r="R128" i="1"/>
  <c r="Q128" i="1"/>
  <c r="P128" i="1"/>
  <c r="O128" i="1"/>
  <c r="S128" i="1" s="1"/>
  <c r="N128" i="1"/>
  <c r="M128" i="1"/>
  <c r="R127" i="1"/>
  <c r="Q127" i="1"/>
  <c r="P127" i="1"/>
  <c r="O127" i="1"/>
  <c r="N127" i="1"/>
  <c r="M127" i="1"/>
  <c r="R126" i="1"/>
  <c r="Q126" i="1"/>
  <c r="S126" i="1" s="1"/>
  <c r="P126" i="1"/>
  <c r="O126" i="1"/>
  <c r="R125" i="1"/>
  <c r="Q125" i="1"/>
  <c r="P125" i="1"/>
  <c r="O125" i="1"/>
  <c r="N125" i="1"/>
  <c r="M125" i="1"/>
  <c r="R124" i="1"/>
  <c r="Q124" i="1"/>
  <c r="P124" i="1"/>
  <c r="O124" i="1"/>
  <c r="S124" i="1" s="1"/>
  <c r="N124" i="1"/>
  <c r="M124" i="1"/>
  <c r="R123" i="1"/>
  <c r="Q123" i="1"/>
  <c r="P123" i="1"/>
  <c r="O123" i="1"/>
  <c r="N123" i="1"/>
  <c r="R122" i="1"/>
  <c r="Q122" i="1"/>
  <c r="P122" i="1"/>
  <c r="O122" i="1"/>
  <c r="M122" i="1"/>
  <c r="E117" i="1"/>
  <c r="E121" i="1"/>
  <c r="S137" i="1" l="1"/>
  <c r="N126" i="1"/>
  <c r="S161" i="1"/>
  <c r="S164" i="1"/>
  <c r="S167" i="1"/>
  <c r="S169" i="1"/>
  <c r="T169" i="1" s="1"/>
  <c r="T171" i="1"/>
  <c r="S174" i="1"/>
  <c r="S154" i="1"/>
  <c r="S157" i="1"/>
  <c r="S125" i="1"/>
  <c r="S130" i="1"/>
  <c r="T130" i="1" s="1"/>
  <c r="S134" i="1"/>
  <c r="T134" i="1" s="1"/>
  <c r="S144" i="1"/>
  <c r="S133" i="1"/>
  <c r="S151" i="1"/>
  <c r="S166" i="1"/>
  <c r="T166" i="1" s="1"/>
  <c r="S177" i="1"/>
  <c r="T181" i="1"/>
  <c r="T176" i="1"/>
  <c r="S181" i="1"/>
  <c r="S143" i="1"/>
  <c r="S146" i="1"/>
  <c r="T146" i="1" s="1"/>
  <c r="S150" i="1"/>
  <c r="T150" i="1" s="1"/>
  <c r="S156" i="1"/>
  <c r="S159" i="1"/>
  <c r="S165" i="1"/>
  <c r="S170" i="1"/>
  <c r="T170" i="1" s="1"/>
  <c r="S172" i="1"/>
  <c r="S173" i="1"/>
  <c r="S123" i="1"/>
  <c r="S153" i="1"/>
  <c r="S176" i="1"/>
  <c r="S149" i="1"/>
  <c r="S136" i="1"/>
  <c r="T136" i="1" s="1"/>
  <c r="S145" i="1"/>
  <c r="S155" i="1"/>
  <c r="T155" i="1" s="1"/>
  <c r="T161" i="1"/>
  <c r="S179" i="1"/>
  <c r="T179" i="1" s="1"/>
  <c r="S180" i="1"/>
  <c r="N130" i="7"/>
  <c r="N131" i="7" s="1"/>
  <c r="T178" i="1"/>
  <c r="T175" i="1"/>
  <c r="T174" i="1"/>
  <c r="T172" i="1"/>
  <c r="T173" i="1"/>
  <c r="T177" i="1"/>
  <c r="T180" i="1"/>
  <c r="T168" i="1"/>
  <c r="T165" i="1"/>
  <c r="T163" i="1"/>
  <c r="T162" i="1"/>
  <c r="T167" i="1"/>
  <c r="T164" i="1"/>
  <c r="M168" i="1"/>
  <c r="S158" i="1"/>
  <c r="T158" i="1" s="1"/>
  <c r="T160" i="1"/>
  <c r="T159" i="1"/>
  <c r="T154" i="1"/>
  <c r="T153" i="1"/>
  <c r="T157" i="1"/>
  <c r="T156" i="1"/>
  <c r="N152" i="1"/>
  <c r="T152" i="1" s="1"/>
  <c r="M158" i="1"/>
  <c r="S142" i="1"/>
  <c r="T142" i="1" s="1"/>
  <c r="T145" i="1"/>
  <c r="T144" i="1"/>
  <c r="T143" i="1"/>
  <c r="T151" i="1"/>
  <c r="T149" i="1"/>
  <c r="M142" i="1"/>
  <c r="M148" i="1"/>
  <c r="M146" i="1"/>
  <c r="M149" i="1"/>
  <c r="S132" i="1"/>
  <c r="T132" i="1" s="1"/>
  <c r="S139" i="1"/>
  <c r="T139" i="1" s="1"/>
  <c r="M138" i="1"/>
  <c r="S138" i="1"/>
  <c r="T138" i="1" s="1"/>
  <c r="S127" i="1"/>
  <c r="T127" i="1" s="1"/>
  <c r="T123" i="1"/>
  <c r="S129" i="1"/>
  <c r="T129" i="1" s="1"/>
  <c r="S122" i="1"/>
  <c r="T140" i="1"/>
  <c r="T137" i="1"/>
  <c r="T135" i="1"/>
  <c r="T133" i="1"/>
  <c r="T141" i="1"/>
  <c r="T131" i="1"/>
  <c r="T126" i="1"/>
  <c r="T124" i="1"/>
  <c r="T122" i="1"/>
  <c r="T128" i="1"/>
  <c r="T125" i="1"/>
  <c r="M131" i="1"/>
  <c r="M123" i="1"/>
  <c r="M129" i="1"/>
  <c r="N121" i="1"/>
  <c r="E113" i="1"/>
  <c r="N113" i="1" s="1"/>
  <c r="E119" i="1"/>
  <c r="M119" i="1"/>
  <c r="E112" i="1"/>
  <c r="R121" i="1"/>
  <c r="Q121" i="1"/>
  <c r="P121" i="1"/>
  <c r="O121" i="1"/>
  <c r="S121" i="1" s="1"/>
  <c r="R120" i="1"/>
  <c r="Q120" i="1"/>
  <c r="P120" i="1"/>
  <c r="O120" i="1"/>
  <c r="N120" i="1"/>
  <c r="M120" i="1"/>
  <c r="R119" i="1"/>
  <c r="Q119" i="1"/>
  <c r="P119" i="1"/>
  <c r="O119" i="1"/>
  <c r="R118" i="1"/>
  <c r="Q118" i="1"/>
  <c r="P118" i="1"/>
  <c r="O118" i="1"/>
  <c r="M118" i="1"/>
  <c r="N118" i="1"/>
  <c r="R117" i="1"/>
  <c r="Q117" i="1"/>
  <c r="P117" i="1"/>
  <c r="O117" i="1"/>
  <c r="N117" i="1"/>
  <c r="M117" i="1"/>
  <c r="R116" i="1"/>
  <c r="Q116" i="1"/>
  <c r="P116" i="1"/>
  <c r="O116" i="1"/>
  <c r="S116" i="1" s="1"/>
  <c r="M116" i="1"/>
  <c r="N116" i="1"/>
  <c r="R115" i="1"/>
  <c r="Q115" i="1"/>
  <c r="P115" i="1"/>
  <c r="O115" i="1"/>
  <c r="M115" i="1"/>
  <c r="N115" i="1"/>
  <c r="R114" i="1"/>
  <c r="Q114" i="1"/>
  <c r="P114" i="1"/>
  <c r="O114" i="1"/>
  <c r="N114" i="1"/>
  <c r="M114" i="1"/>
  <c r="R113" i="1"/>
  <c r="Q113" i="1"/>
  <c r="P113" i="1"/>
  <c r="O113" i="1"/>
  <c r="R112" i="1"/>
  <c r="Q112" i="1"/>
  <c r="P112" i="1"/>
  <c r="O112" i="1"/>
  <c r="M112" i="1"/>
  <c r="N112" i="1"/>
  <c r="E111" i="1"/>
  <c r="N111" i="1"/>
  <c r="D108" i="1"/>
  <c r="E107" i="1"/>
  <c r="M107" i="1" s="1"/>
  <c r="E106" i="1"/>
  <c r="M106" i="1" s="1"/>
  <c r="E102" i="1"/>
  <c r="N110" i="1"/>
  <c r="N107" i="1"/>
  <c r="R111" i="1"/>
  <c r="Q111" i="1"/>
  <c r="P111" i="1"/>
  <c r="O111" i="1"/>
  <c r="M111" i="1"/>
  <c r="R110" i="1"/>
  <c r="Q110" i="1"/>
  <c r="S110" i="1" s="1"/>
  <c r="P110" i="1"/>
  <c r="O110" i="1"/>
  <c r="M110" i="1"/>
  <c r="R109" i="1"/>
  <c r="Q109" i="1"/>
  <c r="P109" i="1"/>
  <c r="O109" i="1"/>
  <c r="N109" i="1"/>
  <c r="M109" i="1"/>
  <c r="R108" i="1"/>
  <c r="Q108" i="1"/>
  <c r="P108" i="1"/>
  <c r="O108" i="1"/>
  <c r="M108" i="1"/>
  <c r="N108" i="1"/>
  <c r="R107" i="1"/>
  <c r="Q107" i="1"/>
  <c r="P107" i="1"/>
  <c r="O107" i="1"/>
  <c r="R106" i="1"/>
  <c r="Q106" i="1"/>
  <c r="S106" i="1" s="1"/>
  <c r="P106" i="1"/>
  <c r="O106" i="1"/>
  <c r="R105" i="1"/>
  <c r="Q105" i="1"/>
  <c r="P105" i="1"/>
  <c r="O105" i="1"/>
  <c r="N105" i="1"/>
  <c r="M105" i="1"/>
  <c r="R104" i="1"/>
  <c r="Q104" i="1"/>
  <c r="P104" i="1"/>
  <c r="O104" i="1"/>
  <c r="M104" i="1"/>
  <c r="N104" i="1"/>
  <c r="R103" i="1"/>
  <c r="Q103" i="1"/>
  <c r="P103" i="1"/>
  <c r="O103" i="1"/>
  <c r="M103" i="1"/>
  <c r="R102" i="1"/>
  <c r="Q102" i="1"/>
  <c r="P102" i="1"/>
  <c r="S102" i="1" s="1"/>
  <c r="O102" i="1"/>
  <c r="M102" i="1"/>
  <c r="R101" i="1"/>
  <c r="Q101" i="1"/>
  <c r="P101" i="1"/>
  <c r="O101" i="1"/>
  <c r="M101" i="1"/>
  <c r="K101" i="1"/>
  <c r="J101" i="1"/>
  <c r="I101" i="1"/>
  <c r="R100" i="1"/>
  <c r="Q100" i="1"/>
  <c r="S100" i="1" s="1"/>
  <c r="P100" i="1"/>
  <c r="O100" i="1"/>
  <c r="M100" i="1"/>
  <c r="K100" i="1"/>
  <c r="J100" i="1"/>
  <c r="N100" i="1" s="1"/>
  <c r="I100" i="1"/>
  <c r="R99" i="1"/>
  <c r="Q99" i="1"/>
  <c r="P99" i="1"/>
  <c r="O99" i="1"/>
  <c r="M99" i="1"/>
  <c r="K99" i="1"/>
  <c r="J99" i="1"/>
  <c r="I99" i="1"/>
  <c r="R98" i="1"/>
  <c r="Q98" i="1"/>
  <c r="S98" i="1" s="1"/>
  <c r="P98" i="1"/>
  <c r="O98" i="1"/>
  <c r="M98" i="1"/>
  <c r="K98" i="1"/>
  <c r="J98" i="1"/>
  <c r="N98" i="1" s="1"/>
  <c r="I98" i="1"/>
  <c r="R97" i="1"/>
  <c r="Q97" i="1"/>
  <c r="P97" i="1"/>
  <c r="O97" i="1"/>
  <c r="M97" i="1"/>
  <c r="K97" i="1"/>
  <c r="J97" i="1"/>
  <c r="I97" i="1"/>
  <c r="R96" i="1"/>
  <c r="Q96" i="1"/>
  <c r="S96" i="1" s="1"/>
  <c r="P96" i="1"/>
  <c r="O96" i="1"/>
  <c r="M96" i="1"/>
  <c r="K96" i="1"/>
  <c r="J96" i="1"/>
  <c r="N96" i="1" s="1"/>
  <c r="I96" i="1"/>
  <c r="R95" i="1"/>
  <c r="Q95" i="1"/>
  <c r="P95" i="1"/>
  <c r="O95" i="1"/>
  <c r="M95" i="1"/>
  <c r="K95" i="1"/>
  <c r="J95" i="1"/>
  <c r="I95" i="1"/>
  <c r="R94" i="1"/>
  <c r="Q94" i="1"/>
  <c r="S94" i="1" s="1"/>
  <c r="P94" i="1"/>
  <c r="O94" i="1"/>
  <c r="M94" i="1"/>
  <c r="K94" i="1"/>
  <c r="J94" i="1"/>
  <c r="N94" i="1" s="1"/>
  <c r="I94" i="1"/>
  <c r="R93" i="1"/>
  <c r="Q93" i="1"/>
  <c r="P93" i="1"/>
  <c r="O93" i="1"/>
  <c r="N93" i="1"/>
  <c r="M93" i="1"/>
  <c r="J93" i="1"/>
  <c r="I93" i="1"/>
  <c r="R92" i="1"/>
  <c r="Q92" i="1"/>
  <c r="P92" i="1"/>
  <c r="O92" i="1"/>
  <c r="M92" i="1"/>
  <c r="J92" i="1"/>
  <c r="I92" i="1"/>
  <c r="N92" i="1" s="1"/>
  <c r="S92" i="1" l="1"/>
  <c r="T92" i="1" s="1"/>
  <c r="S115" i="1"/>
  <c r="T115" i="1" s="1"/>
  <c r="S104" i="1"/>
  <c r="S114" i="1"/>
  <c r="S118" i="1"/>
  <c r="T118" i="1" s="1"/>
  <c r="N95" i="1"/>
  <c r="T95" i="1" s="1"/>
  <c r="N97" i="1"/>
  <c r="T97" i="1" s="1"/>
  <c r="N99" i="1"/>
  <c r="T99" i="1" s="1"/>
  <c r="N101" i="1"/>
  <c r="T101" i="1" s="1"/>
  <c r="T96" i="1"/>
  <c r="S120" i="1"/>
  <c r="T120" i="1" s="1"/>
  <c r="T94" i="1"/>
  <c r="T98" i="1"/>
  <c r="S109" i="1"/>
  <c r="S93" i="1"/>
  <c r="T93" i="1" s="1"/>
  <c r="S95" i="1"/>
  <c r="S97" i="1"/>
  <c r="S99" i="1"/>
  <c r="S101" i="1"/>
  <c r="S105" i="1"/>
  <c r="S117" i="1"/>
  <c r="T117" i="1" s="1"/>
  <c r="M113" i="1"/>
  <c r="S113" i="1"/>
  <c r="T113" i="1" s="1"/>
  <c r="S119" i="1"/>
  <c r="N119" i="1"/>
  <c r="S112" i="1"/>
  <c r="T112" i="1"/>
  <c r="T121" i="1"/>
  <c r="T116" i="1"/>
  <c r="T114" i="1"/>
  <c r="M121" i="1"/>
  <c r="S111" i="1"/>
  <c r="T111" i="1" s="1"/>
  <c r="S108" i="1"/>
  <c r="T108" i="1" s="1"/>
  <c r="S107" i="1"/>
  <c r="T107" i="1" s="1"/>
  <c r="N106" i="1"/>
  <c r="T106" i="1" s="1"/>
  <c r="N103" i="1"/>
  <c r="S103" i="1"/>
  <c r="N102" i="1"/>
  <c r="T102" i="1" s="1"/>
  <c r="T110" i="1"/>
  <c r="T105" i="1"/>
  <c r="T109" i="1"/>
  <c r="T104" i="1"/>
  <c r="T100" i="1"/>
  <c r="M86" i="1"/>
  <c r="M82" i="1"/>
  <c r="R91" i="1"/>
  <c r="Q91" i="1"/>
  <c r="P91" i="1"/>
  <c r="O91" i="1"/>
  <c r="M91" i="1"/>
  <c r="K91" i="1"/>
  <c r="J91" i="1"/>
  <c r="I91" i="1"/>
  <c r="R90" i="1"/>
  <c r="Q90" i="1"/>
  <c r="P90" i="1"/>
  <c r="O90" i="1"/>
  <c r="M90" i="1"/>
  <c r="K90" i="1"/>
  <c r="J90" i="1"/>
  <c r="I90" i="1"/>
  <c r="R89" i="1"/>
  <c r="Q89" i="1"/>
  <c r="P89" i="1"/>
  <c r="O89" i="1"/>
  <c r="M89" i="1"/>
  <c r="K89" i="1"/>
  <c r="J89" i="1"/>
  <c r="I89" i="1"/>
  <c r="R88" i="1"/>
  <c r="Q88" i="1"/>
  <c r="P88" i="1"/>
  <c r="O88" i="1"/>
  <c r="M88" i="1"/>
  <c r="K88" i="1"/>
  <c r="J88" i="1"/>
  <c r="N88" i="1" s="1"/>
  <c r="I88" i="1"/>
  <c r="R87" i="1"/>
  <c r="Q87" i="1"/>
  <c r="P87" i="1"/>
  <c r="O87" i="1"/>
  <c r="K87" i="1"/>
  <c r="J87" i="1"/>
  <c r="I87" i="1"/>
  <c r="M87" i="1"/>
  <c r="R86" i="1"/>
  <c r="Q86" i="1"/>
  <c r="P86" i="1"/>
  <c r="O86" i="1"/>
  <c r="K86" i="1"/>
  <c r="J86" i="1"/>
  <c r="I86" i="1"/>
  <c r="N86" i="1" s="1"/>
  <c r="R85" i="1"/>
  <c r="Q85" i="1"/>
  <c r="P85" i="1"/>
  <c r="S85" i="1" s="1"/>
  <c r="O85" i="1"/>
  <c r="M85" i="1"/>
  <c r="K85" i="1"/>
  <c r="J85" i="1"/>
  <c r="I85" i="1"/>
  <c r="N85" i="1" s="1"/>
  <c r="R84" i="1"/>
  <c r="Q84" i="1"/>
  <c r="P84" i="1"/>
  <c r="O84" i="1"/>
  <c r="M84" i="1"/>
  <c r="K84" i="1"/>
  <c r="J84" i="1"/>
  <c r="I84" i="1"/>
  <c r="N84" i="1" s="1"/>
  <c r="R83" i="1"/>
  <c r="Q83" i="1"/>
  <c r="P83" i="1"/>
  <c r="O83" i="1"/>
  <c r="M83" i="1"/>
  <c r="J83" i="1"/>
  <c r="I83" i="1"/>
  <c r="R82" i="1"/>
  <c r="Q82" i="1"/>
  <c r="P82" i="1"/>
  <c r="O82" i="1"/>
  <c r="J82" i="1"/>
  <c r="I82" i="1"/>
  <c r="E77" i="1"/>
  <c r="E80" i="1"/>
  <c r="E72" i="1"/>
  <c r="D74" i="1"/>
  <c r="N89" i="1" l="1"/>
  <c r="N90" i="1"/>
  <c r="T90" i="1" s="1"/>
  <c r="N91" i="1"/>
  <c r="N83" i="1"/>
  <c r="S87" i="1"/>
  <c r="S88" i="1"/>
  <c r="S89" i="1"/>
  <c r="T89" i="1" s="1"/>
  <c r="S91" i="1"/>
  <c r="S83" i="1"/>
  <c r="S84" i="1"/>
  <c r="T84" i="1" s="1"/>
  <c r="S90" i="1"/>
  <c r="T119" i="1"/>
  <c r="T103" i="1"/>
  <c r="S86" i="1"/>
  <c r="T86" i="1" s="1"/>
  <c r="N82" i="1"/>
  <c r="S82" i="1"/>
  <c r="T88" i="1"/>
  <c r="T91" i="1"/>
  <c r="T85" i="1"/>
  <c r="T83" i="1"/>
  <c r="N87" i="1"/>
  <c r="T87" i="1" s="1"/>
  <c r="R81" i="1"/>
  <c r="Q81" i="1"/>
  <c r="P81" i="1"/>
  <c r="O81" i="1"/>
  <c r="M81" i="1"/>
  <c r="K81" i="1"/>
  <c r="J81" i="1"/>
  <c r="I81" i="1"/>
  <c r="N81" i="1" s="1"/>
  <c r="R80" i="1"/>
  <c r="Q80" i="1"/>
  <c r="P80" i="1"/>
  <c r="O80" i="1"/>
  <c r="M80" i="1"/>
  <c r="K80" i="1"/>
  <c r="J80" i="1"/>
  <c r="I80" i="1"/>
  <c r="N80" i="1" s="1"/>
  <c r="R79" i="1"/>
  <c r="Q79" i="1"/>
  <c r="P79" i="1"/>
  <c r="O79" i="1"/>
  <c r="S79" i="1" s="1"/>
  <c r="K79" i="1"/>
  <c r="J79" i="1"/>
  <c r="I79" i="1"/>
  <c r="N79" i="1" s="1"/>
  <c r="R78" i="1"/>
  <c r="Q78" i="1"/>
  <c r="P78" i="1"/>
  <c r="O78" i="1"/>
  <c r="K78" i="1"/>
  <c r="J78" i="1"/>
  <c r="I78" i="1"/>
  <c r="N78" i="1" s="1"/>
  <c r="M78" i="1"/>
  <c r="R77" i="1"/>
  <c r="Q77" i="1"/>
  <c r="P77" i="1"/>
  <c r="O77" i="1"/>
  <c r="M77" i="1"/>
  <c r="K77" i="1"/>
  <c r="J77" i="1"/>
  <c r="I77" i="1"/>
  <c r="N77" i="1" s="1"/>
  <c r="R76" i="1"/>
  <c r="Q76" i="1"/>
  <c r="P76" i="1"/>
  <c r="O76" i="1"/>
  <c r="M76" i="1"/>
  <c r="K76" i="1"/>
  <c r="J76" i="1"/>
  <c r="I76" i="1"/>
  <c r="N76" i="1" s="1"/>
  <c r="R75" i="1"/>
  <c r="Q75" i="1"/>
  <c r="P75" i="1"/>
  <c r="O75" i="1"/>
  <c r="S75" i="1" s="1"/>
  <c r="M75" i="1"/>
  <c r="K75" i="1"/>
  <c r="J75" i="1"/>
  <c r="I75" i="1"/>
  <c r="R74" i="1"/>
  <c r="Q74" i="1"/>
  <c r="P74" i="1"/>
  <c r="O74" i="1"/>
  <c r="M74" i="1"/>
  <c r="K74" i="1"/>
  <c r="J74" i="1"/>
  <c r="I74" i="1"/>
  <c r="R73" i="1"/>
  <c r="Q73" i="1"/>
  <c r="P73" i="1"/>
  <c r="S73" i="1" s="1"/>
  <c r="O73" i="1"/>
  <c r="J73" i="1"/>
  <c r="I73" i="1"/>
  <c r="N73" i="1" s="1"/>
  <c r="R72" i="1"/>
  <c r="Q72" i="1"/>
  <c r="P72" i="1"/>
  <c r="S72" i="1" s="1"/>
  <c r="O72" i="1"/>
  <c r="M72" i="1"/>
  <c r="J72" i="1"/>
  <c r="I72" i="1"/>
  <c r="E63" i="1"/>
  <c r="E69" i="1"/>
  <c r="N69" i="1" s="1"/>
  <c r="E68" i="1"/>
  <c r="E66" i="1"/>
  <c r="M66" i="1" s="1"/>
  <c r="R71" i="1"/>
  <c r="Q71" i="1"/>
  <c r="P71" i="1"/>
  <c r="O71" i="1"/>
  <c r="M71" i="1"/>
  <c r="K71" i="1"/>
  <c r="J71" i="1"/>
  <c r="I71" i="1"/>
  <c r="R70" i="1"/>
  <c r="Q70" i="1"/>
  <c r="P70" i="1"/>
  <c r="O70" i="1"/>
  <c r="M70" i="1"/>
  <c r="K70" i="1"/>
  <c r="J70" i="1"/>
  <c r="I70" i="1"/>
  <c r="R69" i="1"/>
  <c r="Q69" i="1"/>
  <c r="P69" i="1"/>
  <c r="O69" i="1"/>
  <c r="K69" i="1"/>
  <c r="J69" i="1"/>
  <c r="I69" i="1"/>
  <c r="R68" i="1"/>
  <c r="Q68" i="1"/>
  <c r="P68" i="1"/>
  <c r="O68" i="1"/>
  <c r="M68" i="1"/>
  <c r="K68" i="1"/>
  <c r="J68" i="1"/>
  <c r="I68" i="1"/>
  <c r="R67" i="1"/>
  <c r="Q67" i="1"/>
  <c r="P67" i="1"/>
  <c r="O67" i="1"/>
  <c r="K67" i="1"/>
  <c r="J67" i="1"/>
  <c r="I67" i="1"/>
  <c r="N67" i="1"/>
  <c r="R66" i="1"/>
  <c r="Q66" i="1"/>
  <c r="P66" i="1"/>
  <c r="O66" i="1"/>
  <c r="K66" i="1"/>
  <c r="J66" i="1"/>
  <c r="I66" i="1"/>
  <c r="N66" i="1" s="1"/>
  <c r="R65" i="1"/>
  <c r="Q65" i="1"/>
  <c r="P65" i="1"/>
  <c r="O65" i="1"/>
  <c r="M65" i="1"/>
  <c r="K65" i="1"/>
  <c r="J65" i="1"/>
  <c r="I65" i="1"/>
  <c r="N65" i="1" s="1"/>
  <c r="R64" i="1"/>
  <c r="Q64" i="1"/>
  <c r="P64" i="1"/>
  <c r="O64" i="1"/>
  <c r="M64" i="1"/>
  <c r="K64" i="1"/>
  <c r="N64" i="1" s="1"/>
  <c r="J64" i="1"/>
  <c r="I64" i="1"/>
  <c r="R63" i="1"/>
  <c r="Q63" i="1"/>
  <c r="P63" i="1"/>
  <c r="O63" i="1"/>
  <c r="S63" i="1" s="1"/>
  <c r="M63" i="1"/>
  <c r="J63" i="1"/>
  <c r="I63" i="1"/>
  <c r="R62" i="1"/>
  <c r="Q62" i="1"/>
  <c r="P62" i="1"/>
  <c r="O62" i="1"/>
  <c r="J62" i="1"/>
  <c r="I62" i="1"/>
  <c r="N62" i="1" s="1"/>
  <c r="E46" i="1"/>
  <c r="D61" i="1"/>
  <c r="M61" i="1" s="1"/>
  <c r="D57" i="1"/>
  <c r="D56" i="1"/>
  <c r="M56" i="1" s="1"/>
  <c r="E52" i="1"/>
  <c r="E59" i="1"/>
  <c r="D54" i="1"/>
  <c r="M54" i="1" s="1"/>
  <c r="E49" i="1"/>
  <c r="M49" i="1" s="1"/>
  <c r="D44" i="1"/>
  <c r="I61" i="1"/>
  <c r="J61" i="1"/>
  <c r="K61" i="1"/>
  <c r="N61" i="1"/>
  <c r="T61" i="1" s="1"/>
  <c r="O61" i="1"/>
  <c r="P61" i="1"/>
  <c r="Q61" i="1"/>
  <c r="R61" i="1"/>
  <c r="S61" i="1"/>
  <c r="I60" i="1"/>
  <c r="J60" i="1"/>
  <c r="K60" i="1"/>
  <c r="N60" i="1"/>
  <c r="O60" i="1"/>
  <c r="P60" i="1"/>
  <c r="Q60" i="1"/>
  <c r="S60" i="1" s="1"/>
  <c r="R60" i="1"/>
  <c r="M60" i="1"/>
  <c r="I59" i="1"/>
  <c r="J59" i="1"/>
  <c r="K59" i="1"/>
  <c r="N59" i="1" s="1"/>
  <c r="O59" i="1"/>
  <c r="S59" i="1" s="1"/>
  <c r="P59" i="1"/>
  <c r="Q59" i="1"/>
  <c r="R59" i="1"/>
  <c r="M59" i="1"/>
  <c r="I58" i="1"/>
  <c r="J58" i="1"/>
  <c r="K58" i="1"/>
  <c r="N58" i="1"/>
  <c r="O58" i="1"/>
  <c r="P58" i="1"/>
  <c r="Q58" i="1"/>
  <c r="S58" i="1" s="1"/>
  <c r="R58" i="1"/>
  <c r="M58" i="1"/>
  <c r="I57" i="1"/>
  <c r="J57" i="1"/>
  <c r="K57" i="1"/>
  <c r="N57" i="1" s="1"/>
  <c r="T57" i="1" s="1"/>
  <c r="O57" i="1"/>
  <c r="S57" i="1" s="1"/>
  <c r="P57" i="1"/>
  <c r="Q57" i="1"/>
  <c r="R57" i="1"/>
  <c r="M57" i="1"/>
  <c r="I56" i="1"/>
  <c r="J56" i="1"/>
  <c r="K56" i="1"/>
  <c r="N56" i="1"/>
  <c r="T56" i="1" s="1"/>
  <c r="O56" i="1"/>
  <c r="P56" i="1"/>
  <c r="Q56" i="1"/>
  <c r="S56" i="1" s="1"/>
  <c r="R56" i="1"/>
  <c r="I55" i="1"/>
  <c r="J55" i="1"/>
  <c r="K55" i="1"/>
  <c r="N55" i="1" s="1"/>
  <c r="T55" i="1" s="1"/>
  <c r="O55" i="1"/>
  <c r="S55" i="1" s="1"/>
  <c r="P55" i="1"/>
  <c r="Q55" i="1"/>
  <c r="R55" i="1"/>
  <c r="M55" i="1"/>
  <c r="I54" i="1"/>
  <c r="J54" i="1"/>
  <c r="K54" i="1"/>
  <c r="N54" i="1"/>
  <c r="T54" i="1" s="1"/>
  <c r="O54" i="1"/>
  <c r="P54" i="1"/>
  <c r="Q54" i="1"/>
  <c r="S54" i="1" s="1"/>
  <c r="R54" i="1"/>
  <c r="I53" i="1"/>
  <c r="J53" i="1"/>
  <c r="N53" i="1"/>
  <c r="T53" i="1" s="1"/>
  <c r="O53" i="1"/>
  <c r="P53" i="1"/>
  <c r="Q53" i="1"/>
  <c r="R53" i="1"/>
  <c r="S53" i="1"/>
  <c r="M53" i="1"/>
  <c r="I52" i="1"/>
  <c r="J52" i="1"/>
  <c r="N52" i="1"/>
  <c r="O52" i="1"/>
  <c r="P52" i="1"/>
  <c r="S52" i="1" s="1"/>
  <c r="Q52" i="1"/>
  <c r="R52" i="1"/>
  <c r="M52" i="1"/>
  <c r="I51" i="1"/>
  <c r="N51" i="1" s="1"/>
  <c r="J51" i="1"/>
  <c r="K51" i="1"/>
  <c r="O51" i="1"/>
  <c r="P51" i="1"/>
  <c r="S51" i="1" s="1"/>
  <c r="Q51" i="1"/>
  <c r="R51" i="1"/>
  <c r="M51" i="1"/>
  <c r="I50" i="1"/>
  <c r="N50" i="1" s="1"/>
  <c r="J50" i="1"/>
  <c r="K50" i="1"/>
  <c r="O50" i="1"/>
  <c r="P50" i="1"/>
  <c r="S50" i="1" s="1"/>
  <c r="Q50" i="1"/>
  <c r="R50" i="1"/>
  <c r="M50" i="1"/>
  <c r="I49" i="1"/>
  <c r="J49" i="1"/>
  <c r="N49" i="1" s="1"/>
  <c r="T49" i="1" s="1"/>
  <c r="K49" i="1"/>
  <c r="O49" i="1"/>
  <c r="S49" i="1" s="1"/>
  <c r="P49" i="1"/>
  <c r="Q49" i="1"/>
  <c r="R49" i="1"/>
  <c r="I48" i="1"/>
  <c r="N48" i="1" s="1"/>
  <c r="J48" i="1"/>
  <c r="K48" i="1"/>
  <c r="O48" i="1"/>
  <c r="P48" i="1"/>
  <c r="S48" i="1" s="1"/>
  <c r="Q48" i="1"/>
  <c r="R48" i="1"/>
  <c r="M48" i="1"/>
  <c r="I47" i="1"/>
  <c r="J47" i="1"/>
  <c r="N47" i="1" s="1"/>
  <c r="K47" i="1"/>
  <c r="O47" i="1"/>
  <c r="S47" i="1" s="1"/>
  <c r="P47" i="1"/>
  <c r="Q47" i="1"/>
  <c r="R47" i="1"/>
  <c r="M47" i="1"/>
  <c r="I46" i="1"/>
  <c r="N46" i="1" s="1"/>
  <c r="J46" i="1"/>
  <c r="K46" i="1"/>
  <c r="O46" i="1"/>
  <c r="P46" i="1"/>
  <c r="S46" i="1" s="1"/>
  <c r="Q46" i="1"/>
  <c r="R46" i="1"/>
  <c r="M46" i="1"/>
  <c r="I45" i="1"/>
  <c r="J45" i="1"/>
  <c r="N45" i="1" s="1"/>
  <c r="K45" i="1"/>
  <c r="O45" i="1"/>
  <c r="S45" i="1" s="1"/>
  <c r="P45" i="1"/>
  <c r="Q45" i="1"/>
  <c r="R45" i="1"/>
  <c r="M45" i="1"/>
  <c r="I44" i="1"/>
  <c r="N44" i="1" s="1"/>
  <c r="J44" i="1"/>
  <c r="K44" i="1"/>
  <c r="O44" i="1"/>
  <c r="P44" i="1"/>
  <c r="S44" i="1" s="1"/>
  <c r="Q44" i="1"/>
  <c r="R44" i="1"/>
  <c r="M44" i="1"/>
  <c r="I43" i="1"/>
  <c r="J43" i="1"/>
  <c r="N43" i="1" s="1"/>
  <c r="T43" i="1" s="1"/>
  <c r="O43" i="1"/>
  <c r="P43" i="1"/>
  <c r="S43" i="1" s="1"/>
  <c r="Q43" i="1"/>
  <c r="R43" i="1"/>
  <c r="M43" i="1"/>
  <c r="I42" i="1"/>
  <c r="J42" i="1"/>
  <c r="N42" i="1" s="1"/>
  <c r="T42" i="1" s="1"/>
  <c r="O42" i="1"/>
  <c r="S42" i="1" s="1"/>
  <c r="P42" i="1"/>
  <c r="Q42" i="1"/>
  <c r="R42" i="1"/>
  <c r="M42" i="1"/>
  <c r="E38" i="1"/>
  <c r="M38" i="1" s="1"/>
  <c r="E40" i="1"/>
  <c r="N40" i="1" s="1"/>
  <c r="E39" i="1"/>
  <c r="E41" i="1"/>
  <c r="E29" i="1"/>
  <c r="M29" i="1" s="1"/>
  <c r="E27" i="1"/>
  <c r="I41" i="1"/>
  <c r="J41" i="1"/>
  <c r="N41" i="1" s="1"/>
  <c r="T41" i="1" s="1"/>
  <c r="K41" i="1"/>
  <c r="O41" i="1"/>
  <c r="S41" i="1" s="1"/>
  <c r="P41" i="1"/>
  <c r="Q41" i="1"/>
  <c r="R41" i="1"/>
  <c r="M41" i="1"/>
  <c r="I40" i="1"/>
  <c r="J40" i="1"/>
  <c r="K40" i="1"/>
  <c r="O40" i="1"/>
  <c r="S40" i="1" s="1"/>
  <c r="P40" i="1"/>
  <c r="Q40" i="1"/>
  <c r="R40" i="1"/>
  <c r="I39" i="1"/>
  <c r="N39" i="1" s="1"/>
  <c r="T39" i="1" s="1"/>
  <c r="J39" i="1"/>
  <c r="K39" i="1"/>
  <c r="O39" i="1"/>
  <c r="P39" i="1"/>
  <c r="S39" i="1" s="1"/>
  <c r="Q39" i="1"/>
  <c r="R39" i="1"/>
  <c r="M39" i="1"/>
  <c r="I38" i="1"/>
  <c r="J38" i="1"/>
  <c r="N38" i="1" s="1"/>
  <c r="T38" i="1" s="1"/>
  <c r="K38" i="1"/>
  <c r="O38" i="1"/>
  <c r="S38" i="1" s="1"/>
  <c r="P38" i="1"/>
  <c r="Q38" i="1"/>
  <c r="R38" i="1"/>
  <c r="I37" i="1"/>
  <c r="N37" i="1" s="1"/>
  <c r="T37" i="1" s="1"/>
  <c r="J37" i="1"/>
  <c r="K37" i="1"/>
  <c r="O37" i="1"/>
  <c r="P37" i="1"/>
  <c r="S37" i="1" s="1"/>
  <c r="Q37" i="1"/>
  <c r="R37" i="1"/>
  <c r="M37" i="1"/>
  <c r="I36" i="1"/>
  <c r="J36" i="1"/>
  <c r="N36" i="1" s="1"/>
  <c r="K36" i="1"/>
  <c r="O36" i="1"/>
  <c r="S36" i="1" s="1"/>
  <c r="P36" i="1"/>
  <c r="Q36" i="1"/>
  <c r="R36" i="1"/>
  <c r="M36" i="1"/>
  <c r="I35" i="1"/>
  <c r="N35" i="1" s="1"/>
  <c r="T35" i="1" s="1"/>
  <c r="J35" i="1"/>
  <c r="K35" i="1"/>
  <c r="O35" i="1"/>
  <c r="P35" i="1"/>
  <c r="S35" i="1" s="1"/>
  <c r="Q35" i="1"/>
  <c r="R35" i="1"/>
  <c r="M35" i="1"/>
  <c r="I34" i="1"/>
  <c r="J34" i="1"/>
  <c r="N34" i="1" s="1"/>
  <c r="K34" i="1"/>
  <c r="O34" i="1"/>
  <c r="S34" i="1" s="1"/>
  <c r="P34" i="1"/>
  <c r="Q34" i="1"/>
  <c r="R34" i="1"/>
  <c r="M34" i="1"/>
  <c r="I33" i="1"/>
  <c r="N33" i="1" s="1"/>
  <c r="T33" i="1" s="1"/>
  <c r="J33" i="1"/>
  <c r="O33" i="1"/>
  <c r="S33" i="1" s="1"/>
  <c r="P33" i="1"/>
  <c r="Q33" i="1"/>
  <c r="R33" i="1"/>
  <c r="M33" i="1"/>
  <c r="I32" i="1"/>
  <c r="J32" i="1"/>
  <c r="N32" i="1"/>
  <c r="T32" i="1" s="1"/>
  <c r="O32" i="1"/>
  <c r="P32" i="1"/>
  <c r="Q32" i="1"/>
  <c r="S32" i="1" s="1"/>
  <c r="R32" i="1"/>
  <c r="M32" i="1"/>
  <c r="I31" i="1"/>
  <c r="J31" i="1"/>
  <c r="K31" i="1"/>
  <c r="N31" i="1" s="1"/>
  <c r="O31" i="1"/>
  <c r="S31" i="1" s="1"/>
  <c r="P31" i="1"/>
  <c r="Q31" i="1"/>
  <c r="R31" i="1"/>
  <c r="M31" i="1"/>
  <c r="I30" i="1"/>
  <c r="N30" i="1" s="1"/>
  <c r="J30" i="1"/>
  <c r="K30" i="1"/>
  <c r="O30" i="1"/>
  <c r="S30" i="1" s="1"/>
  <c r="P30" i="1"/>
  <c r="Q30" i="1"/>
  <c r="R30" i="1"/>
  <c r="M30" i="1"/>
  <c r="I29" i="1"/>
  <c r="J29" i="1"/>
  <c r="N29" i="1" s="1"/>
  <c r="T29" i="1" s="1"/>
  <c r="K29" i="1"/>
  <c r="O29" i="1"/>
  <c r="S29" i="1" s="1"/>
  <c r="P29" i="1"/>
  <c r="Q29" i="1"/>
  <c r="R29" i="1"/>
  <c r="I28" i="1"/>
  <c r="J28" i="1"/>
  <c r="N28" i="1" s="1"/>
  <c r="K28" i="1"/>
  <c r="O28" i="1"/>
  <c r="S28" i="1" s="1"/>
  <c r="P28" i="1"/>
  <c r="Q28" i="1"/>
  <c r="R28" i="1"/>
  <c r="M28" i="1"/>
  <c r="I27" i="1"/>
  <c r="J27" i="1"/>
  <c r="K27" i="1"/>
  <c r="N27" i="1"/>
  <c r="T27" i="1" s="1"/>
  <c r="O27" i="1"/>
  <c r="P27" i="1"/>
  <c r="Q27" i="1"/>
  <c r="S27" i="1" s="1"/>
  <c r="R27" i="1"/>
  <c r="M27" i="1"/>
  <c r="I26" i="1"/>
  <c r="N26" i="1" s="1"/>
  <c r="T26" i="1" s="1"/>
  <c r="J26" i="1"/>
  <c r="K26" i="1"/>
  <c r="O26" i="1"/>
  <c r="P26" i="1"/>
  <c r="Q26" i="1"/>
  <c r="R26" i="1"/>
  <c r="S26" i="1"/>
  <c r="M26" i="1"/>
  <c r="I25" i="1"/>
  <c r="J25" i="1"/>
  <c r="K25" i="1"/>
  <c r="N25" i="1"/>
  <c r="T25" i="1" s="1"/>
  <c r="O25" i="1"/>
  <c r="P25" i="1"/>
  <c r="S25" i="1" s="1"/>
  <c r="Q25" i="1"/>
  <c r="R25" i="1"/>
  <c r="M25" i="1"/>
  <c r="I24" i="1"/>
  <c r="N24" i="1" s="1"/>
  <c r="T24" i="1" s="1"/>
  <c r="J24" i="1"/>
  <c r="K24" i="1"/>
  <c r="O24" i="1"/>
  <c r="P24" i="1"/>
  <c r="Q24" i="1"/>
  <c r="R24" i="1"/>
  <c r="S24" i="1"/>
  <c r="M24" i="1"/>
  <c r="I23" i="1"/>
  <c r="J23" i="1"/>
  <c r="N23" i="1"/>
  <c r="T23" i="1" s="1"/>
  <c r="O23" i="1"/>
  <c r="P23" i="1"/>
  <c r="Q23" i="1"/>
  <c r="R23" i="1"/>
  <c r="S23" i="1"/>
  <c r="M23" i="1"/>
  <c r="I22" i="1"/>
  <c r="N22" i="1" s="1"/>
  <c r="T22" i="1" s="1"/>
  <c r="J22" i="1"/>
  <c r="O22" i="1"/>
  <c r="S22" i="1" s="1"/>
  <c r="P22" i="1"/>
  <c r="Q22" i="1"/>
  <c r="R22" i="1"/>
  <c r="M22" i="1"/>
  <c r="E15" i="1"/>
  <c r="N15" i="1" s="1"/>
  <c r="T15" i="1" s="1"/>
  <c r="E17" i="1"/>
  <c r="A12" i="1"/>
  <c r="A20" i="1" s="1"/>
  <c r="A14" i="1"/>
  <c r="I21" i="1"/>
  <c r="J21" i="1"/>
  <c r="N21" i="1" s="1"/>
  <c r="K21" i="1"/>
  <c r="O21" i="1"/>
  <c r="S21" i="1" s="1"/>
  <c r="P21" i="1"/>
  <c r="Q21" i="1"/>
  <c r="R21" i="1"/>
  <c r="M21" i="1"/>
  <c r="I20" i="1"/>
  <c r="J20" i="1"/>
  <c r="K20" i="1"/>
  <c r="N20" i="1"/>
  <c r="T20" i="1" s="1"/>
  <c r="O20" i="1"/>
  <c r="P20" i="1"/>
  <c r="Q20" i="1"/>
  <c r="S20" i="1" s="1"/>
  <c r="R20" i="1"/>
  <c r="M20" i="1"/>
  <c r="I19" i="1"/>
  <c r="N19" i="1" s="1"/>
  <c r="T19" i="1" s="1"/>
  <c r="J19" i="1"/>
  <c r="K19" i="1"/>
  <c r="O19" i="1"/>
  <c r="P19" i="1"/>
  <c r="Q19" i="1"/>
  <c r="R19" i="1"/>
  <c r="S19" i="1"/>
  <c r="M19" i="1"/>
  <c r="I18" i="1"/>
  <c r="J18" i="1"/>
  <c r="K18" i="1"/>
  <c r="N18" i="1"/>
  <c r="T18" i="1" s="1"/>
  <c r="O18" i="1"/>
  <c r="P18" i="1"/>
  <c r="S18" i="1" s="1"/>
  <c r="Q18" i="1"/>
  <c r="R18" i="1"/>
  <c r="M18" i="1"/>
  <c r="I17" i="1"/>
  <c r="N17" i="1" s="1"/>
  <c r="T17" i="1" s="1"/>
  <c r="J17" i="1"/>
  <c r="K17" i="1"/>
  <c r="O17" i="1"/>
  <c r="P17" i="1"/>
  <c r="S17" i="1" s="1"/>
  <c r="Q17" i="1"/>
  <c r="R17" i="1"/>
  <c r="M17" i="1"/>
  <c r="I16" i="1"/>
  <c r="J16" i="1"/>
  <c r="K16" i="1"/>
  <c r="N16" i="1" s="1"/>
  <c r="T16" i="1" s="1"/>
  <c r="O16" i="1"/>
  <c r="S16" i="1" s="1"/>
  <c r="P16" i="1"/>
  <c r="Q16" i="1"/>
  <c r="R16" i="1"/>
  <c r="M16" i="1"/>
  <c r="I15" i="1"/>
  <c r="J15" i="1"/>
  <c r="K15" i="1"/>
  <c r="O15" i="1"/>
  <c r="S15" i="1" s="1"/>
  <c r="P15" i="1"/>
  <c r="Q15" i="1"/>
  <c r="R15" i="1"/>
  <c r="M15" i="1"/>
  <c r="I14" i="1"/>
  <c r="J14" i="1"/>
  <c r="N14" i="1" s="1"/>
  <c r="T14" i="1" s="1"/>
  <c r="K14" i="1"/>
  <c r="O14" i="1"/>
  <c r="S14" i="1" s="1"/>
  <c r="P14" i="1"/>
  <c r="Q14" i="1"/>
  <c r="R14" i="1"/>
  <c r="M14" i="1"/>
  <c r="I13" i="1"/>
  <c r="J13" i="1"/>
  <c r="N13" i="1" s="1"/>
  <c r="O13" i="1"/>
  <c r="S13" i="1" s="1"/>
  <c r="P13" i="1"/>
  <c r="Q13" i="1"/>
  <c r="R13" i="1"/>
  <c r="M13" i="1"/>
  <c r="I12" i="1"/>
  <c r="J12" i="1"/>
  <c r="N12" i="1"/>
  <c r="T12" i="1" s="1"/>
  <c r="O12" i="1"/>
  <c r="P12" i="1"/>
  <c r="S12" i="1" s="1"/>
  <c r="Q12" i="1"/>
  <c r="R12" i="1"/>
  <c r="M12" i="1"/>
  <c r="I11" i="1"/>
  <c r="N11" i="1" s="1"/>
  <c r="T11" i="1" s="1"/>
  <c r="J11" i="1"/>
  <c r="K11" i="1"/>
  <c r="O11" i="1"/>
  <c r="P11" i="1"/>
  <c r="S11" i="1" s="1"/>
  <c r="Q11" i="1"/>
  <c r="R11" i="1"/>
  <c r="M11" i="1"/>
  <c r="I10" i="1"/>
  <c r="J10" i="1"/>
  <c r="K10" i="1"/>
  <c r="N10" i="1" s="1"/>
  <c r="O10" i="1"/>
  <c r="S10" i="1" s="1"/>
  <c r="P10" i="1"/>
  <c r="Q10" i="1"/>
  <c r="R10" i="1"/>
  <c r="M10" i="1"/>
  <c r="I9" i="1"/>
  <c r="N9" i="1" s="1"/>
  <c r="J9" i="1"/>
  <c r="K9" i="1"/>
  <c r="O9" i="1"/>
  <c r="S9" i="1" s="1"/>
  <c r="P9" i="1"/>
  <c r="Q9" i="1"/>
  <c r="R9" i="1"/>
  <c r="M9" i="1"/>
  <c r="I8" i="1"/>
  <c r="J8" i="1"/>
  <c r="N8" i="1" s="1"/>
  <c r="K8" i="1"/>
  <c r="O8" i="1"/>
  <c r="S8" i="1" s="1"/>
  <c r="P8" i="1"/>
  <c r="Q8" i="1"/>
  <c r="R8" i="1"/>
  <c r="M8" i="1"/>
  <c r="I7" i="1"/>
  <c r="J7" i="1"/>
  <c r="N7" i="1" s="1"/>
  <c r="K7" i="1"/>
  <c r="O7" i="1"/>
  <c r="S7" i="1" s="1"/>
  <c r="P7" i="1"/>
  <c r="Q7" i="1"/>
  <c r="R7" i="1"/>
  <c r="M7" i="1"/>
  <c r="I6" i="1"/>
  <c r="J6" i="1"/>
  <c r="K6" i="1"/>
  <c r="N6" i="1"/>
  <c r="T6" i="1" s="1"/>
  <c r="O6" i="1"/>
  <c r="P6" i="1"/>
  <c r="Q6" i="1"/>
  <c r="S6" i="1" s="1"/>
  <c r="R6" i="1"/>
  <c r="M6" i="1"/>
  <c r="I5" i="1"/>
  <c r="N5" i="1" s="1"/>
  <c r="T5" i="1" s="1"/>
  <c r="J5" i="1"/>
  <c r="K5" i="1"/>
  <c r="O5" i="1"/>
  <c r="P5" i="1"/>
  <c r="Q5" i="1"/>
  <c r="R5" i="1"/>
  <c r="S5" i="1"/>
  <c r="M5" i="1"/>
  <c r="I4" i="1"/>
  <c r="N4" i="1" s="1"/>
  <c r="T4" i="1" s="1"/>
  <c r="J4" i="1"/>
  <c r="K4" i="1"/>
  <c r="O4" i="1"/>
  <c r="P4" i="1"/>
  <c r="S4" i="1" s="1"/>
  <c r="Q4" i="1"/>
  <c r="R4" i="1"/>
  <c r="M4" i="1"/>
  <c r="I3" i="1"/>
  <c r="J3" i="1"/>
  <c r="N3" i="1"/>
  <c r="O3" i="1"/>
  <c r="P3" i="1"/>
  <c r="Q3" i="1"/>
  <c r="S3" i="1" s="1"/>
  <c r="R3" i="1"/>
  <c r="M3" i="1"/>
  <c r="I2" i="1"/>
  <c r="N2" i="1" s="1"/>
  <c r="T2" i="1" s="1"/>
  <c r="J2" i="1"/>
  <c r="O2" i="1"/>
  <c r="S2" i="1" s="1"/>
  <c r="P2" i="1"/>
  <c r="Q2" i="1"/>
  <c r="R2" i="1"/>
  <c r="M2" i="1"/>
  <c r="F18" i="15"/>
  <c r="E18" i="15"/>
  <c r="E16" i="15"/>
  <c r="F16" i="15" s="1"/>
  <c r="F20" i="15" s="1"/>
  <c r="E4" i="15"/>
  <c r="F4" i="15"/>
  <c r="G15" i="2"/>
  <c r="J15" i="2"/>
  <c r="F15" i="2"/>
  <c r="E15" i="2"/>
  <c r="D15" i="2"/>
  <c r="K15" i="2"/>
  <c r="H15" i="2"/>
  <c r="I15" i="2"/>
  <c r="L15" i="2"/>
  <c r="E19" i="15"/>
  <c r="F19" i="15"/>
  <c r="E17" i="15"/>
  <c r="F17" i="15"/>
  <c r="E15" i="15"/>
  <c r="F15" i="15"/>
  <c r="F14" i="15"/>
  <c r="E14" i="15"/>
  <c r="F7" i="15"/>
  <c r="E7" i="15"/>
  <c r="F6" i="15"/>
  <c r="E6" i="15"/>
  <c r="F5" i="15"/>
  <c r="E5" i="15"/>
  <c r="F3" i="15"/>
  <c r="E3" i="15"/>
  <c r="F2" i="15"/>
  <c r="F8" i="15"/>
  <c r="E2" i="15"/>
  <c r="A13" i="14"/>
  <c r="V185" i="7"/>
  <c r="V184" i="7"/>
  <c r="W188" i="7"/>
  <c r="F14" i="2"/>
  <c r="F13" i="2"/>
  <c r="F12" i="2"/>
  <c r="F11" i="2"/>
  <c r="F10" i="2"/>
  <c r="F9" i="2"/>
  <c r="F8" i="2"/>
  <c r="O141" i="7"/>
  <c r="O139" i="7"/>
  <c r="O138" i="7"/>
  <c r="Y18" i="6"/>
  <c r="R245" i="7"/>
  <c r="B2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6" i="10"/>
  <c r="B3" i="10"/>
  <c r="B4" i="10"/>
  <c r="B5" i="10"/>
  <c r="B2" i="10"/>
  <c r="V118" i="13"/>
  <c r="V117" i="13"/>
  <c r="V116" i="13"/>
  <c r="V115" i="13"/>
  <c r="V114" i="13"/>
  <c r="V113" i="13"/>
  <c r="V112" i="13"/>
  <c r="V111" i="13"/>
  <c r="V110" i="13"/>
  <c r="V109" i="13"/>
  <c r="V108" i="13"/>
  <c r="V107" i="13"/>
  <c r="V106" i="13"/>
  <c r="V105" i="13"/>
  <c r="V104" i="13"/>
  <c r="V103" i="13"/>
  <c r="V102" i="13"/>
  <c r="V101" i="13"/>
  <c r="V100" i="13"/>
  <c r="V99" i="13"/>
  <c r="V98" i="13"/>
  <c r="V97" i="13"/>
  <c r="V96" i="13"/>
  <c r="V95" i="13"/>
  <c r="V94" i="13"/>
  <c r="V93" i="13"/>
  <c r="V92" i="13"/>
  <c r="V91" i="13"/>
  <c r="V90" i="13"/>
  <c r="V89" i="13"/>
  <c r="V88" i="13"/>
  <c r="V87" i="13"/>
  <c r="V86" i="13"/>
  <c r="V85" i="13"/>
  <c r="V84" i="13"/>
  <c r="V83" i="13"/>
  <c r="V82" i="13"/>
  <c r="V81" i="13"/>
  <c r="V80" i="13"/>
  <c r="V79" i="13"/>
  <c r="V78" i="13"/>
  <c r="V77" i="13"/>
  <c r="V76" i="13"/>
  <c r="V75" i="13"/>
  <c r="V74" i="13"/>
  <c r="V73" i="13"/>
  <c r="V72" i="13"/>
  <c r="V71" i="13"/>
  <c r="V70" i="13"/>
  <c r="V69" i="13"/>
  <c r="V68" i="13"/>
  <c r="V67" i="13"/>
  <c r="V66" i="13"/>
  <c r="V65" i="13"/>
  <c r="V64" i="13"/>
  <c r="V63" i="13"/>
  <c r="V62" i="13"/>
  <c r="V61" i="13"/>
  <c r="V60" i="13"/>
  <c r="V59" i="13"/>
  <c r="V58" i="13"/>
  <c r="V57" i="13"/>
  <c r="V56" i="13"/>
  <c r="V55" i="13"/>
  <c r="V54" i="13"/>
  <c r="V53" i="13"/>
  <c r="V52" i="13"/>
  <c r="V51" i="13"/>
  <c r="V50" i="13"/>
  <c r="V49" i="13"/>
  <c r="V48" i="13"/>
  <c r="V47" i="13"/>
  <c r="V46" i="13"/>
  <c r="V45" i="13"/>
  <c r="V44" i="13"/>
  <c r="V43" i="13"/>
  <c r="V42" i="13"/>
  <c r="V41" i="13"/>
  <c r="V40" i="13"/>
  <c r="V39" i="13"/>
  <c r="V38" i="13"/>
  <c r="V37" i="13"/>
  <c r="V36" i="13"/>
  <c r="V35" i="13"/>
  <c r="V34" i="13"/>
  <c r="V33" i="13"/>
  <c r="V32" i="13"/>
  <c r="V31" i="13"/>
  <c r="V30" i="13"/>
  <c r="V29" i="13"/>
  <c r="V28" i="13"/>
  <c r="V27" i="13"/>
  <c r="V26" i="13"/>
  <c r="V25" i="13"/>
  <c r="V24" i="13"/>
  <c r="V23" i="13"/>
  <c r="V22" i="13"/>
  <c r="V21" i="13"/>
  <c r="V20" i="13"/>
  <c r="V19" i="13"/>
  <c r="V18" i="13"/>
  <c r="V17" i="13"/>
  <c r="V16" i="13"/>
  <c r="V15" i="13"/>
  <c r="V14" i="13"/>
  <c r="V13" i="13"/>
  <c r="V12" i="13"/>
  <c r="V11" i="13"/>
  <c r="V10" i="13"/>
  <c r="V9" i="13"/>
  <c r="V8" i="13"/>
  <c r="AK8" i="13"/>
  <c r="V7" i="13"/>
  <c r="V2" i="13"/>
  <c r="V6" i="13"/>
  <c r="W24" i="13"/>
  <c r="W63" i="13"/>
  <c r="W87" i="13"/>
  <c r="W103" i="13"/>
  <c r="W104" i="13"/>
  <c r="AK115" i="13"/>
  <c r="W112" i="13"/>
  <c r="AS115" i="13"/>
  <c r="AS114" i="13"/>
  <c r="W111" i="13"/>
  <c r="AK107" i="13"/>
  <c r="AS107" i="13"/>
  <c r="AS106" i="13"/>
  <c r="AK99" i="13"/>
  <c r="W96" i="13"/>
  <c r="AS99" i="13"/>
  <c r="AS98" i="13"/>
  <c r="W95" i="13"/>
  <c r="AL100" i="13"/>
  <c r="AM100" i="13"/>
  <c r="AL101" i="13"/>
  <c r="AN101" i="13"/>
  <c r="AS101" i="13"/>
  <c r="AM101" i="13"/>
  <c r="W98" i="13"/>
  <c r="AK91" i="13"/>
  <c r="W88" i="13"/>
  <c r="AS91" i="13"/>
  <c r="AS90" i="13"/>
  <c r="AK83" i="13"/>
  <c r="W80" i="13"/>
  <c r="AS83" i="13"/>
  <c r="AS82" i="13"/>
  <c r="W79" i="13"/>
  <c r="AK75" i="13"/>
  <c r="W72" i="13"/>
  <c r="AS75" i="13"/>
  <c r="AS74" i="13"/>
  <c r="W71" i="13"/>
  <c r="AK67" i="13"/>
  <c r="W64" i="13"/>
  <c r="AS67" i="13"/>
  <c r="AS66" i="13"/>
  <c r="AK59" i="13"/>
  <c r="W56" i="13"/>
  <c r="AS59" i="13"/>
  <c r="AS58" i="13"/>
  <c r="W55" i="13"/>
  <c r="AK51" i="13"/>
  <c r="W48" i="13"/>
  <c r="AS51" i="13"/>
  <c r="AS50" i="13"/>
  <c r="W47" i="13"/>
  <c r="AS43" i="13"/>
  <c r="AK43" i="13"/>
  <c r="W40" i="13"/>
  <c r="AS42" i="13"/>
  <c r="W39" i="13"/>
  <c r="AK35" i="13"/>
  <c r="W32" i="13"/>
  <c r="AS35" i="13"/>
  <c r="AS34" i="13"/>
  <c r="W31" i="13"/>
  <c r="AK27" i="13"/>
  <c r="AS27" i="13"/>
  <c r="AS26" i="13"/>
  <c r="W23" i="13"/>
  <c r="AS19" i="13"/>
  <c r="AK19" i="13"/>
  <c r="W16" i="13"/>
  <c r="AS18" i="13"/>
  <c r="W15" i="13"/>
  <c r="AS11" i="13"/>
  <c r="AK11" i="13"/>
  <c r="W8" i="13"/>
  <c r="AM121" i="13"/>
  <c r="AL121" i="13"/>
  <c r="AM120" i="13"/>
  <c r="AL120" i="13"/>
  <c r="AM119" i="13"/>
  <c r="AL119" i="13"/>
  <c r="AM118" i="13"/>
  <c r="AL118" i="13"/>
  <c r="AM117" i="13"/>
  <c r="AL117" i="13"/>
  <c r="AM116" i="13"/>
  <c r="AL116" i="13"/>
  <c r="AM113" i="13"/>
  <c r="AL113" i="13"/>
  <c r="AM112" i="13"/>
  <c r="AL112" i="13"/>
  <c r="AM111" i="13"/>
  <c r="AL111" i="13"/>
  <c r="AM110" i="13"/>
  <c r="AL110" i="13"/>
  <c r="AM109" i="13"/>
  <c r="AL109" i="13"/>
  <c r="AM108" i="13"/>
  <c r="AL108" i="13"/>
  <c r="AM105" i="13"/>
  <c r="AL105" i="13"/>
  <c r="AM104" i="13"/>
  <c r="AL104" i="13"/>
  <c r="AM103" i="13"/>
  <c r="AL103" i="13"/>
  <c r="AM102" i="13"/>
  <c r="AL102" i="13"/>
  <c r="AM97" i="13"/>
  <c r="AL97" i="13"/>
  <c r="AM96" i="13"/>
  <c r="AL96" i="13"/>
  <c r="AM95" i="13"/>
  <c r="AL95" i="13"/>
  <c r="AM94" i="13"/>
  <c r="AL94" i="13"/>
  <c r="AM93" i="13"/>
  <c r="AL93" i="13"/>
  <c r="AM92" i="13"/>
  <c r="AL92" i="13"/>
  <c r="AM89" i="13"/>
  <c r="AL89" i="13"/>
  <c r="AM88" i="13"/>
  <c r="AL88" i="13"/>
  <c r="AM87" i="13"/>
  <c r="AL87" i="13"/>
  <c r="AM86" i="13"/>
  <c r="AL86" i="13"/>
  <c r="AM85" i="13"/>
  <c r="AL85" i="13"/>
  <c r="AM84" i="13"/>
  <c r="AL84" i="13"/>
  <c r="AM81" i="13"/>
  <c r="AL81" i="13"/>
  <c r="AM80" i="13"/>
  <c r="AL80" i="13"/>
  <c r="AM79" i="13"/>
  <c r="AL79" i="13"/>
  <c r="AM78" i="13"/>
  <c r="AL78" i="13"/>
  <c r="AM77" i="13"/>
  <c r="AL77" i="13"/>
  <c r="AM76" i="13"/>
  <c r="AL76" i="13"/>
  <c r="AM73" i="13"/>
  <c r="AL73" i="13"/>
  <c r="AM72" i="13"/>
  <c r="AL72" i="13"/>
  <c r="AM71" i="13"/>
  <c r="AL71" i="13"/>
  <c r="AM70" i="13"/>
  <c r="AL70" i="13"/>
  <c r="AM69" i="13"/>
  <c r="AL69" i="13"/>
  <c r="AM68" i="13"/>
  <c r="AL68" i="13"/>
  <c r="AM65" i="13"/>
  <c r="AL65" i="13"/>
  <c r="AM64" i="13"/>
  <c r="AL64" i="13"/>
  <c r="AM63" i="13"/>
  <c r="AL63" i="13"/>
  <c r="AM62" i="13"/>
  <c r="AL62" i="13"/>
  <c r="AM61" i="13"/>
  <c r="AL61" i="13"/>
  <c r="AM60" i="13"/>
  <c r="AL60" i="13"/>
  <c r="AM57" i="13"/>
  <c r="AL57" i="13"/>
  <c r="AM56" i="13"/>
  <c r="AL56" i="13"/>
  <c r="AM55" i="13"/>
  <c r="AL55" i="13"/>
  <c r="AM54" i="13"/>
  <c r="AL54" i="13"/>
  <c r="AM53" i="13"/>
  <c r="AL53" i="13"/>
  <c r="AM52" i="13"/>
  <c r="AL52" i="13"/>
  <c r="AM49" i="13"/>
  <c r="AL49" i="13"/>
  <c r="AM48" i="13"/>
  <c r="AL48" i="13"/>
  <c r="AM47" i="13"/>
  <c r="AL47" i="13"/>
  <c r="AM46" i="13"/>
  <c r="AL46" i="13"/>
  <c r="AM45" i="13"/>
  <c r="AL45" i="13"/>
  <c r="AM44" i="13"/>
  <c r="AL44" i="13"/>
  <c r="AM41" i="13"/>
  <c r="AL41" i="13"/>
  <c r="AM40" i="13"/>
  <c r="AL40" i="13"/>
  <c r="AM39" i="13"/>
  <c r="AL39" i="13"/>
  <c r="AM38" i="13"/>
  <c r="AL38" i="13"/>
  <c r="AM37" i="13"/>
  <c r="W34" i="13"/>
  <c r="AL37" i="13"/>
  <c r="AN37" i="13"/>
  <c r="AS37" i="13"/>
  <c r="AM36" i="13"/>
  <c r="AL36" i="13"/>
  <c r="AM33" i="13"/>
  <c r="AL33" i="13"/>
  <c r="AM32" i="13"/>
  <c r="AL32" i="13"/>
  <c r="AM31" i="13"/>
  <c r="AL31" i="13"/>
  <c r="AM30" i="13"/>
  <c r="AL30" i="13"/>
  <c r="AM29" i="13"/>
  <c r="AL29" i="13"/>
  <c r="AM28" i="13"/>
  <c r="AL28" i="13"/>
  <c r="AM25" i="13"/>
  <c r="AL25" i="13"/>
  <c r="AM24" i="13"/>
  <c r="AL24" i="13"/>
  <c r="AM23" i="13"/>
  <c r="AL23" i="13"/>
  <c r="AM22" i="13"/>
  <c r="AL22" i="13"/>
  <c r="AM21" i="13"/>
  <c r="AL21" i="13"/>
  <c r="AM20" i="13"/>
  <c r="AM12" i="13"/>
  <c r="AL20" i="13"/>
  <c r="AM17" i="13"/>
  <c r="AL17" i="13"/>
  <c r="AM16" i="13"/>
  <c r="AL16" i="13"/>
  <c r="AM15" i="13"/>
  <c r="AL15" i="13"/>
  <c r="AM14" i="13"/>
  <c r="AL14" i="13"/>
  <c r="AM13" i="13"/>
  <c r="AL13" i="13"/>
  <c r="AL12" i="13"/>
  <c r="W2" i="13"/>
  <c r="W6" i="13"/>
  <c r="AN8" i="13"/>
  <c r="AM8" i="13"/>
  <c r="U6" i="13"/>
  <c r="U2" i="13"/>
  <c r="W115" i="13"/>
  <c r="W105" i="13"/>
  <c r="W58" i="13"/>
  <c r="W21" i="13"/>
  <c r="W61" i="13"/>
  <c r="W89" i="13"/>
  <c r="W118" i="13"/>
  <c r="W65" i="13"/>
  <c r="W91" i="13"/>
  <c r="W30" i="13"/>
  <c r="W54" i="13"/>
  <c r="W68" i="13"/>
  <c r="W82" i="13"/>
  <c r="W110" i="13"/>
  <c r="W18" i="13"/>
  <c r="W97" i="13"/>
  <c r="W17" i="13"/>
  <c r="W69" i="13"/>
  <c r="W99" i="13"/>
  <c r="AN118" i="13"/>
  <c r="AS118" i="13"/>
  <c r="AN105" i="13"/>
  <c r="AS105" i="13"/>
  <c r="AN100" i="13"/>
  <c r="AS100" i="13"/>
  <c r="AN24" i="13"/>
  <c r="AS24" i="13"/>
  <c r="AN38" i="13"/>
  <c r="AS38" i="13"/>
  <c r="AN41" i="13"/>
  <c r="AS41" i="13"/>
  <c r="AN55" i="13"/>
  <c r="AS55" i="13"/>
  <c r="AN69" i="13"/>
  <c r="AN81" i="13"/>
  <c r="AS81" i="13"/>
  <c r="AN60" i="13"/>
  <c r="AS60" i="13"/>
  <c r="AN72" i="13"/>
  <c r="AS72" i="13"/>
  <c r="AN112" i="13"/>
  <c r="AS112" i="13"/>
  <c r="AN36" i="13"/>
  <c r="AS36" i="13"/>
  <c r="AN88" i="13"/>
  <c r="AS88" i="13"/>
  <c r="AN102" i="13"/>
  <c r="AS102" i="13"/>
  <c r="AN65" i="13"/>
  <c r="AN93" i="13"/>
  <c r="AS93" i="13"/>
  <c r="AN119" i="13"/>
  <c r="AS119" i="13"/>
  <c r="AN84" i="13"/>
  <c r="AS84" i="13"/>
  <c r="AN57" i="13"/>
  <c r="AS57" i="13"/>
  <c r="AN97" i="13"/>
  <c r="AN86" i="13"/>
  <c r="AN61" i="13"/>
  <c r="AS61" i="13"/>
  <c r="AN92" i="13"/>
  <c r="AS92" i="13"/>
  <c r="AN40" i="13"/>
  <c r="AS40" i="13"/>
  <c r="AN68" i="13"/>
  <c r="AS68" i="13"/>
  <c r="AN80" i="13"/>
  <c r="AN30" i="13"/>
  <c r="AS30" i="13"/>
  <c r="AN109" i="13"/>
  <c r="AS109" i="13"/>
  <c r="AN121" i="13"/>
  <c r="AS121" i="13"/>
  <c r="AN70" i="13"/>
  <c r="AS70" i="13"/>
  <c r="AN111" i="13"/>
  <c r="AN76" i="13"/>
  <c r="AS76" i="13"/>
  <c r="AN77" i="13"/>
  <c r="AS77" i="13"/>
  <c r="AN113" i="13"/>
  <c r="AS113" i="13"/>
  <c r="AN103" i="13"/>
  <c r="AS103" i="13"/>
  <c r="AN79" i="13"/>
  <c r="AS79" i="13"/>
  <c r="AN33" i="13"/>
  <c r="AS33" i="13"/>
  <c r="AN85" i="13"/>
  <c r="AS85" i="13"/>
  <c r="AN96" i="13"/>
  <c r="AS96" i="13"/>
  <c r="AN63" i="13"/>
  <c r="AS63" i="13"/>
  <c r="AN52" i="13"/>
  <c r="AS52" i="13"/>
  <c r="AN28" i="13"/>
  <c r="AS28" i="13"/>
  <c r="AN78" i="13"/>
  <c r="AS78" i="13"/>
  <c r="AN31" i="13"/>
  <c r="AS31" i="13"/>
  <c r="AN32" i="13"/>
  <c r="AS32" i="13"/>
  <c r="AN95" i="13"/>
  <c r="AS95" i="13"/>
  <c r="AN46" i="13"/>
  <c r="AS46" i="13"/>
  <c r="AN71" i="13"/>
  <c r="AS71" i="13"/>
  <c r="AN108" i="13"/>
  <c r="AS108" i="13"/>
  <c r="AN120" i="13"/>
  <c r="AS120" i="13"/>
  <c r="AN87" i="13"/>
  <c r="AS87" i="13"/>
  <c r="AN44" i="13"/>
  <c r="AS44" i="13"/>
  <c r="AN56" i="13"/>
  <c r="AS56" i="13"/>
  <c r="AN89" i="13"/>
  <c r="AN110" i="13"/>
  <c r="AN21" i="13"/>
  <c r="AS21" i="13"/>
  <c r="AN22" i="13"/>
  <c r="AS22" i="13"/>
  <c r="AN25" i="13"/>
  <c r="AS25" i="13"/>
  <c r="AN45" i="13"/>
  <c r="AS45" i="13"/>
  <c r="AN116" i="13"/>
  <c r="AS116" i="13"/>
  <c r="AN49" i="13"/>
  <c r="AN62" i="13"/>
  <c r="AS62" i="13"/>
  <c r="AN73" i="13"/>
  <c r="AS73" i="13"/>
  <c r="AN94" i="13"/>
  <c r="AS94" i="13"/>
  <c r="AN104" i="13"/>
  <c r="AS104" i="13"/>
  <c r="AN54" i="13"/>
  <c r="AS54" i="13"/>
  <c r="AN29" i="13"/>
  <c r="AS29" i="13"/>
  <c r="AN117" i="13"/>
  <c r="AS117" i="13"/>
  <c r="AN39" i="13"/>
  <c r="AS39" i="13"/>
  <c r="AN53" i="13"/>
  <c r="AS53" i="13"/>
  <c r="AN64" i="13"/>
  <c r="AS64" i="13"/>
  <c r="AN47" i="13"/>
  <c r="AN48" i="13"/>
  <c r="AS48" i="13"/>
  <c r="AN20" i="13"/>
  <c r="AS20" i="13"/>
  <c r="AN13" i="13"/>
  <c r="AS13" i="13"/>
  <c r="AN23" i="13"/>
  <c r="AS23" i="13"/>
  <c r="AN12" i="13"/>
  <c r="AN17" i="13"/>
  <c r="AN14" i="13"/>
  <c r="AN15" i="13"/>
  <c r="AN16" i="13"/>
  <c r="W51" i="13"/>
  <c r="W117" i="13"/>
  <c r="AS69" i="13"/>
  <c r="W66" i="13"/>
  <c r="AS86" i="13"/>
  <c r="W83" i="13"/>
  <c r="W42" i="13"/>
  <c r="W75" i="13"/>
  <c r="W28" i="13"/>
  <c r="W50" i="13"/>
  <c r="W33" i="13"/>
  <c r="W113" i="13"/>
  <c r="W27" i="13"/>
  <c r="W49" i="13"/>
  <c r="W20" i="13"/>
  <c r="W100" i="13"/>
  <c r="W45" i="13"/>
  <c r="W25" i="13"/>
  <c r="W116" i="13"/>
  <c r="W57" i="13"/>
  <c r="W93" i="13"/>
  <c r="W76" i="13"/>
  <c r="W102" i="13"/>
  <c r="AS110" i="13"/>
  <c r="W107" i="13"/>
  <c r="W43" i="13"/>
  <c r="W67" i="13"/>
  <c r="W22" i="13"/>
  <c r="W74" i="13"/>
  <c r="W37" i="13"/>
  <c r="AS89" i="13"/>
  <c r="W86" i="13"/>
  <c r="W29" i="13"/>
  <c r="W109" i="13"/>
  <c r="W84" i="13"/>
  <c r="W60" i="13"/>
  <c r="AS47" i="13"/>
  <c r="W44" i="13"/>
  <c r="W41" i="13"/>
  <c r="W106" i="13"/>
  <c r="W101" i="13"/>
  <c r="W52" i="13"/>
  <c r="AS80" i="13"/>
  <c r="W77" i="13"/>
  <c r="AS111" i="13"/>
  <c r="W108" i="13"/>
  <c r="W35" i="13"/>
  <c r="W26" i="13"/>
  <c r="W90" i="13"/>
  <c r="W85" i="13"/>
  <c r="W81" i="13"/>
  <c r="W114" i="13"/>
  <c r="W36" i="13"/>
  <c r="W73" i="13"/>
  <c r="W53" i="13"/>
  <c r="W92" i="13"/>
  <c r="W19" i="13"/>
  <c r="W59" i="13"/>
  <c r="W38" i="13"/>
  <c r="W78" i="13"/>
  <c r="W10" i="13"/>
  <c r="W70" i="13"/>
  <c r="AS97" i="13"/>
  <c r="W94" i="13"/>
  <c r="AS65" i="13"/>
  <c r="W62" i="13"/>
  <c r="AS49" i="13"/>
  <c r="AQ8" i="13"/>
  <c r="AS17" i="13"/>
  <c r="W14" i="13"/>
  <c r="AS15" i="13"/>
  <c r="W12" i="13"/>
  <c r="AS14" i="13"/>
  <c r="W11" i="13"/>
  <c r="AS16" i="13"/>
  <c r="W13" i="13"/>
  <c r="AS12" i="13"/>
  <c r="W9" i="13"/>
  <c r="AW8" i="13"/>
  <c r="W46" i="13"/>
  <c r="T7" i="13"/>
  <c r="W7" i="13"/>
  <c r="G14" i="2"/>
  <c r="J14" i="2"/>
  <c r="E14" i="2"/>
  <c r="D14" i="2"/>
  <c r="G13" i="2"/>
  <c r="J13" i="2"/>
  <c r="E13" i="2"/>
  <c r="D13" i="2"/>
  <c r="G12" i="2"/>
  <c r="J12" i="2"/>
  <c r="E12" i="2"/>
  <c r="D12" i="2"/>
  <c r="G11" i="2"/>
  <c r="J11" i="2"/>
  <c r="E11" i="2"/>
  <c r="D11" i="2"/>
  <c r="G10" i="2"/>
  <c r="J10" i="2"/>
  <c r="E10" i="2"/>
  <c r="D10" i="2"/>
  <c r="G9" i="2"/>
  <c r="J9" i="2"/>
  <c r="E9" i="2"/>
  <c r="D9" i="2"/>
  <c r="G8" i="2"/>
  <c r="J8" i="2"/>
  <c r="E8" i="2"/>
  <c r="D8" i="2"/>
  <c r="H13" i="2"/>
  <c r="K13" i="2"/>
  <c r="H14" i="2"/>
  <c r="K14" i="2"/>
  <c r="I11" i="2"/>
  <c r="L11" i="2"/>
  <c r="I8" i="2"/>
  <c r="L8" i="2"/>
  <c r="H10" i="2"/>
  <c r="K10" i="2"/>
  <c r="H9" i="2"/>
  <c r="K9" i="2"/>
  <c r="I12" i="2"/>
  <c r="L12" i="2"/>
  <c r="I9" i="2"/>
  <c r="L9" i="2"/>
  <c r="I13" i="2"/>
  <c r="L13" i="2"/>
  <c r="I10" i="2"/>
  <c r="L10" i="2"/>
  <c r="H11" i="2"/>
  <c r="K11" i="2"/>
  <c r="H8" i="2"/>
  <c r="K8" i="2"/>
  <c r="H12" i="2"/>
  <c r="K12" i="2"/>
  <c r="I14" i="2"/>
  <c r="L14" i="2"/>
  <c r="G4" i="2"/>
  <c r="J4" i="2"/>
  <c r="E4" i="2"/>
  <c r="D4" i="2"/>
  <c r="K4" i="2"/>
  <c r="L4" i="2"/>
  <c r="G5" i="2"/>
  <c r="J5" i="2"/>
  <c r="E5" i="2"/>
  <c r="D5" i="2"/>
  <c r="G2" i="2"/>
  <c r="J2" i="2"/>
  <c r="E2" i="2"/>
  <c r="D2" i="2"/>
  <c r="L2" i="2"/>
  <c r="K2" i="2"/>
  <c r="K5" i="2"/>
  <c r="L5" i="2"/>
  <c r="H10" i="9"/>
  <c r="K10" i="9"/>
  <c r="F10" i="9"/>
  <c r="I10" i="9"/>
  <c r="E10" i="9"/>
  <c r="D10" i="9"/>
  <c r="G10" i="9"/>
  <c r="H9" i="9"/>
  <c r="K9" i="9"/>
  <c r="F9" i="9"/>
  <c r="I9" i="9"/>
  <c r="E9" i="9"/>
  <c r="D9" i="9"/>
  <c r="G9" i="9"/>
  <c r="H8" i="9"/>
  <c r="K8" i="9"/>
  <c r="F8" i="9"/>
  <c r="I8" i="9"/>
  <c r="E8" i="9"/>
  <c r="D8" i="9"/>
  <c r="G8" i="9"/>
  <c r="H7" i="9"/>
  <c r="K7" i="9"/>
  <c r="F7" i="9"/>
  <c r="I7" i="9"/>
  <c r="E7" i="9"/>
  <c r="D7" i="9"/>
  <c r="G7" i="9"/>
  <c r="H6" i="9"/>
  <c r="K6" i="9"/>
  <c r="F6" i="9"/>
  <c r="I6" i="9"/>
  <c r="E6" i="9"/>
  <c r="D6" i="9"/>
  <c r="G6" i="9"/>
  <c r="H5" i="9"/>
  <c r="K5" i="9"/>
  <c r="F5" i="9"/>
  <c r="I5" i="9"/>
  <c r="E5" i="9"/>
  <c r="D5" i="9"/>
  <c r="G5" i="9"/>
  <c r="H4" i="9"/>
  <c r="K4" i="9"/>
  <c r="F4" i="9"/>
  <c r="I4" i="9"/>
  <c r="E4" i="9"/>
  <c r="D4" i="9"/>
  <c r="G4" i="9"/>
  <c r="H3" i="9"/>
  <c r="K3" i="9"/>
  <c r="F3" i="9"/>
  <c r="I3" i="9"/>
  <c r="E3" i="9"/>
  <c r="D3" i="9"/>
  <c r="G3" i="9"/>
  <c r="H2" i="9"/>
  <c r="K2" i="9"/>
  <c r="F2" i="9"/>
  <c r="I2" i="9"/>
  <c r="E2" i="9"/>
  <c r="D2" i="9"/>
  <c r="G2" i="9"/>
  <c r="H1" i="9"/>
  <c r="K1" i="9"/>
  <c r="F1" i="9"/>
  <c r="I1" i="9"/>
  <c r="E1" i="9"/>
  <c r="D1" i="9"/>
  <c r="G1" i="9"/>
  <c r="J1" i="9"/>
  <c r="J2" i="9"/>
  <c r="J3" i="9"/>
  <c r="J4" i="9"/>
  <c r="J5" i="9"/>
  <c r="J6" i="9"/>
  <c r="J7" i="9"/>
  <c r="J8" i="9"/>
  <c r="J9" i="9"/>
  <c r="J10" i="9"/>
  <c r="G3" i="2"/>
  <c r="G6" i="2"/>
  <c r="G7" i="2"/>
  <c r="J7" i="2"/>
  <c r="J6" i="2"/>
  <c r="J3" i="2"/>
  <c r="E7" i="2"/>
  <c r="L7" i="2"/>
  <c r="D7" i="2"/>
  <c r="K7" i="2"/>
  <c r="E6" i="2"/>
  <c r="E3" i="2"/>
  <c r="L6" i="2"/>
  <c r="L3" i="2"/>
  <c r="D6" i="2"/>
  <c r="K6" i="2"/>
  <c r="D3" i="2"/>
  <c r="K3" i="2"/>
  <c r="T10" i="1" l="1"/>
  <c r="T7" i="1"/>
  <c r="T8" i="1"/>
  <c r="T31" i="1"/>
  <c r="T34" i="1"/>
  <c r="T36" i="1"/>
  <c r="T52" i="1"/>
  <c r="T58" i="1"/>
  <c r="T21" i="1"/>
  <c r="T28" i="1"/>
  <c r="T30" i="1"/>
  <c r="T45" i="1"/>
  <c r="T47" i="1"/>
  <c r="T50" i="1"/>
  <c r="T51" i="1"/>
  <c r="T59" i="1"/>
  <c r="T60" i="1"/>
  <c r="T46" i="1"/>
  <c r="T9" i="1"/>
  <c r="T44" i="1"/>
  <c r="T48" i="1"/>
  <c r="T40" i="1"/>
  <c r="T3" i="1"/>
  <c r="T13" i="1"/>
  <c r="T64" i="1"/>
  <c r="A13" i="1"/>
  <c r="A21" i="1"/>
  <c r="A22" i="1" s="1"/>
  <c r="M40" i="1"/>
  <c r="S65" i="1"/>
  <c r="A15" i="1"/>
  <c r="S64" i="1"/>
  <c r="S66" i="1"/>
  <c r="T66" i="1" s="1"/>
  <c r="S67" i="1"/>
  <c r="T67" i="1" s="1"/>
  <c r="A16" i="1"/>
  <c r="S69" i="1"/>
  <c r="S70" i="1"/>
  <c r="S71" i="1"/>
  <c r="S74" i="1"/>
  <c r="S76" i="1"/>
  <c r="T76" i="1" s="1"/>
  <c r="S77" i="1"/>
  <c r="A17" i="1"/>
  <c r="N63" i="1"/>
  <c r="N74" i="1"/>
  <c r="S78" i="1"/>
  <c r="T78" i="1" s="1"/>
  <c r="A18" i="1"/>
  <c r="N72" i="1"/>
  <c r="T72" i="1" s="1"/>
  <c r="N75" i="1"/>
  <c r="S80" i="1"/>
  <c r="T80" i="1" s="1"/>
  <c r="S81" i="1"/>
  <c r="T81" i="1" s="1"/>
  <c r="A19" i="1"/>
  <c r="S62" i="1"/>
  <c r="N68" i="1"/>
  <c r="N70" i="1"/>
  <c r="T70" i="1" s="1"/>
  <c r="N71" i="1"/>
  <c r="T71" i="1" s="1"/>
  <c r="T82" i="1"/>
  <c r="T74" i="1"/>
  <c r="T79" i="1"/>
  <c r="T73" i="1"/>
  <c r="T77" i="1"/>
  <c r="T75" i="1"/>
  <c r="M79" i="1"/>
  <c r="M73" i="1"/>
  <c r="S68" i="1"/>
  <c r="B3" i="3" s="1"/>
  <c r="T63" i="1"/>
  <c r="T69" i="1"/>
  <c r="T65" i="1"/>
  <c r="A3" i="3"/>
  <c r="T62" i="1"/>
  <c r="M62" i="1"/>
  <c r="M67" i="1"/>
  <c r="M69" i="1"/>
  <c r="A29" i="1" l="1"/>
  <c r="A28" i="1"/>
  <c r="A27" i="1"/>
  <c r="A26" i="1"/>
  <c r="A25" i="1"/>
  <c r="A24" i="1"/>
  <c r="A31" i="1"/>
  <c r="A32" i="1" s="1"/>
  <c r="A23" i="1"/>
  <c r="A30" i="1"/>
  <c r="T68" i="1"/>
  <c r="C3" i="3" s="1"/>
  <c r="D3" i="3" s="1"/>
  <c r="A40" i="1" l="1"/>
  <c r="A38" i="1"/>
  <c r="A36" i="1"/>
  <c r="A34" i="1"/>
  <c r="A33" i="1"/>
  <c r="A41" i="1"/>
  <c r="A42" i="1" s="1"/>
  <c r="A39" i="1"/>
  <c r="A37" i="1"/>
  <c r="A35" i="1"/>
  <c r="A51" i="1" l="1"/>
  <c r="A52" i="1" s="1"/>
  <c r="A49" i="1"/>
  <c r="A47" i="1"/>
  <c r="A45" i="1"/>
  <c r="A50" i="1"/>
  <c r="A48" i="1"/>
  <c r="A46" i="1"/>
  <c r="A44" i="1"/>
  <c r="A43" i="1"/>
  <c r="A53" i="1" l="1"/>
  <c r="A61" i="1"/>
  <c r="A62" i="1" s="1"/>
  <c r="A59" i="1"/>
  <c r="A57" i="1"/>
  <c r="A55" i="1"/>
  <c r="A60" i="1"/>
  <c r="A58" i="1"/>
  <c r="A56" i="1"/>
  <c r="A54" i="1"/>
  <c r="A64" i="1" l="1"/>
  <c r="A68" i="1"/>
  <c r="A63" i="1"/>
  <c r="A69" i="1"/>
  <c r="A71" i="1"/>
  <c r="A72" i="1" s="1"/>
  <c r="A65" i="1"/>
  <c r="A67" i="1"/>
  <c r="A66" i="1"/>
  <c r="A70" i="1"/>
  <c r="A77" i="1" l="1"/>
  <c r="A78" i="1"/>
  <c r="A76" i="1"/>
  <c r="A75" i="1"/>
  <c r="A74" i="1"/>
  <c r="A79" i="1"/>
  <c r="A81" i="1"/>
  <c r="A82" i="1" s="1"/>
  <c r="A73" i="1"/>
  <c r="A80" i="1"/>
  <c r="A86" i="1" l="1"/>
  <c r="A83" i="1"/>
  <c r="A88" i="1"/>
  <c r="A85" i="1"/>
  <c r="A87" i="1"/>
  <c r="A89" i="1"/>
  <c r="A91" i="1"/>
  <c r="A92" i="1" s="1"/>
  <c r="A84" i="1"/>
  <c r="A90" i="1"/>
  <c r="A93" i="1" l="1"/>
  <c r="A98" i="1"/>
  <c r="A100" i="1"/>
  <c r="A95" i="1"/>
  <c r="A97" i="1"/>
  <c r="A99" i="1"/>
  <c r="A101" i="1"/>
  <c r="A102" i="1" s="1"/>
  <c r="A94" i="1"/>
  <c r="A96" i="1"/>
  <c r="A103" i="1" l="1"/>
  <c r="A105" i="1"/>
  <c r="A107" i="1"/>
  <c r="A109" i="1"/>
  <c r="A111" i="1"/>
  <c r="A112" i="1" s="1"/>
  <c r="A104" i="1"/>
  <c r="A106" i="1"/>
  <c r="A108" i="1"/>
  <c r="A110" i="1"/>
  <c r="A115" i="1" l="1"/>
  <c r="A114" i="1"/>
  <c r="A113" i="1"/>
  <c r="A121" i="1"/>
  <c r="A122" i="1" s="1"/>
  <c r="A120" i="1"/>
  <c r="A116" i="1"/>
  <c r="A118" i="1"/>
  <c r="A117" i="1"/>
  <c r="A119" i="1"/>
  <c r="A126" i="1" l="1"/>
  <c r="A127" i="1"/>
  <c r="A125" i="1"/>
  <c r="A124" i="1"/>
  <c r="A129" i="1"/>
  <c r="A130" i="1"/>
  <c r="A131" i="1"/>
  <c r="A132" i="1" s="1"/>
  <c r="A128" i="1"/>
  <c r="A123" i="1"/>
  <c r="A141" i="1" l="1"/>
  <c r="A142" i="1" s="1"/>
  <c r="A136" i="1"/>
  <c r="A134" i="1"/>
  <c r="A135" i="1"/>
  <c r="A137" i="1"/>
  <c r="A138" i="1"/>
  <c r="A139" i="1"/>
  <c r="A140" i="1"/>
  <c r="A133" i="1"/>
  <c r="A151" i="1" l="1"/>
  <c r="A152" i="1" s="1"/>
  <c r="A147" i="1"/>
  <c r="A149" i="1"/>
  <c r="A144" i="1"/>
  <c r="A148" i="1"/>
  <c r="A150" i="1"/>
  <c r="A145" i="1"/>
  <c r="A143" i="1"/>
  <c r="A146" i="1"/>
  <c r="A161" i="1" l="1"/>
  <c r="A162" i="1" s="1"/>
  <c r="A154" i="1"/>
  <c r="A158" i="1"/>
  <c r="A159" i="1"/>
  <c r="A155" i="1"/>
  <c r="A153" i="1"/>
  <c r="A156" i="1"/>
  <c r="A160" i="1"/>
  <c r="A157" i="1"/>
  <c r="A171" i="1" l="1"/>
  <c r="A172" i="1" s="1"/>
  <c r="A168" i="1"/>
  <c r="A170" i="1"/>
  <c r="A163" i="1"/>
  <c r="A165" i="1"/>
  <c r="A166" i="1"/>
  <c r="A167" i="1"/>
  <c r="A169" i="1"/>
  <c r="A164" i="1"/>
  <c r="A181" i="1" l="1"/>
  <c r="A182" i="1" s="1"/>
  <c r="A173" i="1"/>
  <c r="A180" i="1"/>
  <c r="A179" i="1"/>
  <c r="A174" i="1"/>
  <c r="A175" i="1"/>
  <c r="A176" i="1"/>
  <c r="A177" i="1"/>
  <c r="A178" i="1"/>
  <c r="A190" i="1" l="1"/>
  <c r="A191" i="1"/>
  <c r="A192" i="1" s="1"/>
  <c r="A189" i="1"/>
  <c r="A186" i="1"/>
  <c r="A184" i="1"/>
  <c r="A185" i="1"/>
  <c r="A187" i="1"/>
  <c r="A183" i="1"/>
  <c r="A188" i="1"/>
  <c r="A201" i="1" l="1"/>
  <c r="A202" i="1" s="1"/>
  <c r="A197" i="1"/>
  <c r="A198" i="1"/>
  <c r="A200" i="1"/>
  <c r="A194" i="1"/>
  <c r="A199" i="1"/>
  <c r="A195" i="1"/>
  <c r="A196" i="1"/>
  <c r="A193" i="1"/>
  <c r="A207" i="1" l="1"/>
  <c r="A203" i="1"/>
  <c r="A204" i="1"/>
  <c r="A205" i="1"/>
  <c r="A209" i="1"/>
  <c r="A206" i="1"/>
  <c r="A210" i="1"/>
</calcChain>
</file>

<file path=xl/sharedStrings.xml><?xml version="1.0" encoding="utf-8"?>
<sst xmlns="http://schemas.openxmlformats.org/spreadsheetml/2006/main" count="1316" uniqueCount="287">
  <si>
    <t>emplid</t>
  </si>
  <si>
    <t>name</t>
  </si>
  <si>
    <t>Jeremias, Jerry</t>
  </si>
  <si>
    <t>Wiseman, Jeremy</t>
  </si>
  <si>
    <t>Alkemade, Drew</t>
  </si>
  <si>
    <t>pay1</t>
  </si>
  <si>
    <t>pay2</t>
  </si>
  <si>
    <t>pay3</t>
  </si>
  <si>
    <t>pay amount</t>
  </si>
  <si>
    <t>profit</t>
  </si>
  <si>
    <t>Revenue</t>
  </si>
  <si>
    <t>Expense</t>
  </si>
  <si>
    <t>Profit</t>
  </si>
  <si>
    <t>Gross Margin</t>
  </si>
  <si>
    <t>Grand Total</t>
  </si>
  <si>
    <t>Sum of amount</t>
  </si>
  <si>
    <t>Sum of pay amount</t>
  </si>
  <si>
    <t>Sum of profit</t>
  </si>
  <si>
    <t>SUMMARY</t>
  </si>
  <si>
    <t>Employee</t>
  </si>
  <si>
    <t>Row Labels</t>
  </si>
  <si>
    <t>Trif, Dan</t>
  </si>
  <si>
    <t>(blank)</t>
  </si>
  <si>
    <t>Ending</t>
  </si>
  <si>
    <t>Label</t>
  </si>
  <si>
    <t>Hours_1</t>
  </si>
  <si>
    <t>Hours_2</t>
  </si>
  <si>
    <t>Hours_3</t>
  </si>
  <si>
    <t>Rate_1</t>
  </si>
  <si>
    <t>Rate_2</t>
  </si>
  <si>
    <t>Rate_3</t>
  </si>
  <si>
    <t>Fees</t>
  </si>
  <si>
    <t>Hours</t>
  </si>
  <si>
    <t>Amount</t>
  </si>
  <si>
    <t>Sum of Hours_1</t>
  </si>
  <si>
    <t>Sum of Hours_2</t>
  </si>
  <si>
    <t>Sum of Hours_3</t>
  </si>
  <si>
    <t>Ebbinghaus, Zachary</t>
  </si>
  <si>
    <t>E8041</t>
  </si>
  <si>
    <t>Renwick, Rick</t>
  </si>
  <si>
    <t>E8174</t>
  </si>
  <si>
    <t>E8190</t>
  </si>
  <si>
    <t>Shahzad, Faheem</t>
  </si>
  <si>
    <t>E8271</t>
  </si>
  <si>
    <t>E8395</t>
  </si>
  <si>
    <t>E8396</t>
  </si>
  <si>
    <t>E????</t>
  </si>
  <si>
    <t>E8344</t>
  </si>
  <si>
    <t>OH1</t>
  </si>
  <si>
    <t>OH2</t>
  </si>
  <si>
    <t>OH3</t>
  </si>
  <si>
    <t>actual1</t>
  </si>
  <si>
    <t>actual2</t>
  </si>
  <si>
    <t>actual3</t>
  </si>
  <si>
    <t>Net Profit</t>
  </si>
  <si>
    <t>E8031</t>
  </si>
  <si>
    <t>Sum of Gross Margin</t>
  </si>
  <si>
    <t>E8462</t>
  </si>
  <si>
    <t>Robertson, Paul</t>
  </si>
  <si>
    <t>E8473</t>
  </si>
  <si>
    <t>Other/Hr:</t>
  </si>
  <si>
    <t>Cost/Hr</t>
  </si>
  <si>
    <t>Benefits</t>
  </si>
  <si>
    <t>Vacation</t>
  </si>
  <si>
    <t>RRSP</t>
  </si>
  <si>
    <t>Overhead</t>
  </si>
  <si>
    <t>E8516</t>
  </si>
  <si>
    <t>Latour, Jason</t>
  </si>
  <si>
    <t>Gayne, Matt</t>
  </si>
  <si>
    <t>E8416</t>
  </si>
  <si>
    <t>Travel Day</t>
  </si>
  <si>
    <t>Full Day</t>
  </si>
  <si>
    <t>CAD/USD</t>
  </si>
  <si>
    <t>Other</t>
  </si>
  <si>
    <t>Sum of Travel Day</t>
  </si>
  <si>
    <t>Sum of Full Day</t>
  </si>
  <si>
    <t>Count of Other</t>
  </si>
  <si>
    <t>E8509</t>
  </si>
  <si>
    <t>Sharma, Ishan</t>
  </si>
  <si>
    <t>E8512</t>
  </si>
  <si>
    <t>Max of CAD/USD</t>
  </si>
  <si>
    <t>Sharma, Ishan (1)</t>
  </si>
  <si>
    <t>Malhotra, Sahil (1)</t>
  </si>
  <si>
    <t>Okpamen, Anthony (1)</t>
  </si>
  <si>
    <t>Robertson, Paul (1)</t>
  </si>
  <si>
    <t>Meloche, Tyler (1)</t>
  </si>
  <si>
    <t>Trif, Dan (1)</t>
  </si>
  <si>
    <t>Jeremias, Jerry (1)</t>
  </si>
  <si>
    <t>Ebbinghaus, Zachary (1)</t>
  </si>
  <si>
    <t>Singh, Gurjinder (1)</t>
  </si>
  <si>
    <t>E8585</t>
  </si>
  <si>
    <t>E8022</t>
  </si>
  <si>
    <t>Atkinson, Jeremy</t>
  </si>
  <si>
    <t>Hourly Profits</t>
  </si>
  <si>
    <t>Zorzi, Jarrett</t>
  </si>
  <si>
    <t>E8611</t>
  </si>
  <si>
    <t>&lt;Version&gt;</t>
  </si>
  <si>
    <t>"12001", "1"</t>
  </si>
  <si>
    <t>&lt;/Version&gt;</t>
  </si>
  <si>
    <t>&lt;salinvoice&gt;</t>
  </si>
  <si>
    <t>"Centerline (Windsor) Limited", , , "415 Morton Drive", ,"Windsor","Ontario","N9J 3T8", , , , ,</t>
  </si>
  <si>
    <t>Field</t>
  </si>
  <si>
    <t>Format</t>
  </si>
  <si>
    <t>Comments</t>
  </si>
  <si>
    <t>No. of Details</t>
  </si>
  <si>
    <t>Must be &gt;= 0</t>
  </si>
  <si>
    <t>Compulsory</t>
  </si>
  <si>
    <t>Order No.</t>
  </si>
  <si>
    <t>Max 20 chars</t>
  </si>
  <si>
    <t>Invoice No.</t>
  </si>
  <si>
    <t>If blank, the next invoice number will be used</t>
  </si>
  <si>
    <t>Entry Date</t>
  </si>
  <si>
    <t>mm-dd-yyyy</t>
  </si>
  <si>
    <t>Paid by Type</t>
  </si>
  <si>
    <t>0 - 3</t>
  </si>
  <si>
    <t>0 - Pay later ; 1 - Cash ; 2 - Cheque 3 - Credit Card</t>
  </si>
  <si>
    <t>Paid by Source</t>
  </si>
  <si>
    <t>Blank - pay later and cash Cheque number or Credit Card Name</t>
  </si>
  <si>
    <t>Total Amount</t>
  </si>
  <si>
    <t>2 decimals</t>
  </si>
  <si>
    <t>Freight Amount</t>
  </si>
  <si>
    <t>Tax Information</t>
  </si>
  <si>
    <t>See TaxInformation table</t>
  </si>
  <si>
    <t>Sales Invoice Detail Lines:</t>
  </si>
  <si>
    <t>Item Number</t>
  </si>
  <si>
    <t>Max 52 chars</t>
  </si>
  <si>
    <t>Quantity</t>
  </si>
  <si>
    <t>4 decimals</t>
  </si>
  <si>
    <t>Price</t>
  </si>
  <si>
    <t>See tax information table</t>
  </si>
  <si>
    <t>Sales Invoice Transaction Options:</t>
  </si>
  <si>
    <t>"2", ,"","12-19-2021", "0", "", "","0.00"</t>
  </si>
  <si>
    <t>&lt;! *** Jeremy Wiseman</t>
  </si>
  <si>
    <t>"005-2-0001","40.0000","55.8000","","H","0","1","13.00",""</t>
  </si>
  <si>
    <t>&lt;/salinvoice&gt;</t>
  </si>
  <si>
    <t>Centerline - Level 1 - Standard</t>
  </si>
  <si>
    <t>Centerline - Level 1 - Overtime 1</t>
  </si>
  <si>
    <t>Centerline - Level 1 - Overtime 2</t>
  </si>
  <si>
    <t>Centerline - Level 2 - Standard</t>
  </si>
  <si>
    <t>Centerline - Level 2 - Overtime 1</t>
  </si>
  <si>
    <t>Centerline - Level 2 - Overtime 2</t>
  </si>
  <si>
    <t>Centerline - Level 3 - Standard</t>
  </si>
  <si>
    <t>Centerline - Level 3 - Overtime 1</t>
  </si>
  <si>
    <t>Centerline - Level 3 - Overtime 2</t>
  </si>
  <si>
    <t>Centerline - Level 4 - Standard</t>
  </si>
  <si>
    <t>Centerline - Level 4 - Overtime 1</t>
  </si>
  <si>
    <t>Centerline - Level 4 - Overtime 2</t>
  </si>
  <si>
    <t>Centerline - Level 5 - Standard</t>
  </si>
  <si>
    <t>Centerline - Level 5 - Overtime 1</t>
  </si>
  <si>
    <t>Centerline - Level 5 - Overtime 2</t>
  </si>
  <si>
    <t>Centerline - Level 1 - Travel</t>
  </si>
  <si>
    <t>Centerline - Level 5 - Travel</t>
  </si>
  <si>
    <t>Centerline - Level 4 - Travel</t>
  </si>
  <si>
    <t>Centerline - Level 3 - Travel</t>
  </si>
  <si>
    <t>Centerline - Level 2 - Travel</t>
  </si>
  <si>
    <t>Centerline Per Diem</t>
  </si>
  <si>
    <t>Centerline Expenses</t>
  </si>
  <si>
    <t>005-1-2022-001</t>
  </si>
  <si>
    <t>005-1-2022-002</t>
  </si>
  <si>
    <t>005-1-2022-003</t>
  </si>
  <si>
    <t>005-1-2022-100</t>
  </si>
  <si>
    <t>005-2-2022-001</t>
  </si>
  <si>
    <t>005-2-2022-002</t>
  </si>
  <si>
    <t>005-2-2022-003</t>
  </si>
  <si>
    <t>005-2-2022-100</t>
  </si>
  <si>
    <t>005-3-2022-001</t>
  </si>
  <si>
    <t>005-3-2022-002</t>
  </si>
  <si>
    <t>005-3-2022-003</t>
  </si>
  <si>
    <t>005-3-2022-100</t>
  </si>
  <si>
    <t>005-4-2022-001</t>
  </si>
  <si>
    <t>005-4-2022-002</t>
  </si>
  <si>
    <t>005-4-2022-003</t>
  </si>
  <si>
    <t>005-4-2022-100</t>
  </si>
  <si>
    <t>005-5-2022-001</t>
  </si>
  <si>
    <t>005-5-2022-002</t>
  </si>
  <si>
    <t>005-5-2022-003</t>
  </si>
  <si>
    <t>005-5-2022-100</t>
  </si>
  <si>
    <t>005-0-2022-101</t>
  </si>
  <si>
    <t>005-0-2022-102</t>
  </si>
  <si>
    <t>Hours_T</t>
  </si>
  <si>
    <t>payT</t>
  </si>
  <si>
    <t>Rate_T</t>
  </si>
  <si>
    <t>Sum of Hours_T</t>
  </si>
  <si>
    <t>Lates/Warn</t>
  </si>
  <si>
    <t>Sum of Hours</t>
  </si>
  <si>
    <t>E8637</t>
  </si>
  <si>
    <t>E8650</t>
  </si>
  <si>
    <t>E8668</t>
  </si>
  <si>
    <t>Pola, Noor</t>
  </si>
  <si>
    <t>Saleh, Yousof</t>
  </si>
  <si>
    <t>Moldovan-Has, Florin</t>
  </si>
  <si>
    <t>Sage 50 2020 Version Number = 27001</t>
  </si>
  <si>
    <t>Sage 50 2021 Version Number = 28001</t>
  </si>
  <si>
    <t>Sage 50 2022 Version Number = 29001</t>
  </si>
  <si>
    <t>Sage 50 2023 Version Number = 30001</t>
  </si>
  <si>
    <t>Sage 50 2024 Version Number = 31101</t>
  </si>
  <si>
    <t>"31101", "1"</t>
  </si>
  <si>
    <t>&lt;SalInvoice&gt;</t>
  </si>
  <si>
    <t>&lt;/SalInvoice&gt;</t>
  </si>
  <si>
    <t>"Centerline (Windsor) Limited", , , "415 Morton Drive", , "Windsor", "Ontario", "N9J 3T8", "Canada", , , ,</t>
  </si>
  <si>
    <t>Header</t>
  </si>
  <si>
    <t>Version</t>
  </si>
  <si>
    <t>Country Code</t>
  </si>
  <si>
    <t>Customer</t>
  </si>
  <si>
    <t>Name</t>
  </si>
  <si>
    <t>OneTimeFlag</t>
  </si>
  <si>
    <t>Centerline (Windsor) Limited</t>
  </si>
  <si>
    <t>Contact Name</t>
  </si>
  <si>
    <t>Street 1</t>
  </si>
  <si>
    <t>415 Morton Drive</t>
  </si>
  <si>
    <t>Street 2</t>
  </si>
  <si>
    <t>City</t>
  </si>
  <si>
    <t>Windsor</t>
  </si>
  <si>
    <t>Province</t>
  </si>
  <si>
    <t>Ontario</t>
  </si>
  <si>
    <t>Postal Code</t>
  </si>
  <si>
    <t>N9J 3T8</t>
  </si>
  <si>
    <t>Country</t>
  </si>
  <si>
    <t>Canada</t>
  </si>
  <si>
    <t>Phone 1</t>
  </si>
  <si>
    <t>Phone 2</t>
  </si>
  <si>
    <t>Fax</t>
  </si>
  <si>
    <t>Email</t>
  </si>
  <si>
    <t>Sales Invoice Transaction</t>
  </si>
  <si>
    <t>Tax Name</t>
  </si>
  <si>
    <t>Tax Included</t>
  </si>
  <si>
    <t>Tax Refundable</t>
  </si>
  <si>
    <t>Tax Rate</t>
  </si>
  <si>
    <t>Tax Amount</t>
  </si>
  <si>
    <t>HST</t>
  </si>
  <si>
    <t>Sales Order Details</t>
  </si>
  <si>
    <t>Jeremy Wiseman</t>
  </si>
  <si>
    <t>Regular</t>
  </si>
  <si>
    <t>OT1</t>
  </si>
  <si>
    <t>OT2</t>
  </si>
  <si>
    <t>Travel</t>
  </si>
  <si>
    <t>Per Diem</t>
  </si>
  <si>
    <t>Expense Type</t>
  </si>
  <si>
    <t>Daniel Trif</t>
  </si>
  <si>
    <t>Rick Renwick</t>
  </si>
  <si>
    <t>Faheem Shahzad</t>
  </si>
  <si>
    <t>Jerry Jeremias</t>
  </si>
  <si>
    <t>Noor Pola</t>
  </si>
  <si>
    <t>Zachary Ebbinghaus</t>
  </si>
  <si>
    <t>Yousof Saleh</t>
  </si>
  <si>
    <t>Paul Robertson</t>
  </si>
  <si>
    <t>Jason Latour</t>
  </si>
  <si>
    <t>Ishan Sharma</t>
  </si>
  <si>
    <t>Jarrett Zorzi</t>
  </si>
  <si>
    <t>Jeremy Atkinson</t>
  </si>
  <si>
    <t>Florin Moldovan</t>
  </si>
  <si>
    <t>Blank Line</t>
  </si>
  <si>
    <t>4-week MA</t>
  </si>
  <si>
    <t>Sum of Lates/Warn</t>
  </si>
  <si>
    <t>Rick Costs</t>
  </si>
  <si>
    <t>Drew Costs</t>
  </si>
  <si>
    <t>Freq</t>
  </si>
  <si>
    <t>Life Insurance</t>
  </si>
  <si>
    <t>Vehicle</t>
  </si>
  <si>
    <t>Vehicle Insurance</t>
  </si>
  <si>
    <t>Phone1</t>
  </si>
  <si>
    <t>Phone2</t>
  </si>
  <si>
    <t>Phone3</t>
  </si>
  <si>
    <t>Moldovan-Has, Florin (1)</t>
  </si>
  <si>
    <t>$50.36 Luggage</t>
  </si>
  <si>
    <t>$55.07 Luggage</t>
  </si>
  <si>
    <t>$50.61 Luggage</t>
  </si>
  <si>
    <t>$48.98 Luggage</t>
  </si>
  <si>
    <t>$50 Luggage</t>
  </si>
  <si>
    <t>$49.49 Luggage</t>
  </si>
  <si>
    <t>$49.57 Luggage</t>
  </si>
  <si>
    <t>$49.32 Lugagge</t>
  </si>
  <si>
    <t>Average of R&amp;D Hourly Profit</t>
  </si>
  <si>
    <t>$50.60 Luggage</t>
  </si>
  <si>
    <t>$49.32 Luggage</t>
  </si>
  <si>
    <t>$49.32 Luggage, $50.60 Luggage</t>
  </si>
  <si>
    <t>$49.98 Luggage</t>
  </si>
  <si>
    <t>$49.97 Luggage</t>
  </si>
  <si>
    <t>$49.14 Luggage</t>
  </si>
  <si>
    <t>$48.88 Luggage</t>
  </si>
  <si>
    <t>$49.02 Luggage</t>
  </si>
  <si>
    <t>$49.20 luggage</t>
  </si>
  <si>
    <t>$49.21 luggage</t>
  </si>
  <si>
    <t>$49.20 Luggage</t>
  </si>
  <si>
    <t>$49.24 Luggage, $49.33 Luggage</t>
  </si>
  <si>
    <t>Group1</t>
  </si>
  <si>
    <t>$49.35 Luggage, $49.59 Luggage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</si>
</sst>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[$-F800]dddd\,\ mmmm\ dd\,\ yyyy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.25"/>
      <color rgb="FF000000"/>
      <name val="Tahoma"/>
      <family val="2"/>
    </font>
    <font>
      <sz val="11"/>
      <color theme="1"/>
      <name val="Calibri"/>
      <family val="2"/>
      <scheme val="minor"/>
    </font>
    <font>
      <sz val="8"/>
      <color rgb="FF000000"/>
      <name val="Microsoft JhengHei UI"/>
      <family val="2"/>
    </font>
    <font>
      <sz val="8"/>
      <color rgb="FF000000"/>
      <name val="Microsoft JhengHei UI"/>
      <family val="2"/>
    </font>
    <font>
      <b/>
      <sz val="8"/>
      <color rgb="FF000000"/>
      <name val="Microsoft JhengHei UI"/>
      <family val="2"/>
    </font>
    <font>
      <b/>
      <sz val="8"/>
      <color theme="6" tint="-0.499984740745262"/>
      <name val="Microsoft JhengHei UI"/>
      <family val="2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3D3D3"/>
      </patternFill>
    </fill>
    <fill>
      <patternFill patternType="solid">
        <fgColor rgb="FFFFFFFF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9A9A9"/>
      </left>
      <right style="thin">
        <color rgb="FFA9A9A9"/>
      </right>
      <top style="thin">
        <color rgb="FFA9A9A9"/>
      </top>
      <bottom style="thin">
        <color rgb="FFA9A9A9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A9A9A9"/>
      </left>
      <right style="thin">
        <color rgb="FFA9A9A9"/>
      </right>
      <top/>
      <bottom/>
      <diagonal/>
    </border>
    <border>
      <left style="thin">
        <color rgb="FFA9A9A9"/>
      </left>
      <right style="thin">
        <color rgb="FFA9A9A9"/>
      </right>
      <top style="thin">
        <color rgb="FFA9A9A9"/>
      </top>
      <bottom/>
      <diagonal/>
    </border>
  </borders>
  <cellStyleXfs count="46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11" fillId="0" borderId="6" applyNumberFormat="0" applyFill="0" applyAlignment="0" applyProtection="0"/>
    <xf numFmtId="0" fontId="12" fillId="7" borderId="7" applyNumberFormat="0" applyAlignment="0" applyProtection="0"/>
    <xf numFmtId="0" fontId="13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6" fillId="20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6" fillId="24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6" fillId="28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0" borderId="0" applyNumberFormat="0" applyFill="0" applyBorder="0" applyAlignment="0" applyProtection="0"/>
    <xf numFmtId="0" fontId="18" fillId="0" borderId="0"/>
    <xf numFmtId="43" fontId="1" fillId="0" borderId="0" applyFont="0" applyFill="0" applyBorder="0" applyAlignment="0" applyProtection="0"/>
  </cellStyleXfs>
  <cellXfs count="92">
    <xf numFmtId="0" fontId="0" fillId="0" borderId="0" xfId="0"/>
    <xf numFmtId="44" fontId="0" fillId="0" borderId="10" xfId="1" applyFont="1" applyBorder="1" applyAlignment="1">
      <alignment horizontal="center"/>
    </xf>
    <xf numFmtId="164" fontId="0" fillId="0" borderId="10" xfId="2" applyNumberFormat="1" applyFont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44" fontId="0" fillId="0" borderId="0" xfId="0" applyNumberFormat="1"/>
    <xf numFmtId="0" fontId="15" fillId="0" borderId="0" xfId="0" applyFont="1"/>
    <xf numFmtId="0" fontId="0" fillId="0" borderId="0" xfId="0" applyAlignment="1">
      <alignment horizontal="left" indent="1"/>
    </xf>
    <xf numFmtId="165" fontId="0" fillId="0" borderId="0" xfId="0" applyNumberFormat="1" applyAlignment="1">
      <alignment horizontal="left"/>
    </xf>
    <xf numFmtId="165" fontId="0" fillId="0" borderId="0" xfId="0" applyNumberFormat="1"/>
    <xf numFmtId="164" fontId="0" fillId="0" borderId="0" xfId="0" applyNumberFormat="1"/>
    <xf numFmtId="0" fontId="0" fillId="0" borderId="0" xfId="0" applyAlignment="1">
      <alignment wrapText="1"/>
    </xf>
    <xf numFmtId="0" fontId="19" fillId="0" borderId="10" xfId="0" applyFont="1" applyBorder="1"/>
    <xf numFmtId="0" fontId="19" fillId="8" borderId="8" xfId="16" applyFont="1"/>
    <xf numFmtId="0" fontId="19" fillId="0" borderId="0" xfId="0" applyFont="1"/>
    <xf numFmtId="2" fontId="19" fillId="0" borderId="10" xfId="0" applyNumberFormat="1" applyFont="1" applyBorder="1"/>
    <xf numFmtId="2" fontId="19" fillId="8" borderId="8" xfId="16" applyNumberFormat="1" applyFont="1"/>
    <xf numFmtId="0" fontId="20" fillId="0" borderId="0" xfId="0" applyFont="1"/>
    <xf numFmtId="49" fontId="21" fillId="33" borderId="11" xfId="0" applyNumberFormat="1" applyFont="1" applyFill="1" applyBorder="1" applyAlignment="1">
      <alignment horizontal="center" vertical="center"/>
    </xf>
    <xf numFmtId="0" fontId="22" fillId="0" borderId="0" xfId="0" applyFont="1"/>
    <xf numFmtId="0" fontId="23" fillId="34" borderId="11" xfId="0" applyFont="1" applyFill="1" applyBorder="1" applyAlignment="1">
      <alignment horizontal="center" vertical="center" readingOrder="1"/>
    </xf>
    <xf numFmtId="0" fontId="0" fillId="0" borderId="10" xfId="0" applyBorder="1"/>
    <xf numFmtId="0" fontId="1" fillId="0" borderId="10" xfId="0" applyFont="1" applyBorder="1"/>
    <xf numFmtId="2" fontId="1" fillId="0" borderId="10" xfId="0" applyNumberFormat="1" applyFont="1" applyBorder="1"/>
    <xf numFmtId="164" fontId="1" fillId="0" borderId="10" xfId="0" applyNumberFormat="1" applyFont="1" applyBorder="1"/>
    <xf numFmtId="0" fontId="5" fillId="2" borderId="10" xfId="7" applyBorder="1"/>
    <xf numFmtId="2" fontId="5" fillId="2" borderId="10" xfId="7" applyNumberFormat="1" applyBorder="1"/>
    <xf numFmtId="0" fontId="7" fillId="4" borderId="10" xfId="9" applyBorder="1"/>
    <xf numFmtId="2" fontId="7" fillId="4" borderId="10" xfId="9" applyNumberFormat="1" applyBorder="1"/>
    <xf numFmtId="164" fontId="7" fillId="4" borderId="10" xfId="2" applyNumberFormat="1" applyFont="1" applyFill="1" applyBorder="1"/>
    <xf numFmtId="164" fontId="19" fillId="0" borderId="10" xfId="2" applyNumberFormat="1" applyFont="1" applyBorder="1"/>
    <xf numFmtId="164" fontId="5" fillId="2" borderId="10" xfId="2" applyNumberFormat="1" applyFont="1" applyFill="1" applyBorder="1"/>
    <xf numFmtId="49" fontId="21" fillId="33" borderId="13" xfId="0" applyNumberFormat="1" applyFont="1" applyFill="1" applyBorder="1" applyAlignment="1">
      <alignment horizontal="center" vertical="center"/>
    </xf>
    <xf numFmtId="0" fontId="1" fillId="0" borderId="0" xfId="0" applyFont="1"/>
    <xf numFmtId="2" fontId="0" fillId="0" borderId="0" xfId="0" applyNumberFormat="1"/>
    <xf numFmtId="43" fontId="0" fillId="0" borderId="0" xfId="45" applyFont="1"/>
    <xf numFmtId="43" fontId="0" fillId="0" borderId="0" xfId="0" applyNumberFormat="1"/>
    <xf numFmtId="14" fontId="0" fillId="0" borderId="0" xfId="0" applyNumberFormat="1"/>
    <xf numFmtId="2" fontId="1" fillId="0" borderId="0" xfId="0" applyNumberFormat="1" applyFont="1"/>
    <xf numFmtId="164" fontId="1" fillId="0" borderId="0" xfId="0" applyNumberFormat="1" applyFont="1"/>
    <xf numFmtId="44" fontId="0" fillId="0" borderId="0" xfId="1" applyFont="1"/>
    <xf numFmtId="0" fontId="0" fillId="0" borderId="12" xfId="0" applyBorder="1"/>
    <xf numFmtId="14" fontId="24" fillId="35" borderId="11" xfId="0" applyNumberFormat="1" applyFont="1" applyFill="1" applyBorder="1" applyAlignment="1">
      <alignment horizontal="left" vertical="center" readingOrder="1"/>
    </xf>
    <xf numFmtId="49" fontId="24" fillId="35" borderId="11" xfId="0" applyNumberFormat="1" applyFont="1" applyFill="1" applyBorder="1" applyAlignment="1">
      <alignment horizontal="left" vertical="center" readingOrder="1"/>
    </xf>
    <xf numFmtId="49" fontId="23" fillId="35" borderId="11" xfId="0" applyNumberFormat="1" applyFont="1" applyFill="1" applyBorder="1" applyAlignment="1">
      <alignment horizontal="left" vertical="center" readingOrder="1"/>
    </xf>
    <xf numFmtId="0" fontId="24" fillId="35" borderId="11" xfId="0" applyFont="1" applyFill="1" applyBorder="1" applyAlignment="1">
      <alignment horizontal="right" vertical="center" readingOrder="1"/>
    </xf>
    <xf numFmtId="0" fontId="24" fillId="35" borderId="11" xfId="0" applyFont="1" applyFill="1" applyBorder="1" applyAlignment="1">
      <alignment horizontal="center" vertical="center" readingOrder="1"/>
    </xf>
    <xf numFmtId="0" fontId="23" fillId="35" borderId="11" xfId="0" applyFont="1" applyFill="1" applyBorder="1" applyAlignment="1">
      <alignment horizontal="center" vertical="center" readingOrder="1"/>
    </xf>
    <xf numFmtId="0" fontId="0" fillId="35" borderId="0" xfId="0" applyFill="1"/>
    <xf numFmtId="49" fontId="21" fillId="33" borderId="14" xfId="0" applyNumberFormat="1" applyFont="1" applyFill="1" applyBorder="1" applyAlignment="1">
      <alignment horizontal="center" vertical="center"/>
    </xf>
    <xf numFmtId="0" fontId="23" fillId="34" borderId="14" xfId="0" applyFont="1" applyFill="1" applyBorder="1" applyAlignment="1">
      <alignment horizontal="center" vertical="center" readingOrder="1"/>
    </xf>
    <xf numFmtId="14" fontId="0" fillId="0" borderId="0" xfId="0" applyNumberFormat="1" applyAlignment="1">
      <alignment horizontal="left"/>
    </xf>
    <xf numFmtId="14" fontId="0" fillId="0" borderId="0" xfId="0" applyNumberFormat="1" applyAlignment="1">
      <alignment horizontal="left" indent="1"/>
    </xf>
    <xf numFmtId="14" fontId="21" fillId="33" borderId="11" xfId="0" applyNumberFormat="1" applyFont="1" applyFill="1" applyBorder="1" applyAlignment="1">
      <alignment horizontal="center" vertical="center"/>
    </xf>
    <xf numFmtId="14" fontId="22" fillId="0" borderId="0" xfId="0" applyNumberFormat="1" applyFont="1"/>
    <xf numFmtId="2" fontId="24" fillId="35" borderId="11" xfId="0" applyNumberFormat="1" applyFont="1" applyFill="1" applyBorder="1" applyAlignment="1">
      <alignment horizontal="right" vertical="center" readingOrder="1"/>
    </xf>
    <xf numFmtId="1" fontId="20" fillId="0" borderId="0" xfId="0" applyNumberFormat="1" applyFont="1"/>
    <xf numFmtId="0" fontId="0" fillId="36" borderId="0" xfId="0" applyFill="1"/>
    <xf numFmtId="49" fontId="0" fillId="0" borderId="0" xfId="0" applyNumberFormat="1"/>
    <xf numFmtId="0" fontId="12" fillId="37" borderId="0" xfId="0" applyFont="1" applyFill="1" applyAlignment="1">
      <alignment horizontal="center"/>
    </xf>
    <xf numFmtId="1" fontId="8" fillId="5" borderId="4" xfId="10" applyNumberFormat="1"/>
    <xf numFmtId="0" fontId="10" fillId="6" borderId="4" xfId="12"/>
    <xf numFmtId="1" fontId="10" fillId="6" borderId="4" xfId="12" applyNumberFormat="1"/>
    <xf numFmtId="14" fontId="8" fillId="5" borderId="4" xfId="10" applyNumberFormat="1"/>
    <xf numFmtId="14" fontId="10" fillId="6" borderId="4" xfId="12" applyNumberFormat="1" applyAlignment="1">
      <alignment horizontal="right"/>
    </xf>
    <xf numFmtId="2" fontId="10" fillId="6" borderId="4" xfId="12" applyNumberFormat="1"/>
    <xf numFmtId="44" fontId="0" fillId="38" borderId="0" xfId="0" applyNumberFormat="1" applyFill="1"/>
    <xf numFmtId="14" fontId="24" fillId="0" borderId="11" xfId="0" applyNumberFormat="1" applyFont="1" applyBorder="1" applyAlignment="1">
      <alignment horizontal="left" vertical="center" readingOrder="1"/>
    </xf>
    <xf numFmtId="49" fontId="24" fillId="0" borderId="11" xfId="0" applyNumberFormat="1" applyFont="1" applyBorder="1" applyAlignment="1">
      <alignment horizontal="left" vertical="center" readingOrder="1"/>
    </xf>
    <xf numFmtId="49" fontId="23" fillId="0" borderId="11" xfId="0" applyNumberFormat="1" applyFont="1" applyBorder="1" applyAlignment="1">
      <alignment horizontal="left" vertical="center" readingOrder="1"/>
    </xf>
    <xf numFmtId="0" fontId="24" fillId="0" borderId="11" xfId="0" applyFont="1" applyBorder="1" applyAlignment="1">
      <alignment horizontal="right" vertical="center" readingOrder="1"/>
    </xf>
    <xf numFmtId="8" fontId="0" fillId="35" borderId="0" xfId="0" applyNumberFormat="1" applyFill="1" applyAlignment="1">
      <alignment horizontal="left"/>
    </xf>
    <xf numFmtId="8" fontId="0" fillId="0" borderId="0" xfId="0" applyNumberFormat="1"/>
    <xf numFmtId="2" fontId="24" fillId="0" borderId="11" xfId="0" applyNumberFormat="1" applyFont="1" applyBorder="1" applyAlignment="1">
      <alignment horizontal="right" vertical="center" readingOrder="1"/>
    </xf>
    <xf numFmtId="0" fontId="24" fillId="0" borderId="11" xfId="0" applyFont="1" applyBorder="1" applyAlignment="1">
      <alignment horizontal="center" vertical="center" readingOrder="1"/>
    </xf>
    <xf numFmtId="0" fontId="23" fillId="0" borderId="11" xfId="0" applyFont="1" applyBorder="1" applyAlignment="1">
      <alignment horizontal="center" vertical="center" readingOrder="1"/>
    </xf>
    <xf numFmtId="0" fontId="0" fillId="0" borderId="0" xfId="0" quotePrefix="1"/>
    <xf numFmtId="2" fontId="25" fillId="0" borderId="10" xfId="0" applyNumberFormat="1" applyFont="1" applyBorder="1" applyAlignment="1">
      <alignment horizontal="right" vertical="center" readingOrder="1"/>
    </xf>
    <xf numFmtId="8" fontId="0" fillId="0" borderId="0" xfId="0" applyNumberFormat="1" applyAlignment="1">
      <alignment horizontal="left"/>
    </xf>
    <xf numFmtId="0" fontId="23" fillId="0" borderId="11" xfId="0" applyFont="1" applyBorder="1" applyAlignment="1">
      <alignment horizontal="right" vertical="center" readingOrder="1"/>
    </xf>
    <xf numFmtId="0" fontId="23" fillId="35" borderId="11" xfId="0" applyFont="1" applyFill="1" applyBorder="1" applyAlignment="1">
      <alignment horizontal="right" vertical="center" readingOrder="1"/>
    </xf>
    <xf numFmtId="0" fontId="0" fillId="35" borderId="0" xfId="0" quotePrefix="1" applyFill="1"/>
    <xf numFmtId="2" fontId="25" fillId="35" borderId="10" xfId="0" applyNumberFormat="1" applyFont="1" applyFill="1" applyBorder="1" applyAlignment="1">
      <alignment horizontal="right" vertical="center" readingOrder="1"/>
    </xf>
    <xf numFmtId="0" fontId="22" fillId="35" borderId="0" xfId="0" applyFont="1" applyFill="1"/>
    <xf numFmtId="8" fontId="0" fillId="35" borderId="0" xfId="0" quotePrefix="1" applyNumberFormat="1" applyFill="1"/>
    <xf numFmtId="8" fontId="0" fillId="0" borderId="0" xfId="0" quotePrefix="1" applyNumberFormat="1"/>
    <xf numFmtId="2" fontId="26" fillId="39" borderId="11" xfId="0" applyNumberFormat="1" applyFont="1" applyFill="1" applyBorder="1" applyAlignment="1">
      <alignment horizontal="right" vertical="center" readingOrder="1"/>
    </xf>
    <xf numFmtId="2" fontId="26" fillId="35" borderId="11" xfId="0" applyNumberFormat="1" applyFont="1" applyFill="1" applyBorder="1" applyAlignment="1">
      <alignment horizontal="right" vertical="center" readingOrder="1"/>
    </xf>
    <xf numFmtId="2" fontId="26" fillId="0" borderId="11" xfId="0" applyNumberFormat="1" applyFont="1" applyBorder="1" applyAlignment="1">
      <alignment horizontal="right" vertical="center" readingOrder="1"/>
    </xf>
    <xf numFmtId="44" fontId="0" fillId="35" borderId="0" xfId="1" applyFont="1" applyFill="1"/>
    <xf numFmtId="0" fontId="0" fillId="0" borderId="0" xfId="0" applyNumberFormat="1"/>
    <xf numFmtId="0" fontId="0" fillId="0" borderId="0" xfId="0" applyAlignment="1">
      <alignment horizontal="left" indent="2"/>
    </xf>
  </cellXfs>
  <cellStyles count="46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" xfId="45" builtinId="3"/>
    <cellStyle name="Currency" xfId="1" builtinId="4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44" xr:uid="{00000000-0005-0000-0000-000026000000}"/>
    <cellStyle name="Note" xfId="16" builtinId="10" customBuiltin="1"/>
    <cellStyle name="Output" xfId="11" builtinId="21" customBuiltin="1"/>
    <cellStyle name="Percent" xfId="2" builtinId="5"/>
    <cellStyle name="Title 2" xfId="43" xr:uid="{00000000-0005-0000-0000-00002A000000}"/>
    <cellStyle name="Total" xfId="18" builtinId="25" customBuiltin="1"/>
    <cellStyle name="Warning Text" xfId="15" builtinId="11" customBuiltin="1"/>
  </cellStyles>
  <dxfs count="22">
    <dxf>
      <numFmt numFmtId="166" formatCode="[=200]&quot;USD&quot;;;"/>
    </dxf>
    <dxf>
      <numFmt numFmtId="167" formatCode="[=100]&quot;CAD&quot;;;"/>
    </dxf>
    <dxf>
      <numFmt numFmtId="167" formatCode="[=100]&quot;CAD&quot;;;"/>
    </dxf>
    <dxf>
      <numFmt numFmtId="167" formatCode="[=100]&quot;CAD&quot;;;"/>
    </dxf>
    <dxf>
      <numFmt numFmtId="164" formatCode="0.0%"/>
    </dxf>
    <dxf>
      <numFmt numFmtId="14" formatCode="0.00%"/>
    </dxf>
    <dxf>
      <numFmt numFmtId="164" formatCode="0.0%"/>
    </dxf>
    <dxf>
      <numFmt numFmtId="13" formatCode="0%"/>
    </dxf>
    <dxf>
      <alignment wrapText="1"/>
    </dxf>
    <dxf>
      <numFmt numFmtId="164" formatCode="0.0%"/>
    </dxf>
    <dxf>
      <numFmt numFmtId="14" formatCode="0.00%"/>
    </dxf>
    <dxf>
      <numFmt numFmtId="164" formatCode="0.0%"/>
    </dxf>
    <dxf>
      <numFmt numFmtId="13" formatCode="0%"/>
    </dxf>
    <dxf>
      <numFmt numFmtId="34" formatCode="_(&quot;$&quot;* #,##0.00_);_(&quot;$&quot;* \(#,##0.00\);_(&quot;$&quot;* &quot;-&quot;??_);_(@_)"/>
    </dxf>
    <dxf>
      <numFmt numFmtId="2" formatCode="0.00"/>
    </dxf>
    <dxf>
      <numFmt numFmtId="2" formatCode="0.00"/>
    </dxf>
    <dxf>
      <alignment wrapText="1"/>
    </dxf>
    <dxf>
      <alignment wrapText="0"/>
    </dxf>
    <dxf>
      <alignment wrapText="1"/>
    </dxf>
    <dxf>
      <numFmt numFmtId="165" formatCode="[$-F800]dddd\,\ mmmm\ dd\,\ yyyy"/>
    </dxf>
    <dxf>
      <numFmt numFmtId="19" formatCode="m/d/yyyy"/>
    </dxf>
    <dxf>
      <numFmt numFmtId="34" formatCode="_(&quot;$&quot;* #,##0.00_);_(&quot;$&quot;* \(#,##0.00\);_(&quot;$&quot;* &quot;-&quot;??_);_(@_)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[Centerline Profit - 2026.xlsm]Weekly!PivotTable1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12700" cap="rnd">
            <a:solidFill>
              <a:srgbClr val="FF0000"/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Weekly!$B$3</c:f>
              <c:strCache>
                <c:ptCount val="1"/>
                <c:pt idx="0">
                  <c:v>Sum of amount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Weekly!$A$4:$A$27</c:f>
              <c:strCache>
                <c:ptCount val="23"/>
                <c:pt idx="0">
                  <c:v>11/2/2025</c:v>
                </c:pt>
                <c:pt idx="1">
                  <c:v>11/9/2025</c:v>
                </c:pt>
                <c:pt idx="2">
                  <c:v>11/16/2025</c:v>
                </c:pt>
                <c:pt idx="3">
                  <c:v>11/23/2025</c:v>
                </c:pt>
                <c:pt idx="4">
                  <c:v>11/30/2025</c:v>
                </c:pt>
                <c:pt idx="5">
                  <c:v>12/7/2025</c:v>
                </c:pt>
                <c:pt idx="6">
                  <c:v>12/14/2025</c:v>
                </c:pt>
                <c:pt idx="7">
                  <c:v>12/21/2025</c:v>
                </c:pt>
                <c:pt idx="8">
                  <c:v>12/28/2025</c:v>
                </c:pt>
                <c:pt idx="9">
                  <c:v>1/4/2026</c:v>
                </c:pt>
                <c:pt idx="10">
                  <c:v>1/11/2026</c:v>
                </c:pt>
                <c:pt idx="11">
                  <c:v>1/18/2026</c:v>
                </c:pt>
                <c:pt idx="12">
                  <c:v>1/25/2026</c:v>
                </c:pt>
                <c:pt idx="13">
                  <c:v>2/1/2026</c:v>
                </c:pt>
                <c:pt idx="14">
                  <c:v>2/8/2026</c:v>
                </c:pt>
                <c:pt idx="15">
                  <c:v>2/15/2026</c:v>
                </c:pt>
                <c:pt idx="16">
                  <c:v>2/22/2026</c:v>
                </c:pt>
                <c:pt idx="17">
                  <c:v>3/1/2026</c:v>
                </c:pt>
                <c:pt idx="18">
                  <c:v>3/8/2026</c:v>
                </c:pt>
                <c:pt idx="19">
                  <c:v>3/15/2026</c:v>
                </c:pt>
                <c:pt idx="20">
                  <c:v>3/22/2026</c:v>
                </c:pt>
                <c:pt idx="21">
                  <c:v>3/29/2026</c:v>
                </c:pt>
                <c:pt idx="22">
                  <c:v>(blank)</c:v>
                </c:pt>
              </c:strCache>
            </c:strRef>
          </c:cat>
          <c:val>
            <c:numRef>
              <c:f>Weekly!$B$4:$B$27</c:f>
              <c:numCache>
                <c:formatCode>_("$"* #,##0.00_);_("$"* \(#,##0.00\);_("$"* "-"??_);_(@_)</c:formatCode>
                <c:ptCount val="23"/>
                <c:pt idx="0">
                  <c:v>27955.349999999995</c:v>
                </c:pt>
                <c:pt idx="1">
                  <c:v>33071.399999999994</c:v>
                </c:pt>
                <c:pt idx="2">
                  <c:v>29042.649999999998</c:v>
                </c:pt>
                <c:pt idx="3">
                  <c:v>28922.350000000002</c:v>
                </c:pt>
                <c:pt idx="4">
                  <c:v>31561.199999999997</c:v>
                </c:pt>
                <c:pt idx="5">
                  <c:v>29978.7</c:v>
                </c:pt>
                <c:pt idx="6">
                  <c:v>35291.599999999999</c:v>
                </c:pt>
                <c:pt idx="7">
                  <c:v>40716.6</c:v>
                </c:pt>
                <c:pt idx="8">
                  <c:v>5939</c:v>
                </c:pt>
                <c:pt idx="9">
                  <c:v>1531.7</c:v>
                </c:pt>
                <c:pt idx="10">
                  <c:v>43057.200000000004</c:v>
                </c:pt>
                <c:pt idx="11">
                  <c:v>30933.499999999996</c:v>
                </c:pt>
                <c:pt idx="12">
                  <c:v>36943.949999999997</c:v>
                </c:pt>
                <c:pt idx="13">
                  <c:v>28970.3</c:v>
                </c:pt>
                <c:pt idx="14">
                  <c:v>33400.25</c:v>
                </c:pt>
                <c:pt idx="15">
                  <c:v>36109.800000000003</c:v>
                </c:pt>
                <c:pt idx="16">
                  <c:v>25886.249999999996</c:v>
                </c:pt>
                <c:pt idx="17">
                  <c:v>24008.400000000001</c:v>
                </c:pt>
                <c:pt idx="18">
                  <c:v>25088.399999999998</c:v>
                </c:pt>
                <c:pt idx="19">
                  <c:v>39074.400000000001</c:v>
                </c:pt>
                <c:pt idx="20">
                  <c:v>30135.599999999999</c:v>
                </c:pt>
                <c:pt idx="21">
                  <c:v>30922.2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19-4160-9CB0-D4D1C3D3B04F}"/>
            </c:ext>
          </c:extLst>
        </c:ser>
        <c:ser>
          <c:idx val="1"/>
          <c:order val="1"/>
          <c:tx>
            <c:strRef>
              <c:f>Weekly!$C$3</c:f>
              <c:strCache>
                <c:ptCount val="1"/>
                <c:pt idx="0">
                  <c:v>Sum of pay amount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Weekly!$A$4:$A$27</c:f>
              <c:strCache>
                <c:ptCount val="23"/>
                <c:pt idx="0">
                  <c:v>11/2/2025</c:v>
                </c:pt>
                <c:pt idx="1">
                  <c:v>11/9/2025</c:v>
                </c:pt>
                <c:pt idx="2">
                  <c:v>11/16/2025</c:v>
                </c:pt>
                <c:pt idx="3">
                  <c:v>11/23/2025</c:v>
                </c:pt>
                <c:pt idx="4">
                  <c:v>11/30/2025</c:v>
                </c:pt>
                <c:pt idx="5">
                  <c:v>12/7/2025</c:v>
                </c:pt>
                <c:pt idx="6">
                  <c:v>12/14/2025</c:v>
                </c:pt>
                <c:pt idx="7">
                  <c:v>12/21/2025</c:v>
                </c:pt>
                <c:pt idx="8">
                  <c:v>12/28/2025</c:v>
                </c:pt>
                <c:pt idx="9">
                  <c:v>1/4/2026</c:v>
                </c:pt>
                <c:pt idx="10">
                  <c:v>1/11/2026</c:v>
                </c:pt>
                <c:pt idx="11">
                  <c:v>1/18/2026</c:v>
                </c:pt>
                <c:pt idx="12">
                  <c:v>1/25/2026</c:v>
                </c:pt>
                <c:pt idx="13">
                  <c:v>2/1/2026</c:v>
                </c:pt>
                <c:pt idx="14">
                  <c:v>2/8/2026</c:v>
                </c:pt>
                <c:pt idx="15">
                  <c:v>2/15/2026</c:v>
                </c:pt>
                <c:pt idx="16">
                  <c:v>2/22/2026</c:v>
                </c:pt>
                <c:pt idx="17">
                  <c:v>3/1/2026</c:v>
                </c:pt>
                <c:pt idx="18">
                  <c:v>3/8/2026</c:v>
                </c:pt>
                <c:pt idx="19">
                  <c:v>3/15/2026</c:v>
                </c:pt>
                <c:pt idx="20">
                  <c:v>3/22/2026</c:v>
                </c:pt>
                <c:pt idx="21">
                  <c:v>3/29/2026</c:v>
                </c:pt>
                <c:pt idx="22">
                  <c:v>(blank)</c:v>
                </c:pt>
              </c:strCache>
            </c:strRef>
          </c:cat>
          <c:val>
            <c:numRef>
              <c:f>Weekly!$C$4:$C$27</c:f>
              <c:numCache>
                <c:formatCode>_("$"* #,##0.00_);_("$"* \(#,##0.00\);_("$"* "-"??_);_(@_)</c:formatCode>
                <c:ptCount val="23"/>
                <c:pt idx="0">
                  <c:v>16473.890000000003</c:v>
                </c:pt>
                <c:pt idx="1">
                  <c:v>19581.230000000003</c:v>
                </c:pt>
                <c:pt idx="2">
                  <c:v>16889.349999999999</c:v>
                </c:pt>
                <c:pt idx="3">
                  <c:v>16711.68</c:v>
                </c:pt>
                <c:pt idx="4">
                  <c:v>18335.34</c:v>
                </c:pt>
                <c:pt idx="5">
                  <c:v>17513.88</c:v>
                </c:pt>
                <c:pt idx="6">
                  <c:v>20472.690000000002</c:v>
                </c:pt>
                <c:pt idx="7">
                  <c:v>25142.400000000001</c:v>
                </c:pt>
                <c:pt idx="8">
                  <c:v>3631.5</c:v>
                </c:pt>
                <c:pt idx="9">
                  <c:v>812.76</c:v>
                </c:pt>
                <c:pt idx="10">
                  <c:v>26006.48</c:v>
                </c:pt>
                <c:pt idx="11">
                  <c:v>18657.330000000002</c:v>
                </c:pt>
                <c:pt idx="12">
                  <c:v>23139.510000000002</c:v>
                </c:pt>
                <c:pt idx="13">
                  <c:v>17045.580000000002</c:v>
                </c:pt>
                <c:pt idx="14">
                  <c:v>19735.59</c:v>
                </c:pt>
                <c:pt idx="15">
                  <c:v>19881.190000000002</c:v>
                </c:pt>
                <c:pt idx="16">
                  <c:v>14074.61</c:v>
                </c:pt>
                <c:pt idx="17">
                  <c:v>13203.94</c:v>
                </c:pt>
                <c:pt idx="18">
                  <c:v>13733.57</c:v>
                </c:pt>
                <c:pt idx="19">
                  <c:v>22476.33</c:v>
                </c:pt>
                <c:pt idx="20">
                  <c:v>16244.43</c:v>
                </c:pt>
                <c:pt idx="21">
                  <c:v>17388.830000000002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19-4160-9CB0-D4D1C3D3B04F}"/>
            </c:ext>
          </c:extLst>
        </c:ser>
        <c:ser>
          <c:idx val="2"/>
          <c:order val="2"/>
          <c:tx>
            <c:strRef>
              <c:f>Weekly!$D$3</c:f>
              <c:strCache>
                <c:ptCount val="1"/>
                <c:pt idx="0">
                  <c:v>Sum of profit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Weekly!$A$4:$A$27</c:f>
              <c:strCache>
                <c:ptCount val="23"/>
                <c:pt idx="0">
                  <c:v>11/2/2025</c:v>
                </c:pt>
                <c:pt idx="1">
                  <c:v>11/9/2025</c:v>
                </c:pt>
                <c:pt idx="2">
                  <c:v>11/16/2025</c:v>
                </c:pt>
                <c:pt idx="3">
                  <c:v>11/23/2025</c:v>
                </c:pt>
                <c:pt idx="4">
                  <c:v>11/30/2025</c:v>
                </c:pt>
                <c:pt idx="5">
                  <c:v>12/7/2025</c:v>
                </c:pt>
                <c:pt idx="6">
                  <c:v>12/14/2025</c:v>
                </c:pt>
                <c:pt idx="7">
                  <c:v>12/21/2025</c:v>
                </c:pt>
                <c:pt idx="8">
                  <c:v>12/28/2025</c:v>
                </c:pt>
                <c:pt idx="9">
                  <c:v>1/4/2026</c:v>
                </c:pt>
                <c:pt idx="10">
                  <c:v>1/11/2026</c:v>
                </c:pt>
                <c:pt idx="11">
                  <c:v>1/18/2026</c:v>
                </c:pt>
                <c:pt idx="12">
                  <c:v>1/25/2026</c:v>
                </c:pt>
                <c:pt idx="13">
                  <c:v>2/1/2026</c:v>
                </c:pt>
                <c:pt idx="14">
                  <c:v>2/8/2026</c:v>
                </c:pt>
                <c:pt idx="15">
                  <c:v>2/15/2026</c:v>
                </c:pt>
                <c:pt idx="16">
                  <c:v>2/22/2026</c:v>
                </c:pt>
                <c:pt idx="17">
                  <c:v>3/1/2026</c:v>
                </c:pt>
                <c:pt idx="18">
                  <c:v>3/8/2026</c:v>
                </c:pt>
                <c:pt idx="19">
                  <c:v>3/15/2026</c:v>
                </c:pt>
                <c:pt idx="20">
                  <c:v>3/22/2026</c:v>
                </c:pt>
                <c:pt idx="21">
                  <c:v>3/29/2026</c:v>
                </c:pt>
                <c:pt idx="22">
                  <c:v>(blank)</c:v>
                </c:pt>
              </c:strCache>
            </c:strRef>
          </c:cat>
          <c:val>
            <c:numRef>
              <c:f>Weekly!$D$4:$D$27</c:f>
              <c:numCache>
                <c:formatCode>_("$"* #,##0.00_);_("$"* \(#,##0.00\);_("$"* "-"??_);_(@_)</c:formatCode>
                <c:ptCount val="23"/>
                <c:pt idx="0">
                  <c:v>11481.459999999997</c:v>
                </c:pt>
                <c:pt idx="1">
                  <c:v>13490.169999999998</c:v>
                </c:pt>
                <c:pt idx="2">
                  <c:v>12153.300000000001</c:v>
                </c:pt>
                <c:pt idx="3">
                  <c:v>12210.67</c:v>
                </c:pt>
                <c:pt idx="4">
                  <c:v>13225.86</c:v>
                </c:pt>
                <c:pt idx="5">
                  <c:v>12464.82</c:v>
                </c:pt>
                <c:pt idx="6">
                  <c:v>14818.91</c:v>
                </c:pt>
                <c:pt idx="7">
                  <c:v>15574.199999999999</c:v>
                </c:pt>
                <c:pt idx="8">
                  <c:v>2307.5</c:v>
                </c:pt>
                <c:pt idx="9">
                  <c:v>718.94</c:v>
                </c:pt>
                <c:pt idx="10">
                  <c:v>17050.72</c:v>
                </c:pt>
                <c:pt idx="11">
                  <c:v>12276.170000000002</c:v>
                </c:pt>
                <c:pt idx="12">
                  <c:v>13804.439999999999</c:v>
                </c:pt>
                <c:pt idx="13">
                  <c:v>11924.72</c:v>
                </c:pt>
                <c:pt idx="14">
                  <c:v>13664.66</c:v>
                </c:pt>
                <c:pt idx="15">
                  <c:v>16228.61</c:v>
                </c:pt>
                <c:pt idx="16">
                  <c:v>11811.64</c:v>
                </c:pt>
                <c:pt idx="17">
                  <c:v>10804.46</c:v>
                </c:pt>
                <c:pt idx="18">
                  <c:v>11354.830000000002</c:v>
                </c:pt>
                <c:pt idx="19">
                  <c:v>16598.07</c:v>
                </c:pt>
                <c:pt idx="20">
                  <c:v>13891.17</c:v>
                </c:pt>
                <c:pt idx="21">
                  <c:v>13533.369999999999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19-4160-9CB0-D4D1C3D3B04F}"/>
            </c:ext>
          </c:extLst>
        </c:ser>
        <c:ser>
          <c:idx val="3"/>
          <c:order val="3"/>
          <c:tx>
            <c:strRef>
              <c:f>Weekly!$E$3</c:f>
              <c:strCache>
                <c:ptCount val="1"/>
                <c:pt idx="0">
                  <c:v>Sum of Hours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Weekly!$A$4:$A$27</c:f>
              <c:strCache>
                <c:ptCount val="23"/>
                <c:pt idx="0">
                  <c:v>11/2/2025</c:v>
                </c:pt>
                <c:pt idx="1">
                  <c:v>11/9/2025</c:v>
                </c:pt>
                <c:pt idx="2">
                  <c:v>11/16/2025</c:v>
                </c:pt>
                <c:pt idx="3">
                  <c:v>11/23/2025</c:v>
                </c:pt>
                <c:pt idx="4">
                  <c:v>11/30/2025</c:v>
                </c:pt>
                <c:pt idx="5">
                  <c:v>12/7/2025</c:v>
                </c:pt>
                <c:pt idx="6">
                  <c:v>12/14/2025</c:v>
                </c:pt>
                <c:pt idx="7">
                  <c:v>12/21/2025</c:v>
                </c:pt>
                <c:pt idx="8">
                  <c:v>12/28/2025</c:v>
                </c:pt>
                <c:pt idx="9">
                  <c:v>1/4/2026</c:v>
                </c:pt>
                <c:pt idx="10">
                  <c:v>1/11/2026</c:v>
                </c:pt>
                <c:pt idx="11">
                  <c:v>1/18/2026</c:v>
                </c:pt>
                <c:pt idx="12">
                  <c:v>1/25/2026</c:v>
                </c:pt>
                <c:pt idx="13">
                  <c:v>2/1/2026</c:v>
                </c:pt>
                <c:pt idx="14">
                  <c:v>2/8/2026</c:v>
                </c:pt>
                <c:pt idx="15">
                  <c:v>2/15/2026</c:v>
                </c:pt>
                <c:pt idx="16">
                  <c:v>2/22/2026</c:v>
                </c:pt>
                <c:pt idx="17">
                  <c:v>3/1/2026</c:v>
                </c:pt>
                <c:pt idx="18">
                  <c:v>3/8/2026</c:v>
                </c:pt>
                <c:pt idx="19">
                  <c:v>3/15/2026</c:v>
                </c:pt>
                <c:pt idx="20">
                  <c:v>3/22/2026</c:v>
                </c:pt>
                <c:pt idx="21">
                  <c:v>3/29/2026</c:v>
                </c:pt>
                <c:pt idx="22">
                  <c:v>(blank)</c:v>
                </c:pt>
              </c:strCache>
            </c:strRef>
          </c:cat>
          <c:val>
            <c:numRef>
              <c:f>Weekly!$E$4:$E$27</c:f>
              <c:numCache>
                <c:formatCode>0.00</c:formatCode>
                <c:ptCount val="23"/>
                <c:pt idx="0">
                  <c:v>405.25</c:v>
                </c:pt>
                <c:pt idx="1">
                  <c:v>459.5</c:v>
                </c:pt>
                <c:pt idx="2">
                  <c:v>409.75</c:v>
                </c:pt>
                <c:pt idx="3">
                  <c:v>413</c:v>
                </c:pt>
                <c:pt idx="4">
                  <c:v>441</c:v>
                </c:pt>
                <c:pt idx="5">
                  <c:v>418.75</c:v>
                </c:pt>
                <c:pt idx="6">
                  <c:v>491.75</c:v>
                </c:pt>
                <c:pt idx="7">
                  <c:v>545.75</c:v>
                </c:pt>
                <c:pt idx="8">
                  <c:v>88</c:v>
                </c:pt>
                <c:pt idx="9">
                  <c:v>13.25</c:v>
                </c:pt>
                <c:pt idx="10">
                  <c:v>570.25</c:v>
                </c:pt>
                <c:pt idx="11">
                  <c:v>436</c:v>
                </c:pt>
                <c:pt idx="12">
                  <c:v>497.5</c:v>
                </c:pt>
                <c:pt idx="13">
                  <c:v>420.25</c:v>
                </c:pt>
                <c:pt idx="14">
                  <c:v>465.75</c:v>
                </c:pt>
                <c:pt idx="15">
                  <c:v>473.25</c:v>
                </c:pt>
                <c:pt idx="16">
                  <c:v>356</c:v>
                </c:pt>
                <c:pt idx="17">
                  <c:v>322.25</c:v>
                </c:pt>
                <c:pt idx="18">
                  <c:v>343.25</c:v>
                </c:pt>
                <c:pt idx="19">
                  <c:v>494.5</c:v>
                </c:pt>
                <c:pt idx="20">
                  <c:v>393.5</c:v>
                </c:pt>
                <c:pt idx="21">
                  <c:v>392.5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50-463F-8AFD-502555030717}"/>
            </c:ext>
          </c:extLst>
        </c:ser>
        <c:ser>
          <c:idx val="4"/>
          <c:order val="4"/>
          <c:tx>
            <c:strRef>
              <c:f>Weekly!$F$3</c:f>
              <c:strCache>
                <c:ptCount val="1"/>
                <c:pt idx="0">
                  <c:v>Average of R&amp;D Hourly Profit</c:v>
                </c:pt>
              </c:strCache>
            </c:strRef>
          </c:tx>
          <c:spPr>
            <a:ln w="1270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Weekly!$A$4:$A$27</c:f>
              <c:strCache>
                <c:ptCount val="23"/>
                <c:pt idx="0">
                  <c:v>11/2/2025</c:v>
                </c:pt>
                <c:pt idx="1">
                  <c:v>11/9/2025</c:v>
                </c:pt>
                <c:pt idx="2">
                  <c:v>11/16/2025</c:v>
                </c:pt>
                <c:pt idx="3">
                  <c:v>11/23/2025</c:v>
                </c:pt>
                <c:pt idx="4">
                  <c:v>11/30/2025</c:v>
                </c:pt>
                <c:pt idx="5">
                  <c:v>12/7/2025</c:v>
                </c:pt>
                <c:pt idx="6">
                  <c:v>12/14/2025</c:v>
                </c:pt>
                <c:pt idx="7">
                  <c:v>12/21/2025</c:v>
                </c:pt>
                <c:pt idx="8">
                  <c:v>12/28/2025</c:v>
                </c:pt>
                <c:pt idx="9">
                  <c:v>1/4/2026</c:v>
                </c:pt>
                <c:pt idx="10">
                  <c:v>1/11/2026</c:v>
                </c:pt>
                <c:pt idx="11">
                  <c:v>1/18/2026</c:v>
                </c:pt>
                <c:pt idx="12">
                  <c:v>1/25/2026</c:v>
                </c:pt>
                <c:pt idx="13">
                  <c:v>2/1/2026</c:v>
                </c:pt>
                <c:pt idx="14">
                  <c:v>2/8/2026</c:v>
                </c:pt>
                <c:pt idx="15">
                  <c:v>2/15/2026</c:v>
                </c:pt>
                <c:pt idx="16">
                  <c:v>2/22/2026</c:v>
                </c:pt>
                <c:pt idx="17">
                  <c:v>3/1/2026</c:v>
                </c:pt>
                <c:pt idx="18">
                  <c:v>3/8/2026</c:v>
                </c:pt>
                <c:pt idx="19">
                  <c:v>3/15/2026</c:v>
                </c:pt>
                <c:pt idx="20">
                  <c:v>3/22/2026</c:v>
                </c:pt>
                <c:pt idx="21">
                  <c:v>3/29/2026</c:v>
                </c:pt>
                <c:pt idx="22">
                  <c:v>(blank)</c:v>
                </c:pt>
              </c:strCache>
            </c:strRef>
          </c:cat>
          <c:val>
            <c:numRef>
              <c:f>Weekly!$F$4:$F$27</c:f>
              <c:numCache>
                <c:formatCode>_("$"* #,##0.00_);_("$"* \(#,##0.00\);_("$"* "-"??_);_(@_)</c:formatCode>
                <c:ptCount val="23"/>
                <c:pt idx="0">
                  <c:v>287.03649999999993</c:v>
                </c:pt>
                <c:pt idx="1">
                  <c:v>337.25424999999996</c:v>
                </c:pt>
                <c:pt idx="2">
                  <c:v>303.83250000000004</c:v>
                </c:pt>
                <c:pt idx="3">
                  <c:v>305.26675</c:v>
                </c:pt>
                <c:pt idx="4">
                  <c:v>330.6465</c:v>
                </c:pt>
                <c:pt idx="5">
                  <c:v>311.62049999999999</c:v>
                </c:pt>
                <c:pt idx="6">
                  <c:v>370.47275000000002</c:v>
                </c:pt>
                <c:pt idx="7">
                  <c:v>389.35499999999996</c:v>
                </c:pt>
                <c:pt idx="8">
                  <c:v>57.6875</c:v>
                </c:pt>
                <c:pt idx="9">
                  <c:v>17.973500000000001</c:v>
                </c:pt>
                <c:pt idx="10">
                  <c:v>426.26800000000003</c:v>
                </c:pt>
                <c:pt idx="11">
                  <c:v>306.90425000000005</c:v>
                </c:pt>
                <c:pt idx="12">
                  <c:v>345.11099999999999</c:v>
                </c:pt>
                <c:pt idx="13">
                  <c:v>298.11799999999999</c:v>
                </c:pt>
                <c:pt idx="14">
                  <c:v>341.61649999999997</c:v>
                </c:pt>
                <c:pt idx="15">
                  <c:v>405.71525000000003</c:v>
                </c:pt>
                <c:pt idx="16">
                  <c:v>295.291</c:v>
                </c:pt>
                <c:pt idx="17">
                  <c:v>270.11149999999998</c:v>
                </c:pt>
                <c:pt idx="18">
                  <c:v>283.87075000000004</c:v>
                </c:pt>
                <c:pt idx="19">
                  <c:v>414.95175</c:v>
                </c:pt>
                <c:pt idx="20">
                  <c:v>347.27924999999999</c:v>
                </c:pt>
                <c:pt idx="21">
                  <c:v>338.33425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02-434D-B7B7-4BF85F049C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7638048"/>
        <c:axId val="237639224"/>
      </c:lineChart>
      <c:catAx>
        <c:axId val="237638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639224"/>
        <c:crosses val="autoZero"/>
        <c:auto val="1"/>
        <c:lblAlgn val="ctr"/>
        <c:lblOffset val="100"/>
        <c:noMultiLvlLbl val="0"/>
      </c:catAx>
      <c:valAx>
        <c:axId val="237639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638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[Centerline Profit - 2026.xlsm]Yearly!PivotTable1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Yearly!$B$3</c:f>
              <c:strCache>
                <c:ptCount val="1"/>
                <c:pt idx="0">
                  <c:v>Sum of amount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Yearly!$A$4:$A$15</c:f>
              <c:strCache>
                <c:ptCount val="11"/>
                <c:pt idx="0">
                  <c:v>Atkinson, Jeremy</c:v>
                </c:pt>
                <c:pt idx="1">
                  <c:v>Ebbinghaus, Zachary</c:v>
                </c:pt>
                <c:pt idx="2">
                  <c:v>Jeremias, Jerry</c:v>
                </c:pt>
                <c:pt idx="3">
                  <c:v>Moldovan-Has, Florin</c:v>
                </c:pt>
                <c:pt idx="4">
                  <c:v>Renwick, Rick</c:v>
                </c:pt>
                <c:pt idx="5">
                  <c:v>Robertson, Paul</c:v>
                </c:pt>
                <c:pt idx="6">
                  <c:v>Saleh, Yousof</c:v>
                </c:pt>
                <c:pt idx="7">
                  <c:v>Trif, Dan</c:v>
                </c:pt>
                <c:pt idx="8">
                  <c:v>Wiseman, Jeremy</c:v>
                </c:pt>
                <c:pt idx="9">
                  <c:v>Zorzi, Jarrett</c:v>
                </c:pt>
                <c:pt idx="10">
                  <c:v>(blank)</c:v>
                </c:pt>
              </c:strCache>
            </c:strRef>
          </c:cat>
          <c:val>
            <c:numRef>
              <c:f>Yearly!$B$4:$B$15</c:f>
              <c:numCache>
                <c:formatCode>_("$"* #,##0.00_);_("$"* \(#,##0.00\);_("$"* "-"??_);_(@_)</c:formatCode>
                <c:ptCount val="11"/>
                <c:pt idx="0">
                  <c:v>82607.399999999994</c:v>
                </c:pt>
                <c:pt idx="1">
                  <c:v>79342.3</c:v>
                </c:pt>
                <c:pt idx="2">
                  <c:v>69580.3</c:v>
                </c:pt>
                <c:pt idx="3">
                  <c:v>77747.199999999997</c:v>
                </c:pt>
                <c:pt idx="4">
                  <c:v>2873</c:v>
                </c:pt>
                <c:pt idx="5">
                  <c:v>38138.200000000004</c:v>
                </c:pt>
                <c:pt idx="6">
                  <c:v>65787.299999999988</c:v>
                </c:pt>
                <c:pt idx="7">
                  <c:v>80773.500000000015</c:v>
                </c:pt>
                <c:pt idx="8">
                  <c:v>60633</c:v>
                </c:pt>
                <c:pt idx="9">
                  <c:v>91058.6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BB-4CA7-B36F-28586D510432}"/>
            </c:ext>
          </c:extLst>
        </c:ser>
        <c:ser>
          <c:idx val="1"/>
          <c:order val="1"/>
          <c:tx>
            <c:strRef>
              <c:f>Yearly!$C$3</c:f>
              <c:strCache>
                <c:ptCount val="1"/>
                <c:pt idx="0">
                  <c:v>Sum of pay amount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Yearly!$A$4:$A$15</c:f>
              <c:strCache>
                <c:ptCount val="11"/>
                <c:pt idx="0">
                  <c:v>Atkinson, Jeremy</c:v>
                </c:pt>
                <c:pt idx="1">
                  <c:v>Ebbinghaus, Zachary</c:v>
                </c:pt>
                <c:pt idx="2">
                  <c:v>Jeremias, Jerry</c:v>
                </c:pt>
                <c:pt idx="3">
                  <c:v>Moldovan-Has, Florin</c:v>
                </c:pt>
                <c:pt idx="4">
                  <c:v>Renwick, Rick</c:v>
                </c:pt>
                <c:pt idx="5">
                  <c:v>Robertson, Paul</c:v>
                </c:pt>
                <c:pt idx="6">
                  <c:v>Saleh, Yousof</c:v>
                </c:pt>
                <c:pt idx="7">
                  <c:v>Trif, Dan</c:v>
                </c:pt>
                <c:pt idx="8">
                  <c:v>Wiseman, Jeremy</c:v>
                </c:pt>
                <c:pt idx="9">
                  <c:v>Zorzi, Jarrett</c:v>
                </c:pt>
                <c:pt idx="10">
                  <c:v>(blank)</c:v>
                </c:pt>
              </c:strCache>
            </c:strRef>
          </c:cat>
          <c:val>
            <c:numRef>
              <c:f>Yearly!$C$4:$C$15</c:f>
              <c:numCache>
                <c:formatCode>_("$"* #,##0.00_);_("$"* \(#,##0.00\);_("$"* "-"??_);_(@_)</c:formatCode>
                <c:ptCount val="11"/>
                <c:pt idx="0">
                  <c:v>68839.5</c:v>
                </c:pt>
                <c:pt idx="1">
                  <c:v>43132.5</c:v>
                </c:pt>
                <c:pt idx="2">
                  <c:v>36325.630000000005</c:v>
                </c:pt>
                <c:pt idx="3">
                  <c:v>34845</c:v>
                </c:pt>
                <c:pt idx="4">
                  <c:v>2323.75</c:v>
                </c:pt>
                <c:pt idx="5">
                  <c:v>20556</c:v>
                </c:pt>
                <c:pt idx="6">
                  <c:v>33453.03</c:v>
                </c:pt>
                <c:pt idx="7">
                  <c:v>47297.280000000006</c:v>
                </c:pt>
                <c:pt idx="8">
                  <c:v>48001.14</c:v>
                </c:pt>
                <c:pt idx="9">
                  <c:v>42378.280000000006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BB-4CA7-B36F-28586D510432}"/>
            </c:ext>
          </c:extLst>
        </c:ser>
        <c:ser>
          <c:idx val="2"/>
          <c:order val="2"/>
          <c:tx>
            <c:strRef>
              <c:f>Yearly!$D$3</c:f>
              <c:strCache>
                <c:ptCount val="1"/>
                <c:pt idx="0">
                  <c:v>Sum of profit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Yearly!$A$4:$A$15</c:f>
              <c:strCache>
                <c:ptCount val="11"/>
                <c:pt idx="0">
                  <c:v>Atkinson, Jeremy</c:v>
                </c:pt>
                <c:pt idx="1">
                  <c:v>Ebbinghaus, Zachary</c:v>
                </c:pt>
                <c:pt idx="2">
                  <c:v>Jeremias, Jerry</c:v>
                </c:pt>
                <c:pt idx="3">
                  <c:v>Moldovan-Has, Florin</c:v>
                </c:pt>
                <c:pt idx="4">
                  <c:v>Renwick, Rick</c:v>
                </c:pt>
                <c:pt idx="5">
                  <c:v>Robertson, Paul</c:v>
                </c:pt>
                <c:pt idx="6">
                  <c:v>Saleh, Yousof</c:v>
                </c:pt>
                <c:pt idx="7">
                  <c:v>Trif, Dan</c:v>
                </c:pt>
                <c:pt idx="8">
                  <c:v>Wiseman, Jeremy</c:v>
                </c:pt>
                <c:pt idx="9">
                  <c:v>Zorzi, Jarrett</c:v>
                </c:pt>
                <c:pt idx="10">
                  <c:v>(blank)</c:v>
                </c:pt>
              </c:strCache>
            </c:strRef>
          </c:cat>
          <c:val>
            <c:numRef>
              <c:f>Yearly!$D$4:$D$15</c:f>
              <c:numCache>
                <c:formatCode>_("$"* #,##0.00_);_("$"* \(#,##0.00\);_("$"* "-"??_);_(@_)</c:formatCode>
                <c:ptCount val="11"/>
                <c:pt idx="0">
                  <c:v>13767.9</c:v>
                </c:pt>
                <c:pt idx="1">
                  <c:v>36209.800000000003</c:v>
                </c:pt>
                <c:pt idx="2">
                  <c:v>33254.67</c:v>
                </c:pt>
                <c:pt idx="3">
                  <c:v>42902.2</c:v>
                </c:pt>
                <c:pt idx="4">
                  <c:v>549.25</c:v>
                </c:pt>
                <c:pt idx="5">
                  <c:v>17582.2</c:v>
                </c:pt>
                <c:pt idx="6">
                  <c:v>32334.269999999997</c:v>
                </c:pt>
                <c:pt idx="7">
                  <c:v>33476.22</c:v>
                </c:pt>
                <c:pt idx="8">
                  <c:v>12631.86</c:v>
                </c:pt>
                <c:pt idx="9">
                  <c:v>48680.320000000007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9BB-4CA7-B36F-28586D510432}"/>
            </c:ext>
          </c:extLst>
        </c:ser>
        <c:ser>
          <c:idx val="3"/>
          <c:order val="3"/>
          <c:tx>
            <c:strRef>
              <c:f>Yearly!$E$3</c:f>
              <c:strCache>
                <c:ptCount val="1"/>
                <c:pt idx="0">
                  <c:v>Sum of Gross Margin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Yearly!$A$4:$A$15</c:f>
              <c:strCache>
                <c:ptCount val="11"/>
                <c:pt idx="0">
                  <c:v>Atkinson, Jeremy</c:v>
                </c:pt>
                <c:pt idx="1">
                  <c:v>Ebbinghaus, Zachary</c:v>
                </c:pt>
                <c:pt idx="2">
                  <c:v>Jeremias, Jerry</c:v>
                </c:pt>
                <c:pt idx="3">
                  <c:v>Moldovan-Has, Florin</c:v>
                </c:pt>
                <c:pt idx="4">
                  <c:v>Renwick, Rick</c:v>
                </c:pt>
                <c:pt idx="5">
                  <c:v>Robertson, Paul</c:v>
                </c:pt>
                <c:pt idx="6">
                  <c:v>Saleh, Yousof</c:v>
                </c:pt>
                <c:pt idx="7">
                  <c:v>Trif, Dan</c:v>
                </c:pt>
                <c:pt idx="8">
                  <c:v>Wiseman, Jeremy</c:v>
                </c:pt>
                <c:pt idx="9">
                  <c:v>Zorzi, Jarrett</c:v>
                </c:pt>
                <c:pt idx="10">
                  <c:v>(blank)</c:v>
                </c:pt>
              </c:strCache>
            </c:strRef>
          </c:cat>
          <c:val>
            <c:numRef>
              <c:f>Yearly!$E$4:$E$15</c:f>
              <c:numCache>
                <c:formatCode>0.0%</c:formatCode>
                <c:ptCount val="11"/>
                <c:pt idx="0">
                  <c:v>0.16666666666666669</c:v>
                </c:pt>
                <c:pt idx="1">
                  <c:v>0.4563744685999776</c:v>
                </c:pt>
                <c:pt idx="2">
                  <c:v>0.47793225956197366</c:v>
                </c:pt>
                <c:pt idx="3">
                  <c:v>0.55181665706289096</c:v>
                </c:pt>
                <c:pt idx="4">
                  <c:v>0.19117647058823528</c:v>
                </c:pt>
                <c:pt idx="5">
                  <c:v>0.46101284276656995</c:v>
                </c:pt>
                <c:pt idx="6">
                  <c:v>0.49149714306560693</c:v>
                </c:pt>
                <c:pt idx="7">
                  <c:v>0.41444557930509379</c:v>
                </c:pt>
                <c:pt idx="8">
                  <c:v>0.20833308594329822</c:v>
                </c:pt>
                <c:pt idx="9">
                  <c:v>0.53460430975218165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21-4979-9667-3C9485449E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7633736"/>
        <c:axId val="237634912"/>
      </c:barChart>
      <c:catAx>
        <c:axId val="237633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634912"/>
        <c:crosses val="autoZero"/>
        <c:auto val="1"/>
        <c:lblAlgn val="ctr"/>
        <c:lblOffset val="100"/>
        <c:noMultiLvlLbl val="0"/>
      </c:catAx>
      <c:valAx>
        <c:axId val="237634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633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DataAnalysis!$A$1</c:f>
              <c:strCache>
                <c:ptCount val="1"/>
                <c:pt idx="0">
                  <c:v>Hourly Profits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DataAnalysis!$A$2:$A$46</c:f>
              <c:numCache>
                <c:formatCode>_("$"* #,##0.00_);_("$"* \(#,##0.00\);_("$"* "-"??_);_(@_)</c:formatCode>
                <c:ptCount val="45"/>
                <c:pt idx="0">
                  <c:v>355.77099999999996</c:v>
                </c:pt>
                <c:pt idx="1">
                  <c:v>333.58550000000002</c:v>
                </c:pt>
                <c:pt idx="2">
                  <c:v>347.68025</c:v>
                </c:pt>
                <c:pt idx="3">
                  <c:v>362.78799999999995</c:v>
                </c:pt>
                <c:pt idx="4">
                  <c:v>277.97099999999995</c:v>
                </c:pt>
                <c:pt idx="5">
                  <c:v>319.69800000000004</c:v>
                </c:pt>
                <c:pt idx="6">
                  <c:v>333.21524999999997</c:v>
                </c:pt>
                <c:pt idx="7">
                  <c:v>267.83474999999999</c:v>
                </c:pt>
                <c:pt idx="8">
                  <c:v>61.796749999999996</c:v>
                </c:pt>
                <c:pt idx="9">
                  <c:v>211.214</c:v>
                </c:pt>
                <c:pt idx="10">
                  <c:v>282.52325000000002</c:v>
                </c:pt>
                <c:pt idx="11">
                  <c:v>291.61450000000002</c:v>
                </c:pt>
                <c:pt idx="12">
                  <c:v>326.46300000000002</c:v>
                </c:pt>
                <c:pt idx="13">
                  <c:v>342.51150000000007</c:v>
                </c:pt>
                <c:pt idx="14">
                  <c:v>312.88824999999991</c:v>
                </c:pt>
                <c:pt idx="15">
                  <c:v>355.459</c:v>
                </c:pt>
                <c:pt idx="16">
                  <c:v>388.26524999999998</c:v>
                </c:pt>
                <c:pt idx="17">
                  <c:v>352.63524999999993</c:v>
                </c:pt>
                <c:pt idx="18">
                  <c:v>347.61700000000002</c:v>
                </c:pt>
                <c:pt idx="19">
                  <c:v>478.64350000000002</c:v>
                </c:pt>
                <c:pt idx="20">
                  <c:v>360.68074999999999</c:v>
                </c:pt>
                <c:pt idx="21">
                  <c:v>262.09125000000006</c:v>
                </c:pt>
                <c:pt idx="22">
                  <c:v>343.67699999999996</c:v>
                </c:pt>
                <c:pt idx="23">
                  <c:v>339.62074999999999</c:v>
                </c:pt>
                <c:pt idx="24">
                  <c:v>328.05874999999997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BB-4438-B30F-48B9B56D1DFA}"/>
            </c:ext>
          </c:extLst>
        </c:ser>
        <c:ser>
          <c:idx val="1"/>
          <c:order val="1"/>
          <c:tx>
            <c:strRef>
              <c:f>DataAnalysis!$B$1</c:f>
              <c:strCache>
                <c:ptCount val="1"/>
                <c:pt idx="0">
                  <c:v>4-week MA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DataAnalysis!$B$2:$B$46</c:f>
              <c:numCache>
                <c:formatCode>_("$"* #,##0.00_);_("$"* \(#,##0.00\);_("$"* "-"??_);_(@_)</c:formatCode>
                <c:ptCount val="45"/>
                <c:pt idx="0">
                  <c:v>355.77099999999996</c:v>
                </c:pt>
                <c:pt idx="1">
                  <c:v>344.67824999999999</c:v>
                </c:pt>
                <c:pt idx="2">
                  <c:v>345.67891666666668</c:v>
                </c:pt>
                <c:pt idx="3">
                  <c:v>349.9561875</c:v>
                </c:pt>
                <c:pt idx="4">
                  <c:v>335.55914999999999</c:v>
                </c:pt>
                <c:pt idx="5">
                  <c:v>328.34455000000003</c:v>
                </c:pt>
                <c:pt idx="6">
                  <c:v>328.27049999999997</c:v>
                </c:pt>
                <c:pt idx="7">
                  <c:v>312.30139999999994</c:v>
                </c:pt>
                <c:pt idx="8">
                  <c:v>252.10315</c:v>
                </c:pt>
                <c:pt idx="9">
                  <c:v>238.75174999999999</c:v>
                </c:pt>
                <c:pt idx="10">
                  <c:v>231.31679999999997</c:v>
                </c:pt>
                <c:pt idx="11">
                  <c:v>222.99664999999996</c:v>
                </c:pt>
                <c:pt idx="12">
                  <c:v>234.72229999999999</c:v>
                </c:pt>
                <c:pt idx="13">
                  <c:v>290.86525</c:v>
                </c:pt>
                <c:pt idx="14">
                  <c:v>311.20010000000002</c:v>
                </c:pt>
                <c:pt idx="15">
                  <c:v>325.78725000000003</c:v>
                </c:pt>
                <c:pt idx="16">
                  <c:v>345.11739999999998</c:v>
                </c:pt>
                <c:pt idx="17">
                  <c:v>350.35185000000001</c:v>
                </c:pt>
                <c:pt idx="18">
                  <c:v>351.37295</c:v>
                </c:pt>
                <c:pt idx="19">
                  <c:v>384.524</c:v>
                </c:pt>
                <c:pt idx="20">
                  <c:v>385.56835000000001</c:v>
                </c:pt>
                <c:pt idx="21">
                  <c:v>360.33355</c:v>
                </c:pt>
                <c:pt idx="22">
                  <c:v>358.54190000000006</c:v>
                </c:pt>
                <c:pt idx="23">
                  <c:v>356.94265000000001</c:v>
                </c:pt>
                <c:pt idx="24">
                  <c:v>326.82569999999998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BB-4438-B30F-48B9B56D1D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4068448"/>
        <c:axId val="1244070528"/>
      </c:lineChart>
      <c:catAx>
        <c:axId val="12440684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4070528"/>
        <c:crosses val="autoZero"/>
        <c:auto val="1"/>
        <c:lblAlgn val="ctr"/>
        <c:lblOffset val="100"/>
        <c:noMultiLvlLbl val="0"/>
      </c:catAx>
      <c:valAx>
        <c:axId val="1244070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4068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2</xdr:row>
      <xdr:rowOff>9525</xdr:rowOff>
    </xdr:from>
    <xdr:to>
      <xdr:col>20</xdr:col>
      <xdr:colOff>419100</xdr:colOff>
      <xdr:row>29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647699</xdr:colOff>
      <xdr:row>2</xdr:row>
      <xdr:rowOff>4761</xdr:rowOff>
    </xdr:from>
    <xdr:to>
      <xdr:col>21</xdr:col>
      <xdr:colOff>609599</xdr:colOff>
      <xdr:row>26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614363</xdr:colOff>
      <xdr:row>7</xdr:row>
      <xdr:rowOff>138113</xdr:rowOff>
    </xdr:from>
    <xdr:to>
      <xdr:col>17</xdr:col>
      <xdr:colOff>180975</xdr:colOff>
      <xdr:row>34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3A9895C-3FF5-4272-A6A8-20DE2CFF09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12.398294212966" createdVersion="8" refreshedVersion="8" minRefreshableVersion="3" recordCount="219" xr:uid="{9547B474-E263-4B2B-B3CF-5714ACAE85D3}">
  <cacheSource type="worksheet">
    <worksheetSource ref="A1:T1349" sheet="RawData"/>
  </cacheSource>
  <cacheFields count="22">
    <cacheField name="Ending" numFmtId="14">
      <sharedItems containsNonDate="0" containsDate="1" containsString="0" containsBlank="1" minDate="2024-11-03T00:00:00" maxDate="2026-03-30T00:00:00" count="75">
        <d v="2025-11-02T00:00:00"/>
        <d v="2025-11-09T00:00:00"/>
        <d v="2025-11-16T00:00:00"/>
        <d v="2025-11-23T00:00:00"/>
        <d v="2025-11-30T00:00:00"/>
        <d v="2025-12-07T00:00:00"/>
        <d v="2025-12-14T00:00:00"/>
        <d v="2025-12-21T00:00:00"/>
        <d v="2025-12-28T00:00:00"/>
        <d v="2026-01-04T00:00:00"/>
        <d v="2026-01-11T00:00:00"/>
        <d v="2026-01-18T00:00:00"/>
        <d v="2026-01-25T00:00:00"/>
        <d v="2026-02-01T00:00:00"/>
        <d v="2026-02-08T00:00:00"/>
        <d v="2026-02-15T00:00:00"/>
        <d v="2026-02-22T00:00:00"/>
        <d v="2026-03-01T00:00:00"/>
        <d v="2026-03-08T00:00:00"/>
        <d v="2026-03-15T00:00:00"/>
        <d v="2026-03-22T00:00:00"/>
        <d v="2026-03-29T00:00:00"/>
        <m/>
        <d v="2024-11-03T00:00:00" u="1"/>
        <d v="2024-11-10T00:00:00" u="1"/>
        <d v="2024-11-17T00:00:00" u="1"/>
        <d v="2024-11-24T00:00:00" u="1"/>
        <d v="2024-12-01T00:00:00" u="1"/>
        <d v="2024-12-08T00:00:00" u="1"/>
        <d v="2024-12-15T00:00:00" u="1"/>
        <d v="2024-12-22T00:00:00" u="1"/>
        <d v="2024-12-29T00:00:00" u="1"/>
        <d v="2025-01-05T00:00:00" u="1"/>
        <d v="2025-01-12T00:00:00" u="1"/>
        <d v="2025-01-19T00:00:00" u="1"/>
        <d v="2025-01-26T00:00:00" u="1"/>
        <d v="2025-02-02T00:00:00" u="1"/>
        <d v="2025-02-09T00:00:00" u="1"/>
        <d v="2025-02-16T00:00:00" u="1"/>
        <d v="2025-02-23T00:00:00" u="1"/>
        <d v="2025-03-02T00:00:00" u="1"/>
        <d v="2025-03-09T00:00:00" u="1"/>
        <d v="2025-03-16T00:00:00" u="1"/>
        <d v="2025-03-23T00:00:00" u="1"/>
        <d v="2025-03-30T00:00:00" u="1"/>
        <d v="2025-04-06T00:00:00" u="1"/>
        <d v="2025-04-13T00:00:00" u="1"/>
        <d v="2025-04-20T00:00:00" u="1"/>
        <d v="2025-04-27T00:00:00" u="1"/>
        <d v="2025-05-04T00:00:00" u="1"/>
        <d v="2025-05-11T00:00:00" u="1"/>
        <d v="2025-05-18T00:00:00" u="1"/>
        <d v="2025-05-25T00:00:00" u="1"/>
        <d v="2025-06-01T00:00:00" u="1"/>
        <d v="2025-06-08T00:00:00" u="1"/>
        <d v="2025-06-15T00:00:00" u="1"/>
        <d v="2025-06-22T00:00:00" u="1"/>
        <d v="2025-06-29T00:00:00" u="1"/>
        <d v="2025-07-06T00:00:00" u="1"/>
        <d v="2025-07-13T00:00:00" u="1"/>
        <d v="2025-07-20T00:00:00" u="1"/>
        <d v="2025-07-27T00:00:00" u="1"/>
        <d v="2025-08-03T00:00:00" u="1"/>
        <d v="2025-08-10T00:00:00" u="1"/>
        <d v="2025-08-17T00:00:00" u="1"/>
        <d v="2025-08-24T00:00:00" u="1"/>
        <d v="2025-08-31T00:00:00" u="1"/>
        <d v="2025-09-07T00:00:00" u="1"/>
        <d v="2025-09-14T00:00:00" u="1"/>
        <d v="2025-09-21T00:00:00" u="1"/>
        <d v="2025-09-28T00:00:00" u="1"/>
        <d v="2025-10-05T00:00:00" u="1"/>
        <d v="2025-10-12T00:00:00" u="1"/>
        <d v="2025-10-19T00:00:00" u="1"/>
        <d v="2025-10-26T00:00:00" u="1"/>
      </sharedItems>
    </cacheField>
    <cacheField name="Employee" numFmtId="0">
      <sharedItems containsBlank="1"/>
    </cacheField>
    <cacheField name="Label" numFmtId="0">
      <sharedItems containsBlank="1" count="14">
        <s v="Atkinson, Jeremy"/>
        <s v="Wiseman, Jeremy"/>
        <s v="Renwick, Rick"/>
        <s v="Jeremias, Jerry"/>
        <s v="Trif, Dan"/>
        <s v="Ebbinghaus, Zachary"/>
        <s v="Robertson, Paul"/>
        <s v="Zorzi, Jarrett"/>
        <s v="Moldovan-Has, Florin"/>
        <s v="Saleh, Yousof"/>
        <m/>
        <s v="Shahzad, Faheem" u="1"/>
        <s v="Latour, Jason" u="1"/>
        <s v="Moldovan-Has, Florin (1)" u="1"/>
      </sharedItems>
    </cacheField>
    <cacheField name="Hours_1" numFmtId="0">
      <sharedItems containsString="0" containsBlank="1" containsNumber="1" minValue="0" maxValue="48"/>
    </cacheField>
    <cacheField name="Hours_2" numFmtId="0">
      <sharedItems containsString="0" containsBlank="1" containsNumber="1" minValue="0" maxValue="32"/>
    </cacheField>
    <cacheField name="Hours_3" numFmtId="0">
      <sharedItems containsString="0" containsBlank="1" containsNumber="1" minValue="0" maxValue="15"/>
    </cacheField>
    <cacheField name="Hours_T" numFmtId="0">
      <sharedItems containsString="0" containsBlank="1" containsNumber="1" minValue="0" maxValue="17.25"/>
    </cacheField>
    <cacheField name="Rate_1" numFmtId="0">
      <sharedItems containsString="0" containsBlank="1" containsNumber="1" containsInteger="1" minValue="54" maxValue="72"/>
    </cacheField>
    <cacheField name="Rate_2" numFmtId="0">
      <sharedItems containsString="0" containsBlank="1" containsNumber="1" minValue="70.2" maxValue="93.600000000000009"/>
    </cacheField>
    <cacheField name="Rate_3" numFmtId="0">
      <sharedItems containsString="0" containsBlank="1" containsNumber="1" minValue="91.8" maxValue="122.39999999999999"/>
    </cacheField>
    <cacheField name="Rate_T" numFmtId="0">
      <sharedItems containsString="0" containsBlank="1" containsNumber="1" containsInteger="1" minValue="54" maxValue="72"/>
    </cacheField>
    <cacheField name="Fees" numFmtId="0">
      <sharedItems containsString="0" containsBlank="1" containsNumber="1" containsInteger="1" minValue="0" maxValue="2"/>
    </cacheField>
    <cacheField name="Hours" numFmtId="0">
      <sharedItems containsString="0" containsBlank="1" containsNumber="1" minValue="0" maxValue="86.5"/>
    </cacheField>
    <cacheField name="Amount" numFmtId="0">
      <sharedItems containsString="0" containsBlank="1" containsNumber="1" minValue="0" maxValue="7344"/>
    </cacheField>
    <cacheField name="pay1" numFmtId="0">
      <sharedItems containsString="0" containsBlank="1" containsNumber="1" minValue="27" maxValue="60"/>
    </cacheField>
    <cacheField name="pay2" numFmtId="0">
      <sharedItems containsString="0" containsBlank="1" containsNumber="1" minValue="40.5" maxValue="78"/>
    </cacheField>
    <cacheField name="pay3" numFmtId="0">
      <sharedItems containsString="0" containsBlank="1" containsNumber="1" minValue="54" maxValue="102"/>
    </cacheField>
    <cacheField name="payT" numFmtId="0">
      <sharedItems containsString="0" containsBlank="1" containsNumber="1" minValue="27" maxValue="60"/>
    </cacheField>
    <cacheField name="pay amount" numFmtId="0">
      <sharedItems containsString="0" containsBlank="1" containsNumber="1" minValue="0" maxValue="5505"/>
    </cacheField>
    <cacheField name="profit" numFmtId="0">
      <sharedItems containsString="0" containsBlank="1" containsNumber="1" minValue="0" maxValue="3506.2700000000004"/>
    </cacheField>
    <cacheField name="Gross Margin" numFmtId="0" formula="profit/Amount" databaseField="0"/>
    <cacheField name="R&amp;D Hourly Profit" numFmtId="0" formula="profit/4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14.595532523148" createdVersion="8" refreshedVersion="8" minRefreshableVersion="3" recordCount="219" xr:uid="{925A49E1-772A-4CFB-9C88-4C55BB6CD911}">
  <cacheSource type="worksheet">
    <worksheetSource ref="A1:Y1349" sheet="RawData"/>
  </cacheSource>
  <cacheFields count="28">
    <cacheField name="Ending" numFmtId="14">
      <sharedItems containsNonDate="0" containsDate="1" containsString="0" containsBlank="1" minDate="2024-11-03T00:00:00" maxDate="2026-03-30T00:00:00" count="75">
        <d v="2025-11-02T00:00:00"/>
        <d v="2025-11-09T00:00:00"/>
        <d v="2025-11-16T00:00:00"/>
        <d v="2025-11-23T00:00:00"/>
        <d v="2025-11-30T00:00:00"/>
        <d v="2025-12-07T00:00:00"/>
        <d v="2025-12-14T00:00:00"/>
        <d v="2025-12-21T00:00:00"/>
        <d v="2025-12-28T00:00:00"/>
        <d v="2026-01-04T00:00:00"/>
        <d v="2026-01-11T00:00:00"/>
        <d v="2026-01-18T00:00:00"/>
        <d v="2026-01-25T00:00:00"/>
        <d v="2026-02-01T00:00:00"/>
        <d v="2026-02-08T00:00:00"/>
        <d v="2026-02-15T00:00:00"/>
        <d v="2026-02-22T00:00:00"/>
        <d v="2026-03-01T00:00:00"/>
        <d v="2026-03-08T00:00:00"/>
        <d v="2026-03-15T00:00:00"/>
        <d v="2026-03-22T00:00:00"/>
        <d v="2026-03-29T00:00:00"/>
        <m/>
        <d v="2024-11-03T00:00:00" u="1"/>
        <d v="2024-11-10T00:00:00" u="1"/>
        <d v="2024-11-17T00:00:00" u="1"/>
        <d v="2024-11-24T00:00:00" u="1"/>
        <d v="2024-12-01T00:00:00" u="1"/>
        <d v="2024-12-08T00:00:00" u="1"/>
        <d v="2024-12-15T00:00:00" u="1"/>
        <d v="2024-12-22T00:00:00" u="1"/>
        <d v="2024-12-29T00:00:00" u="1"/>
        <d v="2025-01-05T00:00:00" u="1"/>
        <d v="2025-01-12T00:00:00" u="1"/>
        <d v="2025-01-19T00:00:00" u="1"/>
        <d v="2025-01-26T00:00:00" u="1"/>
        <d v="2025-02-02T00:00:00" u="1"/>
        <d v="2025-02-09T00:00:00" u="1"/>
        <d v="2025-02-16T00:00:00" u="1"/>
        <d v="2025-02-23T00:00:00" u="1"/>
        <d v="2025-03-02T00:00:00" u="1"/>
        <d v="2025-03-09T00:00:00" u="1"/>
        <d v="2025-03-16T00:00:00" u="1"/>
        <d v="2025-03-23T00:00:00" u="1"/>
        <d v="2025-03-30T00:00:00" u="1"/>
        <d v="2025-04-06T00:00:00" u="1"/>
        <d v="2025-04-13T00:00:00" u="1"/>
        <d v="2025-04-20T00:00:00" u="1"/>
        <d v="2025-04-27T00:00:00" u="1"/>
        <d v="2025-05-04T00:00:00" u="1"/>
        <d v="2025-05-11T00:00:00" u="1"/>
        <d v="2025-05-18T00:00:00" u="1"/>
        <d v="2025-05-25T00:00:00" u="1"/>
        <d v="2025-06-01T00:00:00" u="1"/>
        <d v="2025-06-08T00:00:00" u="1"/>
        <d v="2025-06-15T00:00:00" u="1"/>
        <d v="2025-06-22T00:00:00" u="1"/>
        <d v="2025-06-29T00:00:00" u="1"/>
        <d v="2025-07-06T00:00:00" u="1"/>
        <d v="2025-07-13T00:00:00" u="1"/>
        <d v="2025-07-20T00:00:00" u="1"/>
        <d v="2025-07-27T00:00:00" u="1"/>
        <d v="2025-08-03T00:00:00" u="1"/>
        <d v="2025-08-10T00:00:00" u="1"/>
        <d v="2025-08-17T00:00:00" u="1"/>
        <d v="2025-08-24T00:00:00" u="1"/>
        <d v="2025-08-31T00:00:00" u="1"/>
        <d v="2025-09-07T00:00:00" u="1"/>
        <d v="2025-09-14T00:00:00" u="1"/>
        <d v="2025-09-21T00:00:00" u="1"/>
        <d v="2025-09-28T00:00:00" u="1"/>
        <d v="2025-10-05T00:00:00" u="1"/>
        <d v="2025-10-12T00:00:00" u="1"/>
        <d v="2025-10-19T00:00:00" u="1"/>
        <d v="2025-10-26T00:00:00" u="1"/>
      </sharedItems>
      <fieldGroup par="27"/>
    </cacheField>
    <cacheField name="Employee" numFmtId="0">
      <sharedItems containsBlank="1"/>
    </cacheField>
    <cacheField name="Label" numFmtId="0">
      <sharedItems containsBlank="1" count="14">
        <s v="Atkinson, Jeremy"/>
        <s v="Wiseman, Jeremy"/>
        <s v="Renwick, Rick"/>
        <s v="Jeremias, Jerry"/>
        <s v="Trif, Dan"/>
        <s v="Ebbinghaus, Zachary"/>
        <s v="Robertson, Paul"/>
        <s v="Zorzi, Jarrett"/>
        <s v="Moldovan-Has, Florin"/>
        <s v="Saleh, Yousof"/>
        <m/>
        <s v="Shahzad, Faheem" u="1"/>
        <s v="Latour, Jason" u="1"/>
        <s v="Moldovan-Has, Florin (1)" u="1"/>
      </sharedItems>
    </cacheField>
    <cacheField name="Hours_1" numFmtId="0">
      <sharedItems containsString="0" containsBlank="1" containsNumber="1" minValue="0" maxValue="48"/>
    </cacheField>
    <cacheField name="Hours_2" numFmtId="0">
      <sharedItems containsString="0" containsBlank="1" containsNumber="1" minValue="0" maxValue="32"/>
    </cacheField>
    <cacheField name="Hours_3" numFmtId="0">
      <sharedItems containsString="0" containsBlank="1" containsNumber="1" minValue="0" maxValue="15"/>
    </cacheField>
    <cacheField name="Hours_T" numFmtId="0">
      <sharedItems containsString="0" containsBlank="1" containsNumber="1" minValue="0" maxValue="17.25"/>
    </cacheField>
    <cacheField name="Rate_1" numFmtId="0">
      <sharedItems containsString="0" containsBlank="1" containsNumber="1" containsInteger="1" minValue="54" maxValue="72"/>
    </cacheField>
    <cacheField name="Rate_2" numFmtId="0">
      <sharedItems containsString="0" containsBlank="1" containsNumber="1" minValue="70.2" maxValue="93.600000000000009"/>
    </cacheField>
    <cacheField name="Rate_3" numFmtId="0">
      <sharedItems containsString="0" containsBlank="1" containsNumber="1" minValue="91.8" maxValue="122.39999999999999"/>
    </cacheField>
    <cacheField name="Rate_T" numFmtId="0">
      <sharedItems containsString="0" containsBlank="1" containsNumber="1" containsInteger="1" minValue="54" maxValue="72"/>
    </cacheField>
    <cacheField name="Fees" numFmtId="0">
      <sharedItems containsString="0" containsBlank="1" containsNumber="1" containsInteger="1" minValue="0" maxValue="2"/>
    </cacheField>
    <cacheField name="Hours" numFmtId="0">
      <sharedItems containsString="0" containsBlank="1" containsNumber="1" minValue="0" maxValue="86.5"/>
    </cacheField>
    <cacheField name="Amount" numFmtId="0">
      <sharedItems containsString="0" containsBlank="1" containsNumber="1" minValue="0" maxValue="7344"/>
    </cacheField>
    <cacheField name="pay1" numFmtId="0">
      <sharedItems containsString="0" containsBlank="1" containsNumber="1" minValue="27" maxValue="60"/>
    </cacheField>
    <cacheField name="pay2" numFmtId="0">
      <sharedItems containsString="0" containsBlank="1" containsNumber="1" minValue="40.5" maxValue="78"/>
    </cacheField>
    <cacheField name="pay3" numFmtId="0">
      <sharedItems containsString="0" containsBlank="1" containsNumber="1" minValue="54" maxValue="102"/>
    </cacheField>
    <cacheField name="payT" numFmtId="0">
      <sharedItems containsString="0" containsBlank="1" containsNumber="1" minValue="27" maxValue="60"/>
    </cacheField>
    <cacheField name="pay amount" numFmtId="0">
      <sharedItems containsString="0" containsBlank="1" containsNumber="1" minValue="0" maxValue="5505"/>
    </cacheField>
    <cacheField name="profit" numFmtId="0">
      <sharedItems containsString="0" containsBlank="1" containsNumber="1" minValue="0" maxValue="3506.2700000000004"/>
    </cacheField>
    <cacheField name="Lates/Warn" numFmtId="0">
      <sharedItems containsString="0" containsBlank="1" containsNumber="1" containsInteger="1" minValue="1" maxValue="2"/>
    </cacheField>
    <cacheField name="Travel Day" numFmtId="0">
      <sharedItems containsNonDate="0" containsString="0" containsBlank="1"/>
    </cacheField>
    <cacheField name="Full Day" numFmtId="0">
      <sharedItems containsString="0" containsBlank="1" containsNumber="1" containsInteger="1" minValue="1" maxValue="7"/>
    </cacheField>
    <cacheField name="Other" numFmtId="0">
      <sharedItems containsString="0" containsBlank="1" containsNumber="1" containsInteger="1" minValue="1" maxValue="2"/>
    </cacheField>
    <cacheField name="CAD/USD" numFmtId="0">
      <sharedItems containsString="0" containsBlank="1" containsNumber="1" containsInteger="1" minValue="1" maxValue="1"/>
    </cacheField>
    <cacheField name="Gross Margin" numFmtId="0" formula="profit/Amount" databaseField="0"/>
    <cacheField name="R&amp;D Hourly Profit" numFmtId="0" formula="profit/40" databaseField="0"/>
    <cacheField name="Ending2" numFmtId="0" databaseField="0">
      <fieldGroup base="0">
        <discretePr count="75">
          <x v="0"/>
          <x v="1"/>
          <x v="2"/>
          <x v="3"/>
          <x v="4"/>
          <x v="5"/>
          <x v="6"/>
          <x v="7"/>
          <x v="8"/>
          <x v="9"/>
          <x v="10"/>
          <x v="11"/>
          <x v="12"/>
          <x v="13"/>
          <x v="14"/>
          <x v="15"/>
          <x v="16"/>
          <x v="17"/>
          <x v="18"/>
          <x v="19"/>
          <x v="73"/>
          <x v="73"/>
          <x v="20"/>
          <x v="21"/>
          <x v="22"/>
          <x v="23"/>
          <x v="24"/>
          <x v="25"/>
          <x v="26"/>
          <x v="27"/>
          <x v="28"/>
          <x v="29"/>
          <x v="30"/>
          <x v="31"/>
          <x v="32"/>
          <x v="33"/>
          <x v="34"/>
          <x v="35"/>
          <x v="36"/>
          <x v="37"/>
          <x v="38"/>
          <x v="39"/>
          <x v="40"/>
          <x v="41"/>
          <x v="42"/>
          <x v="43"/>
          <x v="44"/>
          <x v="45"/>
          <x v="46"/>
          <x v="47"/>
          <x v="48"/>
          <x v="49"/>
          <x v="50"/>
          <x v="51"/>
          <x v="52"/>
          <x v="53"/>
          <x v="54"/>
          <x v="55"/>
          <x v="56"/>
          <x v="57"/>
          <x v="58"/>
          <x v="59"/>
          <x v="60"/>
          <x v="61"/>
          <x v="62"/>
          <x v="63"/>
          <x v="64"/>
          <x v="65"/>
          <x v="66"/>
          <x v="67"/>
          <x v="68"/>
          <x v="69"/>
          <x v="70"/>
          <x v="71"/>
          <x v="72"/>
        </discretePr>
        <groupItems count="74">
          <d v="2025-11-02T00:00:00"/>
          <d v="2025-11-09T00:00:00"/>
          <d v="2025-11-16T00:00:00"/>
          <d v="2025-11-23T00:00:00"/>
          <d v="2025-11-30T00:00:00"/>
          <d v="2025-12-07T00:00:00"/>
          <d v="2025-12-14T00:00:00"/>
          <d v="2025-12-21T00:00:00"/>
          <d v="2025-12-28T00:00:00"/>
          <d v="2026-01-04T00:00:00"/>
          <d v="2026-01-11T00:00:00"/>
          <d v="2026-01-18T00:00:00"/>
          <d v="2026-01-25T00:00:00"/>
          <d v="2026-02-01T00:00:00"/>
          <d v="2026-02-08T00:00:00"/>
          <d v="2026-02-15T00:00:00"/>
          <d v="2026-02-22T00:00:00"/>
          <d v="2026-03-01T00:00:00"/>
          <d v="2026-03-08T00:00:00"/>
          <d v="2026-03-15T00:00:00"/>
          <m/>
          <d v="2024-11-03T00:00:00"/>
          <d v="2024-11-10T00:00:00"/>
          <d v="2024-11-17T00:00:00"/>
          <d v="2024-11-24T00:00:00"/>
          <d v="2024-12-01T00:00:00"/>
          <d v="2024-12-08T00:00:00"/>
          <d v="2024-12-15T00:00:00"/>
          <d v="2024-12-22T00:00:00"/>
          <d v="2024-12-29T00:00:00"/>
          <d v="2025-01-05T00:00:00"/>
          <d v="2025-01-12T00:00:00"/>
          <d v="2025-01-19T00:00:00"/>
          <d v="2025-01-26T00:00:00"/>
          <d v="2025-02-02T00:00:00"/>
          <d v="2025-02-09T00:00:00"/>
          <d v="2025-02-16T00:00:00"/>
          <d v="2025-02-23T00:00:00"/>
          <d v="2025-03-02T00:00:00"/>
          <d v="2025-03-09T00:00:00"/>
          <d v="2025-03-16T00:00:00"/>
          <d v="2025-03-23T00:00:00"/>
          <d v="2025-03-30T00:00:00"/>
          <d v="2025-04-06T00:00:00"/>
          <d v="2025-04-13T00:00:00"/>
          <d v="2025-04-20T00:00:00"/>
          <d v="2025-04-27T00:00:00"/>
          <d v="2025-05-04T00:00:00"/>
          <d v="2025-05-11T00:00:00"/>
          <d v="2025-05-18T00:00:00"/>
          <d v="2025-05-25T00:00:00"/>
          <d v="2025-06-01T00:00:00"/>
          <d v="2025-06-08T00:00:00"/>
          <d v="2025-06-15T00:00:00"/>
          <d v="2025-06-22T00:00:00"/>
          <d v="2025-06-29T00:00:00"/>
          <d v="2025-07-06T00:00:00"/>
          <d v="2025-07-13T00:00:00"/>
          <d v="2025-07-20T00:00:00"/>
          <d v="2025-07-27T00:00:00"/>
          <d v="2025-08-03T00:00:00"/>
          <d v="2025-08-10T00:00:00"/>
          <d v="2025-08-17T00:00:00"/>
          <d v="2025-08-24T00:00:00"/>
          <d v="2025-08-31T00:00:00"/>
          <d v="2025-09-07T00:00:00"/>
          <d v="2025-09-14T00:00:00"/>
          <d v="2025-09-21T00:00:00"/>
          <d v="2025-09-28T00:00:00"/>
          <d v="2025-10-05T00:00:00"/>
          <d v="2025-10-12T00:00:00"/>
          <d v="2025-10-19T00:00:00"/>
          <d v="2025-10-26T00:00:00"/>
          <s v="Group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9">
  <r>
    <x v="0"/>
    <s v="E8022"/>
    <x v="0"/>
    <n v="40"/>
    <n v="4.5"/>
    <n v="0"/>
    <n v="0"/>
    <n v="72"/>
    <n v="93.600000000000009"/>
    <n v="122.39999999999999"/>
    <n v="72"/>
    <n v="0"/>
    <n v="44.5"/>
    <n v="3301.2"/>
    <n v="60"/>
    <n v="78"/>
    <n v="102"/>
    <n v="60"/>
    <n v="2751"/>
    <n v="550.19999999999982"/>
  </r>
  <r>
    <x v="0"/>
    <s v="E8031"/>
    <x v="1"/>
    <n v="40"/>
    <n v="1.25"/>
    <n v="0"/>
    <n v="0"/>
    <n v="72"/>
    <n v="93.600000000000009"/>
    <n v="122.39999999999999"/>
    <n v="72"/>
    <n v="0"/>
    <n v="41.25"/>
    <n v="2997"/>
    <n v="57"/>
    <n v="74.100000000000009"/>
    <n v="96.899999999999991"/>
    <n v="57"/>
    <n v="2372.63"/>
    <n v="624.36999999999989"/>
  </r>
  <r>
    <x v="0"/>
    <s v="E8041"/>
    <x v="2"/>
    <n v="14.25"/>
    <n v="0"/>
    <n v="0"/>
    <n v="0"/>
    <n v="68"/>
    <n v="88.4"/>
    <n v="115.6"/>
    <n v="68"/>
    <n v="0"/>
    <n v="14.25"/>
    <n v="969"/>
    <n v="55"/>
    <n v="71.5"/>
    <n v="93.5"/>
    <n v="55"/>
    <n v="783.75"/>
    <n v="185.25"/>
  </r>
  <r>
    <x v="0"/>
    <s v="E8174"/>
    <x v="3"/>
    <n v="38.75"/>
    <n v="0"/>
    <n v="0"/>
    <n v="4"/>
    <n v="68"/>
    <n v="88.4"/>
    <n v="115.6"/>
    <n v="68"/>
    <n v="0"/>
    <n v="42.75"/>
    <n v="2907"/>
    <n v="35"/>
    <n v="52.5"/>
    <n v="70"/>
    <n v="35"/>
    <n v="1496.25"/>
    <n v="1410.75"/>
  </r>
  <r>
    <x v="0"/>
    <s v="E8190"/>
    <x v="4"/>
    <n v="40"/>
    <n v="1"/>
    <n v="0"/>
    <n v="0"/>
    <n v="68"/>
    <n v="88.4"/>
    <n v="115.6"/>
    <n v="68"/>
    <n v="0"/>
    <n v="41"/>
    <n v="2808.4"/>
    <n v="39"/>
    <n v="58.5"/>
    <n v="78"/>
    <n v="39"/>
    <n v="1618.5"/>
    <n v="1189.9000000000001"/>
  </r>
  <r>
    <x v="0"/>
    <s v="E8395"/>
    <x v="5"/>
    <n v="38.75"/>
    <n v="0"/>
    <n v="0"/>
    <n v="4"/>
    <n v="68"/>
    <n v="88.4"/>
    <n v="115.6"/>
    <n v="68"/>
    <n v="0"/>
    <n v="42.75"/>
    <n v="2907"/>
    <n v="36"/>
    <n v="54"/>
    <n v="72"/>
    <n v="36"/>
    <n v="1539"/>
    <n v="1368"/>
  </r>
  <r>
    <x v="0"/>
    <s v="E8473"/>
    <x v="6"/>
    <n v="18.5"/>
    <n v="0"/>
    <n v="0"/>
    <n v="0"/>
    <n v="68"/>
    <n v="88.4"/>
    <n v="115.6"/>
    <n v="68"/>
    <n v="0"/>
    <n v="18.5"/>
    <n v="1258"/>
    <n v="36"/>
    <n v="54"/>
    <n v="72"/>
    <n v="36"/>
    <n v="666"/>
    <n v="592"/>
  </r>
  <r>
    <x v="0"/>
    <s v="E8585"/>
    <x v="7"/>
    <n v="40"/>
    <n v="15.25"/>
    <n v="0"/>
    <n v="0"/>
    <n v="68"/>
    <n v="88.4"/>
    <n v="115.6"/>
    <n v="68"/>
    <n v="0"/>
    <n v="55.25"/>
    <n v="4068.1"/>
    <n v="30.67"/>
    <n v="46.005000000000003"/>
    <n v="61.34"/>
    <n v="30.67"/>
    <n v="1928.38"/>
    <n v="2139.7199999999998"/>
  </r>
  <r>
    <x v="0"/>
    <s v="E8585"/>
    <x v="8"/>
    <n v="40"/>
    <n v="5.75"/>
    <n v="0"/>
    <n v="0"/>
    <n v="68"/>
    <n v="88.4"/>
    <n v="115.6"/>
    <n v="68"/>
    <n v="0"/>
    <n v="45.75"/>
    <n v="3228.3"/>
    <n v="30"/>
    <n v="45"/>
    <n v="60"/>
    <n v="30"/>
    <n v="1458.75"/>
    <n v="1769.5500000000002"/>
  </r>
  <r>
    <x v="0"/>
    <s v="E8650"/>
    <x v="9"/>
    <n v="40"/>
    <n v="19.25"/>
    <n v="0"/>
    <n v="0"/>
    <n v="54"/>
    <n v="70.2"/>
    <n v="91.8"/>
    <n v="54"/>
    <n v="0"/>
    <n v="59.25"/>
    <n v="3511.35"/>
    <n v="27"/>
    <n v="40.5"/>
    <n v="54"/>
    <n v="27"/>
    <n v="1859.63"/>
    <n v="1651.7199999999998"/>
  </r>
  <r>
    <x v="1"/>
    <s v="E8022"/>
    <x v="0"/>
    <n v="40"/>
    <n v="13.25"/>
    <n v="0"/>
    <n v="0"/>
    <n v="72"/>
    <n v="93.600000000000009"/>
    <n v="122.39999999999999"/>
    <n v="72"/>
    <n v="0"/>
    <n v="53.25"/>
    <n v="4120.2"/>
    <n v="60"/>
    <n v="78"/>
    <n v="102"/>
    <n v="60"/>
    <n v="3433.5"/>
    <n v="686.69999999999982"/>
  </r>
  <r>
    <x v="1"/>
    <s v="E8031"/>
    <x v="1"/>
    <n v="40"/>
    <n v="0"/>
    <n v="0"/>
    <n v="0"/>
    <n v="72"/>
    <n v="93.600000000000009"/>
    <n v="122.39999999999999"/>
    <n v="72"/>
    <n v="0"/>
    <n v="40"/>
    <n v="2880"/>
    <n v="57"/>
    <n v="74.100000000000009"/>
    <n v="96.899999999999991"/>
    <n v="57"/>
    <n v="2280"/>
    <n v="600"/>
  </r>
  <r>
    <x v="1"/>
    <s v="E8041"/>
    <x v="2"/>
    <n v="4.75"/>
    <n v="0"/>
    <n v="0"/>
    <n v="0"/>
    <n v="68"/>
    <n v="88.4"/>
    <n v="115.6"/>
    <n v="68"/>
    <n v="0"/>
    <n v="4.75"/>
    <n v="323"/>
    <n v="55"/>
    <n v="71.5"/>
    <n v="93.5"/>
    <n v="55"/>
    <n v="261.25"/>
    <n v="61.75"/>
  </r>
  <r>
    <x v="1"/>
    <s v="E8174"/>
    <x v="3"/>
    <n v="40"/>
    <n v="8.25"/>
    <n v="0"/>
    <n v="4"/>
    <n v="68"/>
    <n v="88.4"/>
    <n v="115.6"/>
    <n v="68"/>
    <n v="0"/>
    <n v="52.25"/>
    <n v="3721.3"/>
    <n v="35"/>
    <n v="52.5"/>
    <n v="70"/>
    <n v="35"/>
    <n v="1973.13"/>
    <n v="1748.17"/>
  </r>
  <r>
    <x v="1"/>
    <s v="E8190"/>
    <x v="4"/>
    <n v="40"/>
    <n v="5.5"/>
    <n v="0"/>
    <n v="0"/>
    <n v="68"/>
    <n v="88.4"/>
    <n v="115.6"/>
    <n v="68"/>
    <n v="0"/>
    <n v="45.5"/>
    <n v="3206.2"/>
    <n v="39"/>
    <n v="58.5"/>
    <n v="78"/>
    <n v="39"/>
    <n v="1881.75"/>
    <n v="1324.4499999999998"/>
  </r>
  <r>
    <x v="1"/>
    <s v="E8395"/>
    <x v="5"/>
    <n v="40"/>
    <n v="16"/>
    <n v="15"/>
    <n v="15.5"/>
    <n v="68"/>
    <n v="88.4"/>
    <n v="115.6"/>
    <n v="68"/>
    <n v="0"/>
    <n v="86.5"/>
    <n v="6922.4"/>
    <n v="36"/>
    <n v="54"/>
    <n v="72"/>
    <n v="36"/>
    <n v="3942"/>
    <n v="2980.3999999999996"/>
  </r>
  <r>
    <x v="1"/>
    <s v="E8473"/>
    <x v="6"/>
    <n v="24"/>
    <n v="0"/>
    <n v="0"/>
    <n v="0"/>
    <n v="68"/>
    <n v="88.4"/>
    <n v="115.6"/>
    <n v="68"/>
    <n v="0"/>
    <n v="24"/>
    <n v="1632"/>
    <n v="36"/>
    <n v="54"/>
    <n v="72"/>
    <n v="36"/>
    <n v="864"/>
    <n v="768"/>
  </r>
  <r>
    <x v="1"/>
    <s v="E8585"/>
    <x v="7"/>
    <n v="40"/>
    <n v="10"/>
    <n v="0"/>
    <n v="0"/>
    <n v="68"/>
    <n v="88.4"/>
    <n v="115.6"/>
    <n v="68"/>
    <n v="0"/>
    <n v="50"/>
    <n v="3604"/>
    <n v="30.67"/>
    <n v="46.005000000000003"/>
    <n v="61.34"/>
    <n v="30.67"/>
    <n v="1686.85"/>
    <n v="1917.15"/>
  </r>
  <r>
    <x v="1"/>
    <s v="E8585"/>
    <x v="8"/>
    <n v="40"/>
    <n v="8.25"/>
    <n v="0"/>
    <n v="0"/>
    <n v="68"/>
    <n v="88.4"/>
    <n v="115.6"/>
    <n v="68"/>
    <n v="0"/>
    <n v="48.25"/>
    <n v="3449.3"/>
    <n v="30"/>
    <n v="45"/>
    <n v="60"/>
    <n v="30"/>
    <n v="1571.25"/>
    <n v="1878.0500000000002"/>
  </r>
  <r>
    <x v="1"/>
    <s v="E8650"/>
    <x v="9"/>
    <n v="40"/>
    <n v="15"/>
    <n v="0"/>
    <n v="0"/>
    <n v="54"/>
    <n v="70.2"/>
    <n v="91.8"/>
    <n v="54"/>
    <n v="0"/>
    <n v="55"/>
    <n v="3213"/>
    <n v="27"/>
    <n v="40.5"/>
    <n v="54"/>
    <n v="27"/>
    <n v="1687.5"/>
    <n v="1525.5"/>
  </r>
  <r>
    <x v="2"/>
    <s v="E8022"/>
    <x v="0"/>
    <n v="40"/>
    <n v="2.5"/>
    <n v="0"/>
    <n v="0"/>
    <n v="72"/>
    <n v="93.600000000000009"/>
    <n v="122.39999999999999"/>
    <n v="72"/>
    <n v="0"/>
    <n v="42.5"/>
    <n v="3114"/>
    <n v="60"/>
    <n v="78"/>
    <n v="102"/>
    <n v="60"/>
    <n v="2595"/>
    <n v="519"/>
  </r>
  <r>
    <x v="2"/>
    <s v="E8031"/>
    <x v="1"/>
    <n v="39.75"/>
    <n v="0"/>
    <n v="0"/>
    <n v="0"/>
    <n v="72"/>
    <n v="93.600000000000009"/>
    <n v="122.39999999999999"/>
    <n v="72"/>
    <n v="0"/>
    <n v="39.75"/>
    <n v="2862"/>
    <n v="57"/>
    <n v="74.100000000000009"/>
    <n v="96.899999999999991"/>
    <n v="57"/>
    <n v="2265.75"/>
    <n v="596.25"/>
  </r>
  <r>
    <x v="2"/>
    <s v="E8041"/>
    <x v="2"/>
    <n v="0"/>
    <n v="0"/>
    <n v="0"/>
    <n v="0"/>
    <n v="68"/>
    <n v="88.4"/>
    <n v="115.6"/>
    <n v="68"/>
    <n v="0"/>
    <n v="0"/>
    <n v="0"/>
    <n v="55"/>
    <n v="71.5"/>
    <n v="93.5"/>
    <n v="55"/>
    <n v="0"/>
    <n v="0"/>
  </r>
  <r>
    <x v="2"/>
    <s v="E8174"/>
    <x v="3"/>
    <n v="40"/>
    <n v="24"/>
    <n v="0"/>
    <n v="0"/>
    <n v="68"/>
    <n v="88.4"/>
    <n v="115.6"/>
    <n v="68"/>
    <n v="0"/>
    <n v="64"/>
    <n v="4841.6000000000004"/>
    <n v="35"/>
    <n v="52.5"/>
    <n v="70"/>
    <n v="35"/>
    <n v="2660"/>
    <n v="2181.6000000000004"/>
  </r>
  <r>
    <x v="2"/>
    <s v="E8190"/>
    <x v="4"/>
    <n v="40"/>
    <n v="5"/>
    <n v="0"/>
    <n v="0"/>
    <n v="68"/>
    <n v="88.4"/>
    <n v="115.6"/>
    <n v="68"/>
    <n v="0"/>
    <n v="45"/>
    <n v="3162"/>
    <n v="39"/>
    <n v="58.5"/>
    <n v="78"/>
    <n v="39"/>
    <n v="1852.5"/>
    <n v="1309.5"/>
  </r>
  <r>
    <x v="2"/>
    <s v="E8395"/>
    <x v="5"/>
    <n v="40"/>
    <n v="12.25"/>
    <n v="1.25"/>
    <n v="7.75"/>
    <n v="68"/>
    <n v="88.4"/>
    <n v="115.6"/>
    <n v="68"/>
    <n v="0"/>
    <n v="61.25"/>
    <n v="4474.3999999999996"/>
    <n v="36"/>
    <n v="54"/>
    <n v="72"/>
    <n v="36"/>
    <n v="2470.5"/>
    <n v="2003.8999999999996"/>
  </r>
  <r>
    <x v="2"/>
    <s v="E8473"/>
    <x v="6"/>
    <n v="0"/>
    <n v="0"/>
    <n v="0"/>
    <n v="0"/>
    <n v="68"/>
    <n v="88.4"/>
    <n v="115.6"/>
    <n v="68"/>
    <n v="0"/>
    <n v="0"/>
    <n v="0"/>
    <n v="36"/>
    <n v="54"/>
    <n v="72"/>
    <n v="36"/>
    <n v="0"/>
    <n v="0"/>
  </r>
  <r>
    <x v="2"/>
    <s v="E8585"/>
    <x v="7"/>
    <n v="40"/>
    <n v="12"/>
    <n v="0"/>
    <n v="8"/>
    <n v="68"/>
    <n v="88.4"/>
    <n v="115.6"/>
    <n v="68"/>
    <n v="0"/>
    <n v="60"/>
    <n v="4324.8"/>
    <n v="30.67"/>
    <n v="46.005000000000003"/>
    <n v="61.34"/>
    <n v="30.67"/>
    <n v="2024.22"/>
    <n v="2300.58"/>
  </r>
  <r>
    <x v="2"/>
    <s v="E8585"/>
    <x v="8"/>
    <n v="40"/>
    <n v="9.5"/>
    <n v="0"/>
    <n v="0"/>
    <n v="68"/>
    <n v="88.4"/>
    <n v="115.6"/>
    <n v="68"/>
    <n v="0"/>
    <n v="49.5"/>
    <n v="3559.8"/>
    <n v="30"/>
    <n v="45"/>
    <n v="60"/>
    <n v="30"/>
    <n v="1627.5"/>
    <n v="1932.3000000000002"/>
  </r>
  <r>
    <x v="2"/>
    <s v="E8650"/>
    <x v="9"/>
    <n v="40"/>
    <n v="7.75"/>
    <n v="0"/>
    <n v="0"/>
    <n v="54"/>
    <n v="70.2"/>
    <n v="91.8"/>
    <n v="54"/>
    <n v="0"/>
    <n v="47.75"/>
    <n v="2704.05"/>
    <n v="27"/>
    <n v="40.5"/>
    <n v="54"/>
    <n v="27"/>
    <n v="1393.88"/>
    <n v="1310.17"/>
  </r>
  <r>
    <x v="3"/>
    <s v="E8022"/>
    <x v="0"/>
    <n v="40"/>
    <n v="2.75"/>
    <n v="0"/>
    <n v="0"/>
    <n v="72"/>
    <n v="93.600000000000009"/>
    <n v="122.39999999999999"/>
    <n v="72"/>
    <n v="0"/>
    <n v="42.75"/>
    <n v="3137.4"/>
    <n v="60"/>
    <n v="78"/>
    <n v="102"/>
    <n v="60"/>
    <n v="2614.5"/>
    <n v="522.90000000000009"/>
  </r>
  <r>
    <x v="3"/>
    <s v="E8031"/>
    <x v="1"/>
    <n v="40"/>
    <n v="0"/>
    <n v="0"/>
    <n v="0"/>
    <n v="72"/>
    <n v="93.600000000000009"/>
    <n v="122.39999999999999"/>
    <n v="72"/>
    <n v="0"/>
    <n v="40"/>
    <n v="2880"/>
    <n v="57"/>
    <n v="74.100000000000009"/>
    <n v="96.899999999999991"/>
    <n v="57"/>
    <n v="2280"/>
    <n v="600"/>
  </r>
  <r>
    <x v="3"/>
    <s v="E8041"/>
    <x v="2"/>
    <n v="0"/>
    <n v="0"/>
    <n v="0"/>
    <n v="0"/>
    <n v="68"/>
    <n v="88.4"/>
    <n v="115.6"/>
    <n v="68"/>
    <n v="0"/>
    <n v="0"/>
    <n v="0"/>
    <n v="55"/>
    <n v="71.5"/>
    <n v="93.5"/>
    <n v="55"/>
    <n v="0"/>
    <n v="0"/>
  </r>
  <r>
    <x v="3"/>
    <s v="E8174"/>
    <x v="3"/>
    <n v="40"/>
    <n v="20"/>
    <n v="0"/>
    <n v="0"/>
    <n v="68"/>
    <n v="88.4"/>
    <n v="115.6"/>
    <n v="68"/>
    <n v="0"/>
    <n v="60"/>
    <n v="4488"/>
    <n v="35"/>
    <n v="52.5"/>
    <n v="70"/>
    <n v="35"/>
    <n v="2450"/>
    <n v="2038"/>
  </r>
  <r>
    <x v="3"/>
    <s v="E8190"/>
    <x v="4"/>
    <n v="40"/>
    <n v="4"/>
    <n v="0"/>
    <n v="0"/>
    <n v="68"/>
    <n v="88.4"/>
    <n v="115.6"/>
    <n v="68"/>
    <n v="0"/>
    <n v="44"/>
    <n v="3073.6"/>
    <n v="39"/>
    <n v="58.5"/>
    <n v="78"/>
    <n v="39"/>
    <n v="1794"/>
    <n v="1279.5999999999999"/>
  </r>
  <r>
    <x v="3"/>
    <s v="E8395"/>
    <x v="5"/>
    <n v="0"/>
    <n v="0"/>
    <n v="0"/>
    <n v="0"/>
    <n v="68"/>
    <n v="88.4"/>
    <n v="115.6"/>
    <n v="68"/>
    <n v="0"/>
    <n v="0"/>
    <n v="0"/>
    <n v="36"/>
    <n v="54"/>
    <n v="72"/>
    <n v="36"/>
    <n v="0"/>
    <n v="0"/>
  </r>
  <r>
    <x v="3"/>
    <s v="E8473"/>
    <x v="6"/>
    <n v="40"/>
    <n v="2.5"/>
    <n v="0"/>
    <n v="13"/>
    <n v="68"/>
    <n v="88.4"/>
    <n v="115.6"/>
    <n v="68"/>
    <n v="0"/>
    <n v="55.5"/>
    <n v="3825"/>
    <n v="36"/>
    <n v="54"/>
    <n v="72"/>
    <n v="36"/>
    <n v="2043"/>
    <n v="1782"/>
  </r>
  <r>
    <x v="3"/>
    <s v="E8585"/>
    <x v="7"/>
    <n v="40"/>
    <n v="10"/>
    <n v="0"/>
    <n v="10"/>
    <n v="68"/>
    <n v="88.4"/>
    <n v="115.6"/>
    <n v="68"/>
    <n v="0"/>
    <n v="60"/>
    <n v="4284"/>
    <n v="30.67"/>
    <n v="46.005000000000003"/>
    <n v="61.34"/>
    <n v="30.67"/>
    <n v="1993.55"/>
    <n v="2290.4499999999998"/>
  </r>
  <r>
    <x v="3"/>
    <s v="E8585"/>
    <x v="8"/>
    <n v="40"/>
    <n v="3.5"/>
    <n v="0"/>
    <n v="7.5"/>
    <n v="68"/>
    <n v="88.4"/>
    <n v="115.6"/>
    <n v="68"/>
    <n v="0"/>
    <n v="51"/>
    <n v="3539.4"/>
    <n v="30"/>
    <n v="45"/>
    <n v="60"/>
    <n v="30"/>
    <n v="1582.5"/>
    <n v="1956.9"/>
  </r>
  <r>
    <x v="3"/>
    <s v="E8650"/>
    <x v="9"/>
    <n v="40"/>
    <n v="3.25"/>
    <n v="11"/>
    <n v="5.5"/>
    <n v="54"/>
    <n v="70.2"/>
    <n v="91.8"/>
    <n v="54"/>
    <n v="0"/>
    <n v="59.75"/>
    <n v="3694.95"/>
    <n v="27"/>
    <n v="40.5"/>
    <n v="54"/>
    <n v="27"/>
    <n v="1954.13"/>
    <n v="1740.8199999999997"/>
  </r>
  <r>
    <x v="4"/>
    <s v="E8022"/>
    <x v="0"/>
    <n v="37"/>
    <n v="0"/>
    <n v="0"/>
    <n v="5"/>
    <n v="72"/>
    <n v="93.600000000000009"/>
    <n v="122.39999999999999"/>
    <n v="72"/>
    <n v="0"/>
    <n v="42"/>
    <n v="3024"/>
    <n v="60"/>
    <n v="78"/>
    <n v="102"/>
    <n v="60"/>
    <n v="2520"/>
    <n v="504"/>
  </r>
  <r>
    <x v="4"/>
    <s v="E8031"/>
    <x v="1"/>
    <n v="40"/>
    <n v="0"/>
    <n v="0"/>
    <n v="0"/>
    <n v="72"/>
    <n v="93.600000000000009"/>
    <n v="122.39999999999999"/>
    <n v="72"/>
    <n v="0"/>
    <n v="40"/>
    <n v="2880"/>
    <n v="57"/>
    <n v="74.100000000000009"/>
    <n v="96.899999999999991"/>
    <n v="57"/>
    <n v="2280"/>
    <n v="600"/>
  </r>
  <r>
    <x v="4"/>
    <s v="E8041"/>
    <x v="2"/>
    <n v="2.5"/>
    <n v="0"/>
    <n v="0"/>
    <n v="2.5"/>
    <n v="68"/>
    <n v="88.4"/>
    <n v="115.6"/>
    <n v="68"/>
    <n v="0"/>
    <n v="5"/>
    <n v="340"/>
    <n v="55"/>
    <n v="71.5"/>
    <n v="93.5"/>
    <n v="55"/>
    <n v="275"/>
    <n v="65"/>
  </r>
  <r>
    <x v="4"/>
    <s v="E8174"/>
    <x v="3"/>
    <n v="40"/>
    <n v="29.5"/>
    <n v="0"/>
    <n v="0"/>
    <n v="68"/>
    <n v="88.4"/>
    <n v="115.6"/>
    <n v="68"/>
    <n v="0"/>
    <n v="69.5"/>
    <n v="5327.8"/>
    <n v="35"/>
    <n v="52.5"/>
    <n v="70"/>
    <n v="35"/>
    <n v="2948.75"/>
    <n v="2379.0500000000002"/>
  </r>
  <r>
    <x v="4"/>
    <s v="E8190"/>
    <x v="4"/>
    <n v="40"/>
    <n v="2.75"/>
    <n v="0"/>
    <n v="4"/>
    <n v="68"/>
    <n v="88.4"/>
    <n v="115.6"/>
    <n v="68"/>
    <n v="0"/>
    <n v="46.75"/>
    <n v="3235.1"/>
    <n v="39"/>
    <n v="58.5"/>
    <n v="78"/>
    <n v="39"/>
    <n v="1876.88"/>
    <n v="1358.2199999999998"/>
  </r>
  <r>
    <x v="4"/>
    <s v="E8395"/>
    <x v="5"/>
    <n v="0"/>
    <n v="0"/>
    <n v="0"/>
    <n v="0"/>
    <n v="68"/>
    <n v="88.4"/>
    <n v="115.6"/>
    <n v="68"/>
    <n v="0"/>
    <n v="0"/>
    <n v="0"/>
    <n v="36"/>
    <n v="54"/>
    <n v="72"/>
    <n v="36"/>
    <n v="0"/>
    <n v="0"/>
  </r>
  <r>
    <x v="4"/>
    <s v="E8473"/>
    <x v="6"/>
    <n v="36"/>
    <n v="0"/>
    <n v="0"/>
    <n v="6"/>
    <n v="68"/>
    <n v="88.4"/>
    <n v="115.6"/>
    <n v="68"/>
    <n v="0"/>
    <n v="42"/>
    <n v="2856"/>
    <n v="36"/>
    <n v="54"/>
    <n v="72"/>
    <n v="36"/>
    <n v="1512"/>
    <n v="1344"/>
  </r>
  <r>
    <x v="4"/>
    <s v="E8585"/>
    <x v="7"/>
    <n v="40"/>
    <n v="7.75"/>
    <n v="12"/>
    <n v="12"/>
    <n v="68"/>
    <n v="88.4"/>
    <n v="115.6"/>
    <n v="68"/>
    <n v="0"/>
    <n v="71.75"/>
    <n v="5608.3"/>
    <n v="30.67"/>
    <n v="46.005000000000003"/>
    <n v="61.34"/>
    <n v="30.67"/>
    <n v="2687.46"/>
    <n v="2920.84"/>
  </r>
  <r>
    <x v="4"/>
    <s v="E8585"/>
    <x v="8"/>
    <n v="40"/>
    <n v="4"/>
    <n v="0"/>
    <n v="0"/>
    <n v="68"/>
    <n v="88.4"/>
    <n v="115.6"/>
    <n v="68"/>
    <n v="0"/>
    <n v="44"/>
    <n v="3073.6"/>
    <n v="30"/>
    <n v="45"/>
    <n v="60"/>
    <n v="30"/>
    <n v="1380"/>
    <n v="1693.6"/>
  </r>
  <r>
    <x v="4"/>
    <s v="E8650"/>
    <x v="9"/>
    <n v="40"/>
    <n v="28.5"/>
    <n v="11.5"/>
    <n v="0"/>
    <n v="54"/>
    <n v="70.2"/>
    <n v="91.8"/>
    <n v="54"/>
    <n v="0"/>
    <n v="80"/>
    <n v="5216.3999999999996"/>
    <n v="27"/>
    <n v="40.5"/>
    <n v="54"/>
    <n v="27"/>
    <n v="2855.25"/>
    <n v="2361.1499999999996"/>
  </r>
  <r>
    <x v="5"/>
    <s v="E8022"/>
    <x v="0"/>
    <n v="40"/>
    <n v="5"/>
    <n v="0"/>
    <n v="3"/>
    <n v="72"/>
    <n v="93.600000000000009"/>
    <n v="122.39999999999999"/>
    <n v="72"/>
    <n v="0"/>
    <n v="48"/>
    <n v="3564"/>
    <n v="60"/>
    <n v="78"/>
    <n v="102"/>
    <n v="60"/>
    <n v="2970"/>
    <n v="594"/>
  </r>
  <r>
    <x v="5"/>
    <s v="E8031"/>
    <x v="1"/>
    <n v="30.5"/>
    <n v="0"/>
    <n v="0"/>
    <n v="0"/>
    <n v="72"/>
    <n v="93.600000000000009"/>
    <n v="122.39999999999999"/>
    <n v="72"/>
    <n v="0"/>
    <n v="30.5"/>
    <n v="2196"/>
    <n v="57"/>
    <n v="74.100000000000009"/>
    <n v="96.899999999999991"/>
    <n v="57"/>
    <n v="1738.5"/>
    <n v="457.5"/>
  </r>
  <r>
    <x v="5"/>
    <s v="E8041"/>
    <x v="2"/>
    <n v="6.75"/>
    <n v="0"/>
    <n v="0"/>
    <n v="2.5"/>
    <n v="68"/>
    <n v="88.4"/>
    <n v="115.6"/>
    <n v="68"/>
    <n v="0"/>
    <n v="9.25"/>
    <n v="629"/>
    <n v="55"/>
    <n v="71.5"/>
    <n v="93.5"/>
    <n v="55"/>
    <n v="508.75"/>
    <n v="120.25"/>
  </r>
  <r>
    <x v="5"/>
    <s v="E8174"/>
    <x v="3"/>
    <n v="40"/>
    <n v="17"/>
    <n v="0"/>
    <n v="0"/>
    <n v="68"/>
    <n v="88.4"/>
    <n v="115.6"/>
    <n v="68"/>
    <n v="0"/>
    <n v="57"/>
    <n v="4222.8"/>
    <n v="35"/>
    <n v="52.5"/>
    <n v="70"/>
    <n v="35"/>
    <n v="2292.5"/>
    <n v="1930.3000000000002"/>
  </r>
  <r>
    <x v="5"/>
    <s v="E8190"/>
    <x v="4"/>
    <n v="32"/>
    <n v="0"/>
    <n v="0"/>
    <n v="8"/>
    <n v="68"/>
    <n v="88.4"/>
    <n v="115.6"/>
    <n v="68"/>
    <n v="0"/>
    <n v="40"/>
    <n v="2720"/>
    <n v="39"/>
    <n v="58.5"/>
    <n v="78"/>
    <n v="39"/>
    <n v="1560"/>
    <n v="1160"/>
  </r>
  <r>
    <x v="5"/>
    <s v="E8395"/>
    <x v="5"/>
    <n v="12"/>
    <n v="0"/>
    <n v="9.5"/>
    <n v="3.5"/>
    <n v="68"/>
    <n v="88.4"/>
    <n v="115.6"/>
    <n v="68"/>
    <n v="0"/>
    <n v="25"/>
    <n v="2152.1999999999998"/>
    <n v="36"/>
    <n v="54"/>
    <n v="72"/>
    <n v="36"/>
    <n v="1242"/>
    <n v="910.19999999999982"/>
  </r>
  <r>
    <x v="5"/>
    <s v="E8473"/>
    <x v="6"/>
    <n v="32.5"/>
    <n v="0"/>
    <n v="12"/>
    <n v="17.25"/>
    <n v="68"/>
    <n v="88.4"/>
    <n v="115.6"/>
    <n v="68"/>
    <n v="0"/>
    <n v="61.75"/>
    <n v="4770.2"/>
    <n v="36"/>
    <n v="54"/>
    <n v="72"/>
    <n v="36"/>
    <n v="2655"/>
    <n v="2115.1999999999998"/>
  </r>
  <r>
    <x v="5"/>
    <s v="E8585"/>
    <x v="7"/>
    <n v="40"/>
    <n v="7.5"/>
    <n v="0.5"/>
    <n v="12.5"/>
    <n v="68"/>
    <n v="88.4"/>
    <n v="115.6"/>
    <n v="68"/>
    <n v="0"/>
    <n v="60.5"/>
    <n v="4290.8"/>
    <n v="30.67"/>
    <n v="46.005000000000003"/>
    <n v="61.34"/>
    <n v="30.67"/>
    <n v="1985.88"/>
    <n v="2304.92"/>
  </r>
  <r>
    <x v="5"/>
    <s v="E8585"/>
    <x v="8"/>
    <n v="40"/>
    <n v="5.5"/>
    <n v="0"/>
    <n v="0"/>
    <n v="68"/>
    <n v="88.4"/>
    <n v="115.6"/>
    <n v="68"/>
    <n v="0"/>
    <n v="45.5"/>
    <n v="3206.2"/>
    <n v="30"/>
    <n v="45"/>
    <n v="60"/>
    <n v="30"/>
    <n v="1447.5"/>
    <n v="1758.6999999999998"/>
  </r>
  <r>
    <x v="5"/>
    <s v="E8650"/>
    <x v="9"/>
    <n v="37.25"/>
    <n v="0"/>
    <n v="0"/>
    <n v="4"/>
    <n v="54"/>
    <n v="70.2"/>
    <n v="91.8"/>
    <n v="54"/>
    <n v="0"/>
    <n v="41.25"/>
    <n v="2227.5"/>
    <n v="27"/>
    <n v="40.5"/>
    <n v="54"/>
    <n v="27"/>
    <n v="1113.75"/>
    <n v="1113.75"/>
  </r>
  <r>
    <x v="6"/>
    <s v="E8022"/>
    <x v="0"/>
    <n v="38"/>
    <n v="0"/>
    <n v="0"/>
    <n v="12"/>
    <n v="72"/>
    <n v="93.600000000000009"/>
    <n v="122.39999999999999"/>
    <n v="72"/>
    <n v="0"/>
    <n v="50"/>
    <n v="3600"/>
    <n v="60"/>
    <n v="78"/>
    <n v="102"/>
    <n v="60"/>
    <n v="3000"/>
    <n v="600"/>
  </r>
  <r>
    <x v="6"/>
    <s v="E8031"/>
    <x v="1"/>
    <n v="40"/>
    <n v="0.25"/>
    <n v="3.5"/>
    <n v="4"/>
    <n v="72"/>
    <n v="93.600000000000009"/>
    <n v="122.39999999999999"/>
    <n v="72"/>
    <n v="0"/>
    <n v="47.75"/>
    <n v="3619.8"/>
    <n v="57"/>
    <n v="74.100000000000009"/>
    <n v="96.899999999999991"/>
    <n v="57"/>
    <n v="2865.68"/>
    <n v="754.12000000000035"/>
  </r>
  <r>
    <x v="6"/>
    <s v="E8041"/>
    <x v="2"/>
    <n v="0"/>
    <n v="0"/>
    <n v="0"/>
    <n v="0"/>
    <n v="68"/>
    <n v="88.4"/>
    <n v="115.6"/>
    <n v="68"/>
    <n v="0"/>
    <n v="0"/>
    <n v="0"/>
    <n v="55"/>
    <n v="71.5"/>
    <n v="93.5"/>
    <n v="55"/>
    <n v="0"/>
    <n v="0"/>
  </r>
  <r>
    <x v="6"/>
    <s v="E8174"/>
    <x v="3"/>
    <n v="40"/>
    <n v="20"/>
    <n v="0"/>
    <n v="0"/>
    <n v="68"/>
    <n v="88.4"/>
    <n v="115.6"/>
    <n v="68"/>
    <n v="0"/>
    <n v="60"/>
    <n v="4488"/>
    <n v="35"/>
    <n v="52.5"/>
    <n v="70"/>
    <n v="35"/>
    <n v="2450"/>
    <n v="2038"/>
  </r>
  <r>
    <x v="6"/>
    <s v="E8190"/>
    <x v="4"/>
    <n v="40"/>
    <n v="6.5"/>
    <n v="0"/>
    <n v="4"/>
    <n v="68"/>
    <n v="88.4"/>
    <n v="115.6"/>
    <n v="68"/>
    <n v="0"/>
    <n v="50.5"/>
    <n v="3566.6"/>
    <n v="39"/>
    <n v="58.5"/>
    <n v="78"/>
    <n v="39"/>
    <n v="2096.25"/>
    <n v="1470.35"/>
  </r>
  <r>
    <x v="6"/>
    <s v="E8395"/>
    <x v="5"/>
    <n v="40"/>
    <n v="0"/>
    <n v="0"/>
    <n v="13.25"/>
    <n v="68"/>
    <n v="88.4"/>
    <n v="115.6"/>
    <n v="68"/>
    <n v="0"/>
    <n v="53.25"/>
    <n v="3621"/>
    <n v="36"/>
    <n v="54"/>
    <n v="72"/>
    <n v="36"/>
    <n v="1917"/>
    <n v="1704"/>
  </r>
  <r>
    <x v="6"/>
    <s v="E8473"/>
    <x v="6"/>
    <n v="40"/>
    <n v="8"/>
    <n v="0.5"/>
    <n v="9"/>
    <n v="68"/>
    <n v="88.4"/>
    <n v="115.6"/>
    <n v="68"/>
    <n v="0"/>
    <n v="57.5"/>
    <n v="4097"/>
    <n v="36"/>
    <n v="54"/>
    <n v="72"/>
    <n v="36"/>
    <n v="2232"/>
    <n v="1865"/>
  </r>
  <r>
    <x v="6"/>
    <s v="E8585"/>
    <x v="7"/>
    <n v="40"/>
    <n v="18.25"/>
    <n v="12"/>
    <n v="12"/>
    <n v="68"/>
    <n v="88.4"/>
    <n v="115.6"/>
    <n v="68"/>
    <n v="0"/>
    <n v="82.25"/>
    <n v="6536.5"/>
    <n v="30.67"/>
    <n v="46.005000000000003"/>
    <n v="61.34"/>
    <n v="30.67"/>
    <n v="3170.51"/>
    <n v="3365.99"/>
  </r>
  <r>
    <x v="6"/>
    <s v="E8585"/>
    <x v="8"/>
    <n v="40"/>
    <n v="8"/>
    <n v="0"/>
    <n v="0"/>
    <n v="68"/>
    <n v="88.4"/>
    <n v="115.6"/>
    <n v="68"/>
    <n v="0"/>
    <n v="48"/>
    <n v="3427.2"/>
    <n v="30"/>
    <n v="45"/>
    <n v="60"/>
    <n v="30"/>
    <n v="1560"/>
    <n v="1867.1999999999998"/>
  </r>
  <r>
    <x v="6"/>
    <s v="E8650"/>
    <x v="9"/>
    <n v="40"/>
    <n v="2.5"/>
    <n v="0"/>
    <n v="0"/>
    <n v="54"/>
    <n v="70.2"/>
    <n v="91.8"/>
    <n v="54"/>
    <n v="0"/>
    <n v="42.5"/>
    <n v="2335.5"/>
    <n v="27"/>
    <n v="40.5"/>
    <n v="54"/>
    <n v="27"/>
    <n v="1181.25"/>
    <n v="1154.25"/>
  </r>
  <r>
    <x v="7"/>
    <s v="E8022"/>
    <x v="0"/>
    <n v="40"/>
    <n v="20.5"/>
    <n v="8"/>
    <n v="11.5"/>
    <n v="72"/>
    <n v="93.600000000000009"/>
    <n v="122.39999999999999"/>
    <n v="72"/>
    <n v="0"/>
    <n v="80"/>
    <n v="6606"/>
    <n v="60"/>
    <n v="78"/>
    <n v="102"/>
    <n v="60"/>
    <n v="5505"/>
    <n v="1101"/>
  </r>
  <r>
    <x v="7"/>
    <s v="E8031"/>
    <x v="1"/>
    <n v="40"/>
    <n v="10.75"/>
    <n v="10"/>
    <n v="0"/>
    <n v="72"/>
    <n v="93.600000000000009"/>
    <n v="122.39999999999999"/>
    <n v="72"/>
    <n v="0"/>
    <n v="60.75"/>
    <n v="5110.2"/>
    <n v="57"/>
    <n v="74.100000000000009"/>
    <n v="96.899999999999991"/>
    <n v="57"/>
    <n v="4045.58"/>
    <n v="1064.6199999999999"/>
  </r>
  <r>
    <x v="7"/>
    <s v="E8041"/>
    <x v="2"/>
    <n v="6.5"/>
    <n v="0"/>
    <n v="0"/>
    <n v="2.5"/>
    <n v="68"/>
    <n v="88.4"/>
    <n v="115.6"/>
    <n v="68"/>
    <n v="0"/>
    <n v="9"/>
    <n v="612"/>
    <n v="55"/>
    <n v="71.5"/>
    <n v="93.5"/>
    <n v="55"/>
    <n v="495"/>
    <n v="117"/>
  </r>
  <r>
    <x v="7"/>
    <s v="E8174"/>
    <x v="3"/>
    <n v="40"/>
    <n v="17"/>
    <n v="0"/>
    <n v="0"/>
    <n v="68"/>
    <n v="88.4"/>
    <n v="115.6"/>
    <n v="68"/>
    <n v="0"/>
    <n v="57"/>
    <n v="4222.8"/>
    <n v="35"/>
    <n v="52.5"/>
    <n v="70"/>
    <n v="35"/>
    <n v="2292.5"/>
    <n v="1930.3000000000002"/>
  </r>
  <r>
    <x v="7"/>
    <s v="E8190"/>
    <x v="4"/>
    <n v="40"/>
    <n v="15.5"/>
    <n v="10"/>
    <n v="0"/>
    <n v="68"/>
    <n v="88.4"/>
    <n v="115.6"/>
    <n v="68"/>
    <n v="0"/>
    <n v="65.5"/>
    <n v="5246.2"/>
    <n v="39"/>
    <n v="58.5"/>
    <n v="78"/>
    <n v="39"/>
    <n v="3246.75"/>
    <n v="1999.4499999999998"/>
  </r>
  <r>
    <x v="7"/>
    <s v="E8395"/>
    <x v="5"/>
    <n v="40"/>
    <n v="20"/>
    <n v="0"/>
    <n v="11"/>
    <n v="68"/>
    <n v="88.4"/>
    <n v="115.6"/>
    <n v="68"/>
    <n v="0"/>
    <n v="71"/>
    <n v="5236"/>
    <n v="36"/>
    <n v="54"/>
    <n v="72"/>
    <n v="36"/>
    <n v="2916"/>
    <n v="2320"/>
  </r>
  <r>
    <x v="7"/>
    <s v="E8473"/>
    <x v="6"/>
    <n v="33"/>
    <n v="0"/>
    <n v="0"/>
    <n v="8"/>
    <n v="68"/>
    <n v="88.4"/>
    <n v="115.6"/>
    <n v="68"/>
    <n v="0"/>
    <n v="41"/>
    <n v="2788"/>
    <n v="36"/>
    <n v="54"/>
    <n v="72"/>
    <n v="36"/>
    <n v="1476"/>
    <n v="1312"/>
  </r>
  <r>
    <x v="7"/>
    <s v="E8585"/>
    <x v="7"/>
    <n v="40"/>
    <n v="20"/>
    <n v="0.5"/>
    <n v="0"/>
    <n v="68"/>
    <n v="88.4"/>
    <n v="115.6"/>
    <n v="68"/>
    <n v="0"/>
    <n v="60.5"/>
    <n v="4545.8"/>
    <n v="30.67"/>
    <n v="46.005000000000003"/>
    <n v="61.34"/>
    <n v="30.67"/>
    <n v="2177.5700000000002"/>
    <n v="2368.23"/>
  </r>
  <r>
    <x v="7"/>
    <s v="E8585"/>
    <x v="8"/>
    <n v="40"/>
    <n v="6.5"/>
    <n v="0"/>
    <n v="8"/>
    <n v="68"/>
    <n v="88.4"/>
    <n v="115.6"/>
    <n v="68"/>
    <n v="0"/>
    <n v="54.5"/>
    <n v="3838.6"/>
    <n v="30"/>
    <n v="45"/>
    <n v="60"/>
    <n v="30"/>
    <n v="1732.5"/>
    <n v="2106.1"/>
  </r>
  <r>
    <x v="7"/>
    <s v="E8650"/>
    <x v="9"/>
    <n v="32.5"/>
    <n v="0"/>
    <n v="0"/>
    <n v="14"/>
    <n v="54"/>
    <n v="70.2"/>
    <n v="91.8"/>
    <n v="54"/>
    <n v="0"/>
    <n v="46.5"/>
    <n v="2511"/>
    <n v="27"/>
    <n v="40.5"/>
    <n v="54"/>
    <n v="27"/>
    <n v="1255.5"/>
    <n v="1255.5"/>
  </r>
  <r>
    <x v="8"/>
    <s v="E8022"/>
    <x v="0"/>
    <n v="12"/>
    <n v="0"/>
    <n v="0"/>
    <n v="13"/>
    <n v="72"/>
    <n v="93.600000000000009"/>
    <n v="122.39999999999999"/>
    <n v="72"/>
    <n v="0"/>
    <n v="25"/>
    <n v="1800"/>
    <n v="60"/>
    <n v="78"/>
    <n v="102"/>
    <n v="60"/>
    <n v="1500"/>
    <n v="300"/>
  </r>
  <r>
    <x v="8"/>
    <s v="E8031"/>
    <x v="1"/>
    <n v="0"/>
    <n v="0"/>
    <n v="0"/>
    <n v="4"/>
    <n v="72"/>
    <n v="93.600000000000009"/>
    <n v="122.39999999999999"/>
    <n v="72"/>
    <n v="0"/>
    <n v="4"/>
    <n v="288"/>
    <n v="57"/>
    <n v="74.100000000000009"/>
    <n v="96.899999999999991"/>
    <n v="57"/>
    <n v="228"/>
    <n v="60"/>
  </r>
  <r>
    <x v="8"/>
    <s v="E8041"/>
    <x v="2"/>
    <n v="0"/>
    <n v="0"/>
    <n v="0"/>
    <n v="0"/>
    <n v="68"/>
    <n v="88.4"/>
    <n v="115.6"/>
    <n v="68"/>
    <n v="0"/>
    <n v="0"/>
    <n v="0"/>
    <n v="55"/>
    <n v="71.5"/>
    <n v="93.5"/>
    <n v="55"/>
    <n v="0"/>
    <n v="0"/>
  </r>
  <r>
    <x v="8"/>
    <s v="E8174"/>
    <x v="3"/>
    <n v="12"/>
    <n v="0"/>
    <n v="0"/>
    <n v="0"/>
    <n v="68"/>
    <n v="88.4"/>
    <n v="115.6"/>
    <n v="68"/>
    <n v="0"/>
    <n v="12"/>
    <n v="816"/>
    <n v="35"/>
    <n v="52.5"/>
    <n v="70"/>
    <n v="35"/>
    <n v="420"/>
    <n v="396"/>
  </r>
  <r>
    <x v="8"/>
    <s v="E8190"/>
    <x v="4"/>
    <n v="8"/>
    <n v="0"/>
    <n v="0"/>
    <n v="4"/>
    <n v="68"/>
    <n v="88.4"/>
    <n v="115.6"/>
    <n v="68"/>
    <n v="0"/>
    <n v="12"/>
    <n v="816"/>
    <n v="39"/>
    <n v="58.5"/>
    <n v="78"/>
    <n v="39"/>
    <n v="468"/>
    <n v="348"/>
  </r>
  <r>
    <x v="8"/>
    <s v="E8395"/>
    <x v="5"/>
    <n v="0"/>
    <n v="0"/>
    <n v="0"/>
    <n v="0"/>
    <n v="68"/>
    <n v="88.4"/>
    <n v="115.6"/>
    <n v="68"/>
    <n v="0"/>
    <n v="0"/>
    <n v="0"/>
    <n v="36"/>
    <n v="54"/>
    <n v="72"/>
    <n v="36"/>
    <n v="0"/>
    <n v="0"/>
  </r>
  <r>
    <x v="8"/>
    <s v="E8473"/>
    <x v="6"/>
    <n v="0"/>
    <n v="0"/>
    <n v="0"/>
    <n v="0"/>
    <n v="68"/>
    <n v="88.4"/>
    <n v="115.6"/>
    <n v="68"/>
    <n v="0"/>
    <n v="0"/>
    <n v="0"/>
    <n v="36"/>
    <n v="54"/>
    <n v="72"/>
    <n v="36"/>
    <n v="0"/>
    <n v="0"/>
  </r>
  <r>
    <x v="8"/>
    <s v="E8585"/>
    <x v="7"/>
    <n v="0"/>
    <n v="0"/>
    <n v="0"/>
    <n v="0"/>
    <n v="68"/>
    <n v="88.4"/>
    <n v="115.6"/>
    <n v="68"/>
    <n v="0"/>
    <n v="0"/>
    <n v="0"/>
    <n v="30.67"/>
    <n v="46.005000000000003"/>
    <n v="61.34"/>
    <n v="30.67"/>
    <n v="0"/>
    <n v="0"/>
  </r>
  <r>
    <x v="8"/>
    <s v="E8585"/>
    <x v="8"/>
    <n v="23.5"/>
    <n v="0"/>
    <n v="0"/>
    <n v="0"/>
    <n v="68"/>
    <n v="88.4"/>
    <n v="115.6"/>
    <n v="68"/>
    <n v="0"/>
    <n v="23.5"/>
    <n v="1598"/>
    <n v="30"/>
    <n v="45"/>
    <n v="60"/>
    <n v="30"/>
    <n v="705"/>
    <n v="893"/>
  </r>
  <r>
    <x v="8"/>
    <s v="E8650"/>
    <x v="9"/>
    <n v="11.5"/>
    <n v="0"/>
    <n v="0"/>
    <n v="0"/>
    <n v="54"/>
    <n v="70.2"/>
    <n v="91.8"/>
    <n v="54"/>
    <n v="0"/>
    <n v="11.5"/>
    <n v="621"/>
    <n v="27"/>
    <n v="40.5"/>
    <n v="54"/>
    <n v="27"/>
    <n v="310.5"/>
    <n v="310.5"/>
  </r>
  <r>
    <x v="9"/>
    <s v="E8022"/>
    <x v="0"/>
    <n v="0"/>
    <n v="0"/>
    <n v="0"/>
    <n v="0"/>
    <n v="72"/>
    <n v="93.600000000000009"/>
    <n v="122.39999999999999"/>
    <n v="72"/>
    <n v="0"/>
    <n v="0"/>
    <n v="0"/>
    <n v="60"/>
    <n v="78"/>
    <n v="102"/>
    <n v="60"/>
    <n v="0"/>
    <n v="0"/>
  </r>
  <r>
    <x v="9"/>
    <s v="E8031"/>
    <x v="1"/>
    <n v="0"/>
    <n v="0"/>
    <n v="0"/>
    <n v="0"/>
    <n v="72"/>
    <n v="93.600000000000009"/>
    <n v="122.39999999999999"/>
    <n v="72"/>
    <n v="0"/>
    <n v="0"/>
    <n v="0"/>
    <n v="57"/>
    <n v="74.100000000000009"/>
    <n v="96.899999999999991"/>
    <n v="57"/>
    <n v="0"/>
    <n v="0"/>
  </r>
  <r>
    <x v="9"/>
    <s v="E8041"/>
    <x v="2"/>
    <n v="0"/>
    <n v="0"/>
    <n v="0"/>
    <n v="0"/>
    <n v="68"/>
    <n v="88.4"/>
    <n v="115.6"/>
    <n v="68"/>
    <n v="0"/>
    <n v="0"/>
    <n v="0"/>
    <n v="55"/>
    <n v="71.5"/>
    <n v="93.5"/>
    <n v="55"/>
    <n v="0"/>
    <n v="0"/>
  </r>
  <r>
    <x v="9"/>
    <s v="E8174"/>
    <x v="3"/>
    <n v="0"/>
    <n v="0"/>
    <n v="0"/>
    <n v="0"/>
    <n v="68"/>
    <n v="88.4"/>
    <n v="115.6"/>
    <n v="68"/>
    <n v="0"/>
    <n v="0"/>
    <n v="0"/>
    <n v="35"/>
    <n v="52.5"/>
    <n v="70"/>
    <n v="35"/>
    <n v="0"/>
    <n v="0"/>
  </r>
  <r>
    <x v="9"/>
    <s v="E8190"/>
    <x v="4"/>
    <n v="0"/>
    <n v="0"/>
    <n v="0"/>
    <n v="0"/>
    <n v="68"/>
    <n v="88.4"/>
    <n v="115.6"/>
    <n v="68"/>
    <n v="0"/>
    <n v="0"/>
    <n v="0"/>
    <n v="39"/>
    <n v="58.5"/>
    <n v="78"/>
    <n v="39"/>
    <n v="0"/>
    <n v="0"/>
  </r>
  <r>
    <x v="9"/>
    <s v="E8395"/>
    <x v="5"/>
    <n v="0"/>
    <n v="0"/>
    <n v="0"/>
    <n v="0"/>
    <n v="68"/>
    <n v="88.4"/>
    <n v="115.6"/>
    <n v="68"/>
    <n v="0"/>
    <n v="0"/>
    <n v="0"/>
    <n v="36"/>
    <n v="54"/>
    <n v="72"/>
    <n v="36"/>
    <n v="0"/>
    <n v="0"/>
  </r>
  <r>
    <x v="9"/>
    <s v="E8473"/>
    <x v="6"/>
    <n v="0"/>
    <n v="0"/>
    <n v="0"/>
    <n v="0"/>
    <n v="68"/>
    <n v="88.4"/>
    <n v="115.6"/>
    <n v="68"/>
    <n v="0"/>
    <n v="0"/>
    <n v="0"/>
    <n v="36"/>
    <n v="54"/>
    <n v="72"/>
    <n v="36"/>
    <n v="0"/>
    <n v="0"/>
  </r>
  <r>
    <x v="9"/>
    <s v="E8585"/>
    <x v="7"/>
    <n v="0"/>
    <n v="0"/>
    <n v="13.25"/>
    <n v="0"/>
    <n v="68"/>
    <n v="88.4"/>
    <n v="115.6"/>
    <n v="68"/>
    <n v="0"/>
    <n v="13.25"/>
    <n v="1531.7"/>
    <n v="30.67"/>
    <n v="46.005000000000003"/>
    <n v="61.34"/>
    <n v="30.67"/>
    <n v="812.76"/>
    <n v="718.94"/>
  </r>
  <r>
    <x v="9"/>
    <s v="E8585"/>
    <x v="8"/>
    <n v="0"/>
    <n v="0"/>
    <n v="0"/>
    <n v="0"/>
    <n v="68"/>
    <n v="88.4"/>
    <n v="115.6"/>
    <n v="68"/>
    <n v="0"/>
    <n v="0"/>
    <n v="0"/>
    <n v="30"/>
    <n v="45"/>
    <n v="60"/>
    <n v="30"/>
    <n v="0"/>
    <n v="0"/>
  </r>
  <r>
    <x v="9"/>
    <s v="E8650"/>
    <x v="9"/>
    <n v="0"/>
    <n v="0"/>
    <n v="0"/>
    <n v="0"/>
    <n v="54"/>
    <n v="70.2"/>
    <n v="91.8"/>
    <n v="54"/>
    <n v="0"/>
    <n v="0"/>
    <n v="0"/>
    <n v="27"/>
    <n v="40.5"/>
    <n v="54"/>
    <n v="27"/>
    <n v="0"/>
    <n v="0"/>
  </r>
  <r>
    <x v="10"/>
    <s v="E8022"/>
    <x v="0"/>
    <n v="40"/>
    <n v="20"/>
    <n v="8"/>
    <n v="12"/>
    <n v="72"/>
    <n v="93.600000000000009"/>
    <n v="122.39999999999999"/>
    <n v="72"/>
    <n v="0"/>
    <n v="80"/>
    <n v="6595.2"/>
    <n v="60"/>
    <n v="78"/>
    <n v="102"/>
    <n v="60"/>
    <n v="5496"/>
    <n v="1099.1999999999998"/>
  </r>
  <r>
    <x v="10"/>
    <s v="E8031"/>
    <x v="1"/>
    <n v="40"/>
    <n v="15.5"/>
    <n v="0"/>
    <n v="4"/>
    <n v="72"/>
    <n v="93.600000000000009"/>
    <n v="122.39999999999999"/>
    <n v="72"/>
    <n v="0"/>
    <n v="59.5"/>
    <n v="4618.8"/>
    <n v="57"/>
    <n v="74.100000000000009"/>
    <n v="96.899999999999991"/>
    <n v="57"/>
    <n v="3656.55"/>
    <n v="962.25"/>
  </r>
  <r>
    <x v="10"/>
    <s v="E8041"/>
    <x v="2"/>
    <n v="0"/>
    <n v="0"/>
    <n v="0"/>
    <n v="0"/>
    <n v="68"/>
    <n v="88.4"/>
    <n v="115.6"/>
    <n v="68"/>
    <n v="0"/>
    <n v="0"/>
    <n v="0"/>
    <n v="55"/>
    <n v="71.5"/>
    <n v="93.5"/>
    <n v="55"/>
    <n v="0"/>
    <n v="0"/>
  </r>
  <r>
    <x v="10"/>
    <s v="E8174"/>
    <x v="3"/>
    <n v="40"/>
    <n v="12.5"/>
    <n v="1"/>
    <n v="0"/>
    <n v="68"/>
    <n v="88.4"/>
    <n v="115.6"/>
    <n v="68"/>
    <n v="0"/>
    <n v="53.5"/>
    <n v="3940.6"/>
    <n v="35"/>
    <n v="52.5"/>
    <n v="70"/>
    <n v="35"/>
    <n v="2126.25"/>
    <n v="1814.35"/>
  </r>
  <r>
    <x v="10"/>
    <s v="E8190"/>
    <x v="4"/>
    <n v="40"/>
    <n v="2"/>
    <n v="0"/>
    <n v="4"/>
    <n v="68"/>
    <n v="88.4"/>
    <n v="115.6"/>
    <n v="68"/>
    <n v="0"/>
    <n v="46"/>
    <n v="3168.8"/>
    <n v="39"/>
    <n v="58.5"/>
    <n v="78"/>
    <n v="39"/>
    <n v="1833"/>
    <n v="1335.8000000000002"/>
  </r>
  <r>
    <x v="10"/>
    <s v="E8395"/>
    <x v="5"/>
    <n v="40"/>
    <n v="20"/>
    <n v="12"/>
    <n v="9.25"/>
    <n v="68"/>
    <n v="88.4"/>
    <n v="115.6"/>
    <n v="68"/>
    <n v="0"/>
    <n v="81.25"/>
    <n v="6504.2"/>
    <n v="36"/>
    <n v="54"/>
    <n v="72"/>
    <n v="36"/>
    <n v="3717"/>
    <n v="2787.2"/>
  </r>
  <r>
    <x v="10"/>
    <s v="E8473"/>
    <x v="6"/>
    <n v="19.5"/>
    <n v="0"/>
    <n v="0"/>
    <n v="2"/>
    <n v="68"/>
    <n v="88.4"/>
    <n v="115.6"/>
    <n v="68"/>
    <n v="0"/>
    <n v="21.5"/>
    <n v="1462"/>
    <n v="36"/>
    <n v="54"/>
    <n v="72"/>
    <n v="36"/>
    <n v="774"/>
    <n v="688"/>
  </r>
  <r>
    <x v="10"/>
    <s v="E8585"/>
    <x v="7"/>
    <n v="40"/>
    <n v="32"/>
    <n v="8"/>
    <n v="0"/>
    <n v="68"/>
    <n v="88.4"/>
    <n v="115.6"/>
    <n v="68"/>
    <n v="0"/>
    <n v="80"/>
    <n v="6473.6"/>
    <n v="30.67"/>
    <n v="46.005000000000003"/>
    <n v="61.34"/>
    <n v="30.67"/>
    <n v="3189.68"/>
    <n v="3283.9200000000005"/>
  </r>
  <r>
    <x v="10"/>
    <s v="E8585"/>
    <x v="8"/>
    <n v="40"/>
    <n v="27.25"/>
    <n v="0"/>
    <n v="0"/>
    <n v="68"/>
    <n v="88.4"/>
    <n v="115.6"/>
    <n v="68"/>
    <n v="0"/>
    <n v="67.25"/>
    <n v="5128.8999999999996"/>
    <n v="30"/>
    <n v="45"/>
    <n v="60"/>
    <n v="30"/>
    <n v="2426.25"/>
    <n v="2702.6499999999996"/>
  </r>
  <r>
    <x v="10"/>
    <s v="E8650"/>
    <x v="9"/>
    <n v="40"/>
    <n v="20"/>
    <n v="12"/>
    <n v="9.25"/>
    <n v="54"/>
    <n v="70.2"/>
    <n v="91.8"/>
    <n v="54"/>
    <n v="0"/>
    <n v="81.25"/>
    <n v="5165.1000000000004"/>
    <n v="27"/>
    <n v="40.5"/>
    <n v="54"/>
    <n v="27"/>
    <n v="2787.75"/>
    <n v="2377.3500000000004"/>
  </r>
  <r>
    <x v="11"/>
    <s v="E8022"/>
    <x v="0"/>
    <n v="40"/>
    <n v="8"/>
    <n v="0"/>
    <n v="12"/>
    <n v="72"/>
    <n v="93.600000000000009"/>
    <n v="122.39999999999999"/>
    <n v="72"/>
    <n v="0"/>
    <n v="60"/>
    <n v="4492.8"/>
    <n v="60"/>
    <n v="78"/>
    <n v="102"/>
    <n v="60"/>
    <n v="3744"/>
    <n v="748.80000000000018"/>
  </r>
  <r>
    <x v="11"/>
    <s v="E8031"/>
    <x v="1"/>
    <n v="40"/>
    <n v="4"/>
    <n v="12"/>
    <n v="3"/>
    <n v="72"/>
    <n v="93.600000000000009"/>
    <n v="122.39999999999999"/>
    <n v="72"/>
    <n v="0"/>
    <n v="59"/>
    <n v="4939.2"/>
    <n v="57"/>
    <n v="74.100000000000009"/>
    <n v="96.899999999999991"/>
    <n v="57"/>
    <n v="3910.2"/>
    <n v="1029"/>
  </r>
  <r>
    <x v="11"/>
    <s v="E8041"/>
    <x v="2"/>
    <n v="0"/>
    <n v="0"/>
    <n v="0"/>
    <n v="0"/>
    <n v="68"/>
    <n v="88.4"/>
    <n v="115.6"/>
    <n v="68"/>
    <n v="0"/>
    <n v="0"/>
    <n v="0"/>
    <n v="55"/>
    <n v="71.5"/>
    <n v="93.5"/>
    <n v="55"/>
    <n v="0"/>
    <n v="0"/>
  </r>
  <r>
    <x v="11"/>
    <s v="E8174"/>
    <x v="3"/>
    <n v="40"/>
    <n v="0"/>
    <n v="0"/>
    <n v="0"/>
    <n v="68"/>
    <n v="88.4"/>
    <n v="115.6"/>
    <n v="68"/>
    <n v="0"/>
    <n v="40"/>
    <n v="2720"/>
    <n v="35"/>
    <n v="52.5"/>
    <n v="70"/>
    <n v="35"/>
    <n v="1400"/>
    <n v="1320"/>
  </r>
  <r>
    <x v="11"/>
    <s v="E8190"/>
    <x v="4"/>
    <n v="40"/>
    <n v="6"/>
    <n v="0"/>
    <n v="0"/>
    <n v="68"/>
    <n v="88.4"/>
    <n v="115.6"/>
    <n v="68"/>
    <n v="0"/>
    <n v="46"/>
    <n v="3250.4"/>
    <n v="39"/>
    <n v="58.5"/>
    <n v="78"/>
    <n v="39"/>
    <n v="1911"/>
    <n v="1339.4"/>
  </r>
  <r>
    <x v="11"/>
    <s v="E8395"/>
    <x v="5"/>
    <n v="40"/>
    <n v="8"/>
    <n v="0"/>
    <n v="8.5"/>
    <n v="68"/>
    <n v="88.4"/>
    <n v="115.6"/>
    <n v="68"/>
    <n v="0"/>
    <n v="56.5"/>
    <n v="4005.2"/>
    <n v="36"/>
    <n v="54"/>
    <n v="72"/>
    <n v="36"/>
    <n v="2178"/>
    <n v="1827.1999999999998"/>
  </r>
  <r>
    <x v="11"/>
    <s v="E8473"/>
    <x v="6"/>
    <n v="10.25"/>
    <n v="0"/>
    <n v="0"/>
    <n v="0"/>
    <n v="68"/>
    <n v="88.4"/>
    <n v="115.6"/>
    <n v="68"/>
    <n v="0"/>
    <n v="10.25"/>
    <n v="697"/>
    <n v="36"/>
    <n v="54"/>
    <n v="72"/>
    <n v="36"/>
    <n v="369"/>
    <n v="328"/>
  </r>
  <r>
    <x v="11"/>
    <s v="E8585"/>
    <x v="7"/>
    <n v="40"/>
    <n v="8"/>
    <n v="0"/>
    <n v="12"/>
    <n v="68"/>
    <n v="88.4"/>
    <n v="115.6"/>
    <n v="68"/>
    <n v="0"/>
    <n v="60"/>
    <n v="4243.2"/>
    <n v="30.67"/>
    <n v="46.005000000000003"/>
    <n v="61.34"/>
    <n v="30.67"/>
    <n v="1962.88"/>
    <n v="2280.3199999999997"/>
  </r>
  <r>
    <x v="11"/>
    <s v="E8585"/>
    <x v="8"/>
    <n v="40"/>
    <n v="7.75"/>
    <n v="0"/>
    <n v="0"/>
    <n v="68"/>
    <n v="88.4"/>
    <n v="115.6"/>
    <n v="68"/>
    <n v="0"/>
    <n v="47.75"/>
    <n v="3405.1"/>
    <n v="30"/>
    <n v="45"/>
    <n v="60"/>
    <n v="30"/>
    <n v="1548.75"/>
    <n v="1856.35"/>
  </r>
  <r>
    <x v="11"/>
    <s v="E8650"/>
    <x v="9"/>
    <n v="40"/>
    <n v="8"/>
    <n v="0"/>
    <n v="8.5"/>
    <n v="54"/>
    <n v="70.2"/>
    <n v="91.8"/>
    <n v="54"/>
    <n v="0"/>
    <n v="56.5"/>
    <n v="3180.6"/>
    <n v="27"/>
    <n v="40.5"/>
    <n v="54"/>
    <n v="27"/>
    <n v="1633.5"/>
    <n v="1547.1"/>
  </r>
  <r>
    <x v="12"/>
    <s v="E8022"/>
    <x v="0"/>
    <n v="48"/>
    <n v="20"/>
    <n v="0"/>
    <n v="11"/>
    <n v="72"/>
    <n v="93.600000000000009"/>
    <n v="122.39999999999999"/>
    <n v="72"/>
    <n v="0"/>
    <n v="79"/>
    <n v="6120"/>
    <n v="60"/>
    <n v="78"/>
    <n v="102"/>
    <n v="60"/>
    <n v="5100"/>
    <n v="1020"/>
  </r>
  <r>
    <x v="12"/>
    <s v="E8031"/>
    <x v="1"/>
    <n v="40"/>
    <n v="22"/>
    <n v="12"/>
    <n v="6"/>
    <n v="72"/>
    <n v="93.600000000000009"/>
    <n v="122.39999999999999"/>
    <n v="72"/>
    <n v="0"/>
    <n v="80"/>
    <n v="6840"/>
    <n v="57"/>
    <n v="74.100000000000009"/>
    <n v="96.899999999999991"/>
    <n v="57"/>
    <n v="5415"/>
    <n v="1425"/>
  </r>
  <r>
    <x v="12"/>
    <s v="E8041"/>
    <x v="2"/>
    <n v="0"/>
    <n v="0"/>
    <n v="0"/>
    <n v="0"/>
    <n v="68"/>
    <n v="88.4"/>
    <n v="115.6"/>
    <n v="68"/>
    <n v="0"/>
    <n v="0"/>
    <n v="0"/>
    <n v="55"/>
    <n v="71.5"/>
    <n v="93.5"/>
    <n v="55"/>
    <n v="0"/>
    <n v="0"/>
  </r>
  <r>
    <x v="12"/>
    <s v="E8174"/>
    <x v="3"/>
    <n v="40"/>
    <n v="0"/>
    <n v="0"/>
    <n v="0"/>
    <n v="68"/>
    <n v="88.4"/>
    <n v="115.6"/>
    <n v="68"/>
    <n v="0"/>
    <n v="40"/>
    <n v="2720"/>
    <n v="35"/>
    <n v="52.5"/>
    <n v="70"/>
    <n v="35"/>
    <n v="1400"/>
    <n v="1320"/>
  </r>
  <r>
    <x v="12"/>
    <s v="E8190"/>
    <x v="4"/>
    <n v="40"/>
    <n v="14.5"/>
    <n v="12"/>
    <n v="4"/>
    <n v="68"/>
    <n v="88.4"/>
    <n v="115.6"/>
    <n v="68"/>
    <n v="0"/>
    <n v="70.5"/>
    <n v="5661"/>
    <n v="39"/>
    <n v="58.5"/>
    <n v="78"/>
    <n v="39"/>
    <n v="3500.25"/>
    <n v="2160.75"/>
  </r>
  <r>
    <x v="12"/>
    <s v="E8395"/>
    <x v="5"/>
    <n v="40"/>
    <n v="9.5"/>
    <n v="0"/>
    <n v="8"/>
    <n v="68"/>
    <n v="88.4"/>
    <n v="115.6"/>
    <n v="68"/>
    <n v="0"/>
    <n v="57.5"/>
    <n v="4103.8"/>
    <n v="36"/>
    <n v="54"/>
    <n v="72"/>
    <n v="36"/>
    <n v="2241"/>
    <n v="1862.8000000000002"/>
  </r>
  <r>
    <x v="12"/>
    <s v="E8473"/>
    <x v="6"/>
    <n v="0"/>
    <n v="0"/>
    <n v="0"/>
    <n v="0"/>
    <n v="68"/>
    <n v="88.4"/>
    <n v="115.6"/>
    <n v="68"/>
    <n v="0"/>
    <n v="0"/>
    <n v="0"/>
    <n v="36"/>
    <n v="54"/>
    <n v="72"/>
    <n v="36"/>
    <n v="0"/>
    <n v="0"/>
  </r>
  <r>
    <x v="12"/>
    <s v="E8585"/>
    <x v="7"/>
    <n v="48"/>
    <n v="20"/>
    <n v="0"/>
    <n v="11"/>
    <n v="68"/>
    <n v="88.4"/>
    <n v="115.6"/>
    <n v="68"/>
    <n v="0"/>
    <n v="79"/>
    <n v="5780"/>
    <n v="30.67"/>
    <n v="46.005000000000003"/>
    <n v="61.34"/>
    <n v="30.67"/>
    <n v="2729.63"/>
    <n v="3050.37"/>
  </r>
  <r>
    <x v="12"/>
    <s v="E8585"/>
    <x v="8"/>
    <n v="40"/>
    <n v="1.75"/>
    <n v="0"/>
    <n v="0"/>
    <n v="68"/>
    <n v="88.4"/>
    <n v="115.6"/>
    <n v="68"/>
    <n v="0"/>
    <n v="41.75"/>
    <n v="2874.7"/>
    <n v="30"/>
    <n v="45"/>
    <n v="60"/>
    <n v="30"/>
    <n v="1278.75"/>
    <n v="1595.9499999999998"/>
  </r>
  <r>
    <x v="12"/>
    <s v="E8650"/>
    <x v="9"/>
    <n v="40"/>
    <n v="9.75"/>
    <n v="0"/>
    <n v="0"/>
    <n v="54"/>
    <n v="70.2"/>
    <n v="91.8"/>
    <n v="54"/>
    <n v="0"/>
    <n v="49.75"/>
    <n v="2844.45"/>
    <n v="27"/>
    <n v="40.5"/>
    <n v="54"/>
    <n v="27"/>
    <n v="1474.88"/>
    <n v="1369.5699999999997"/>
  </r>
  <r>
    <x v="13"/>
    <s v="E8022"/>
    <x v="0"/>
    <n v="40"/>
    <n v="4"/>
    <n v="0"/>
    <n v="11.75"/>
    <n v="72"/>
    <n v="93.600000000000009"/>
    <n v="122.39999999999999"/>
    <n v="72"/>
    <n v="0"/>
    <n v="55.75"/>
    <n v="4100.3999999999996"/>
    <n v="60"/>
    <n v="78"/>
    <n v="102"/>
    <n v="60"/>
    <n v="3417"/>
    <n v="683.39999999999964"/>
  </r>
  <r>
    <x v="13"/>
    <s v="E8031"/>
    <x v="1"/>
    <n v="39"/>
    <n v="0"/>
    <n v="0"/>
    <n v="4"/>
    <n v="72"/>
    <n v="93.600000000000009"/>
    <n v="122.39999999999999"/>
    <n v="72"/>
    <n v="0"/>
    <n v="43"/>
    <n v="3096"/>
    <n v="57"/>
    <n v="74.100000000000009"/>
    <n v="96.899999999999991"/>
    <n v="57"/>
    <n v="2451"/>
    <n v="645"/>
  </r>
  <r>
    <x v="13"/>
    <s v="E8041"/>
    <x v="2"/>
    <n v="0"/>
    <n v="0"/>
    <n v="0"/>
    <n v="0"/>
    <n v="68"/>
    <n v="88.4"/>
    <n v="115.6"/>
    <n v="68"/>
    <n v="0"/>
    <n v="0"/>
    <n v="0"/>
    <n v="55"/>
    <n v="71.5"/>
    <n v="93.5"/>
    <n v="55"/>
    <n v="0"/>
    <n v="0"/>
  </r>
  <r>
    <x v="13"/>
    <s v="E8174"/>
    <x v="3"/>
    <n v="40"/>
    <n v="0"/>
    <n v="0"/>
    <n v="0"/>
    <n v="68"/>
    <n v="88.4"/>
    <n v="115.6"/>
    <n v="68"/>
    <n v="0"/>
    <n v="40"/>
    <n v="2720"/>
    <n v="35"/>
    <n v="52.5"/>
    <n v="70"/>
    <n v="35"/>
    <n v="1400"/>
    <n v="1320"/>
  </r>
  <r>
    <x v="13"/>
    <s v="E8190"/>
    <x v="4"/>
    <n v="40"/>
    <n v="2.25"/>
    <n v="0"/>
    <n v="4"/>
    <n v="68"/>
    <n v="88.4"/>
    <n v="115.6"/>
    <n v="68"/>
    <n v="0"/>
    <n v="46.25"/>
    <n v="3190.9"/>
    <n v="39"/>
    <n v="58.5"/>
    <n v="78"/>
    <n v="39"/>
    <n v="1847.63"/>
    <n v="1343.27"/>
  </r>
  <r>
    <x v="13"/>
    <s v="E8395"/>
    <x v="5"/>
    <n v="40"/>
    <n v="11.75"/>
    <n v="0"/>
    <n v="0"/>
    <n v="68"/>
    <n v="88.4"/>
    <n v="115.6"/>
    <n v="68"/>
    <n v="0"/>
    <n v="51.75"/>
    <n v="3758.7"/>
    <n v="36"/>
    <n v="54"/>
    <n v="72"/>
    <n v="36"/>
    <n v="2074.5"/>
    <n v="1684.1999999999998"/>
  </r>
  <r>
    <x v="13"/>
    <s v="E8473"/>
    <x v="6"/>
    <n v="30.25"/>
    <n v="0"/>
    <n v="0"/>
    <n v="3"/>
    <n v="68"/>
    <n v="88.4"/>
    <n v="115.6"/>
    <n v="68"/>
    <n v="0"/>
    <n v="33.25"/>
    <n v="2261"/>
    <n v="36"/>
    <n v="54"/>
    <n v="72"/>
    <n v="36"/>
    <n v="1197"/>
    <n v="1064"/>
  </r>
  <r>
    <x v="13"/>
    <s v="E8585"/>
    <x v="7"/>
    <n v="40"/>
    <n v="6"/>
    <n v="0"/>
    <n v="11.75"/>
    <n v="68"/>
    <n v="88.4"/>
    <n v="115.6"/>
    <n v="68"/>
    <n v="0"/>
    <n v="57.75"/>
    <n v="4049.4"/>
    <n v="30.67"/>
    <n v="46.005000000000003"/>
    <n v="61.34"/>
    <n v="30.67"/>
    <n v="1863.2"/>
    <n v="2186.1999999999998"/>
  </r>
  <r>
    <x v="13"/>
    <s v="E8585"/>
    <x v="8"/>
    <n v="40"/>
    <n v="2"/>
    <n v="0"/>
    <n v="0"/>
    <n v="68"/>
    <n v="88.4"/>
    <n v="115.6"/>
    <n v="68"/>
    <n v="0"/>
    <n v="42"/>
    <n v="2896.8"/>
    <n v="30"/>
    <n v="45"/>
    <n v="60"/>
    <n v="30"/>
    <n v="1290"/>
    <n v="1606.8000000000002"/>
  </r>
  <r>
    <x v="13"/>
    <s v="E8650"/>
    <x v="9"/>
    <n v="40"/>
    <n v="10.5"/>
    <n v="0"/>
    <n v="0"/>
    <n v="54"/>
    <n v="70.2"/>
    <n v="91.8"/>
    <n v="54"/>
    <n v="0"/>
    <n v="50.5"/>
    <n v="2897.1"/>
    <n v="27"/>
    <n v="40.5"/>
    <n v="54"/>
    <n v="27"/>
    <n v="1505.25"/>
    <n v="1391.85"/>
  </r>
  <r>
    <x v="14"/>
    <s v="E8022"/>
    <x v="0"/>
    <n v="40"/>
    <n v="10"/>
    <n v="0"/>
    <n v="8.5"/>
    <n v="72"/>
    <n v="93.600000000000009"/>
    <n v="122.39999999999999"/>
    <n v="72"/>
    <n v="0"/>
    <n v="58.5"/>
    <n v="4428"/>
    <n v="60"/>
    <n v="78"/>
    <n v="102"/>
    <n v="60"/>
    <n v="3690"/>
    <n v="738"/>
  </r>
  <r>
    <x v="14"/>
    <s v="E8031"/>
    <x v="1"/>
    <n v="39"/>
    <n v="0"/>
    <n v="0"/>
    <n v="0"/>
    <n v="72"/>
    <n v="93.600000000000009"/>
    <n v="122.39999999999999"/>
    <n v="72"/>
    <n v="0"/>
    <n v="39"/>
    <n v="2808"/>
    <n v="57"/>
    <n v="74.100000000000009"/>
    <n v="96.899999999999991"/>
    <n v="57"/>
    <n v="2223"/>
    <n v="585"/>
  </r>
  <r>
    <x v="14"/>
    <s v="E8041"/>
    <x v="2"/>
    <n v="0"/>
    <n v="0"/>
    <n v="0"/>
    <n v="0"/>
    <n v="68"/>
    <n v="88.4"/>
    <n v="115.6"/>
    <n v="68"/>
    <n v="0"/>
    <n v="0"/>
    <n v="0"/>
    <n v="55"/>
    <n v="71.5"/>
    <n v="93.5"/>
    <n v="55"/>
    <n v="0"/>
    <n v="0"/>
  </r>
  <r>
    <x v="14"/>
    <s v="E8174"/>
    <x v="3"/>
    <n v="40"/>
    <n v="0"/>
    <n v="0"/>
    <n v="0"/>
    <n v="68"/>
    <n v="88.4"/>
    <n v="115.6"/>
    <n v="68"/>
    <n v="0"/>
    <n v="40"/>
    <n v="2720"/>
    <n v="35"/>
    <n v="52.5"/>
    <n v="70"/>
    <n v="35"/>
    <n v="1400"/>
    <n v="1320"/>
  </r>
  <r>
    <x v="14"/>
    <s v="E8190"/>
    <x v="4"/>
    <n v="40"/>
    <n v="13.25"/>
    <n v="0"/>
    <n v="0"/>
    <n v="68"/>
    <n v="88.4"/>
    <n v="115.6"/>
    <n v="68"/>
    <n v="0"/>
    <n v="53.25"/>
    <n v="3891.3"/>
    <n v="39"/>
    <n v="58.5"/>
    <n v="78"/>
    <n v="39"/>
    <n v="2335.13"/>
    <n v="1556.17"/>
  </r>
  <r>
    <x v="14"/>
    <s v="E8395"/>
    <x v="5"/>
    <n v="40"/>
    <n v="5"/>
    <n v="0"/>
    <n v="0"/>
    <n v="68"/>
    <n v="88.4"/>
    <n v="115.6"/>
    <n v="68"/>
    <n v="0"/>
    <n v="45"/>
    <n v="3162"/>
    <n v="36"/>
    <n v="54"/>
    <n v="72"/>
    <n v="36"/>
    <n v="1710"/>
    <n v="1452"/>
  </r>
  <r>
    <x v="14"/>
    <s v="E8473"/>
    <x v="6"/>
    <n v="40"/>
    <n v="20"/>
    <n v="12"/>
    <n v="9"/>
    <n v="68"/>
    <n v="88.4"/>
    <n v="115.6"/>
    <n v="68"/>
    <n v="0"/>
    <n v="81"/>
    <n v="6487.2"/>
    <n v="36"/>
    <n v="54"/>
    <n v="72"/>
    <n v="36"/>
    <n v="3708"/>
    <n v="2779.2"/>
  </r>
  <r>
    <x v="14"/>
    <s v="E8585"/>
    <x v="7"/>
    <n v="40"/>
    <n v="6.5"/>
    <n v="0"/>
    <n v="0"/>
    <n v="68"/>
    <n v="88.4"/>
    <n v="115.6"/>
    <n v="68"/>
    <n v="0"/>
    <n v="46.5"/>
    <n v="3294.6"/>
    <n v="30.67"/>
    <n v="46.005000000000003"/>
    <n v="61.34"/>
    <n v="30.67"/>
    <n v="1525.83"/>
    <n v="1768.77"/>
  </r>
  <r>
    <x v="14"/>
    <s v="E8585"/>
    <x v="8"/>
    <n v="40"/>
    <n v="9.25"/>
    <n v="0"/>
    <n v="8.5"/>
    <n v="68"/>
    <n v="88.4"/>
    <n v="115.6"/>
    <n v="68"/>
    <n v="0"/>
    <n v="57.75"/>
    <n v="4115.7"/>
    <n v="30"/>
    <n v="45"/>
    <n v="60"/>
    <n v="30"/>
    <n v="1871.25"/>
    <n v="2244.4499999999998"/>
  </r>
  <r>
    <x v="14"/>
    <s v="E8650"/>
    <x v="9"/>
    <n v="40"/>
    <n v="4.75"/>
    <n v="0"/>
    <n v="0"/>
    <n v="54"/>
    <n v="70.2"/>
    <n v="91.8"/>
    <n v="54"/>
    <n v="0"/>
    <n v="44.75"/>
    <n v="2493.4499999999998"/>
    <n v="27"/>
    <n v="40.5"/>
    <n v="54"/>
    <n v="27"/>
    <n v="1272.3800000000001"/>
    <n v="1221.0699999999997"/>
  </r>
  <r>
    <x v="15"/>
    <s v="E8022"/>
    <x v="0"/>
    <n v="40"/>
    <n v="4.75"/>
    <n v="0"/>
    <n v="0"/>
    <n v="72"/>
    <n v="93.600000000000009"/>
    <n v="122.39999999999999"/>
    <n v="72"/>
    <n v="0"/>
    <n v="44.75"/>
    <n v="3324.6"/>
    <n v="60"/>
    <n v="78"/>
    <n v="102"/>
    <n v="60"/>
    <n v="2770.5"/>
    <n v="554.09999999999991"/>
  </r>
  <r>
    <x v="15"/>
    <s v="E8031"/>
    <x v="1"/>
    <n v="24"/>
    <n v="0"/>
    <n v="0"/>
    <n v="0"/>
    <n v="72"/>
    <n v="93.600000000000009"/>
    <n v="122.39999999999999"/>
    <n v="72"/>
    <n v="0"/>
    <n v="24"/>
    <n v="1728"/>
    <n v="57"/>
    <n v="74.100000000000009"/>
    <n v="96.899999999999991"/>
    <n v="57"/>
    <n v="1368"/>
    <n v="360"/>
  </r>
  <r>
    <x v="15"/>
    <s v="E8041"/>
    <x v="2"/>
    <n v="0"/>
    <n v="0"/>
    <n v="0"/>
    <n v="0"/>
    <n v="72"/>
    <n v="93.600000000000009"/>
    <n v="122.39999999999999"/>
    <n v="72"/>
    <n v="0"/>
    <n v="0"/>
    <n v="0"/>
    <n v="55"/>
    <n v="71.5"/>
    <n v="93.5"/>
    <n v="55"/>
    <n v="0"/>
    <n v="0"/>
  </r>
  <r>
    <x v="15"/>
    <s v="E8174"/>
    <x v="3"/>
    <n v="40"/>
    <n v="0"/>
    <n v="0"/>
    <n v="0"/>
    <n v="72"/>
    <n v="93.600000000000009"/>
    <n v="122.39999999999999"/>
    <n v="72"/>
    <n v="0"/>
    <n v="40"/>
    <n v="2880"/>
    <n v="35"/>
    <n v="52.5"/>
    <n v="70"/>
    <n v="35"/>
    <n v="1400"/>
    <n v="1480"/>
  </r>
  <r>
    <x v="15"/>
    <s v="E8190"/>
    <x v="4"/>
    <n v="40"/>
    <n v="16.25"/>
    <n v="0"/>
    <n v="0"/>
    <n v="72"/>
    <n v="93.600000000000009"/>
    <n v="122.39999999999999"/>
    <n v="72"/>
    <n v="0"/>
    <n v="56.25"/>
    <n v="4401"/>
    <n v="39"/>
    <n v="58.5"/>
    <n v="78"/>
    <n v="39"/>
    <n v="2510.63"/>
    <n v="1890.37"/>
  </r>
  <r>
    <x v="15"/>
    <s v="E8395"/>
    <x v="5"/>
    <n v="40"/>
    <n v="17.5"/>
    <n v="8"/>
    <n v="4"/>
    <n v="72"/>
    <n v="93.600000000000009"/>
    <n v="122.39999999999999"/>
    <n v="72"/>
    <n v="0"/>
    <n v="69.5"/>
    <n v="5785.2"/>
    <n v="36"/>
    <n v="54"/>
    <n v="72"/>
    <n v="36"/>
    <n v="3105"/>
    <n v="2680.2"/>
  </r>
  <r>
    <x v="15"/>
    <s v="E8473"/>
    <x v="6"/>
    <n v="40"/>
    <n v="8"/>
    <n v="0"/>
    <n v="9.5"/>
    <n v="72"/>
    <n v="93.600000000000009"/>
    <n v="122.39999999999999"/>
    <n v="72"/>
    <n v="0"/>
    <n v="57.5"/>
    <n v="4312.8"/>
    <n v="36"/>
    <n v="54"/>
    <n v="72"/>
    <n v="36"/>
    <n v="2214"/>
    <n v="2098.8000000000002"/>
  </r>
  <r>
    <x v="15"/>
    <s v="E8585"/>
    <x v="7"/>
    <n v="40"/>
    <n v="8.25"/>
    <n v="8"/>
    <n v="0"/>
    <n v="72"/>
    <n v="93.600000000000009"/>
    <n v="122.39999999999999"/>
    <n v="72"/>
    <n v="0"/>
    <n v="56.25"/>
    <n v="4631.3999999999996"/>
    <n v="30.67"/>
    <n v="46.005000000000003"/>
    <n v="61.34"/>
    <n v="30.67"/>
    <n v="2097.06"/>
    <n v="2534.3399999999997"/>
  </r>
  <r>
    <x v="15"/>
    <s v="E8585"/>
    <x v="8"/>
    <n v="40"/>
    <n v="11"/>
    <n v="8"/>
    <n v="0"/>
    <n v="72"/>
    <n v="93.600000000000009"/>
    <n v="122.39999999999999"/>
    <n v="72"/>
    <n v="0"/>
    <n v="59"/>
    <n v="4888.8"/>
    <n v="30"/>
    <n v="45"/>
    <n v="60"/>
    <n v="30"/>
    <n v="2175"/>
    <n v="2713.8"/>
  </r>
  <r>
    <x v="15"/>
    <s v="E8650"/>
    <x v="9"/>
    <n v="40"/>
    <n v="18"/>
    <n v="8"/>
    <n v="0"/>
    <n v="54"/>
    <n v="70.2"/>
    <n v="91.8"/>
    <n v="54"/>
    <n v="0"/>
    <n v="66"/>
    <n v="4158"/>
    <n v="27"/>
    <n v="40.5"/>
    <n v="54"/>
    <n v="27"/>
    <n v="2241"/>
    <n v="1917"/>
  </r>
  <r>
    <x v="16"/>
    <s v="E8022"/>
    <x v="0"/>
    <n v="40"/>
    <n v="7.5"/>
    <n v="0"/>
    <n v="0"/>
    <n v="72"/>
    <n v="93.600000000000009"/>
    <n v="122.39999999999999"/>
    <n v="72"/>
    <n v="0"/>
    <n v="47.5"/>
    <n v="3582"/>
    <n v="60"/>
    <n v="78"/>
    <n v="102"/>
    <n v="60"/>
    <n v="2985"/>
    <n v="597"/>
  </r>
  <r>
    <x v="16"/>
    <s v="E8031"/>
    <x v="1"/>
    <n v="0"/>
    <n v="0"/>
    <n v="0"/>
    <n v="0"/>
    <n v="72"/>
    <n v="93.600000000000009"/>
    <n v="122.39999999999999"/>
    <n v="72"/>
    <n v="0"/>
    <n v="0"/>
    <n v="0"/>
    <n v="57"/>
    <n v="74.100000000000009"/>
    <n v="96.899999999999991"/>
    <n v="57"/>
    <n v="0"/>
    <n v="0"/>
  </r>
  <r>
    <x v="16"/>
    <s v="E8041"/>
    <x v="2"/>
    <n v="0"/>
    <n v="0"/>
    <n v="0"/>
    <n v="0"/>
    <n v="72"/>
    <n v="93.600000000000009"/>
    <n v="122.39999999999999"/>
    <n v="72"/>
    <n v="0"/>
    <n v="0"/>
    <n v="0"/>
    <n v="55"/>
    <n v="71.5"/>
    <n v="93.5"/>
    <n v="55"/>
    <n v="0"/>
    <n v="0"/>
  </r>
  <r>
    <x v="16"/>
    <s v="E8174"/>
    <x v="3"/>
    <n v="35"/>
    <n v="0"/>
    <n v="0"/>
    <n v="0"/>
    <n v="72"/>
    <n v="93.600000000000009"/>
    <n v="122.39999999999999"/>
    <n v="72"/>
    <n v="0"/>
    <n v="35"/>
    <n v="2520"/>
    <n v="35"/>
    <n v="52.5"/>
    <n v="70"/>
    <n v="35"/>
    <n v="1225"/>
    <n v="1295"/>
  </r>
  <r>
    <x v="16"/>
    <s v="E8190"/>
    <x v="4"/>
    <n v="40"/>
    <n v="14.25"/>
    <n v="0"/>
    <n v="0"/>
    <n v="72"/>
    <n v="93.600000000000009"/>
    <n v="122.39999999999999"/>
    <n v="72"/>
    <n v="0"/>
    <n v="54.25"/>
    <n v="4213.8"/>
    <n v="39"/>
    <n v="58.5"/>
    <n v="78"/>
    <n v="39"/>
    <n v="2393.63"/>
    <n v="1820.17"/>
  </r>
  <r>
    <x v="16"/>
    <s v="E8395"/>
    <x v="5"/>
    <n v="40"/>
    <n v="9.25"/>
    <n v="0"/>
    <n v="0"/>
    <n v="72"/>
    <n v="93.600000000000009"/>
    <n v="122.39999999999999"/>
    <n v="72"/>
    <n v="0"/>
    <n v="49.25"/>
    <n v="3745.8"/>
    <n v="36"/>
    <n v="54"/>
    <n v="72"/>
    <n v="36"/>
    <n v="1939.5"/>
    <n v="1806.3000000000002"/>
  </r>
  <r>
    <x v="16"/>
    <s v="E8473"/>
    <x v="6"/>
    <n v="11.5"/>
    <n v="0"/>
    <n v="0"/>
    <n v="12"/>
    <n v="72"/>
    <n v="93.600000000000009"/>
    <n v="122.39999999999999"/>
    <n v="72"/>
    <n v="0"/>
    <n v="23.5"/>
    <n v="1692"/>
    <n v="36"/>
    <n v="54"/>
    <n v="72"/>
    <n v="36"/>
    <n v="846"/>
    <n v="846"/>
  </r>
  <r>
    <x v="16"/>
    <s v="E8585"/>
    <x v="7"/>
    <n v="40"/>
    <n v="10.5"/>
    <n v="0"/>
    <n v="0"/>
    <n v="72"/>
    <n v="93.600000000000009"/>
    <n v="122.39999999999999"/>
    <n v="72"/>
    <n v="0"/>
    <n v="50.5"/>
    <n v="3862.8"/>
    <n v="30.67"/>
    <n v="46.005000000000003"/>
    <n v="61.34"/>
    <n v="30.67"/>
    <n v="1709.85"/>
    <n v="2152.9500000000003"/>
  </r>
  <r>
    <x v="16"/>
    <s v="E8585"/>
    <x v="8"/>
    <n v="37.5"/>
    <n v="4.75"/>
    <n v="0"/>
    <n v="0"/>
    <n v="72"/>
    <n v="93.600000000000009"/>
    <n v="122.39999999999999"/>
    <n v="72"/>
    <n v="0"/>
    <n v="42.25"/>
    <n v="3144.6"/>
    <n v="30"/>
    <n v="45"/>
    <n v="60"/>
    <n v="30"/>
    <n v="1338.75"/>
    <n v="1805.85"/>
  </r>
  <r>
    <x v="16"/>
    <s v="E8650"/>
    <x v="9"/>
    <n v="40"/>
    <n v="13.75"/>
    <n v="0"/>
    <n v="0"/>
    <n v="54"/>
    <n v="70.2"/>
    <n v="91.8"/>
    <n v="54"/>
    <n v="2"/>
    <n v="53.75"/>
    <n v="3125.25"/>
    <n v="27"/>
    <n v="40.5"/>
    <n v="54"/>
    <n v="27"/>
    <n v="1636.88"/>
    <n v="1488.37"/>
  </r>
  <r>
    <x v="17"/>
    <s v="E8022"/>
    <x v="0"/>
    <n v="40"/>
    <n v="7"/>
    <n v="0"/>
    <n v="0"/>
    <n v="72"/>
    <n v="93.600000000000009"/>
    <n v="122.39999999999999"/>
    <n v="72"/>
    <n v="0"/>
    <n v="47"/>
    <n v="3535.2"/>
    <n v="60"/>
    <n v="78"/>
    <n v="102"/>
    <n v="60"/>
    <n v="2946"/>
    <n v="589.19999999999982"/>
  </r>
  <r>
    <x v="17"/>
    <s v="E8031"/>
    <x v="1"/>
    <n v="0"/>
    <n v="0"/>
    <n v="0"/>
    <n v="0"/>
    <n v="72"/>
    <n v="93.600000000000009"/>
    <n v="122.39999999999999"/>
    <n v="72"/>
    <n v="0"/>
    <n v="0"/>
    <n v="0"/>
    <n v="57"/>
    <n v="74.100000000000009"/>
    <n v="96.899999999999991"/>
    <n v="57"/>
    <n v="0"/>
    <n v="0"/>
  </r>
  <r>
    <x v="17"/>
    <s v="E8041"/>
    <x v="2"/>
    <n v="0"/>
    <n v="0"/>
    <n v="0"/>
    <n v="0"/>
    <n v="72"/>
    <n v="93.600000000000009"/>
    <n v="122.39999999999999"/>
    <n v="72"/>
    <n v="0"/>
    <n v="0"/>
    <n v="0"/>
    <n v="55"/>
    <n v="71.5"/>
    <n v="93.5"/>
    <n v="55"/>
    <n v="0"/>
    <n v="0"/>
  </r>
  <r>
    <x v="17"/>
    <s v="E8174"/>
    <x v="3"/>
    <n v="40"/>
    <n v="0"/>
    <n v="0"/>
    <n v="0"/>
    <n v="72"/>
    <n v="93.600000000000009"/>
    <n v="122.39999999999999"/>
    <n v="72"/>
    <n v="0"/>
    <n v="40"/>
    <n v="2880"/>
    <n v="35"/>
    <n v="52.5"/>
    <n v="70"/>
    <n v="35"/>
    <n v="1400"/>
    <n v="1480"/>
  </r>
  <r>
    <x v="17"/>
    <s v="E8190"/>
    <x v="4"/>
    <n v="40"/>
    <n v="6.25"/>
    <n v="0"/>
    <n v="0"/>
    <n v="72"/>
    <n v="93.600000000000009"/>
    <n v="122.39999999999999"/>
    <n v="72"/>
    <n v="0"/>
    <n v="46.25"/>
    <n v="3465"/>
    <n v="39"/>
    <n v="58.5"/>
    <n v="78"/>
    <n v="39"/>
    <n v="1925.63"/>
    <n v="1539.37"/>
  </r>
  <r>
    <x v="17"/>
    <s v="E8395"/>
    <x v="5"/>
    <n v="28"/>
    <n v="9"/>
    <n v="12"/>
    <n v="15.5"/>
    <n v="72"/>
    <n v="93.600000000000009"/>
    <n v="122.39999999999999"/>
    <n v="72"/>
    <n v="0"/>
    <n v="64.5"/>
    <n v="5443.2"/>
    <n v="36"/>
    <n v="54"/>
    <n v="72"/>
    <n v="36"/>
    <n v="2916"/>
    <n v="2527.1999999999998"/>
  </r>
  <r>
    <x v="17"/>
    <s v="E8473"/>
    <x v="6"/>
    <n v="0"/>
    <n v="0"/>
    <n v="0"/>
    <n v="0"/>
    <n v="72"/>
    <n v="93.600000000000009"/>
    <n v="122.39999999999999"/>
    <n v="72"/>
    <n v="0"/>
    <n v="0"/>
    <n v="0"/>
    <n v="36"/>
    <n v="54"/>
    <n v="72"/>
    <n v="36"/>
    <n v="0"/>
    <n v="0"/>
  </r>
  <r>
    <x v="17"/>
    <s v="E8585"/>
    <x v="7"/>
    <n v="40"/>
    <n v="2.5"/>
    <n v="0"/>
    <n v="0"/>
    <n v="72"/>
    <n v="93.600000000000009"/>
    <n v="122.39999999999999"/>
    <n v="72"/>
    <n v="0"/>
    <n v="42.5"/>
    <n v="3114"/>
    <n v="30.67"/>
    <n v="46.005000000000003"/>
    <n v="61.34"/>
    <n v="30.67"/>
    <n v="1341.81"/>
    <n v="1772.19"/>
  </r>
  <r>
    <x v="17"/>
    <s v="E8585"/>
    <x v="8"/>
    <n v="21"/>
    <n v="0"/>
    <n v="8"/>
    <n v="4"/>
    <n v="72"/>
    <n v="93.600000000000009"/>
    <n v="122.39999999999999"/>
    <n v="72"/>
    <n v="0"/>
    <n v="33"/>
    <n v="2779.2"/>
    <n v="30"/>
    <n v="45"/>
    <n v="60"/>
    <n v="30"/>
    <n v="1230"/>
    <n v="1549.1999999999998"/>
  </r>
  <r>
    <x v="17"/>
    <s v="E8650"/>
    <x v="9"/>
    <n v="40"/>
    <n v="9"/>
    <n v="0"/>
    <n v="0"/>
    <n v="54"/>
    <n v="70.2"/>
    <n v="91.8"/>
    <n v="54"/>
    <n v="2"/>
    <n v="49"/>
    <n v="2791.8"/>
    <n v="27"/>
    <n v="40.5"/>
    <n v="54"/>
    <n v="27"/>
    <n v="1444.5"/>
    <n v="1347.3000000000002"/>
  </r>
  <r>
    <x v="18"/>
    <s v="E8022"/>
    <x v="0"/>
    <n v="40"/>
    <n v="4"/>
    <n v="0"/>
    <n v="0"/>
    <n v="72"/>
    <n v="93.600000000000009"/>
    <n v="122.39999999999999"/>
    <n v="72"/>
    <n v="0"/>
    <n v="44"/>
    <n v="3254.4"/>
    <n v="60"/>
    <n v="78"/>
    <n v="102"/>
    <n v="60"/>
    <n v="2712"/>
    <n v="542.40000000000009"/>
  </r>
  <r>
    <x v="18"/>
    <s v="E8031"/>
    <x v="1"/>
    <n v="24.75"/>
    <n v="0"/>
    <n v="0"/>
    <n v="0"/>
    <n v="72"/>
    <n v="93.600000000000009"/>
    <n v="122.39999999999999"/>
    <n v="72"/>
    <n v="0"/>
    <n v="24.75"/>
    <n v="1782"/>
    <n v="57"/>
    <n v="74.100000000000009"/>
    <n v="96.899999999999991"/>
    <n v="57"/>
    <n v="1410.75"/>
    <n v="371.25"/>
  </r>
  <r>
    <x v="18"/>
    <s v="E8041"/>
    <x v="2"/>
    <n v="0"/>
    <n v="0"/>
    <n v="0"/>
    <n v="0"/>
    <n v="72"/>
    <n v="93.600000000000009"/>
    <n v="122.39999999999999"/>
    <n v="72"/>
    <n v="0"/>
    <n v="0"/>
    <n v="0"/>
    <n v="55"/>
    <n v="71.5"/>
    <n v="93.5"/>
    <n v="55"/>
    <n v="0"/>
    <n v="0"/>
  </r>
  <r>
    <x v="18"/>
    <s v="E8174"/>
    <x v="3"/>
    <n v="40"/>
    <n v="4"/>
    <n v="0"/>
    <n v="0"/>
    <n v="72"/>
    <n v="93.600000000000009"/>
    <n v="122.39999999999999"/>
    <n v="72"/>
    <n v="0"/>
    <n v="44"/>
    <n v="3254.4"/>
    <n v="35"/>
    <n v="52.5"/>
    <n v="70"/>
    <n v="35"/>
    <n v="1610"/>
    <n v="1644.4"/>
  </r>
  <r>
    <x v="18"/>
    <s v="E8190"/>
    <x v="4"/>
    <n v="32"/>
    <n v="0"/>
    <n v="0"/>
    <n v="0"/>
    <n v="72"/>
    <n v="93.600000000000009"/>
    <n v="122.39999999999999"/>
    <n v="72"/>
    <n v="0"/>
    <n v="32"/>
    <n v="2304"/>
    <n v="39"/>
    <n v="58.5"/>
    <n v="78"/>
    <n v="39"/>
    <n v="1248"/>
    <n v="1056"/>
  </r>
  <r>
    <x v="18"/>
    <s v="E8395"/>
    <x v="5"/>
    <n v="30.5"/>
    <n v="0"/>
    <n v="0"/>
    <n v="13"/>
    <n v="72"/>
    <n v="93.600000000000009"/>
    <n v="122.39999999999999"/>
    <n v="72"/>
    <n v="0"/>
    <n v="43.5"/>
    <n v="3132"/>
    <n v="36"/>
    <n v="54"/>
    <n v="72"/>
    <n v="36"/>
    <n v="1566"/>
    <n v="1566"/>
  </r>
  <r>
    <x v="18"/>
    <s v="E8473"/>
    <x v="6"/>
    <n v="0"/>
    <n v="0"/>
    <n v="0"/>
    <n v="0"/>
    <n v="72"/>
    <n v="93.600000000000009"/>
    <n v="122.39999999999999"/>
    <n v="72"/>
    <n v="0"/>
    <n v="0"/>
    <n v="0"/>
    <n v="36"/>
    <n v="54"/>
    <n v="72"/>
    <n v="36"/>
    <n v="0"/>
    <n v="0"/>
  </r>
  <r>
    <x v="18"/>
    <s v="E8585"/>
    <x v="7"/>
    <n v="40"/>
    <n v="3"/>
    <n v="0"/>
    <n v="0"/>
    <n v="72"/>
    <n v="93.600000000000009"/>
    <n v="122.39999999999999"/>
    <n v="72"/>
    <n v="0"/>
    <n v="43"/>
    <n v="3160.8"/>
    <n v="30.67"/>
    <n v="46.005000000000003"/>
    <n v="61.34"/>
    <n v="30.67"/>
    <n v="1364.82"/>
    <n v="1795.9800000000002"/>
  </r>
  <r>
    <x v="18"/>
    <s v="E8585"/>
    <x v="8"/>
    <n v="39"/>
    <n v="12"/>
    <n v="12"/>
    <n v="5"/>
    <n v="72"/>
    <n v="93.600000000000009"/>
    <n v="122.39999999999999"/>
    <n v="72"/>
    <n v="0"/>
    <n v="68"/>
    <n v="5760"/>
    <n v="30"/>
    <n v="45"/>
    <n v="60"/>
    <n v="30"/>
    <n v="2580"/>
    <n v="3180"/>
  </r>
  <r>
    <x v="18"/>
    <s v="E8650"/>
    <x v="9"/>
    <n v="40"/>
    <n v="4"/>
    <n v="0"/>
    <n v="0"/>
    <n v="54"/>
    <n v="70.2"/>
    <n v="91.8"/>
    <n v="54"/>
    <n v="2"/>
    <n v="44"/>
    <n v="2440.8000000000002"/>
    <n v="27"/>
    <n v="40.5"/>
    <n v="54"/>
    <n v="27"/>
    <n v="1242"/>
    <n v="1198.8000000000002"/>
  </r>
  <r>
    <x v="19"/>
    <s v="E8022"/>
    <x v="0"/>
    <n v="40"/>
    <n v="16"/>
    <n v="0"/>
    <n v="0"/>
    <n v="72"/>
    <n v="93.600000000000009"/>
    <n v="122.39999999999999"/>
    <n v="72"/>
    <n v="0"/>
    <n v="56"/>
    <n v="4377.6000000000004"/>
    <n v="60"/>
    <n v="78"/>
    <n v="102"/>
    <n v="60"/>
    <n v="3648"/>
    <n v="729.60000000000036"/>
  </r>
  <r>
    <x v="19"/>
    <s v="E8031"/>
    <x v="1"/>
    <n v="40"/>
    <n v="5"/>
    <n v="0"/>
    <n v="0"/>
    <n v="72"/>
    <n v="93.600000000000009"/>
    <n v="122.39999999999999"/>
    <n v="72"/>
    <n v="0"/>
    <n v="45"/>
    <n v="3348"/>
    <n v="57"/>
    <n v="74.100000000000009"/>
    <n v="96.899999999999991"/>
    <n v="57"/>
    <n v="2650.5"/>
    <n v="697.5"/>
  </r>
  <r>
    <x v="19"/>
    <s v="E8041"/>
    <x v="2"/>
    <n v="0"/>
    <n v="0"/>
    <n v="0"/>
    <n v="0"/>
    <n v="72"/>
    <n v="93.600000000000009"/>
    <n v="122.39999999999999"/>
    <n v="72"/>
    <n v="0"/>
    <n v="0"/>
    <n v="0"/>
    <n v="55"/>
    <n v="71.5"/>
    <n v="93.5"/>
    <n v="55"/>
    <n v="0"/>
    <n v="0"/>
  </r>
  <r>
    <x v="19"/>
    <s v="E8174"/>
    <x v="3"/>
    <n v="40"/>
    <n v="0"/>
    <n v="0"/>
    <n v="0"/>
    <n v="72"/>
    <n v="93.600000000000009"/>
    <n v="122.39999999999999"/>
    <n v="72"/>
    <n v="0"/>
    <n v="40"/>
    <n v="2880"/>
    <n v="35"/>
    <n v="52.5"/>
    <n v="70"/>
    <n v="35"/>
    <n v="1400"/>
    <n v="1480"/>
  </r>
  <r>
    <x v="19"/>
    <s v="E8190"/>
    <x v="4"/>
    <n v="40"/>
    <n v="28.5"/>
    <n v="12"/>
    <n v="3.5"/>
    <n v="72"/>
    <n v="93.600000000000009"/>
    <n v="122.39999999999999"/>
    <n v="72"/>
    <n v="0"/>
    <n v="84"/>
    <n v="7268.4"/>
    <n v="39"/>
    <n v="58.5"/>
    <n v="78"/>
    <n v="39"/>
    <n v="4299.75"/>
    <n v="2968.6499999999996"/>
  </r>
  <r>
    <x v="19"/>
    <s v="E8395"/>
    <x v="5"/>
    <n v="40"/>
    <n v="28.5"/>
    <n v="12"/>
    <n v="3.5"/>
    <n v="72"/>
    <n v="93.600000000000009"/>
    <n v="122.39999999999999"/>
    <n v="72"/>
    <n v="0"/>
    <n v="84"/>
    <n v="7268.4"/>
    <n v="36"/>
    <n v="54"/>
    <n v="72"/>
    <n v="36"/>
    <n v="3969"/>
    <n v="3299.3999999999996"/>
  </r>
  <r>
    <x v="19"/>
    <s v="E8473"/>
    <x v="6"/>
    <n v="0"/>
    <n v="0"/>
    <n v="0"/>
    <n v="0"/>
    <n v="72"/>
    <n v="93.600000000000009"/>
    <n v="122.39999999999999"/>
    <n v="72"/>
    <n v="0"/>
    <n v="0"/>
    <n v="0"/>
    <n v="36"/>
    <n v="54"/>
    <n v="72"/>
    <n v="36"/>
    <n v="0"/>
    <n v="0"/>
  </r>
  <r>
    <x v="19"/>
    <s v="E8585"/>
    <x v="7"/>
    <n v="40"/>
    <n v="20.5"/>
    <n v="12"/>
    <n v="3.5"/>
    <n v="72"/>
    <n v="93.600000000000009"/>
    <n v="122.39999999999999"/>
    <n v="72"/>
    <n v="0"/>
    <n v="76"/>
    <n v="6519.6"/>
    <n v="30.67"/>
    <n v="46.005000000000003"/>
    <n v="61.34"/>
    <n v="30.67"/>
    <n v="3013.33"/>
    <n v="3506.2700000000004"/>
  </r>
  <r>
    <x v="19"/>
    <s v="E8585"/>
    <x v="8"/>
    <n v="40"/>
    <n v="7.5"/>
    <n v="0"/>
    <n v="7"/>
    <n v="72"/>
    <n v="93.600000000000009"/>
    <n v="122.39999999999999"/>
    <n v="72"/>
    <n v="0"/>
    <n v="54.5"/>
    <n v="4086"/>
    <n v="30"/>
    <n v="45"/>
    <n v="60"/>
    <n v="30"/>
    <n v="1747.5"/>
    <n v="2338.5"/>
  </r>
  <r>
    <x v="19"/>
    <s v="E8650"/>
    <x v="9"/>
    <n v="40"/>
    <n v="4.5"/>
    <n v="7.5"/>
    <n v="3"/>
    <n v="54"/>
    <n v="70.2"/>
    <n v="91.8"/>
    <n v="54"/>
    <n v="2"/>
    <n v="55"/>
    <n v="3326.4"/>
    <n v="27"/>
    <n v="40.5"/>
    <n v="54"/>
    <n v="27"/>
    <n v="1748.25"/>
    <n v="1578.15"/>
  </r>
  <r>
    <x v="20"/>
    <s v="E8022"/>
    <x v="0"/>
    <n v="39"/>
    <n v="0"/>
    <n v="0"/>
    <n v="0"/>
    <n v="72"/>
    <n v="93.600000000000009"/>
    <n v="122.39999999999999"/>
    <n v="72"/>
    <n v="0"/>
    <n v="39"/>
    <n v="2808"/>
    <n v="60"/>
    <n v="78"/>
    <n v="102"/>
    <n v="60"/>
    <n v="2340"/>
    <n v="468"/>
  </r>
  <r>
    <x v="20"/>
    <s v="E8031"/>
    <x v="1"/>
    <n v="40"/>
    <n v="0"/>
    <n v="0"/>
    <n v="0"/>
    <n v="72"/>
    <n v="93.600000000000009"/>
    <n v="122.39999999999999"/>
    <n v="72"/>
    <n v="0"/>
    <n v="40"/>
    <n v="2880"/>
    <n v="57"/>
    <n v="74.100000000000009"/>
    <n v="96.899999999999991"/>
    <n v="57"/>
    <n v="2280"/>
    <n v="600"/>
  </r>
  <r>
    <x v="20"/>
    <s v="E8041"/>
    <x v="2"/>
    <n v="0"/>
    <n v="0"/>
    <n v="0"/>
    <n v="0"/>
    <n v="72"/>
    <n v="93.600000000000009"/>
    <n v="122.39999999999999"/>
    <n v="72"/>
    <n v="0"/>
    <n v="0"/>
    <n v="0"/>
    <n v="55"/>
    <n v="71.5"/>
    <n v="93.5"/>
    <n v="55"/>
    <n v="0"/>
    <n v="0"/>
  </r>
  <r>
    <x v="20"/>
    <s v="E8174"/>
    <x v="3"/>
    <n v="40"/>
    <n v="0"/>
    <n v="0"/>
    <n v="0"/>
    <n v="72"/>
    <n v="93.600000000000009"/>
    <n v="122.39999999999999"/>
    <n v="72"/>
    <n v="0"/>
    <n v="40"/>
    <n v="2880"/>
    <n v="35"/>
    <n v="52.5"/>
    <n v="70"/>
    <n v="35"/>
    <n v="1400"/>
    <n v="1480"/>
  </r>
  <r>
    <x v="20"/>
    <s v="E8190"/>
    <x v="4"/>
    <n v="38"/>
    <n v="0"/>
    <n v="12"/>
    <n v="8"/>
    <n v="72"/>
    <n v="93.600000000000009"/>
    <n v="122.39999999999999"/>
    <n v="72"/>
    <n v="0"/>
    <n v="58"/>
    <n v="4780.8"/>
    <n v="39"/>
    <n v="58.5"/>
    <n v="78"/>
    <n v="39"/>
    <n v="2730"/>
    <n v="2050.8000000000002"/>
  </r>
  <r>
    <x v="20"/>
    <s v="E8395"/>
    <x v="5"/>
    <n v="37"/>
    <n v="0"/>
    <n v="12"/>
    <n v="8"/>
    <n v="72"/>
    <n v="93.600000000000009"/>
    <n v="122.39999999999999"/>
    <n v="72"/>
    <n v="0"/>
    <n v="57"/>
    <n v="4708.8"/>
    <n v="36"/>
    <n v="54"/>
    <n v="72"/>
    <n v="36"/>
    <n v="2484"/>
    <n v="2224.8000000000002"/>
  </r>
  <r>
    <x v="20"/>
    <s v="E8585"/>
    <x v="7"/>
    <n v="40"/>
    <n v="6.5"/>
    <n v="0"/>
    <n v="3.5"/>
    <n v="72"/>
    <n v="93.600000000000009"/>
    <n v="122.39999999999999"/>
    <n v="72"/>
    <n v="0"/>
    <n v="50"/>
    <n v="3740.4"/>
    <n v="30.67"/>
    <n v="46.005000000000003"/>
    <n v="61.34"/>
    <n v="30.67"/>
    <n v="1633.18"/>
    <n v="2107.2200000000003"/>
  </r>
  <r>
    <x v="20"/>
    <s v="E8585"/>
    <x v="8"/>
    <n v="34"/>
    <n v="0"/>
    <n v="0"/>
    <n v="14"/>
    <n v="72"/>
    <n v="93.600000000000009"/>
    <n v="122.39999999999999"/>
    <n v="72"/>
    <n v="0"/>
    <n v="48"/>
    <n v="3456"/>
    <n v="30"/>
    <n v="45"/>
    <n v="60"/>
    <n v="30"/>
    <n v="1440"/>
    <n v="2016"/>
  </r>
  <r>
    <x v="20"/>
    <s v="E8650"/>
    <x v="9"/>
    <n v="40"/>
    <n v="17.5"/>
    <n v="1.5"/>
    <n v="2.5"/>
    <n v="72"/>
    <n v="93.600000000000009"/>
    <n v="122.39999999999999"/>
    <n v="72"/>
    <n v="2"/>
    <n v="61.5"/>
    <n v="4881.6000000000004"/>
    <n v="27"/>
    <n v="40.5"/>
    <n v="54"/>
    <n v="27"/>
    <n v="1937.25"/>
    <n v="2944.3500000000004"/>
  </r>
  <r>
    <x v="21"/>
    <s v="E8022"/>
    <x v="0"/>
    <n v="40"/>
    <n v="9"/>
    <n v="0"/>
    <n v="0"/>
    <n v="72"/>
    <n v="93.600000000000009"/>
    <n v="122.39999999999999"/>
    <n v="72"/>
    <n v="0"/>
    <n v="49"/>
    <n v="3722.4"/>
    <n v="60"/>
    <n v="78"/>
    <n v="102"/>
    <n v="60"/>
    <n v="3102"/>
    <n v="620.40000000000009"/>
  </r>
  <r>
    <x v="21"/>
    <s v="E8031"/>
    <x v="1"/>
    <n v="40"/>
    <n v="0"/>
    <n v="0"/>
    <n v="0"/>
    <n v="72"/>
    <n v="93.600000000000009"/>
    <n v="122.39999999999999"/>
    <n v="72"/>
    <n v="0"/>
    <n v="40"/>
    <n v="2880"/>
    <n v="57"/>
    <n v="74.100000000000009"/>
    <n v="96.899999999999991"/>
    <n v="57"/>
    <n v="2280"/>
    <n v="600"/>
  </r>
  <r>
    <x v="21"/>
    <s v="E8041"/>
    <x v="2"/>
    <n v="0"/>
    <n v="0"/>
    <n v="0"/>
    <n v="0"/>
    <n v="72"/>
    <n v="93.600000000000009"/>
    <n v="122.39999999999999"/>
    <n v="72"/>
    <n v="0"/>
    <n v="0"/>
    <n v="0"/>
    <n v="55"/>
    <n v="71.5"/>
    <n v="93.5"/>
    <n v="55"/>
    <n v="0"/>
    <n v="0"/>
  </r>
  <r>
    <x v="21"/>
    <s v="E8174"/>
    <x v="3"/>
    <n v="33.75"/>
    <n v="0"/>
    <n v="0"/>
    <n v="0"/>
    <n v="72"/>
    <n v="93.600000000000009"/>
    <n v="122.39999999999999"/>
    <n v="72"/>
    <n v="0"/>
    <n v="33.75"/>
    <n v="2430"/>
    <n v="35"/>
    <n v="52.5"/>
    <n v="70"/>
    <n v="35"/>
    <n v="1181.25"/>
    <n v="1248.75"/>
  </r>
  <r>
    <x v="21"/>
    <s v="E8190"/>
    <x v="4"/>
    <n v="40"/>
    <n v="32"/>
    <n v="12"/>
    <n v="0"/>
    <n v="72"/>
    <n v="93.600000000000009"/>
    <n v="122.39999999999999"/>
    <n v="72"/>
    <n v="0"/>
    <n v="84"/>
    <n v="7344"/>
    <n v="39"/>
    <n v="58.5"/>
    <n v="78"/>
    <n v="39"/>
    <n v="4368"/>
    <n v="2976"/>
  </r>
  <r>
    <x v="21"/>
    <s v="E8395"/>
    <x v="5"/>
    <n v="33.5"/>
    <n v="0"/>
    <n v="0"/>
    <n v="0"/>
    <n v="72"/>
    <n v="93.600000000000009"/>
    <n v="122.39999999999999"/>
    <n v="72"/>
    <n v="0"/>
    <n v="33.5"/>
    <n v="2412"/>
    <n v="36"/>
    <n v="54"/>
    <n v="72"/>
    <n v="36"/>
    <n v="1206"/>
    <n v="1206"/>
  </r>
  <r>
    <x v="21"/>
    <s v="E8585"/>
    <x v="7"/>
    <n v="40"/>
    <n v="5.5"/>
    <n v="0"/>
    <n v="0"/>
    <n v="72"/>
    <n v="93.600000000000009"/>
    <n v="122.39999999999999"/>
    <n v="72"/>
    <n v="0"/>
    <n v="45.5"/>
    <n v="3394.8"/>
    <n v="30.67"/>
    <n v="46.005000000000003"/>
    <n v="61.34"/>
    <n v="30.67"/>
    <n v="1479.83"/>
    <n v="1914.9700000000003"/>
  </r>
  <r>
    <x v="21"/>
    <s v="E8585"/>
    <x v="8"/>
    <n v="40"/>
    <n v="20.75"/>
    <n v="12"/>
    <n v="0"/>
    <n v="72"/>
    <n v="93.600000000000009"/>
    <n v="122.39999999999999"/>
    <n v="72"/>
    <n v="0"/>
    <n v="72.75"/>
    <n v="6291"/>
    <n v="30"/>
    <n v="45"/>
    <n v="60"/>
    <n v="30"/>
    <n v="2853.75"/>
    <n v="3437.25"/>
  </r>
  <r>
    <x v="21"/>
    <s v="E8650"/>
    <x v="9"/>
    <n v="34"/>
    <n v="0"/>
    <n v="0"/>
    <n v="0"/>
    <n v="72"/>
    <n v="93.600000000000009"/>
    <n v="122.39999999999999"/>
    <n v="72"/>
    <n v="2"/>
    <n v="34"/>
    <n v="2448"/>
    <n v="27"/>
    <n v="40.5"/>
    <n v="54"/>
    <n v="27"/>
    <n v="918"/>
    <n v="1530"/>
  </r>
  <r>
    <x v="22"/>
    <m/>
    <x v="10"/>
    <m/>
    <m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9">
  <r>
    <x v="0"/>
    <s v="E8022"/>
    <x v="0"/>
    <n v="40"/>
    <n v="4.5"/>
    <n v="0"/>
    <n v="0"/>
    <n v="72"/>
    <n v="93.600000000000009"/>
    <n v="122.39999999999999"/>
    <n v="72"/>
    <n v="0"/>
    <n v="44.5"/>
    <n v="3301.2"/>
    <n v="60"/>
    <n v="78"/>
    <n v="102"/>
    <n v="60"/>
    <n v="2751"/>
    <n v="550.19999999999982"/>
    <m/>
    <m/>
    <m/>
    <m/>
    <m/>
  </r>
  <r>
    <x v="0"/>
    <s v="E8031"/>
    <x v="1"/>
    <n v="40"/>
    <n v="1.25"/>
    <n v="0"/>
    <n v="0"/>
    <n v="72"/>
    <n v="93.600000000000009"/>
    <n v="122.39999999999999"/>
    <n v="72"/>
    <n v="0"/>
    <n v="41.25"/>
    <n v="2997"/>
    <n v="57"/>
    <n v="74.100000000000009"/>
    <n v="96.899999999999991"/>
    <n v="57"/>
    <n v="2372.63"/>
    <n v="624.36999999999989"/>
    <m/>
    <m/>
    <m/>
    <m/>
    <m/>
  </r>
  <r>
    <x v="0"/>
    <s v="E8041"/>
    <x v="2"/>
    <n v="14.25"/>
    <n v="0"/>
    <n v="0"/>
    <n v="0"/>
    <n v="68"/>
    <n v="88.4"/>
    <n v="115.6"/>
    <n v="68"/>
    <n v="0"/>
    <n v="14.25"/>
    <n v="969"/>
    <n v="55"/>
    <n v="71.5"/>
    <n v="93.5"/>
    <n v="55"/>
    <n v="783.75"/>
    <n v="185.25"/>
    <m/>
    <m/>
    <m/>
    <m/>
    <m/>
  </r>
  <r>
    <x v="0"/>
    <s v="E8174"/>
    <x v="3"/>
    <n v="38.75"/>
    <n v="0"/>
    <n v="0"/>
    <n v="4"/>
    <n v="68"/>
    <n v="88.4"/>
    <n v="115.6"/>
    <n v="68"/>
    <n v="0"/>
    <n v="42.75"/>
    <n v="2907"/>
    <n v="35"/>
    <n v="52.5"/>
    <n v="70"/>
    <n v="35"/>
    <n v="1496.25"/>
    <n v="1410.75"/>
    <n v="1"/>
    <m/>
    <m/>
    <m/>
    <m/>
  </r>
  <r>
    <x v="0"/>
    <s v="E8190"/>
    <x v="4"/>
    <n v="40"/>
    <n v="1"/>
    <n v="0"/>
    <n v="0"/>
    <n v="68"/>
    <n v="88.4"/>
    <n v="115.6"/>
    <n v="68"/>
    <n v="0"/>
    <n v="41"/>
    <n v="2808.4"/>
    <n v="39"/>
    <n v="58.5"/>
    <n v="78"/>
    <n v="39"/>
    <n v="1618.5"/>
    <n v="1189.9000000000001"/>
    <m/>
    <m/>
    <m/>
    <m/>
    <m/>
  </r>
  <r>
    <x v="0"/>
    <s v="E8395"/>
    <x v="5"/>
    <n v="38.75"/>
    <n v="0"/>
    <n v="0"/>
    <n v="4"/>
    <n v="68"/>
    <n v="88.4"/>
    <n v="115.6"/>
    <n v="68"/>
    <n v="0"/>
    <n v="42.75"/>
    <n v="2907"/>
    <n v="36"/>
    <n v="54"/>
    <n v="72"/>
    <n v="36"/>
    <n v="1539"/>
    <n v="1368"/>
    <m/>
    <m/>
    <m/>
    <m/>
    <m/>
  </r>
  <r>
    <x v="0"/>
    <s v="E8473"/>
    <x v="6"/>
    <n v="18.5"/>
    <n v="0"/>
    <n v="0"/>
    <n v="0"/>
    <n v="68"/>
    <n v="88.4"/>
    <n v="115.6"/>
    <n v="68"/>
    <n v="0"/>
    <n v="18.5"/>
    <n v="1258"/>
    <n v="36"/>
    <n v="54"/>
    <n v="72"/>
    <n v="36"/>
    <n v="666"/>
    <n v="592"/>
    <m/>
    <m/>
    <m/>
    <m/>
    <m/>
  </r>
  <r>
    <x v="0"/>
    <s v="E8585"/>
    <x v="7"/>
    <n v="40"/>
    <n v="15.25"/>
    <n v="0"/>
    <n v="0"/>
    <n v="68"/>
    <n v="88.4"/>
    <n v="115.6"/>
    <n v="68"/>
    <n v="0"/>
    <n v="55.25"/>
    <n v="4068.1"/>
    <n v="30.67"/>
    <n v="46.005000000000003"/>
    <n v="61.34"/>
    <n v="30.67"/>
    <n v="1928.38"/>
    <n v="2139.7199999999998"/>
    <m/>
    <m/>
    <m/>
    <m/>
    <m/>
  </r>
  <r>
    <x v="0"/>
    <s v="E8585"/>
    <x v="8"/>
    <n v="40"/>
    <n v="5.75"/>
    <n v="0"/>
    <n v="0"/>
    <n v="68"/>
    <n v="88.4"/>
    <n v="115.6"/>
    <n v="68"/>
    <n v="0"/>
    <n v="45.75"/>
    <n v="3228.3"/>
    <n v="30"/>
    <n v="45"/>
    <n v="60"/>
    <n v="30"/>
    <n v="1458.75"/>
    <n v="1769.5500000000002"/>
    <n v="1"/>
    <m/>
    <m/>
    <m/>
    <m/>
  </r>
  <r>
    <x v="0"/>
    <s v="E8650"/>
    <x v="9"/>
    <n v="40"/>
    <n v="19.25"/>
    <n v="0"/>
    <n v="0"/>
    <n v="54"/>
    <n v="70.2"/>
    <n v="91.8"/>
    <n v="54"/>
    <n v="0"/>
    <n v="59.25"/>
    <n v="3511.35"/>
    <n v="27"/>
    <n v="40.5"/>
    <n v="54"/>
    <n v="27"/>
    <n v="1859.63"/>
    <n v="1651.7199999999998"/>
    <m/>
    <m/>
    <m/>
    <m/>
    <m/>
  </r>
  <r>
    <x v="1"/>
    <s v="E8022"/>
    <x v="0"/>
    <n v="40"/>
    <n v="13.25"/>
    <n v="0"/>
    <n v="0"/>
    <n v="72"/>
    <n v="93.600000000000009"/>
    <n v="122.39999999999999"/>
    <n v="72"/>
    <n v="0"/>
    <n v="53.25"/>
    <n v="4120.2"/>
    <n v="60"/>
    <n v="78"/>
    <n v="102"/>
    <n v="60"/>
    <n v="3433.5"/>
    <n v="686.69999999999982"/>
    <m/>
    <m/>
    <m/>
    <m/>
    <m/>
  </r>
  <r>
    <x v="1"/>
    <s v="E8031"/>
    <x v="1"/>
    <n v="40"/>
    <n v="0"/>
    <n v="0"/>
    <n v="0"/>
    <n v="72"/>
    <n v="93.600000000000009"/>
    <n v="122.39999999999999"/>
    <n v="72"/>
    <n v="0"/>
    <n v="40"/>
    <n v="2880"/>
    <n v="57"/>
    <n v="74.100000000000009"/>
    <n v="96.899999999999991"/>
    <n v="57"/>
    <n v="2280"/>
    <n v="600"/>
    <m/>
    <m/>
    <m/>
    <m/>
    <m/>
  </r>
  <r>
    <x v="1"/>
    <s v="E8041"/>
    <x v="2"/>
    <n v="4.75"/>
    <n v="0"/>
    <n v="0"/>
    <n v="0"/>
    <n v="68"/>
    <n v="88.4"/>
    <n v="115.6"/>
    <n v="68"/>
    <n v="0"/>
    <n v="4.75"/>
    <n v="323"/>
    <n v="55"/>
    <n v="71.5"/>
    <n v="93.5"/>
    <n v="55"/>
    <n v="261.25"/>
    <n v="61.75"/>
    <m/>
    <m/>
    <m/>
    <m/>
    <m/>
  </r>
  <r>
    <x v="1"/>
    <s v="E8174"/>
    <x v="3"/>
    <n v="40"/>
    <n v="8.25"/>
    <n v="0"/>
    <n v="4"/>
    <n v="68"/>
    <n v="88.4"/>
    <n v="115.6"/>
    <n v="68"/>
    <n v="0"/>
    <n v="52.25"/>
    <n v="3721.3"/>
    <n v="35"/>
    <n v="52.5"/>
    <n v="70"/>
    <n v="35"/>
    <n v="1973.13"/>
    <n v="1748.17"/>
    <m/>
    <m/>
    <m/>
    <m/>
    <m/>
  </r>
  <r>
    <x v="1"/>
    <s v="E8190"/>
    <x v="4"/>
    <n v="40"/>
    <n v="5.5"/>
    <n v="0"/>
    <n v="0"/>
    <n v="68"/>
    <n v="88.4"/>
    <n v="115.6"/>
    <n v="68"/>
    <n v="0"/>
    <n v="45.5"/>
    <n v="3206.2"/>
    <n v="39"/>
    <n v="58.5"/>
    <n v="78"/>
    <n v="39"/>
    <n v="1881.75"/>
    <n v="1324.4499999999998"/>
    <m/>
    <m/>
    <m/>
    <m/>
    <m/>
  </r>
  <r>
    <x v="1"/>
    <s v="E8395"/>
    <x v="5"/>
    <n v="40"/>
    <n v="16"/>
    <n v="15"/>
    <n v="15.5"/>
    <n v="68"/>
    <n v="88.4"/>
    <n v="115.6"/>
    <n v="68"/>
    <n v="0"/>
    <n v="86.5"/>
    <n v="6922.4"/>
    <n v="36"/>
    <n v="54"/>
    <n v="72"/>
    <n v="36"/>
    <n v="3942"/>
    <n v="2980.3999999999996"/>
    <n v="1"/>
    <m/>
    <n v="7"/>
    <n v="1"/>
    <n v="1"/>
  </r>
  <r>
    <x v="1"/>
    <s v="E8473"/>
    <x v="6"/>
    <n v="24"/>
    <n v="0"/>
    <n v="0"/>
    <n v="0"/>
    <n v="68"/>
    <n v="88.4"/>
    <n v="115.6"/>
    <n v="68"/>
    <n v="0"/>
    <n v="24"/>
    <n v="1632"/>
    <n v="36"/>
    <n v="54"/>
    <n v="72"/>
    <n v="36"/>
    <n v="864"/>
    <n v="768"/>
    <m/>
    <m/>
    <m/>
    <m/>
    <m/>
  </r>
  <r>
    <x v="1"/>
    <s v="E8585"/>
    <x v="7"/>
    <n v="40"/>
    <n v="10"/>
    <n v="0"/>
    <n v="0"/>
    <n v="68"/>
    <n v="88.4"/>
    <n v="115.6"/>
    <n v="68"/>
    <n v="0"/>
    <n v="50"/>
    <n v="3604"/>
    <n v="30.67"/>
    <n v="46.005000000000003"/>
    <n v="61.34"/>
    <n v="30.67"/>
    <n v="1686.85"/>
    <n v="1917.15"/>
    <n v="1"/>
    <m/>
    <m/>
    <m/>
    <m/>
  </r>
  <r>
    <x v="1"/>
    <s v="E8585"/>
    <x v="8"/>
    <n v="40"/>
    <n v="8.25"/>
    <n v="0"/>
    <n v="0"/>
    <n v="68"/>
    <n v="88.4"/>
    <n v="115.6"/>
    <n v="68"/>
    <n v="0"/>
    <n v="48.25"/>
    <n v="3449.3"/>
    <n v="30"/>
    <n v="45"/>
    <n v="60"/>
    <n v="30"/>
    <n v="1571.25"/>
    <n v="1878.0500000000002"/>
    <m/>
    <m/>
    <m/>
    <m/>
    <m/>
  </r>
  <r>
    <x v="1"/>
    <s v="E8650"/>
    <x v="9"/>
    <n v="40"/>
    <n v="15"/>
    <n v="0"/>
    <n v="0"/>
    <n v="54"/>
    <n v="70.2"/>
    <n v="91.8"/>
    <n v="54"/>
    <n v="0"/>
    <n v="55"/>
    <n v="3213"/>
    <n v="27"/>
    <n v="40.5"/>
    <n v="54"/>
    <n v="27"/>
    <n v="1687.5"/>
    <n v="1525.5"/>
    <m/>
    <m/>
    <m/>
    <m/>
    <m/>
  </r>
  <r>
    <x v="2"/>
    <s v="E8022"/>
    <x v="0"/>
    <n v="40"/>
    <n v="2.5"/>
    <n v="0"/>
    <n v="0"/>
    <n v="72"/>
    <n v="93.600000000000009"/>
    <n v="122.39999999999999"/>
    <n v="72"/>
    <n v="0"/>
    <n v="42.5"/>
    <n v="3114"/>
    <n v="60"/>
    <n v="78"/>
    <n v="102"/>
    <n v="60"/>
    <n v="2595"/>
    <n v="519"/>
    <m/>
    <m/>
    <m/>
    <m/>
    <m/>
  </r>
  <r>
    <x v="2"/>
    <s v="E8031"/>
    <x v="1"/>
    <n v="39.75"/>
    <n v="0"/>
    <n v="0"/>
    <n v="0"/>
    <n v="72"/>
    <n v="93.600000000000009"/>
    <n v="122.39999999999999"/>
    <n v="72"/>
    <n v="0"/>
    <n v="39.75"/>
    <n v="2862"/>
    <n v="57"/>
    <n v="74.100000000000009"/>
    <n v="96.899999999999991"/>
    <n v="57"/>
    <n v="2265.75"/>
    <n v="596.25"/>
    <m/>
    <m/>
    <m/>
    <m/>
    <m/>
  </r>
  <r>
    <x v="2"/>
    <s v="E8041"/>
    <x v="2"/>
    <n v="0"/>
    <n v="0"/>
    <n v="0"/>
    <n v="0"/>
    <n v="68"/>
    <n v="88.4"/>
    <n v="115.6"/>
    <n v="68"/>
    <n v="0"/>
    <n v="0"/>
    <n v="0"/>
    <n v="55"/>
    <n v="71.5"/>
    <n v="93.5"/>
    <n v="55"/>
    <n v="0"/>
    <n v="0"/>
    <m/>
    <m/>
    <m/>
    <m/>
    <m/>
  </r>
  <r>
    <x v="2"/>
    <s v="E8174"/>
    <x v="3"/>
    <n v="40"/>
    <n v="24"/>
    <n v="0"/>
    <n v="0"/>
    <n v="68"/>
    <n v="88.4"/>
    <n v="115.6"/>
    <n v="68"/>
    <n v="0"/>
    <n v="64"/>
    <n v="4841.6000000000004"/>
    <n v="35"/>
    <n v="52.5"/>
    <n v="70"/>
    <n v="35"/>
    <n v="2660"/>
    <n v="2181.6000000000004"/>
    <m/>
    <m/>
    <m/>
    <m/>
    <m/>
  </r>
  <r>
    <x v="2"/>
    <s v="E8190"/>
    <x v="4"/>
    <n v="40"/>
    <n v="5"/>
    <n v="0"/>
    <n v="0"/>
    <n v="68"/>
    <n v="88.4"/>
    <n v="115.6"/>
    <n v="68"/>
    <n v="0"/>
    <n v="45"/>
    <n v="3162"/>
    <n v="39"/>
    <n v="58.5"/>
    <n v="78"/>
    <n v="39"/>
    <n v="1852.5"/>
    <n v="1309.5"/>
    <m/>
    <m/>
    <m/>
    <m/>
    <m/>
  </r>
  <r>
    <x v="2"/>
    <s v="E8395"/>
    <x v="5"/>
    <n v="40"/>
    <n v="12.25"/>
    <n v="1.25"/>
    <n v="7.75"/>
    <n v="68"/>
    <n v="88.4"/>
    <n v="115.6"/>
    <n v="68"/>
    <n v="0"/>
    <n v="61.25"/>
    <n v="4474.3999999999996"/>
    <n v="36"/>
    <n v="54"/>
    <n v="72"/>
    <n v="36"/>
    <n v="2470.5"/>
    <n v="2003.8999999999996"/>
    <m/>
    <m/>
    <n v="5"/>
    <n v="1"/>
    <n v="1"/>
  </r>
  <r>
    <x v="2"/>
    <s v="E8473"/>
    <x v="6"/>
    <n v="0"/>
    <n v="0"/>
    <n v="0"/>
    <n v="0"/>
    <n v="68"/>
    <n v="88.4"/>
    <n v="115.6"/>
    <n v="68"/>
    <n v="0"/>
    <n v="0"/>
    <n v="0"/>
    <n v="36"/>
    <n v="54"/>
    <n v="72"/>
    <n v="36"/>
    <n v="0"/>
    <n v="0"/>
    <m/>
    <m/>
    <m/>
    <m/>
    <m/>
  </r>
  <r>
    <x v="2"/>
    <s v="E8585"/>
    <x v="7"/>
    <n v="40"/>
    <n v="12"/>
    <n v="0"/>
    <n v="8"/>
    <n v="68"/>
    <n v="88.4"/>
    <n v="115.6"/>
    <n v="68"/>
    <n v="0"/>
    <n v="60"/>
    <n v="4324.8"/>
    <n v="30.67"/>
    <n v="46.005000000000003"/>
    <n v="61.34"/>
    <n v="30.67"/>
    <n v="2024.22"/>
    <n v="2300.58"/>
    <m/>
    <m/>
    <m/>
    <m/>
    <m/>
  </r>
  <r>
    <x v="2"/>
    <s v="E8585"/>
    <x v="8"/>
    <n v="40"/>
    <n v="9.5"/>
    <n v="0"/>
    <n v="0"/>
    <n v="68"/>
    <n v="88.4"/>
    <n v="115.6"/>
    <n v="68"/>
    <n v="0"/>
    <n v="49.5"/>
    <n v="3559.8"/>
    <n v="30"/>
    <n v="45"/>
    <n v="60"/>
    <n v="30"/>
    <n v="1627.5"/>
    <n v="1932.3000000000002"/>
    <n v="1"/>
    <m/>
    <m/>
    <m/>
    <m/>
  </r>
  <r>
    <x v="2"/>
    <s v="E8650"/>
    <x v="9"/>
    <n v="40"/>
    <n v="7.75"/>
    <n v="0"/>
    <n v="0"/>
    <n v="54"/>
    <n v="70.2"/>
    <n v="91.8"/>
    <n v="54"/>
    <n v="0"/>
    <n v="47.75"/>
    <n v="2704.05"/>
    <n v="27"/>
    <n v="40.5"/>
    <n v="54"/>
    <n v="27"/>
    <n v="1393.88"/>
    <n v="1310.17"/>
    <m/>
    <m/>
    <m/>
    <m/>
    <m/>
  </r>
  <r>
    <x v="3"/>
    <s v="E8022"/>
    <x v="0"/>
    <n v="40"/>
    <n v="2.75"/>
    <n v="0"/>
    <n v="0"/>
    <n v="72"/>
    <n v="93.600000000000009"/>
    <n v="122.39999999999999"/>
    <n v="72"/>
    <n v="0"/>
    <n v="42.75"/>
    <n v="3137.4"/>
    <n v="60"/>
    <n v="78"/>
    <n v="102"/>
    <n v="60"/>
    <n v="2614.5"/>
    <n v="522.90000000000009"/>
    <m/>
    <m/>
    <m/>
    <m/>
    <m/>
  </r>
  <r>
    <x v="3"/>
    <s v="E8031"/>
    <x v="1"/>
    <n v="40"/>
    <n v="0"/>
    <n v="0"/>
    <n v="0"/>
    <n v="72"/>
    <n v="93.600000000000009"/>
    <n v="122.39999999999999"/>
    <n v="72"/>
    <n v="0"/>
    <n v="40"/>
    <n v="2880"/>
    <n v="57"/>
    <n v="74.100000000000009"/>
    <n v="96.899999999999991"/>
    <n v="57"/>
    <n v="2280"/>
    <n v="600"/>
    <m/>
    <m/>
    <m/>
    <m/>
    <m/>
  </r>
  <r>
    <x v="3"/>
    <s v="E8041"/>
    <x v="2"/>
    <n v="0"/>
    <n v="0"/>
    <n v="0"/>
    <n v="0"/>
    <n v="68"/>
    <n v="88.4"/>
    <n v="115.6"/>
    <n v="68"/>
    <n v="0"/>
    <n v="0"/>
    <n v="0"/>
    <n v="55"/>
    <n v="71.5"/>
    <n v="93.5"/>
    <n v="55"/>
    <n v="0"/>
    <n v="0"/>
    <m/>
    <m/>
    <m/>
    <m/>
    <m/>
  </r>
  <r>
    <x v="3"/>
    <s v="E8174"/>
    <x v="3"/>
    <n v="40"/>
    <n v="20"/>
    <n v="0"/>
    <n v="0"/>
    <n v="68"/>
    <n v="88.4"/>
    <n v="115.6"/>
    <n v="68"/>
    <n v="0"/>
    <n v="60"/>
    <n v="4488"/>
    <n v="35"/>
    <n v="52.5"/>
    <n v="70"/>
    <n v="35"/>
    <n v="2450"/>
    <n v="2038"/>
    <m/>
    <m/>
    <m/>
    <m/>
    <m/>
  </r>
  <r>
    <x v="3"/>
    <s v="E8190"/>
    <x v="4"/>
    <n v="40"/>
    <n v="4"/>
    <n v="0"/>
    <n v="0"/>
    <n v="68"/>
    <n v="88.4"/>
    <n v="115.6"/>
    <n v="68"/>
    <n v="0"/>
    <n v="44"/>
    <n v="3073.6"/>
    <n v="39"/>
    <n v="58.5"/>
    <n v="78"/>
    <n v="39"/>
    <n v="1794"/>
    <n v="1279.5999999999999"/>
    <m/>
    <m/>
    <m/>
    <m/>
    <m/>
  </r>
  <r>
    <x v="3"/>
    <s v="E8395"/>
    <x v="5"/>
    <n v="0"/>
    <n v="0"/>
    <n v="0"/>
    <n v="0"/>
    <n v="68"/>
    <n v="88.4"/>
    <n v="115.6"/>
    <n v="68"/>
    <n v="0"/>
    <n v="0"/>
    <n v="0"/>
    <n v="36"/>
    <n v="54"/>
    <n v="72"/>
    <n v="36"/>
    <n v="0"/>
    <n v="0"/>
    <m/>
    <m/>
    <m/>
    <m/>
    <m/>
  </r>
  <r>
    <x v="3"/>
    <s v="E8473"/>
    <x v="6"/>
    <n v="40"/>
    <n v="2.5"/>
    <n v="0"/>
    <n v="13"/>
    <n v="68"/>
    <n v="88.4"/>
    <n v="115.6"/>
    <n v="68"/>
    <n v="0"/>
    <n v="55.5"/>
    <n v="3825"/>
    <n v="36"/>
    <n v="54"/>
    <n v="72"/>
    <n v="36"/>
    <n v="2043"/>
    <n v="1782"/>
    <m/>
    <m/>
    <n v="4"/>
    <m/>
    <m/>
  </r>
  <r>
    <x v="3"/>
    <s v="E8585"/>
    <x v="7"/>
    <n v="40"/>
    <n v="10"/>
    <n v="0"/>
    <n v="10"/>
    <n v="68"/>
    <n v="88.4"/>
    <n v="115.6"/>
    <n v="68"/>
    <n v="0"/>
    <n v="60"/>
    <n v="4284"/>
    <n v="30.67"/>
    <n v="46.005000000000003"/>
    <n v="61.34"/>
    <n v="30.67"/>
    <n v="1993.55"/>
    <n v="2290.4499999999998"/>
    <m/>
    <m/>
    <m/>
    <m/>
    <m/>
  </r>
  <r>
    <x v="3"/>
    <s v="E8585"/>
    <x v="8"/>
    <n v="40"/>
    <n v="3.5"/>
    <n v="0"/>
    <n v="7.5"/>
    <n v="68"/>
    <n v="88.4"/>
    <n v="115.6"/>
    <n v="68"/>
    <n v="0"/>
    <n v="51"/>
    <n v="3539.4"/>
    <n v="30"/>
    <n v="45"/>
    <n v="60"/>
    <n v="30"/>
    <n v="1582.5"/>
    <n v="1956.9"/>
    <m/>
    <m/>
    <m/>
    <m/>
    <m/>
  </r>
  <r>
    <x v="3"/>
    <s v="E8650"/>
    <x v="9"/>
    <n v="40"/>
    <n v="3.25"/>
    <n v="11"/>
    <n v="5.5"/>
    <n v="54"/>
    <n v="70.2"/>
    <n v="91.8"/>
    <n v="54"/>
    <n v="0"/>
    <n v="59.75"/>
    <n v="3694.95"/>
    <n v="27"/>
    <n v="40.5"/>
    <n v="54"/>
    <n v="27"/>
    <n v="1954.13"/>
    <n v="1740.8199999999997"/>
    <m/>
    <m/>
    <n v="3"/>
    <n v="1"/>
    <n v="1"/>
  </r>
  <r>
    <x v="4"/>
    <s v="E8022"/>
    <x v="0"/>
    <n v="37"/>
    <n v="0"/>
    <n v="0"/>
    <n v="5"/>
    <n v="72"/>
    <n v="93.600000000000009"/>
    <n v="122.39999999999999"/>
    <n v="72"/>
    <n v="0"/>
    <n v="42"/>
    <n v="3024"/>
    <n v="60"/>
    <n v="78"/>
    <n v="102"/>
    <n v="60"/>
    <n v="2520"/>
    <n v="504"/>
    <m/>
    <m/>
    <m/>
    <m/>
    <m/>
  </r>
  <r>
    <x v="4"/>
    <s v="E8031"/>
    <x v="1"/>
    <n v="40"/>
    <n v="0"/>
    <n v="0"/>
    <n v="0"/>
    <n v="72"/>
    <n v="93.600000000000009"/>
    <n v="122.39999999999999"/>
    <n v="72"/>
    <n v="0"/>
    <n v="40"/>
    <n v="2880"/>
    <n v="57"/>
    <n v="74.100000000000009"/>
    <n v="96.899999999999991"/>
    <n v="57"/>
    <n v="2280"/>
    <n v="600"/>
    <m/>
    <m/>
    <m/>
    <m/>
    <m/>
  </r>
  <r>
    <x v="4"/>
    <s v="E8041"/>
    <x v="2"/>
    <n v="2.5"/>
    <n v="0"/>
    <n v="0"/>
    <n v="2.5"/>
    <n v="68"/>
    <n v="88.4"/>
    <n v="115.6"/>
    <n v="68"/>
    <n v="0"/>
    <n v="5"/>
    <n v="340"/>
    <n v="55"/>
    <n v="71.5"/>
    <n v="93.5"/>
    <n v="55"/>
    <n v="275"/>
    <n v="65"/>
    <m/>
    <m/>
    <m/>
    <m/>
    <m/>
  </r>
  <r>
    <x v="4"/>
    <s v="E8174"/>
    <x v="3"/>
    <n v="40"/>
    <n v="29.5"/>
    <n v="0"/>
    <n v="0"/>
    <n v="68"/>
    <n v="88.4"/>
    <n v="115.6"/>
    <n v="68"/>
    <n v="0"/>
    <n v="69.5"/>
    <n v="5327.8"/>
    <n v="35"/>
    <n v="52.5"/>
    <n v="70"/>
    <n v="35"/>
    <n v="2948.75"/>
    <n v="2379.0500000000002"/>
    <m/>
    <m/>
    <m/>
    <m/>
    <m/>
  </r>
  <r>
    <x v="4"/>
    <s v="E8190"/>
    <x v="4"/>
    <n v="40"/>
    <n v="2.75"/>
    <n v="0"/>
    <n v="4"/>
    <n v="68"/>
    <n v="88.4"/>
    <n v="115.6"/>
    <n v="68"/>
    <n v="0"/>
    <n v="46.75"/>
    <n v="3235.1"/>
    <n v="39"/>
    <n v="58.5"/>
    <n v="78"/>
    <n v="39"/>
    <n v="1876.88"/>
    <n v="1358.2199999999998"/>
    <m/>
    <m/>
    <m/>
    <m/>
    <m/>
  </r>
  <r>
    <x v="4"/>
    <s v="E8395"/>
    <x v="5"/>
    <n v="0"/>
    <n v="0"/>
    <n v="0"/>
    <n v="0"/>
    <n v="68"/>
    <n v="88.4"/>
    <n v="115.6"/>
    <n v="68"/>
    <n v="0"/>
    <n v="0"/>
    <n v="0"/>
    <n v="36"/>
    <n v="54"/>
    <n v="72"/>
    <n v="36"/>
    <n v="0"/>
    <n v="0"/>
    <m/>
    <m/>
    <m/>
    <m/>
    <m/>
  </r>
  <r>
    <x v="4"/>
    <s v="E8473"/>
    <x v="6"/>
    <n v="36"/>
    <n v="0"/>
    <n v="0"/>
    <n v="6"/>
    <n v="68"/>
    <n v="88.4"/>
    <n v="115.6"/>
    <n v="68"/>
    <n v="0"/>
    <n v="42"/>
    <n v="2856"/>
    <n v="36"/>
    <n v="54"/>
    <n v="72"/>
    <n v="36"/>
    <n v="1512"/>
    <n v="1344"/>
    <m/>
    <m/>
    <m/>
    <m/>
    <m/>
  </r>
  <r>
    <x v="4"/>
    <s v="E8585"/>
    <x v="7"/>
    <n v="40"/>
    <n v="7.75"/>
    <n v="12"/>
    <n v="12"/>
    <n v="68"/>
    <n v="88.4"/>
    <n v="115.6"/>
    <n v="68"/>
    <n v="0"/>
    <n v="71.75"/>
    <n v="5608.3"/>
    <n v="30.67"/>
    <n v="46.005000000000003"/>
    <n v="61.34"/>
    <n v="30.67"/>
    <n v="2687.46"/>
    <n v="2920.84"/>
    <n v="1"/>
    <m/>
    <n v="4"/>
    <m/>
    <m/>
  </r>
  <r>
    <x v="4"/>
    <s v="E8585"/>
    <x v="8"/>
    <n v="40"/>
    <n v="4"/>
    <n v="0"/>
    <n v="0"/>
    <n v="68"/>
    <n v="88.4"/>
    <n v="115.6"/>
    <n v="68"/>
    <n v="0"/>
    <n v="44"/>
    <n v="3073.6"/>
    <n v="30"/>
    <n v="45"/>
    <n v="60"/>
    <n v="30"/>
    <n v="1380"/>
    <n v="1693.6"/>
    <m/>
    <m/>
    <m/>
    <m/>
    <m/>
  </r>
  <r>
    <x v="4"/>
    <s v="E8650"/>
    <x v="9"/>
    <n v="40"/>
    <n v="28.5"/>
    <n v="11.5"/>
    <n v="0"/>
    <n v="54"/>
    <n v="70.2"/>
    <n v="91.8"/>
    <n v="54"/>
    <n v="0"/>
    <n v="80"/>
    <n v="5216.3999999999996"/>
    <n v="27"/>
    <n v="40.5"/>
    <n v="54"/>
    <n v="27"/>
    <n v="2855.25"/>
    <n v="2361.1499999999996"/>
    <m/>
    <m/>
    <n v="7"/>
    <m/>
    <m/>
  </r>
  <r>
    <x v="5"/>
    <s v="E8022"/>
    <x v="0"/>
    <n v="40"/>
    <n v="5"/>
    <n v="0"/>
    <n v="3"/>
    <n v="72"/>
    <n v="93.600000000000009"/>
    <n v="122.39999999999999"/>
    <n v="72"/>
    <n v="0"/>
    <n v="48"/>
    <n v="3564"/>
    <n v="60"/>
    <n v="78"/>
    <n v="102"/>
    <n v="60"/>
    <n v="2970"/>
    <n v="594"/>
    <m/>
    <m/>
    <m/>
    <m/>
    <m/>
  </r>
  <r>
    <x v="5"/>
    <s v="E8031"/>
    <x v="1"/>
    <n v="30.5"/>
    <n v="0"/>
    <n v="0"/>
    <n v="0"/>
    <n v="72"/>
    <n v="93.600000000000009"/>
    <n v="122.39999999999999"/>
    <n v="72"/>
    <n v="0"/>
    <n v="30.5"/>
    <n v="2196"/>
    <n v="57"/>
    <n v="74.100000000000009"/>
    <n v="96.899999999999991"/>
    <n v="57"/>
    <n v="1738.5"/>
    <n v="457.5"/>
    <m/>
    <m/>
    <m/>
    <m/>
    <m/>
  </r>
  <r>
    <x v="5"/>
    <s v="E8041"/>
    <x v="2"/>
    <n v="6.75"/>
    <n v="0"/>
    <n v="0"/>
    <n v="2.5"/>
    <n v="68"/>
    <n v="88.4"/>
    <n v="115.6"/>
    <n v="68"/>
    <n v="0"/>
    <n v="9.25"/>
    <n v="629"/>
    <n v="55"/>
    <n v="71.5"/>
    <n v="93.5"/>
    <n v="55"/>
    <n v="508.75"/>
    <n v="120.25"/>
    <m/>
    <m/>
    <m/>
    <m/>
    <m/>
  </r>
  <r>
    <x v="5"/>
    <s v="E8174"/>
    <x v="3"/>
    <n v="40"/>
    <n v="17"/>
    <n v="0"/>
    <n v="0"/>
    <n v="68"/>
    <n v="88.4"/>
    <n v="115.6"/>
    <n v="68"/>
    <n v="0"/>
    <n v="57"/>
    <n v="4222.8"/>
    <n v="35"/>
    <n v="52.5"/>
    <n v="70"/>
    <n v="35"/>
    <n v="2292.5"/>
    <n v="1930.3000000000002"/>
    <m/>
    <m/>
    <m/>
    <m/>
    <m/>
  </r>
  <r>
    <x v="5"/>
    <s v="E8190"/>
    <x v="4"/>
    <n v="32"/>
    <n v="0"/>
    <n v="0"/>
    <n v="8"/>
    <n v="68"/>
    <n v="88.4"/>
    <n v="115.6"/>
    <n v="68"/>
    <n v="0"/>
    <n v="40"/>
    <n v="2720"/>
    <n v="39"/>
    <n v="58.5"/>
    <n v="78"/>
    <n v="39"/>
    <n v="1560"/>
    <n v="1160"/>
    <m/>
    <m/>
    <m/>
    <m/>
    <m/>
  </r>
  <r>
    <x v="5"/>
    <s v="E8395"/>
    <x v="5"/>
    <n v="12"/>
    <n v="0"/>
    <n v="9.5"/>
    <n v="3.5"/>
    <n v="68"/>
    <n v="88.4"/>
    <n v="115.6"/>
    <n v="68"/>
    <n v="0"/>
    <n v="25"/>
    <n v="2152.1999999999998"/>
    <n v="36"/>
    <n v="54"/>
    <n v="72"/>
    <n v="36"/>
    <n v="1242"/>
    <n v="910.19999999999982"/>
    <m/>
    <m/>
    <n v="3"/>
    <m/>
    <m/>
  </r>
  <r>
    <x v="5"/>
    <s v="E8473"/>
    <x v="6"/>
    <n v="32.5"/>
    <n v="0"/>
    <n v="12"/>
    <n v="17.25"/>
    <n v="68"/>
    <n v="88.4"/>
    <n v="115.6"/>
    <n v="68"/>
    <n v="0"/>
    <n v="61.75"/>
    <n v="4770.2"/>
    <n v="36"/>
    <n v="54"/>
    <n v="72"/>
    <n v="36"/>
    <n v="2655"/>
    <n v="2115.1999999999998"/>
    <m/>
    <m/>
    <n v="2"/>
    <m/>
    <m/>
  </r>
  <r>
    <x v="5"/>
    <s v="E8585"/>
    <x v="7"/>
    <n v="40"/>
    <n v="7.5"/>
    <n v="0.5"/>
    <n v="12.5"/>
    <n v="68"/>
    <n v="88.4"/>
    <n v="115.6"/>
    <n v="68"/>
    <n v="0"/>
    <n v="60.5"/>
    <n v="4290.8"/>
    <n v="30.67"/>
    <n v="46.005000000000003"/>
    <n v="61.34"/>
    <n v="30.67"/>
    <n v="1985.88"/>
    <n v="2304.92"/>
    <m/>
    <m/>
    <n v="5"/>
    <m/>
    <m/>
  </r>
  <r>
    <x v="5"/>
    <s v="E8585"/>
    <x v="8"/>
    <n v="40"/>
    <n v="5.5"/>
    <n v="0"/>
    <n v="0"/>
    <n v="68"/>
    <n v="88.4"/>
    <n v="115.6"/>
    <n v="68"/>
    <n v="0"/>
    <n v="45.5"/>
    <n v="3206.2"/>
    <n v="30"/>
    <n v="45"/>
    <n v="60"/>
    <n v="30"/>
    <n v="1447.5"/>
    <n v="1758.6999999999998"/>
    <n v="1"/>
    <m/>
    <m/>
    <m/>
    <m/>
  </r>
  <r>
    <x v="5"/>
    <s v="E8650"/>
    <x v="9"/>
    <n v="37.25"/>
    <n v="0"/>
    <n v="0"/>
    <n v="4"/>
    <n v="54"/>
    <n v="70.2"/>
    <n v="91.8"/>
    <n v="54"/>
    <n v="0"/>
    <n v="41.25"/>
    <n v="2227.5"/>
    <n v="27"/>
    <n v="40.5"/>
    <n v="54"/>
    <n v="27"/>
    <n v="1113.75"/>
    <n v="1113.75"/>
    <n v="1"/>
    <m/>
    <n v="2"/>
    <n v="1"/>
    <n v="1"/>
  </r>
  <r>
    <x v="6"/>
    <s v="E8022"/>
    <x v="0"/>
    <n v="38"/>
    <n v="0"/>
    <n v="0"/>
    <n v="12"/>
    <n v="72"/>
    <n v="93.600000000000009"/>
    <n v="122.39999999999999"/>
    <n v="72"/>
    <n v="0"/>
    <n v="50"/>
    <n v="3600"/>
    <n v="60"/>
    <n v="78"/>
    <n v="102"/>
    <n v="60"/>
    <n v="3000"/>
    <n v="600"/>
    <m/>
    <m/>
    <m/>
    <m/>
    <m/>
  </r>
  <r>
    <x v="6"/>
    <s v="E8031"/>
    <x v="1"/>
    <n v="40"/>
    <n v="0.25"/>
    <n v="3.5"/>
    <n v="4"/>
    <n v="72"/>
    <n v="93.600000000000009"/>
    <n v="122.39999999999999"/>
    <n v="72"/>
    <n v="0"/>
    <n v="47.75"/>
    <n v="3619.8"/>
    <n v="57"/>
    <n v="74.100000000000009"/>
    <n v="96.899999999999991"/>
    <n v="57"/>
    <n v="2865.68"/>
    <n v="754.12000000000035"/>
    <m/>
    <m/>
    <n v="1"/>
    <m/>
    <m/>
  </r>
  <r>
    <x v="6"/>
    <s v="E8041"/>
    <x v="2"/>
    <n v="0"/>
    <n v="0"/>
    <n v="0"/>
    <n v="0"/>
    <n v="68"/>
    <n v="88.4"/>
    <n v="115.6"/>
    <n v="68"/>
    <n v="0"/>
    <n v="0"/>
    <n v="0"/>
    <n v="55"/>
    <n v="71.5"/>
    <n v="93.5"/>
    <n v="55"/>
    <n v="0"/>
    <n v="0"/>
    <m/>
    <m/>
    <m/>
    <m/>
    <m/>
  </r>
  <r>
    <x v="6"/>
    <s v="E8174"/>
    <x v="3"/>
    <n v="40"/>
    <n v="20"/>
    <n v="0"/>
    <n v="0"/>
    <n v="68"/>
    <n v="88.4"/>
    <n v="115.6"/>
    <n v="68"/>
    <n v="0"/>
    <n v="60"/>
    <n v="4488"/>
    <n v="35"/>
    <n v="52.5"/>
    <n v="70"/>
    <n v="35"/>
    <n v="2450"/>
    <n v="2038"/>
    <m/>
    <m/>
    <m/>
    <m/>
    <m/>
  </r>
  <r>
    <x v="6"/>
    <s v="E8190"/>
    <x v="4"/>
    <n v="40"/>
    <n v="6.5"/>
    <n v="0"/>
    <n v="4"/>
    <n v="68"/>
    <n v="88.4"/>
    <n v="115.6"/>
    <n v="68"/>
    <n v="0"/>
    <n v="50.5"/>
    <n v="3566.6"/>
    <n v="39"/>
    <n v="58.5"/>
    <n v="78"/>
    <n v="39"/>
    <n v="2096.25"/>
    <n v="1470.35"/>
    <m/>
    <m/>
    <m/>
    <m/>
    <m/>
  </r>
  <r>
    <x v="6"/>
    <s v="E8395"/>
    <x v="5"/>
    <n v="40"/>
    <n v="0"/>
    <n v="0"/>
    <n v="13.25"/>
    <n v="68"/>
    <n v="88.4"/>
    <n v="115.6"/>
    <n v="68"/>
    <n v="0"/>
    <n v="53.25"/>
    <n v="3621"/>
    <n v="36"/>
    <n v="54"/>
    <n v="72"/>
    <n v="36"/>
    <n v="1917"/>
    <n v="1704"/>
    <m/>
    <m/>
    <n v="2"/>
    <m/>
    <m/>
  </r>
  <r>
    <x v="6"/>
    <s v="E8473"/>
    <x v="6"/>
    <n v="40"/>
    <n v="8"/>
    <n v="0.5"/>
    <n v="9"/>
    <n v="68"/>
    <n v="88.4"/>
    <n v="115.6"/>
    <n v="68"/>
    <n v="0"/>
    <n v="57.5"/>
    <n v="4097"/>
    <n v="36"/>
    <n v="54"/>
    <n v="72"/>
    <n v="36"/>
    <n v="2232"/>
    <n v="1865"/>
    <m/>
    <m/>
    <n v="5"/>
    <m/>
    <m/>
  </r>
  <r>
    <x v="6"/>
    <s v="E8585"/>
    <x v="7"/>
    <n v="40"/>
    <n v="18.25"/>
    <n v="12"/>
    <n v="12"/>
    <n v="68"/>
    <n v="88.4"/>
    <n v="115.6"/>
    <n v="68"/>
    <n v="0"/>
    <n v="82.25"/>
    <n v="6536.5"/>
    <n v="30.67"/>
    <n v="46.005000000000003"/>
    <n v="61.34"/>
    <n v="30.67"/>
    <n v="3170.51"/>
    <n v="3365.99"/>
    <m/>
    <m/>
    <n v="7"/>
    <n v="1"/>
    <n v="1"/>
  </r>
  <r>
    <x v="6"/>
    <s v="E8585"/>
    <x v="8"/>
    <n v="40"/>
    <n v="8"/>
    <n v="0"/>
    <n v="0"/>
    <n v="68"/>
    <n v="88.4"/>
    <n v="115.6"/>
    <n v="68"/>
    <n v="0"/>
    <n v="48"/>
    <n v="3427.2"/>
    <n v="30"/>
    <n v="45"/>
    <n v="60"/>
    <n v="30"/>
    <n v="1560"/>
    <n v="1867.1999999999998"/>
    <n v="2"/>
    <m/>
    <m/>
    <m/>
    <m/>
  </r>
  <r>
    <x v="6"/>
    <s v="E8650"/>
    <x v="9"/>
    <n v="40"/>
    <n v="2.5"/>
    <n v="0"/>
    <n v="0"/>
    <n v="54"/>
    <n v="70.2"/>
    <n v="91.8"/>
    <n v="54"/>
    <n v="0"/>
    <n v="42.5"/>
    <n v="2335.5"/>
    <n v="27"/>
    <n v="40.5"/>
    <n v="54"/>
    <n v="27"/>
    <n v="1181.25"/>
    <n v="1154.25"/>
    <m/>
    <m/>
    <m/>
    <m/>
    <m/>
  </r>
  <r>
    <x v="7"/>
    <s v="E8022"/>
    <x v="0"/>
    <n v="40"/>
    <n v="20.5"/>
    <n v="8"/>
    <n v="11.5"/>
    <n v="72"/>
    <n v="93.600000000000009"/>
    <n v="122.39999999999999"/>
    <n v="72"/>
    <n v="0"/>
    <n v="80"/>
    <n v="6606"/>
    <n v="60"/>
    <n v="78"/>
    <n v="102"/>
    <n v="60"/>
    <n v="5505"/>
    <n v="1101"/>
    <m/>
    <m/>
    <n v="7"/>
    <n v="1"/>
    <n v="1"/>
  </r>
  <r>
    <x v="7"/>
    <s v="E8031"/>
    <x v="1"/>
    <n v="40"/>
    <n v="10.75"/>
    <n v="10"/>
    <n v="0"/>
    <n v="72"/>
    <n v="93.600000000000009"/>
    <n v="122.39999999999999"/>
    <n v="72"/>
    <n v="0"/>
    <n v="60.75"/>
    <n v="5110.2"/>
    <n v="57"/>
    <n v="74.100000000000009"/>
    <n v="96.899999999999991"/>
    <n v="57"/>
    <n v="4045.58"/>
    <n v="1064.6199999999999"/>
    <m/>
    <m/>
    <n v="3"/>
    <m/>
    <m/>
  </r>
  <r>
    <x v="7"/>
    <s v="E8041"/>
    <x v="2"/>
    <n v="6.5"/>
    <n v="0"/>
    <n v="0"/>
    <n v="2.5"/>
    <n v="68"/>
    <n v="88.4"/>
    <n v="115.6"/>
    <n v="68"/>
    <n v="0"/>
    <n v="9"/>
    <n v="612"/>
    <n v="55"/>
    <n v="71.5"/>
    <n v="93.5"/>
    <n v="55"/>
    <n v="495"/>
    <n v="117"/>
    <m/>
    <m/>
    <m/>
    <m/>
    <m/>
  </r>
  <r>
    <x v="7"/>
    <s v="E8174"/>
    <x v="3"/>
    <n v="40"/>
    <n v="17"/>
    <n v="0"/>
    <n v="0"/>
    <n v="68"/>
    <n v="88.4"/>
    <n v="115.6"/>
    <n v="68"/>
    <n v="0"/>
    <n v="57"/>
    <n v="4222.8"/>
    <n v="35"/>
    <n v="52.5"/>
    <n v="70"/>
    <n v="35"/>
    <n v="2292.5"/>
    <n v="1930.3000000000002"/>
    <m/>
    <m/>
    <m/>
    <m/>
    <m/>
  </r>
  <r>
    <x v="7"/>
    <s v="E8190"/>
    <x v="4"/>
    <n v="40"/>
    <n v="15.5"/>
    <n v="10"/>
    <n v="0"/>
    <n v="68"/>
    <n v="88.4"/>
    <n v="115.6"/>
    <n v="68"/>
    <n v="0"/>
    <n v="65.5"/>
    <n v="5246.2"/>
    <n v="39"/>
    <n v="58.5"/>
    <n v="78"/>
    <n v="39"/>
    <n v="3246.75"/>
    <n v="1999.4499999999998"/>
    <m/>
    <m/>
    <n v="2"/>
    <m/>
    <m/>
  </r>
  <r>
    <x v="7"/>
    <s v="E8395"/>
    <x v="5"/>
    <n v="40"/>
    <n v="20"/>
    <n v="0"/>
    <n v="11"/>
    <n v="68"/>
    <n v="88.4"/>
    <n v="115.6"/>
    <n v="68"/>
    <n v="0"/>
    <n v="71"/>
    <n v="5236"/>
    <n v="36"/>
    <n v="54"/>
    <n v="72"/>
    <n v="36"/>
    <n v="2916"/>
    <n v="2320"/>
    <m/>
    <m/>
    <n v="6"/>
    <m/>
    <m/>
  </r>
  <r>
    <x v="7"/>
    <s v="E8473"/>
    <x v="6"/>
    <n v="33"/>
    <n v="0"/>
    <n v="0"/>
    <n v="8"/>
    <n v="68"/>
    <n v="88.4"/>
    <n v="115.6"/>
    <n v="68"/>
    <n v="0"/>
    <n v="41"/>
    <n v="2788"/>
    <n v="36"/>
    <n v="54"/>
    <n v="72"/>
    <n v="36"/>
    <n v="1476"/>
    <n v="1312"/>
    <m/>
    <m/>
    <n v="4"/>
    <m/>
    <m/>
  </r>
  <r>
    <x v="7"/>
    <s v="E8585"/>
    <x v="7"/>
    <n v="40"/>
    <n v="20"/>
    <n v="0.5"/>
    <n v="0"/>
    <n v="68"/>
    <n v="88.4"/>
    <n v="115.6"/>
    <n v="68"/>
    <n v="0"/>
    <n v="60.5"/>
    <n v="4545.8"/>
    <n v="30.67"/>
    <n v="46.005000000000003"/>
    <n v="61.34"/>
    <n v="30.67"/>
    <n v="2177.5700000000002"/>
    <n v="2368.23"/>
    <m/>
    <m/>
    <n v="5"/>
    <n v="1"/>
    <n v="1"/>
  </r>
  <r>
    <x v="7"/>
    <s v="E8585"/>
    <x v="8"/>
    <n v="40"/>
    <n v="6.5"/>
    <n v="0"/>
    <n v="8"/>
    <n v="68"/>
    <n v="88.4"/>
    <n v="115.6"/>
    <n v="68"/>
    <n v="0"/>
    <n v="54.5"/>
    <n v="3838.6"/>
    <n v="30"/>
    <n v="45"/>
    <n v="60"/>
    <n v="30"/>
    <n v="1732.5"/>
    <n v="2106.1"/>
    <m/>
    <m/>
    <n v="4"/>
    <m/>
    <m/>
  </r>
  <r>
    <x v="7"/>
    <s v="E8650"/>
    <x v="9"/>
    <n v="32.5"/>
    <n v="0"/>
    <n v="0"/>
    <n v="14"/>
    <n v="54"/>
    <n v="70.2"/>
    <n v="91.8"/>
    <n v="54"/>
    <n v="0"/>
    <n v="46.5"/>
    <n v="2511"/>
    <n v="27"/>
    <n v="40.5"/>
    <n v="54"/>
    <n v="27"/>
    <n v="1255.5"/>
    <n v="1255.5"/>
    <n v="1"/>
    <m/>
    <n v="3"/>
    <m/>
    <m/>
  </r>
  <r>
    <x v="8"/>
    <s v="E8022"/>
    <x v="0"/>
    <n v="12"/>
    <n v="0"/>
    <n v="0"/>
    <n v="13"/>
    <n v="72"/>
    <n v="93.600000000000009"/>
    <n v="122.39999999999999"/>
    <n v="72"/>
    <n v="0"/>
    <n v="25"/>
    <n v="1800"/>
    <n v="60"/>
    <n v="78"/>
    <n v="102"/>
    <n v="60"/>
    <n v="1500"/>
    <n v="300"/>
    <m/>
    <m/>
    <n v="2"/>
    <n v="1"/>
    <n v="1"/>
  </r>
  <r>
    <x v="8"/>
    <s v="E8031"/>
    <x v="1"/>
    <n v="0"/>
    <n v="0"/>
    <n v="0"/>
    <n v="4"/>
    <n v="72"/>
    <n v="93.600000000000009"/>
    <n v="122.39999999999999"/>
    <n v="72"/>
    <n v="0"/>
    <n v="4"/>
    <n v="288"/>
    <n v="57"/>
    <n v="74.100000000000009"/>
    <n v="96.899999999999991"/>
    <n v="57"/>
    <n v="228"/>
    <n v="60"/>
    <m/>
    <m/>
    <n v="1"/>
    <m/>
    <m/>
  </r>
  <r>
    <x v="8"/>
    <s v="E8041"/>
    <x v="2"/>
    <n v="0"/>
    <n v="0"/>
    <n v="0"/>
    <n v="0"/>
    <n v="68"/>
    <n v="88.4"/>
    <n v="115.6"/>
    <n v="68"/>
    <n v="0"/>
    <n v="0"/>
    <n v="0"/>
    <n v="55"/>
    <n v="71.5"/>
    <n v="93.5"/>
    <n v="55"/>
    <n v="0"/>
    <n v="0"/>
    <m/>
    <m/>
    <m/>
    <m/>
    <m/>
  </r>
  <r>
    <x v="8"/>
    <s v="E8174"/>
    <x v="3"/>
    <n v="12"/>
    <n v="0"/>
    <n v="0"/>
    <n v="0"/>
    <n v="68"/>
    <n v="88.4"/>
    <n v="115.6"/>
    <n v="68"/>
    <n v="0"/>
    <n v="12"/>
    <n v="816"/>
    <n v="35"/>
    <n v="52.5"/>
    <n v="70"/>
    <n v="35"/>
    <n v="420"/>
    <n v="396"/>
    <m/>
    <m/>
    <m/>
    <m/>
    <m/>
  </r>
  <r>
    <x v="8"/>
    <s v="E8190"/>
    <x v="4"/>
    <n v="8"/>
    <n v="0"/>
    <n v="0"/>
    <n v="4"/>
    <n v="68"/>
    <n v="88.4"/>
    <n v="115.6"/>
    <n v="68"/>
    <n v="0"/>
    <n v="12"/>
    <n v="816"/>
    <n v="39"/>
    <n v="58.5"/>
    <n v="78"/>
    <n v="39"/>
    <n v="468"/>
    <n v="348"/>
    <m/>
    <m/>
    <n v="1"/>
    <m/>
    <m/>
  </r>
  <r>
    <x v="8"/>
    <s v="E8395"/>
    <x v="5"/>
    <n v="0"/>
    <n v="0"/>
    <n v="0"/>
    <n v="0"/>
    <n v="68"/>
    <n v="88.4"/>
    <n v="115.6"/>
    <n v="68"/>
    <n v="0"/>
    <n v="0"/>
    <n v="0"/>
    <n v="36"/>
    <n v="54"/>
    <n v="72"/>
    <n v="36"/>
    <n v="0"/>
    <n v="0"/>
    <m/>
    <m/>
    <m/>
    <m/>
    <m/>
  </r>
  <r>
    <x v="8"/>
    <s v="E8473"/>
    <x v="6"/>
    <n v="0"/>
    <n v="0"/>
    <n v="0"/>
    <n v="0"/>
    <n v="68"/>
    <n v="88.4"/>
    <n v="115.6"/>
    <n v="68"/>
    <n v="0"/>
    <n v="0"/>
    <n v="0"/>
    <n v="36"/>
    <n v="54"/>
    <n v="72"/>
    <n v="36"/>
    <n v="0"/>
    <n v="0"/>
    <m/>
    <m/>
    <m/>
    <m/>
    <m/>
  </r>
  <r>
    <x v="8"/>
    <s v="E8585"/>
    <x v="7"/>
    <n v="0"/>
    <n v="0"/>
    <n v="0"/>
    <n v="0"/>
    <n v="68"/>
    <n v="88.4"/>
    <n v="115.6"/>
    <n v="68"/>
    <n v="0"/>
    <n v="0"/>
    <n v="0"/>
    <n v="30.67"/>
    <n v="46.005000000000003"/>
    <n v="61.34"/>
    <n v="30.67"/>
    <n v="0"/>
    <n v="0"/>
    <m/>
    <m/>
    <m/>
    <m/>
    <m/>
  </r>
  <r>
    <x v="8"/>
    <s v="E8585"/>
    <x v="8"/>
    <n v="23.5"/>
    <n v="0"/>
    <n v="0"/>
    <n v="0"/>
    <n v="68"/>
    <n v="88.4"/>
    <n v="115.6"/>
    <n v="68"/>
    <n v="0"/>
    <n v="23.5"/>
    <n v="1598"/>
    <n v="30"/>
    <n v="45"/>
    <n v="60"/>
    <n v="30"/>
    <n v="705"/>
    <n v="893"/>
    <m/>
    <m/>
    <m/>
    <m/>
    <m/>
  </r>
  <r>
    <x v="8"/>
    <s v="E8650"/>
    <x v="9"/>
    <n v="11.5"/>
    <n v="0"/>
    <n v="0"/>
    <n v="0"/>
    <n v="54"/>
    <n v="70.2"/>
    <n v="91.8"/>
    <n v="54"/>
    <n v="0"/>
    <n v="11.5"/>
    <n v="621"/>
    <n v="27"/>
    <n v="40.5"/>
    <n v="54"/>
    <n v="27"/>
    <n v="310.5"/>
    <n v="310.5"/>
    <m/>
    <m/>
    <m/>
    <m/>
    <m/>
  </r>
  <r>
    <x v="9"/>
    <s v="E8022"/>
    <x v="0"/>
    <n v="0"/>
    <n v="0"/>
    <n v="0"/>
    <n v="0"/>
    <n v="72"/>
    <n v="93.600000000000009"/>
    <n v="122.39999999999999"/>
    <n v="72"/>
    <n v="0"/>
    <n v="0"/>
    <n v="0"/>
    <n v="60"/>
    <n v="78"/>
    <n v="102"/>
    <n v="60"/>
    <n v="0"/>
    <n v="0"/>
    <m/>
    <m/>
    <m/>
    <m/>
    <m/>
  </r>
  <r>
    <x v="9"/>
    <s v="E8031"/>
    <x v="1"/>
    <n v="0"/>
    <n v="0"/>
    <n v="0"/>
    <n v="0"/>
    <n v="72"/>
    <n v="93.600000000000009"/>
    <n v="122.39999999999999"/>
    <n v="72"/>
    <n v="0"/>
    <n v="0"/>
    <n v="0"/>
    <n v="57"/>
    <n v="74.100000000000009"/>
    <n v="96.899999999999991"/>
    <n v="57"/>
    <n v="0"/>
    <n v="0"/>
    <m/>
    <m/>
    <m/>
    <m/>
    <m/>
  </r>
  <r>
    <x v="9"/>
    <s v="E8041"/>
    <x v="2"/>
    <n v="0"/>
    <n v="0"/>
    <n v="0"/>
    <n v="0"/>
    <n v="68"/>
    <n v="88.4"/>
    <n v="115.6"/>
    <n v="68"/>
    <n v="0"/>
    <n v="0"/>
    <n v="0"/>
    <n v="55"/>
    <n v="71.5"/>
    <n v="93.5"/>
    <n v="55"/>
    <n v="0"/>
    <n v="0"/>
    <m/>
    <m/>
    <m/>
    <m/>
    <m/>
  </r>
  <r>
    <x v="9"/>
    <s v="E8174"/>
    <x v="3"/>
    <n v="0"/>
    <n v="0"/>
    <n v="0"/>
    <n v="0"/>
    <n v="68"/>
    <n v="88.4"/>
    <n v="115.6"/>
    <n v="68"/>
    <n v="0"/>
    <n v="0"/>
    <n v="0"/>
    <n v="35"/>
    <n v="52.5"/>
    <n v="70"/>
    <n v="35"/>
    <n v="0"/>
    <n v="0"/>
    <m/>
    <m/>
    <m/>
    <m/>
    <m/>
  </r>
  <r>
    <x v="9"/>
    <s v="E8190"/>
    <x v="4"/>
    <n v="0"/>
    <n v="0"/>
    <n v="0"/>
    <n v="0"/>
    <n v="68"/>
    <n v="88.4"/>
    <n v="115.6"/>
    <n v="68"/>
    <n v="0"/>
    <n v="0"/>
    <n v="0"/>
    <n v="39"/>
    <n v="58.5"/>
    <n v="78"/>
    <n v="39"/>
    <n v="0"/>
    <n v="0"/>
    <m/>
    <m/>
    <m/>
    <m/>
    <m/>
  </r>
  <r>
    <x v="9"/>
    <s v="E8395"/>
    <x v="5"/>
    <n v="0"/>
    <n v="0"/>
    <n v="0"/>
    <n v="0"/>
    <n v="68"/>
    <n v="88.4"/>
    <n v="115.6"/>
    <n v="68"/>
    <n v="0"/>
    <n v="0"/>
    <n v="0"/>
    <n v="36"/>
    <n v="54"/>
    <n v="72"/>
    <n v="36"/>
    <n v="0"/>
    <n v="0"/>
    <m/>
    <m/>
    <m/>
    <m/>
    <m/>
  </r>
  <r>
    <x v="9"/>
    <s v="E8473"/>
    <x v="6"/>
    <n v="0"/>
    <n v="0"/>
    <n v="0"/>
    <n v="0"/>
    <n v="68"/>
    <n v="88.4"/>
    <n v="115.6"/>
    <n v="68"/>
    <n v="0"/>
    <n v="0"/>
    <n v="0"/>
    <n v="36"/>
    <n v="54"/>
    <n v="72"/>
    <n v="36"/>
    <n v="0"/>
    <n v="0"/>
    <m/>
    <m/>
    <m/>
    <m/>
    <m/>
  </r>
  <r>
    <x v="9"/>
    <s v="E8585"/>
    <x v="7"/>
    <n v="0"/>
    <n v="0"/>
    <n v="13.25"/>
    <n v="0"/>
    <n v="68"/>
    <n v="88.4"/>
    <n v="115.6"/>
    <n v="68"/>
    <n v="0"/>
    <n v="13.25"/>
    <n v="1531.7"/>
    <n v="30.67"/>
    <n v="46.005000000000003"/>
    <n v="61.34"/>
    <n v="30.67"/>
    <n v="812.76"/>
    <n v="718.94"/>
    <m/>
    <m/>
    <n v="1"/>
    <m/>
    <m/>
  </r>
  <r>
    <x v="9"/>
    <s v="E8585"/>
    <x v="8"/>
    <n v="0"/>
    <n v="0"/>
    <n v="0"/>
    <n v="0"/>
    <n v="68"/>
    <n v="88.4"/>
    <n v="115.6"/>
    <n v="68"/>
    <n v="0"/>
    <n v="0"/>
    <n v="0"/>
    <n v="30"/>
    <n v="45"/>
    <n v="60"/>
    <n v="30"/>
    <n v="0"/>
    <n v="0"/>
    <m/>
    <m/>
    <m/>
    <m/>
    <m/>
  </r>
  <r>
    <x v="9"/>
    <s v="E8650"/>
    <x v="9"/>
    <n v="0"/>
    <n v="0"/>
    <n v="0"/>
    <n v="0"/>
    <n v="54"/>
    <n v="70.2"/>
    <n v="91.8"/>
    <n v="54"/>
    <n v="0"/>
    <n v="0"/>
    <n v="0"/>
    <n v="27"/>
    <n v="40.5"/>
    <n v="54"/>
    <n v="27"/>
    <n v="0"/>
    <n v="0"/>
    <m/>
    <m/>
    <m/>
    <m/>
    <m/>
  </r>
  <r>
    <x v="10"/>
    <s v="E8022"/>
    <x v="0"/>
    <n v="40"/>
    <n v="20"/>
    <n v="8"/>
    <n v="12"/>
    <n v="72"/>
    <n v="93.600000000000009"/>
    <n v="122.39999999999999"/>
    <n v="72"/>
    <n v="0"/>
    <n v="80"/>
    <n v="6595.2"/>
    <n v="60"/>
    <n v="78"/>
    <n v="102"/>
    <n v="60"/>
    <n v="5496"/>
    <n v="1099.1999999999998"/>
    <m/>
    <m/>
    <n v="7"/>
    <n v="1"/>
    <n v="1"/>
  </r>
  <r>
    <x v="10"/>
    <s v="E8031"/>
    <x v="1"/>
    <n v="40"/>
    <n v="15.5"/>
    <n v="0"/>
    <n v="4"/>
    <n v="72"/>
    <n v="93.600000000000009"/>
    <n v="122.39999999999999"/>
    <n v="72"/>
    <n v="0"/>
    <n v="59.5"/>
    <n v="4618.8"/>
    <n v="57"/>
    <n v="74.100000000000009"/>
    <n v="96.899999999999991"/>
    <n v="57"/>
    <n v="3656.55"/>
    <n v="962.25"/>
    <m/>
    <m/>
    <n v="5"/>
    <m/>
    <m/>
  </r>
  <r>
    <x v="10"/>
    <s v="E8041"/>
    <x v="2"/>
    <n v="0"/>
    <n v="0"/>
    <n v="0"/>
    <n v="0"/>
    <n v="68"/>
    <n v="88.4"/>
    <n v="115.6"/>
    <n v="68"/>
    <n v="0"/>
    <n v="0"/>
    <n v="0"/>
    <n v="55"/>
    <n v="71.5"/>
    <n v="93.5"/>
    <n v="55"/>
    <n v="0"/>
    <n v="0"/>
    <m/>
    <m/>
    <m/>
    <m/>
    <m/>
  </r>
  <r>
    <x v="10"/>
    <s v="E8174"/>
    <x v="3"/>
    <n v="40"/>
    <n v="12.5"/>
    <n v="1"/>
    <n v="0"/>
    <n v="68"/>
    <n v="88.4"/>
    <n v="115.6"/>
    <n v="68"/>
    <n v="0"/>
    <n v="53.5"/>
    <n v="3940.6"/>
    <n v="35"/>
    <n v="52.5"/>
    <n v="70"/>
    <n v="35"/>
    <n v="2126.25"/>
    <n v="1814.35"/>
    <m/>
    <m/>
    <m/>
    <m/>
    <m/>
  </r>
  <r>
    <x v="10"/>
    <s v="E8190"/>
    <x v="4"/>
    <n v="40"/>
    <n v="2"/>
    <n v="0"/>
    <n v="4"/>
    <n v="68"/>
    <n v="88.4"/>
    <n v="115.6"/>
    <n v="68"/>
    <n v="0"/>
    <n v="46"/>
    <n v="3168.8"/>
    <n v="39"/>
    <n v="58.5"/>
    <n v="78"/>
    <n v="39"/>
    <n v="1833"/>
    <n v="1335.8000000000002"/>
    <m/>
    <m/>
    <n v="1"/>
    <m/>
    <m/>
  </r>
  <r>
    <x v="10"/>
    <s v="E8395"/>
    <x v="5"/>
    <n v="40"/>
    <n v="20"/>
    <n v="12"/>
    <n v="9.25"/>
    <n v="68"/>
    <n v="88.4"/>
    <n v="115.6"/>
    <n v="68"/>
    <n v="0"/>
    <n v="81.25"/>
    <n v="6504.2"/>
    <n v="36"/>
    <n v="54"/>
    <n v="72"/>
    <n v="36"/>
    <n v="3717"/>
    <n v="2787.2"/>
    <m/>
    <m/>
    <n v="7"/>
    <m/>
    <m/>
  </r>
  <r>
    <x v="10"/>
    <s v="E8473"/>
    <x v="6"/>
    <n v="19.5"/>
    <n v="0"/>
    <n v="0"/>
    <n v="2"/>
    <n v="68"/>
    <n v="88.4"/>
    <n v="115.6"/>
    <n v="68"/>
    <n v="0"/>
    <n v="21.5"/>
    <n v="1462"/>
    <n v="36"/>
    <n v="54"/>
    <n v="72"/>
    <n v="36"/>
    <n v="774"/>
    <n v="688"/>
    <m/>
    <m/>
    <m/>
    <m/>
    <m/>
  </r>
  <r>
    <x v="10"/>
    <s v="E8585"/>
    <x v="7"/>
    <n v="40"/>
    <n v="32"/>
    <n v="8"/>
    <n v="0"/>
    <n v="68"/>
    <n v="88.4"/>
    <n v="115.6"/>
    <n v="68"/>
    <n v="0"/>
    <n v="80"/>
    <n v="6473.6"/>
    <n v="30.67"/>
    <n v="46.005000000000003"/>
    <n v="61.34"/>
    <n v="30.67"/>
    <n v="3189.68"/>
    <n v="3283.9200000000005"/>
    <m/>
    <m/>
    <n v="7"/>
    <m/>
    <m/>
  </r>
  <r>
    <x v="10"/>
    <s v="E8585"/>
    <x v="8"/>
    <n v="40"/>
    <n v="27.25"/>
    <n v="0"/>
    <n v="0"/>
    <n v="68"/>
    <n v="88.4"/>
    <n v="115.6"/>
    <n v="68"/>
    <n v="0"/>
    <n v="67.25"/>
    <n v="5128.8999999999996"/>
    <n v="30"/>
    <n v="45"/>
    <n v="60"/>
    <n v="30"/>
    <n v="2426.25"/>
    <n v="2702.6499999999996"/>
    <n v="1"/>
    <m/>
    <m/>
    <m/>
    <m/>
  </r>
  <r>
    <x v="10"/>
    <s v="E8650"/>
    <x v="9"/>
    <n v="40"/>
    <n v="20"/>
    <n v="12"/>
    <n v="9.25"/>
    <n v="54"/>
    <n v="70.2"/>
    <n v="91.8"/>
    <n v="54"/>
    <n v="0"/>
    <n v="81.25"/>
    <n v="5165.1000000000004"/>
    <n v="27"/>
    <n v="40.5"/>
    <n v="54"/>
    <n v="27"/>
    <n v="2787.75"/>
    <n v="2377.3500000000004"/>
    <m/>
    <m/>
    <n v="7"/>
    <m/>
    <m/>
  </r>
  <r>
    <x v="11"/>
    <s v="E8022"/>
    <x v="0"/>
    <n v="40"/>
    <n v="8"/>
    <n v="0"/>
    <n v="12"/>
    <n v="72"/>
    <n v="93.600000000000009"/>
    <n v="122.39999999999999"/>
    <n v="72"/>
    <n v="0"/>
    <n v="60"/>
    <n v="4492.8"/>
    <n v="60"/>
    <n v="78"/>
    <n v="102"/>
    <n v="60"/>
    <n v="3744"/>
    <n v="748.80000000000018"/>
    <m/>
    <m/>
    <n v="5"/>
    <n v="1"/>
    <n v="1"/>
  </r>
  <r>
    <x v="11"/>
    <s v="E8031"/>
    <x v="1"/>
    <n v="40"/>
    <n v="4"/>
    <n v="12"/>
    <n v="3"/>
    <n v="72"/>
    <n v="93.600000000000009"/>
    <n v="122.39999999999999"/>
    <n v="72"/>
    <n v="0"/>
    <n v="59"/>
    <n v="4939.2"/>
    <n v="57"/>
    <n v="74.100000000000009"/>
    <n v="96.899999999999991"/>
    <n v="57"/>
    <n v="3910.2"/>
    <n v="1029"/>
    <m/>
    <m/>
    <n v="3"/>
    <m/>
    <m/>
  </r>
  <r>
    <x v="11"/>
    <s v="E8041"/>
    <x v="2"/>
    <n v="0"/>
    <n v="0"/>
    <n v="0"/>
    <n v="0"/>
    <n v="68"/>
    <n v="88.4"/>
    <n v="115.6"/>
    <n v="68"/>
    <n v="0"/>
    <n v="0"/>
    <n v="0"/>
    <n v="55"/>
    <n v="71.5"/>
    <n v="93.5"/>
    <n v="55"/>
    <n v="0"/>
    <n v="0"/>
    <m/>
    <m/>
    <m/>
    <m/>
    <m/>
  </r>
  <r>
    <x v="11"/>
    <s v="E8174"/>
    <x v="3"/>
    <n v="40"/>
    <n v="0"/>
    <n v="0"/>
    <n v="0"/>
    <n v="68"/>
    <n v="88.4"/>
    <n v="115.6"/>
    <n v="68"/>
    <n v="0"/>
    <n v="40"/>
    <n v="2720"/>
    <n v="35"/>
    <n v="52.5"/>
    <n v="70"/>
    <n v="35"/>
    <n v="1400"/>
    <n v="1320"/>
    <m/>
    <m/>
    <m/>
    <m/>
    <m/>
  </r>
  <r>
    <x v="11"/>
    <s v="E8190"/>
    <x v="4"/>
    <n v="40"/>
    <n v="6"/>
    <n v="0"/>
    <n v="0"/>
    <n v="68"/>
    <n v="88.4"/>
    <n v="115.6"/>
    <n v="68"/>
    <n v="0"/>
    <n v="46"/>
    <n v="3250.4"/>
    <n v="39"/>
    <n v="58.5"/>
    <n v="78"/>
    <n v="39"/>
    <n v="1911"/>
    <n v="1339.4"/>
    <m/>
    <m/>
    <m/>
    <m/>
    <m/>
  </r>
  <r>
    <x v="11"/>
    <s v="E8395"/>
    <x v="5"/>
    <n v="40"/>
    <n v="8"/>
    <n v="0"/>
    <n v="8.5"/>
    <n v="68"/>
    <n v="88.4"/>
    <n v="115.6"/>
    <n v="68"/>
    <n v="0"/>
    <n v="56.5"/>
    <n v="4005.2"/>
    <n v="36"/>
    <n v="54"/>
    <n v="72"/>
    <n v="36"/>
    <n v="2178"/>
    <n v="1827.1999999999998"/>
    <m/>
    <m/>
    <n v="5"/>
    <m/>
    <m/>
  </r>
  <r>
    <x v="11"/>
    <s v="E8473"/>
    <x v="6"/>
    <n v="10.25"/>
    <n v="0"/>
    <n v="0"/>
    <n v="0"/>
    <n v="68"/>
    <n v="88.4"/>
    <n v="115.6"/>
    <n v="68"/>
    <n v="0"/>
    <n v="10.25"/>
    <n v="697"/>
    <n v="36"/>
    <n v="54"/>
    <n v="72"/>
    <n v="36"/>
    <n v="369"/>
    <n v="328"/>
    <m/>
    <m/>
    <m/>
    <m/>
    <m/>
  </r>
  <r>
    <x v="11"/>
    <s v="E8585"/>
    <x v="7"/>
    <n v="40"/>
    <n v="8"/>
    <n v="0"/>
    <n v="12"/>
    <n v="68"/>
    <n v="88.4"/>
    <n v="115.6"/>
    <n v="68"/>
    <n v="0"/>
    <n v="60"/>
    <n v="4243.2"/>
    <n v="30.67"/>
    <n v="46.005000000000003"/>
    <n v="61.34"/>
    <n v="30.67"/>
    <n v="1962.88"/>
    <n v="2280.3199999999997"/>
    <m/>
    <m/>
    <n v="5"/>
    <n v="2"/>
    <n v="1"/>
  </r>
  <r>
    <x v="11"/>
    <s v="E8585"/>
    <x v="8"/>
    <n v="40"/>
    <n v="7.75"/>
    <n v="0"/>
    <n v="0"/>
    <n v="68"/>
    <n v="88.4"/>
    <n v="115.6"/>
    <n v="68"/>
    <n v="0"/>
    <n v="47.75"/>
    <n v="3405.1"/>
    <n v="30"/>
    <n v="45"/>
    <n v="60"/>
    <n v="30"/>
    <n v="1548.75"/>
    <n v="1856.35"/>
    <n v="1"/>
    <m/>
    <m/>
    <m/>
    <m/>
  </r>
  <r>
    <x v="11"/>
    <s v="E8650"/>
    <x v="9"/>
    <n v="40"/>
    <n v="8"/>
    <n v="0"/>
    <n v="8.5"/>
    <n v="54"/>
    <n v="70.2"/>
    <n v="91.8"/>
    <n v="54"/>
    <n v="0"/>
    <n v="56.5"/>
    <n v="3180.6"/>
    <n v="27"/>
    <n v="40.5"/>
    <n v="54"/>
    <n v="27"/>
    <n v="1633.5"/>
    <n v="1547.1"/>
    <m/>
    <m/>
    <n v="5"/>
    <n v="1"/>
    <n v="1"/>
  </r>
  <r>
    <x v="12"/>
    <s v="E8022"/>
    <x v="0"/>
    <n v="48"/>
    <n v="20"/>
    <n v="0"/>
    <n v="11"/>
    <n v="72"/>
    <n v="93.600000000000009"/>
    <n v="122.39999999999999"/>
    <n v="72"/>
    <n v="0"/>
    <n v="79"/>
    <n v="6120"/>
    <n v="60"/>
    <n v="78"/>
    <n v="102"/>
    <n v="60"/>
    <n v="5100"/>
    <n v="1020"/>
    <m/>
    <m/>
    <n v="7"/>
    <n v="1"/>
    <n v="1"/>
  </r>
  <r>
    <x v="12"/>
    <s v="E8031"/>
    <x v="1"/>
    <n v="40"/>
    <n v="22"/>
    <n v="12"/>
    <n v="6"/>
    <n v="72"/>
    <n v="93.600000000000009"/>
    <n v="122.39999999999999"/>
    <n v="72"/>
    <n v="0"/>
    <n v="80"/>
    <n v="6840"/>
    <n v="57"/>
    <n v="74.100000000000009"/>
    <n v="96.899999999999991"/>
    <n v="57"/>
    <n v="5415"/>
    <n v="1425"/>
    <m/>
    <m/>
    <n v="6"/>
    <m/>
    <m/>
  </r>
  <r>
    <x v="12"/>
    <s v="E8041"/>
    <x v="2"/>
    <n v="0"/>
    <n v="0"/>
    <n v="0"/>
    <n v="0"/>
    <n v="68"/>
    <n v="88.4"/>
    <n v="115.6"/>
    <n v="68"/>
    <n v="0"/>
    <n v="0"/>
    <n v="0"/>
    <n v="55"/>
    <n v="71.5"/>
    <n v="93.5"/>
    <n v="55"/>
    <n v="0"/>
    <n v="0"/>
    <m/>
    <m/>
    <m/>
    <m/>
    <m/>
  </r>
  <r>
    <x v="12"/>
    <s v="E8174"/>
    <x v="3"/>
    <n v="40"/>
    <n v="0"/>
    <n v="0"/>
    <n v="0"/>
    <n v="68"/>
    <n v="88.4"/>
    <n v="115.6"/>
    <n v="68"/>
    <n v="0"/>
    <n v="40"/>
    <n v="2720"/>
    <n v="35"/>
    <n v="52.5"/>
    <n v="70"/>
    <n v="35"/>
    <n v="1400"/>
    <n v="1320"/>
    <m/>
    <m/>
    <m/>
    <m/>
    <m/>
  </r>
  <r>
    <x v="12"/>
    <s v="E8190"/>
    <x v="4"/>
    <n v="40"/>
    <n v="14.5"/>
    <n v="12"/>
    <n v="4"/>
    <n v="68"/>
    <n v="88.4"/>
    <n v="115.6"/>
    <n v="68"/>
    <n v="0"/>
    <n v="70.5"/>
    <n v="5661"/>
    <n v="39"/>
    <n v="58.5"/>
    <n v="78"/>
    <n v="39"/>
    <n v="3500.25"/>
    <n v="2160.75"/>
    <m/>
    <m/>
    <n v="4"/>
    <m/>
    <m/>
  </r>
  <r>
    <x v="12"/>
    <s v="E8395"/>
    <x v="5"/>
    <n v="40"/>
    <n v="9.5"/>
    <n v="0"/>
    <n v="8"/>
    <n v="68"/>
    <n v="88.4"/>
    <n v="115.6"/>
    <n v="68"/>
    <n v="0"/>
    <n v="57.5"/>
    <n v="4103.8"/>
    <n v="36"/>
    <n v="54"/>
    <n v="72"/>
    <n v="36"/>
    <n v="2241"/>
    <n v="1862.8000000000002"/>
    <m/>
    <m/>
    <n v="3"/>
    <m/>
    <m/>
  </r>
  <r>
    <x v="12"/>
    <s v="E8473"/>
    <x v="6"/>
    <n v="0"/>
    <n v="0"/>
    <n v="0"/>
    <n v="0"/>
    <n v="68"/>
    <n v="88.4"/>
    <n v="115.6"/>
    <n v="68"/>
    <n v="0"/>
    <n v="0"/>
    <n v="0"/>
    <n v="36"/>
    <n v="54"/>
    <n v="72"/>
    <n v="36"/>
    <n v="0"/>
    <n v="0"/>
    <m/>
    <m/>
    <m/>
    <m/>
    <m/>
  </r>
  <r>
    <x v="12"/>
    <s v="E8585"/>
    <x v="7"/>
    <n v="48"/>
    <n v="20"/>
    <n v="0"/>
    <n v="11"/>
    <n v="68"/>
    <n v="88.4"/>
    <n v="115.6"/>
    <n v="68"/>
    <n v="0"/>
    <n v="79"/>
    <n v="5780"/>
    <n v="30.67"/>
    <n v="46.005000000000003"/>
    <n v="61.34"/>
    <n v="30.67"/>
    <n v="2729.63"/>
    <n v="3050.37"/>
    <m/>
    <m/>
    <n v="7"/>
    <n v="1"/>
    <n v="1"/>
  </r>
  <r>
    <x v="12"/>
    <s v="E8585"/>
    <x v="8"/>
    <n v="40"/>
    <n v="1.75"/>
    <n v="0"/>
    <n v="0"/>
    <n v="68"/>
    <n v="88.4"/>
    <n v="115.6"/>
    <n v="68"/>
    <n v="0"/>
    <n v="41.75"/>
    <n v="2874.7"/>
    <n v="30"/>
    <n v="45"/>
    <n v="60"/>
    <n v="30"/>
    <n v="1278.75"/>
    <n v="1595.9499999999998"/>
    <n v="1"/>
    <m/>
    <m/>
    <m/>
    <m/>
  </r>
  <r>
    <x v="12"/>
    <s v="E8650"/>
    <x v="9"/>
    <n v="40"/>
    <n v="9.75"/>
    <n v="0"/>
    <n v="0"/>
    <n v="54"/>
    <n v="70.2"/>
    <n v="91.8"/>
    <n v="54"/>
    <n v="0"/>
    <n v="49.75"/>
    <n v="2844.45"/>
    <n v="27"/>
    <n v="40.5"/>
    <n v="54"/>
    <n v="27"/>
    <n v="1474.88"/>
    <n v="1369.5699999999997"/>
    <n v="1"/>
    <m/>
    <m/>
    <m/>
    <m/>
  </r>
  <r>
    <x v="13"/>
    <s v="E8022"/>
    <x v="0"/>
    <n v="40"/>
    <n v="4"/>
    <n v="0"/>
    <n v="11.75"/>
    <n v="72"/>
    <n v="93.600000000000009"/>
    <n v="122.39999999999999"/>
    <n v="72"/>
    <n v="0"/>
    <n v="55.75"/>
    <n v="4100.3999999999996"/>
    <n v="60"/>
    <n v="78"/>
    <n v="102"/>
    <n v="60"/>
    <n v="3417"/>
    <n v="683.39999999999964"/>
    <m/>
    <m/>
    <n v="4"/>
    <n v="1"/>
    <n v="1"/>
  </r>
  <r>
    <x v="13"/>
    <s v="E8031"/>
    <x v="1"/>
    <n v="39"/>
    <n v="0"/>
    <n v="0"/>
    <n v="4"/>
    <n v="72"/>
    <n v="93.600000000000009"/>
    <n v="122.39999999999999"/>
    <n v="72"/>
    <n v="0"/>
    <n v="43"/>
    <n v="3096"/>
    <n v="57"/>
    <n v="74.100000000000009"/>
    <n v="96.899999999999991"/>
    <n v="57"/>
    <n v="2451"/>
    <n v="645"/>
    <m/>
    <m/>
    <n v="1"/>
    <m/>
    <m/>
  </r>
  <r>
    <x v="13"/>
    <s v="E8041"/>
    <x v="2"/>
    <n v="0"/>
    <n v="0"/>
    <n v="0"/>
    <n v="0"/>
    <n v="68"/>
    <n v="88.4"/>
    <n v="115.6"/>
    <n v="68"/>
    <n v="0"/>
    <n v="0"/>
    <n v="0"/>
    <n v="55"/>
    <n v="71.5"/>
    <n v="93.5"/>
    <n v="55"/>
    <n v="0"/>
    <n v="0"/>
    <m/>
    <m/>
    <m/>
    <m/>
    <m/>
  </r>
  <r>
    <x v="13"/>
    <s v="E8174"/>
    <x v="3"/>
    <n v="40"/>
    <n v="0"/>
    <n v="0"/>
    <n v="0"/>
    <n v="68"/>
    <n v="88.4"/>
    <n v="115.6"/>
    <n v="68"/>
    <n v="0"/>
    <n v="40"/>
    <n v="2720"/>
    <n v="35"/>
    <n v="52.5"/>
    <n v="70"/>
    <n v="35"/>
    <n v="1400"/>
    <n v="1320"/>
    <m/>
    <m/>
    <m/>
    <m/>
    <m/>
  </r>
  <r>
    <x v="13"/>
    <s v="E8190"/>
    <x v="4"/>
    <n v="40"/>
    <n v="2.25"/>
    <n v="0"/>
    <n v="4"/>
    <n v="68"/>
    <n v="88.4"/>
    <n v="115.6"/>
    <n v="68"/>
    <n v="0"/>
    <n v="46.25"/>
    <n v="3190.9"/>
    <n v="39"/>
    <n v="58.5"/>
    <n v="78"/>
    <n v="39"/>
    <n v="1847.63"/>
    <n v="1343.27"/>
    <m/>
    <m/>
    <n v="2"/>
    <m/>
    <m/>
  </r>
  <r>
    <x v="13"/>
    <s v="E8395"/>
    <x v="5"/>
    <n v="40"/>
    <n v="11.75"/>
    <n v="0"/>
    <n v="0"/>
    <n v="68"/>
    <n v="88.4"/>
    <n v="115.6"/>
    <n v="68"/>
    <n v="0"/>
    <n v="51.75"/>
    <n v="3758.7"/>
    <n v="36"/>
    <n v="54"/>
    <n v="72"/>
    <n v="36"/>
    <n v="2074.5"/>
    <n v="1684.1999999999998"/>
    <m/>
    <m/>
    <m/>
    <m/>
    <m/>
  </r>
  <r>
    <x v="13"/>
    <s v="E8473"/>
    <x v="6"/>
    <n v="30.25"/>
    <n v="0"/>
    <n v="0"/>
    <n v="3"/>
    <n v="68"/>
    <n v="88.4"/>
    <n v="115.6"/>
    <n v="68"/>
    <n v="0"/>
    <n v="33.25"/>
    <n v="2261"/>
    <n v="36"/>
    <n v="54"/>
    <n v="72"/>
    <n v="36"/>
    <n v="1197"/>
    <n v="1064"/>
    <m/>
    <m/>
    <m/>
    <m/>
    <m/>
  </r>
  <r>
    <x v="13"/>
    <s v="E8585"/>
    <x v="7"/>
    <n v="40"/>
    <n v="6"/>
    <n v="0"/>
    <n v="11.75"/>
    <n v="68"/>
    <n v="88.4"/>
    <n v="115.6"/>
    <n v="68"/>
    <n v="0"/>
    <n v="57.75"/>
    <n v="4049.4"/>
    <n v="30.67"/>
    <n v="46.005000000000003"/>
    <n v="61.34"/>
    <n v="30.67"/>
    <n v="1863.2"/>
    <n v="2186.1999999999998"/>
    <m/>
    <m/>
    <n v="4"/>
    <n v="1"/>
    <n v="1"/>
  </r>
  <r>
    <x v="13"/>
    <s v="E8585"/>
    <x v="8"/>
    <n v="40"/>
    <n v="2"/>
    <n v="0"/>
    <n v="0"/>
    <n v="68"/>
    <n v="88.4"/>
    <n v="115.6"/>
    <n v="68"/>
    <n v="0"/>
    <n v="42"/>
    <n v="2896.8"/>
    <n v="30"/>
    <n v="45"/>
    <n v="60"/>
    <n v="30"/>
    <n v="1290"/>
    <n v="1606.8000000000002"/>
    <n v="2"/>
    <m/>
    <m/>
    <m/>
    <m/>
  </r>
  <r>
    <x v="13"/>
    <s v="E8650"/>
    <x v="9"/>
    <n v="40"/>
    <n v="10.5"/>
    <n v="0"/>
    <n v="0"/>
    <n v="54"/>
    <n v="70.2"/>
    <n v="91.8"/>
    <n v="54"/>
    <n v="0"/>
    <n v="50.5"/>
    <n v="2897.1"/>
    <n v="27"/>
    <n v="40.5"/>
    <n v="54"/>
    <n v="27"/>
    <n v="1505.25"/>
    <n v="1391.85"/>
    <n v="1"/>
    <m/>
    <m/>
    <m/>
    <m/>
  </r>
  <r>
    <x v="14"/>
    <s v="E8022"/>
    <x v="0"/>
    <n v="40"/>
    <n v="10"/>
    <n v="0"/>
    <n v="8.5"/>
    <n v="72"/>
    <n v="93.600000000000009"/>
    <n v="122.39999999999999"/>
    <n v="72"/>
    <n v="0"/>
    <n v="58.5"/>
    <n v="4428"/>
    <n v="60"/>
    <n v="78"/>
    <n v="102"/>
    <n v="60"/>
    <n v="3690"/>
    <n v="738"/>
    <m/>
    <m/>
    <n v="6"/>
    <m/>
    <m/>
  </r>
  <r>
    <x v="14"/>
    <s v="E8031"/>
    <x v="1"/>
    <n v="39"/>
    <n v="0"/>
    <n v="0"/>
    <n v="0"/>
    <n v="72"/>
    <n v="93.600000000000009"/>
    <n v="122.39999999999999"/>
    <n v="72"/>
    <n v="0"/>
    <n v="39"/>
    <n v="2808"/>
    <n v="57"/>
    <n v="74.100000000000009"/>
    <n v="96.899999999999991"/>
    <n v="57"/>
    <n v="2223"/>
    <n v="585"/>
    <m/>
    <m/>
    <m/>
    <m/>
    <m/>
  </r>
  <r>
    <x v="14"/>
    <s v="E8041"/>
    <x v="2"/>
    <n v="0"/>
    <n v="0"/>
    <n v="0"/>
    <n v="0"/>
    <n v="68"/>
    <n v="88.4"/>
    <n v="115.6"/>
    <n v="68"/>
    <n v="0"/>
    <n v="0"/>
    <n v="0"/>
    <n v="55"/>
    <n v="71.5"/>
    <n v="93.5"/>
    <n v="55"/>
    <n v="0"/>
    <n v="0"/>
    <m/>
    <m/>
    <m/>
    <m/>
    <m/>
  </r>
  <r>
    <x v="14"/>
    <s v="E8174"/>
    <x v="3"/>
    <n v="40"/>
    <n v="0"/>
    <n v="0"/>
    <n v="0"/>
    <n v="68"/>
    <n v="88.4"/>
    <n v="115.6"/>
    <n v="68"/>
    <n v="0"/>
    <n v="40"/>
    <n v="2720"/>
    <n v="35"/>
    <n v="52.5"/>
    <n v="70"/>
    <n v="35"/>
    <n v="1400"/>
    <n v="1320"/>
    <m/>
    <m/>
    <m/>
    <m/>
    <m/>
  </r>
  <r>
    <x v="14"/>
    <s v="E8190"/>
    <x v="4"/>
    <n v="40"/>
    <n v="13.25"/>
    <n v="0"/>
    <n v="0"/>
    <n v="68"/>
    <n v="88.4"/>
    <n v="115.6"/>
    <n v="68"/>
    <n v="0"/>
    <n v="53.25"/>
    <n v="3891.3"/>
    <n v="39"/>
    <n v="58.5"/>
    <n v="78"/>
    <n v="39"/>
    <n v="2335.13"/>
    <n v="1556.17"/>
    <m/>
    <m/>
    <m/>
    <m/>
    <m/>
  </r>
  <r>
    <x v="14"/>
    <s v="E8395"/>
    <x v="5"/>
    <n v="40"/>
    <n v="5"/>
    <n v="0"/>
    <n v="0"/>
    <n v="68"/>
    <n v="88.4"/>
    <n v="115.6"/>
    <n v="68"/>
    <n v="0"/>
    <n v="45"/>
    <n v="3162"/>
    <n v="36"/>
    <n v="54"/>
    <n v="72"/>
    <n v="36"/>
    <n v="1710"/>
    <n v="1452"/>
    <m/>
    <m/>
    <m/>
    <m/>
    <m/>
  </r>
  <r>
    <x v="14"/>
    <s v="E8473"/>
    <x v="6"/>
    <n v="40"/>
    <n v="20"/>
    <n v="12"/>
    <n v="9"/>
    <n v="68"/>
    <n v="88.4"/>
    <n v="115.6"/>
    <n v="68"/>
    <n v="0"/>
    <n v="81"/>
    <n v="6487.2"/>
    <n v="36"/>
    <n v="54"/>
    <n v="72"/>
    <n v="36"/>
    <n v="3708"/>
    <n v="2779.2"/>
    <m/>
    <m/>
    <n v="7"/>
    <n v="1"/>
    <n v="1"/>
  </r>
  <r>
    <x v="14"/>
    <s v="E8585"/>
    <x v="7"/>
    <n v="40"/>
    <n v="6.5"/>
    <n v="0"/>
    <n v="0"/>
    <n v="68"/>
    <n v="88.4"/>
    <n v="115.6"/>
    <n v="68"/>
    <n v="0"/>
    <n v="46.5"/>
    <n v="3294.6"/>
    <n v="30.67"/>
    <n v="46.005000000000003"/>
    <n v="61.34"/>
    <n v="30.67"/>
    <n v="1525.83"/>
    <n v="1768.77"/>
    <n v="2"/>
    <m/>
    <m/>
    <m/>
    <m/>
  </r>
  <r>
    <x v="14"/>
    <s v="E8585"/>
    <x v="8"/>
    <n v="40"/>
    <n v="9.25"/>
    <n v="0"/>
    <n v="8.5"/>
    <n v="68"/>
    <n v="88.4"/>
    <n v="115.6"/>
    <n v="68"/>
    <n v="0"/>
    <n v="57.75"/>
    <n v="4115.7"/>
    <n v="30"/>
    <n v="45"/>
    <n v="60"/>
    <n v="30"/>
    <n v="1871.25"/>
    <n v="2244.4499999999998"/>
    <m/>
    <m/>
    <n v="6"/>
    <m/>
    <m/>
  </r>
  <r>
    <x v="14"/>
    <s v="E8650"/>
    <x v="9"/>
    <n v="40"/>
    <n v="4.75"/>
    <n v="0"/>
    <n v="0"/>
    <n v="54"/>
    <n v="70.2"/>
    <n v="91.8"/>
    <n v="54"/>
    <n v="0"/>
    <n v="44.75"/>
    <n v="2493.4499999999998"/>
    <n v="27"/>
    <n v="40.5"/>
    <n v="54"/>
    <n v="27"/>
    <n v="1272.3800000000001"/>
    <n v="1221.0699999999997"/>
    <m/>
    <m/>
    <m/>
    <m/>
    <m/>
  </r>
  <r>
    <x v="15"/>
    <s v="E8022"/>
    <x v="0"/>
    <n v="40"/>
    <n v="4.75"/>
    <n v="0"/>
    <n v="0"/>
    <n v="72"/>
    <n v="93.600000000000009"/>
    <n v="122.39999999999999"/>
    <n v="72"/>
    <n v="0"/>
    <n v="44.75"/>
    <n v="3324.6"/>
    <n v="60"/>
    <n v="78"/>
    <n v="102"/>
    <n v="60"/>
    <n v="2770.5"/>
    <n v="554.09999999999991"/>
    <m/>
    <m/>
    <m/>
    <m/>
    <m/>
  </r>
  <r>
    <x v="15"/>
    <s v="E8031"/>
    <x v="1"/>
    <n v="24"/>
    <n v="0"/>
    <n v="0"/>
    <n v="0"/>
    <n v="72"/>
    <n v="93.600000000000009"/>
    <n v="122.39999999999999"/>
    <n v="72"/>
    <n v="0"/>
    <n v="24"/>
    <n v="1728"/>
    <n v="57"/>
    <n v="74.100000000000009"/>
    <n v="96.899999999999991"/>
    <n v="57"/>
    <n v="1368"/>
    <n v="360"/>
    <m/>
    <m/>
    <m/>
    <m/>
    <m/>
  </r>
  <r>
    <x v="15"/>
    <s v="E8041"/>
    <x v="2"/>
    <n v="0"/>
    <n v="0"/>
    <n v="0"/>
    <n v="0"/>
    <n v="72"/>
    <n v="93.600000000000009"/>
    <n v="122.39999999999999"/>
    <n v="72"/>
    <n v="0"/>
    <n v="0"/>
    <n v="0"/>
    <n v="55"/>
    <n v="71.5"/>
    <n v="93.5"/>
    <n v="55"/>
    <n v="0"/>
    <n v="0"/>
    <m/>
    <m/>
    <m/>
    <m/>
    <m/>
  </r>
  <r>
    <x v="15"/>
    <s v="E8174"/>
    <x v="3"/>
    <n v="40"/>
    <n v="0"/>
    <n v="0"/>
    <n v="0"/>
    <n v="72"/>
    <n v="93.600000000000009"/>
    <n v="122.39999999999999"/>
    <n v="72"/>
    <n v="0"/>
    <n v="40"/>
    <n v="2880"/>
    <n v="35"/>
    <n v="52.5"/>
    <n v="70"/>
    <n v="35"/>
    <n v="1400"/>
    <n v="1480"/>
    <m/>
    <m/>
    <m/>
    <m/>
    <m/>
  </r>
  <r>
    <x v="15"/>
    <s v="E8190"/>
    <x v="4"/>
    <n v="40"/>
    <n v="16.25"/>
    <n v="0"/>
    <n v="0"/>
    <n v="72"/>
    <n v="93.600000000000009"/>
    <n v="122.39999999999999"/>
    <n v="72"/>
    <n v="0"/>
    <n v="56.25"/>
    <n v="4401"/>
    <n v="39"/>
    <n v="58.5"/>
    <n v="78"/>
    <n v="39"/>
    <n v="2510.63"/>
    <n v="1890.37"/>
    <m/>
    <m/>
    <m/>
    <m/>
    <m/>
  </r>
  <r>
    <x v="15"/>
    <s v="E8395"/>
    <x v="5"/>
    <n v="40"/>
    <n v="17.5"/>
    <n v="8"/>
    <n v="4"/>
    <n v="72"/>
    <n v="93.600000000000009"/>
    <n v="122.39999999999999"/>
    <n v="72"/>
    <n v="0"/>
    <n v="69.5"/>
    <n v="5785.2"/>
    <n v="36"/>
    <n v="54"/>
    <n v="72"/>
    <n v="36"/>
    <n v="3105"/>
    <n v="2680.2"/>
    <m/>
    <m/>
    <n v="2"/>
    <m/>
    <m/>
  </r>
  <r>
    <x v="15"/>
    <s v="E8473"/>
    <x v="6"/>
    <n v="40"/>
    <n v="8"/>
    <n v="0"/>
    <n v="9.5"/>
    <n v="72"/>
    <n v="93.600000000000009"/>
    <n v="122.39999999999999"/>
    <n v="72"/>
    <n v="0"/>
    <n v="57.5"/>
    <n v="4312.8"/>
    <n v="36"/>
    <n v="54"/>
    <n v="72"/>
    <n v="36"/>
    <n v="2214"/>
    <n v="2098.8000000000002"/>
    <m/>
    <m/>
    <n v="5"/>
    <n v="1"/>
    <n v="1"/>
  </r>
  <r>
    <x v="15"/>
    <s v="E8585"/>
    <x v="7"/>
    <n v="40"/>
    <n v="8.25"/>
    <n v="8"/>
    <n v="0"/>
    <n v="72"/>
    <n v="93.600000000000009"/>
    <n v="122.39999999999999"/>
    <n v="72"/>
    <n v="0"/>
    <n v="56.25"/>
    <n v="4631.3999999999996"/>
    <n v="30.67"/>
    <n v="46.005000000000003"/>
    <n v="61.34"/>
    <n v="30.67"/>
    <n v="2097.06"/>
    <n v="2534.3399999999997"/>
    <m/>
    <m/>
    <m/>
    <m/>
    <m/>
  </r>
  <r>
    <x v="15"/>
    <s v="E8585"/>
    <x v="8"/>
    <n v="40"/>
    <n v="11"/>
    <n v="8"/>
    <n v="0"/>
    <n v="72"/>
    <n v="93.600000000000009"/>
    <n v="122.39999999999999"/>
    <n v="72"/>
    <n v="0"/>
    <n v="59"/>
    <n v="4888.8"/>
    <n v="30"/>
    <n v="45"/>
    <n v="60"/>
    <n v="30"/>
    <n v="2175"/>
    <n v="2713.8"/>
    <m/>
    <m/>
    <m/>
    <m/>
    <m/>
  </r>
  <r>
    <x v="15"/>
    <s v="E8650"/>
    <x v="9"/>
    <n v="40"/>
    <n v="18"/>
    <n v="8"/>
    <n v="0"/>
    <n v="54"/>
    <n v="70.2"/>
    <n v="91.8"/>
    <n v="54"/>
    <n v="0"/>
    <n v="66"/>
    <n v="4158"/>
    <n v="27"/>
    <n v="40.5"/>
    <n v="54"/>
    <n v="27"/>
    <n v="2241"/>
    <n v="1917"/>
    <m/>
    <m/>
    <m/>
    <m/>
    <m/>
  </r>
  <r>
    <x v="16"/>
    <s v="E8022"/>
    <x v="0"/>
    <n v="40"/>
    <n v="7.5"/>
    <n v="0"/>
    <n v="0"/>
    <n v="72"/>
    <n v="93.600000000000009"/>
    <n v="122.39999999999999"/>
    <n v="72"/>
    <n v="0"/>
    <n v="47.5"/>
    <n v="3582"/>
    <n v="60"/>
    <n v="78"/>
    <n v="102"/>
    <n v="60"/>
    <n v="2985"/>
    <n v="597"/>
    <m/>
    <m/>
    <m/>
    <m/>
    <m/>
  </r>
  <r>
    <x v="16"/>
    <s v="E8031"/>
    <x v="1"/>
    <n v="0"/>
    <n v="0"/>
    <n v="0"/>
    <n v="0"/>
    <n v="72"/>
    <n v="93.600000000000009"/>
    <n v="122.39999999999999"/>
    <n v="72"/>
    <n v="0"/>
    <n v="0"/>
    <n v="0"/>
    <n v="57"/>
    <n v="74.100000000000009"/>
    <n v="96.899999999999991"/>
    <n v="57"/>
    <n v="0"/>
    <n v="0"/>
    <m/>
    <m/>
    <m/>
    <m/>
    <m/>
  </r>
  <r>
    <x v="16"/>
    <s v="E8041"/>
    <x v="2"/>
    <n v="0"/>
    <n v="0"/>
    <n v="0"/>
    <n v="0"/>
    <n v="72"/>
    <n v="93.600000000000009"/>
    <n v="122.39999999999999"/>
    <n v="72"/>
    <n v="0"/>
    <n v="0"/>
    <n v="0"/>
    <n v="55"/>
    <n v="71.5"/>
    <n v="93.5"/>
    <n v="55"/>
    <n v="0"/>
    <n v="0"/>
    <m/>
    <m/>
    <m/>
    <m/>
    <m/>
  </r>
  <r>
    <x v="16"/>
    <s v="E8174"/>
    <x v="3"/>
    <n v="35"/>
    <n v="0"/>
    <n v="0"/>
    <n v="0"/>
    <n v="72"/>
    <n v="93.600000000000009"/>
    <n v="122.39999999999999"/>
    <n v="72"/>
    <n v="0"/>
    <n v="35"/>
    <n v="2520"/>
    <n v="35"/>
    <n v="52.5"/>
    <n v="70"/>
    <n v="35"/>
    <n v="1225"/>
    <n v="1295"/>
    <m/>
    <m/>
    <m/>
    <m/>
    <m/>
  </r>
  <r>
    <x v="16"/>
    <s v="E8190"/>
    <x v="4"/>
    <n v="40"/>
    <n v="14.25"/>
    <n v="0"/>
    <n v="0"/>
    <n v="72"/>
    <n v="93.600000000000009"/>
    <n v="122.39999999999999"/>
    <n v="72"/>
    <n v="0"/>
    <n v="54.25"/>
    <n v="4213.8"/>
    <n v="39"/>
    <n v="58.5"/>
    <n v="78"/>
    <n v="39"/>
    <n v="2393.63"/>
    <n v="1820.17"/>
    <m/>
    <m/>
    <m/>
    <m/>
    <m/>
  </r>
  <r>
    <x v="16"/>
    <s v="E8395"/>
    <x v="5"/>
    <n v="40"/>
    <n v="9.25"/>
    <n v="0"/>
    <n v="0"/>
    <n v="72"/>
    <n v="93.600000000000009"/>
    <n v="122.39999999999999"/>
    <n v="72"/>
    <n v="0"/>
    <n v="49.25"/>
    <n v="3745.8"/>
    <n v="36"/>
    <n v="54"/>
    <n v="72"/>
    <n v="36"/>
    <n v="1939.5"/>
    <n v="1806.3000000000002"/>
    <m/>
    <m/>
    <m/>
    <m/>
    <m/>
  </r>
  <r>
    <x v="16"/>
    <s v="E8473"/>
    <x v="6"/>
    <n v="11.5"/>
    <n v="0"/>
    <n v="0"/>
    <n v="12"/>
    <n v="72"/>
    <n v="93.600000000000009"/>
    <n v="122.39999999999999"/>
    <n v="72"/>
    <n v="0"/>
    <n v="23.5"/>
    <n v="1692"/>
    <n v="36"/>
    <n v="54"/>
    <n v="72"/>
    <n v="36"/>
    <n v="846"/>
    <n v="846"/>
    <m/>
    <m/>
    <n v="2"/>
    <m/>
    <m/>
  </r>
  <r>
    <x v="16"/>
    <s v="E8585"/>
    <x v="7"/>
    <n v="40"/>
    <n v="10.5"/>
    <n v="0"/>
    <n v="0"/>
    <n v="72"/>
    <n v="93.600000000000009"/>
    <n v="122.39999999999999"/>
    <n v="72"/>
    <n v="0"/>
    <n v="50.5"/>
    <n v="3862.8"/>
    <n v="30.67"/>
    <n v="46.005000000000003"/>
    <n v="61.34"/>
    <n v="30.67"/>
    <n v="1709.85"/>
    <n v="2152.9500000000003"/>
    <m/>
    <m/>
    <m/>
    <m/>
    <m/>
  </r>
  <r>
    <x v="16"/>
    <s v="E8585"/>
    <x v="8"/>
    <n v="37.5"/>
    <n v="4.75"/>
    <n v="0"/>
    <n v="0"/>
    <n v="72"/>
    <n v="93.600000000000009"/>
    <n v="122.39999999999999"/>
    <n v="72"/>
    <n v="0"/>
    <n v="42.25"/>
    <n v="3144.6"/>
    <n v="30"/>
    <n v="45"/>
    <n v="60"/>
    <n v="30"/>
    <n v="1338.75"/>
    <n v="1805.85"/>
    <m/>
    <m/>
    <m/>
    <m/>
    <m/>
  </r>
  <r>
    <x v="16"/>
    <s v="E8650"/>
    <x v="9"/>
    <n v="40"/>
    <n v="13.75"/>
    <n v="0"/>
    <n v="0"/>
    <n v="54"/>
    <n v="70.2"/>
    <n v="91.8"/>
    <n v="54"/>
    <n v="2"/>
    <n v="53.75"/>
    <n v="3125.25"/>
    <n v="27"/>
    <n v="40.5"/>
    <n v="54"/>
    <n v="27"/>
    <n v="1636.88"/>
    <n v="1488.37"/>
    <m/>
    <m/>
    <m/>
    <m/>
    <m/>
  </r>
  <r>
    <x v="17"/>
    <s v="E8022"/>
    <x v="0"/>
    <n v="40"/>
    <n v="7"/>
    <n v="0"/>
    <n v="0"/>
    <n v="72"/>
    <n v="93.600000000000009"/>
    <n v="122.39999999999999"/>
    <n v="72"/>
    <n v="0"/>
    <n v="47"/>
    <n v="3535.2"/>
    <n v="60"/>
    <n v="78"/>
    <n v="102"/>
    <n v="60"/>
    <n v="2946"/>
    <n v="589.19999999999982"/>
    <m/>
    <m/>
    <m/>
    <m/>
    <m/>
  </r>
  <r>
    <x v="17"/>
    <s v="E8031"/>
    <x v="1"/>
    <n v="0"/>
    <n v="0"/>
    <n v="0"/>
    <n v="0"/>
    <n v="72"/>
    <n v="93.600000000000009"/>
    <n v="122.39999999999999"/>
    <n v="72"/>
    <n v="0"/>
    <n v="0"/>
    <n v="0"/>
    <n v="57"/>
    <n v="74.100000000000009"/>
    <n v="96.899999999999991"/>
    <n v="57"/>
    <n v="0"/>
    <n v="0"/>
    <m/>
    <m/>
    <m/>
    <m/>
    <m/>
  </r>
  <r>
    <x v="17"/>
    <s v="E8041"/>
    <x v="2"/>
    <n v="0"/>
    <n v="0"/>
    <n v="0"/>
    <n v="0"/>
    <n v="72"/>
    <n v="93.600000000000009"/>
    <n v="122.39999999999999"/>
    <n v="72"/>
    <n v="0"/>
    <n v="0"/>
    <n v="0"/>
    <n v="55"/>
    <n v="71.5"/>
    <n v="93.5"/>
    <n v="55"/>
    <n v="0"/>
    <n v="0"/>
    <m/>
    <m/>
    <m/>
    <m/>
    <m/>
  </r>
  <r>
    <x v="17"/>
    <s v="E8174"/>
    <x v="3"/>
    <n v="40"/>
    <n v="0"/>
    <n v="0"/>
    <n v="0"/>
    <n v="72"/>
    <n v="93.600000000000009"/>
    <n v="122.39999999999999"/>
    <n v="72"/>
    <n v="0"/>
    <n v="40"/>
    <n v="2880"/>
    <n v="35"/>
    <n v="52.5"/>
    <n v="70"/>
    <n v="35"/>
    <n v="1400"/>
    <n v="1480"/>
    <m/>
    <m/>
    <m/>
    <m/>
    <m/>
  </r>
  <r>
    <x v="17"/>
    <s v="E8190"/>
    <x v="4"/>
    <n v="40"/>
    <n v="6.25"/>
    <n v="0"/>
    <n v="0"/>
    <n v="72"/>
    <n v="93.600000000000009"/>
    <n v="122.39999999999999"/>
    <n v="72"/>
    <n v="0"/>
    <n v="46.25"/>
    <n v="3465"/>
    <n v="39"/>
    <n v="58.5"/>
    <n v="78"/>
    <n v="39"/>
    <n v="1925.63"/>
    <n v="1539.37"/>
    <m/>
    <m/>
    <m/>
    <m/>
    <m/>
  </r>
  <r>
    <x v="17"/>
    <s v="E8395"/>
    <x v="5"/>
    <n v="28"/>
    <n v="9"/>
    <n v="12"/>
    <n v="15.5"/>
    <n v="72"/>
    <n v="93.600000000000009"/>
    <n v="122.39999999999999"/>
    <n v="72"/>
    <n v="0"/>
    <n v="64.5"/>
    <n v="5443.2"/>
    <n v="36"/>
    <n v="54"/>
    <n v="72"/>
    <n v="36"/>
    <n v="2916"/>
    <n v="2527.1999999999998"/>
    <m/>
    <m/>
    <n v="3"/>
    <n v="1"/>
    <n v="1"/>
  </r>
  <r>
    <x v="17"/>
    <s v="E8473"/>
    <x v="6"/>
    <n v="0"/>
    <n v="0"/>
    <n v="0"/>
    <n v="0"/>
    <n v="72"/>
    <n v="93.600000000000009"/>
    <n v="122.39999999999999"/>
    <n v="72"/>
    <n v="0"/>
    <n v="0"/>
    <n v="0"/>
    <n v="36"/>
    <n v="54"/>
    <n v="72"/>
    <n v="36"/>
    <n v="0"/>
    <n v="0"/>
    <m/>
    <m/>
    <m/>
    <m/>
    <m/>
  </r>
  <r>
    <x v="17"/>
    <s v="E8585"/>
    <x v="7"/>
    <n v="40"/>
    <n v="2.5"/>
    <n v="0"/>
    <n v="0"/>
    <n v="72"/>
    <n v="93.600000000000009"/>
    <n v="122.39999999999999"/>
    <n v="72"/>
    <n v="0"/>
    <n v="42.5"/>
    <n v="3114"/>
    <n v="30.67"/>
    <n v="46.005000000000003"/>
    <n v="61.34"/>
    <n v="30.67"/>
    <n v="1341.81"/>
    <n v="1772.19"/>
    <m/>
    <m/>
    <m/>
    <m/>
    <m/>
  </r>
  <r>
    <x v="17"/>
    <s v="E8585"/>
    <x v="8"/>
    <n v="21"/>
    <n v="0"/>
    <n v="8"/>
    <n v="4"/>
    <n v="72"/>
    <n v="93.600000000000009"/>
    <n v="122.39999999999999"/>
    <n v="72"/>
    <n v="0"/>
    <n v="33"/>
    <n v="2779.2"/>
    <n v="30"/>
    <n v="45"/>
    <n v="60"/>
    <n v="30"/>
    <n v="1230"/>
    <n v="1549.1999999999998"/>
    <m/>
    <m/>
    <m/>
    <m/>
    <m/>
  </r>
  <r>
    <x v="17"/>
    <s v="E8650"/>
    <x v="9"/>
    <n v="40"/>
    <n v="9"/>
    <n v="0"/>
    <n v="0"/>
    <n v="54"/>
    <n v="70.2"/>
    <n v="91.8"/>
    <n v="54"/>
    <n v="2"/>
    <n v="49"/>
    <n v="2791.8"/>
    <n v="27"/>
    <n v="40.5"/>
    <n v="54"/>
    <n v="27"/>
    <n v="1444.5"/>
    <n v="1347.3000000000002"/>
    <m/>
    <m/>
    <m/>
    <m/>
    <m/>
  </r>
  <r>
    <x v="18"/>
    <s v="E8022"/>
    <x v="0"/>
    <n v="40"/>
    <n v="4"/>
    <n v="0"/>
    <n v="0"/>
    <n v="72"/>
    <n v="93.600000000000009"/>
    <n v="122.39999999999999"/>
    <n v="72"/>
    <n v="0"/>
    <n v="44"/>
    <n v="3254.4"/>
    <n v="60"/>
    <n v="78"/>
    <n v="102"/>
    <n v="60"/>
    <n v="2712"/>
    <n v="542.40000000000009"/>
    <m/>
    <m/>
    <m/>
    <m/>
    <m/>
  </r>
  <r>
    <x v="18"/>
    <s v="E8031"/>
    <x v="1"/>
    <n v="24.75"/>
    <n v="0"/>
    <n v="0"/>
    <n v="0"/>
    <n v="72"/>
    <n v="93.600000000000009"/>
    <n v="122.39999999999999"/>
    <n v="72"/>
    <n v="0"/>
    <n v="24.75"/>
    <n v="1782"/>
    <n v="57"/>
    <n v="74.100000000000009"/>
    <n v="96.899999999999991"/>
    <n v="57"/>
    <n v="1410.75"/>
    <n v="371.25"/>
    <m/>
    <m/>
    <m/>
    <m/>
    <m/>
  </r>
  <r>
    <x v="18"/>
    <s v="E8041"/>
    <x v="2"/>
    <n v="0"/>
    <n v="0"/>
    <n v="0"/>
    <n v="0"/>
    <n v="72"/>
    <n v="93.600000000000009"/>
    <n v="122.39999999999999"/>
    <n v="72"/>
    <n v="0"/>
    <n v="0"/>
    <n v="0"/>
    <n v="55"/>
    <n v="71.5"/>
    <n v="93.5"/>
    <n v="55"/>
    <n v="0"/>
    <n v="0"/>
    <m/>
    <m/>
    <m/>
    <m/>
    <m/>
  </r>
  <r>
    <x v="18"/>
    <s v="E8174"/>
    <x v="3"/>
    <n v="40"/>
    <n v="4"/>
    <n v="0"/>
    <n v="0"/>
    <n v="72"/>
    <n v="93.600000000000009"/>
    <n v="122.39999999999999"/>
    <n v="72"/>
    <n v="0"/>
    <n v="44"/>
    <n v="3254.4"/>
    <n v="35"/>
    <n v="52.5"/>
    <n v="70"/>
    <n v="35"/>
    <n v="1610"/>
    <n v="1644.4"/>
    <m/>
    <m/>
    <m/>
    <m/>
    <m/>
  </r>
  <r>
    <x v="18"/>
    <s v="E8190"/>
    <x v="4"/>
    <n v="32"/>
    <n v="0"/>
    <n v="0"/>
    <n v="0"/>
    <n v="72"/>
    <n v="93.600000000000009"/>
    <n v="122.39999999999999"/>
    <n v="72"/>
    <n v="0"/>
    <n v="32"/>
    <n v="2304"/>
    <n v="39"/>
    <n v="58.5"/>
    <n v="78"/>
    <n v="39"/>
    <n v="1248"/>
    <n v="1056"/>
    <m/>
    <m/>
    <m/>
    <m/>
    <m/>
  </r>
  <r>
    <x v="18"/>
    <s v="E8395"/>
    <x v="5"/>
    <n v="30.5"/>
    <n v="0"/>
    <n v="0"/>
    <n v="13"/>
    <n v="72"/>
    <n v="93.600000000000009"/>
    <n v="122.39999999999999"/>
    <n v="72"/>
    <n v="0"/>
    <n v="43.5"/>
    <n v="3132"/>
    <n v="36"/>
    <n v="54"/>
    <n v="72"/>
    <n v="36"/>
    <n v="1566"/>
    <n v="1566"/>
    <m/>
    <m/>
    <n v="4"/>
    <n v="1"/>
    <n v="1"/>
  </r>
  <r>
    <x v="18"/>
    <s v="E8473"/>
    <x v="6"/>
    <n v="0"/>
    <n v="0"/>
    <n v="0"/>
    <n v="0"/>
    <n v="72"/>
    <n v="93.600000000000009"/>
    <n v="122.39999999999999"/>
    <n v="72"/>
    <n v="0"/>
    <n v="0"/>
    <n v="0"/>
    <n v="36"/>
    <n v="54"/>
    <n v="72"/>
    <n v="36"/>
    <n v="0"/>
    <n v="0"/>
    <m/>
    <m/>
    <m/>
    <m/>
    <m/>
  </r>
  <r>
    <x v="18"/>
    <s v="E8585"/>
    <x v="7"/>
    <n v="40"/>
    <n v="3"/>
    <n v="0"/>
    <n v="0"/>
    <n v="72"/>
    <n v="93.600000000000009"/>
    <n v="122.39999999999999"/>
    <n v="72"/>
    <n v="0"/>
    <n v="43"/>
    <n v="3160.8"/>
    <n v="30.67"/>
    <n v="46.005000000000003"/>
    <n v="61.34"/>
    <n v="30.67"/>
    <n v="1364.82"/>
    <n v="1795.9800000000002"/>
    <m/>
    <m/>
    <m/>
    <m/>
    <m/>
  </r>
  <r>
    <x v="18"/>
    <s v="E8585"/>
    <x v="8"/>
    <n v="39"/>
    <n v="12"/>
    <n v="12"/>
    <n v="5"/>
    <n v="72"/>
    <n v="93.600000000000009"/>
    <n v="122.39999999999999"/>
    <n v="72"/>
    <n v="0"/>
    <n v="68"/>
    <n v="5760"/>
    <n v="30"/>
    <n v="45"/>
    <n v="60"/>
    <n v="30"/>
    <n v="2580"/>
    <n v="3180"/>
    <m/>
    <m/>
    <n v="3"/>
    <n v="1"/>
    <m/>
  </r>
  <r>
    <x v="18"/>
    <s v="E8650"/>
    <x v="9"/>
    <n v="40"/>
    <n v="4"/>
    <n v="0"/>
    <n v="0"/>
    <n v="54"/>
    <n v="70.2"/>
    <n v="91.8"/>
    <n v="54"/>
    <n v="2"/>
    <n v="44"/>
    <n v="2440.8000000000002"/>
    <n v="27"/>
    <n v="40.5"/>
    <n v="54"/>
    <n v="27"/>
    <n v="1242"/>
    <n v="1198.8000000000002"/>
    <m/>
    <m/>
    <m/>
    <m/>
    <m/>
  </r>
  <r>
    <x v="19"/>
    <s v="E8022"/>
    <x v="0"/>
    <n v="40"/>
    <n v="16"/>
    <n v="0"/>
    <n v="0"/>
    <n v="72"/>
    <n v="93.600000000000009"/>
    <n v="122.39999999999999"/>
    <n v="72"/>
    <n v="0"/>
    <n v="56"/>
    <n v="4377.6000000000004"/>
    <n v="60"/>
    <n v="78"/>
    <n v="102"/>
    <n v="60"/>
    <n v="3648"/>
    <n v="729.60000000000036"/>
    <m/>
    <m/>
    <m/>
    <m/>
    <m/>
  </r>
  <r>
    <x v="19"/>
    <s v="E8031"/>
    <x v="1"/>
    <n v="40"/>
    <n v="5"/>
    <n v="0"/>
    <n v="0"/>
    <n v="72"/>
    <n v="93.600000000000009"/>
    <n v="122.39999999999999"/>
    <n v="72"/>
    <n v="0"/>
    <n v="45"/>
    <n v="3348"/>
    <n v="57"/>
    <n v="74.100000000000009"/>
    <n v="96.899999999999991"/>
    <n v="57"/>
    <n v="2650.5"/>
    <n v="697.5"/>
    <m/>
    <m/>
    <m/>
    <m/>
    <m/>
  </r>
  <r>
    <x v="19"/>
    <s v="E8041"/>
    <x v="2"/>
    <n v="0"/>
    <n v="0"/>
    <n v="0"/>
    <n v="0"/>
    <n v="72"/>
    <n v="93.600000000000009"/>
    <n v="122.39999999999999"/>
    <n v="72"/>
    <n v="0"/>
    <n v="0"/>
    <n v="0"/>
    <n v="55"/>
    <n v="71.5"/>
    <n v="93.5"/>
    <n v="55"/>
    <n v="0"/>
    <n v="0"/>
    <m/>
    <m/>
    <m/>
    <m/>
    <m/>
  </r>
  <r>
    <x v="19"/>
    <s v="E8174"/>
    <x v="3"/>
    <n v="40"/>
    <n v="0"/>
    <n v="0"/>
    <n v="0"/>
    <n v="72"/>
    <n v="93.600000000000009"/>
    <n v="122.39999999999999"/>
    <n v="72"/>
    <n v="0"/>
    <n v="40"/>
    <n v="2880"/>
    <n v="35"/>
    <n v="52.5"/>
    <n v="70"/>
    <n v="35"/>
    <n v="1400"/>
    <n v="1480"/>
    <m/>
    <m/>
    <m/>
    <m/>
    <m/>
  </r>
  <r>
    <x v="19"/>
    <s v="E8190"/>
    <x v="4"/>
    <n v="40"/>
    <n v="28.5"/>
    <n v="12"/>
    <n v="3.5"/>
    <n v="72"/>
    <n v="93.600000000000009"/>
    <n v="122.39999999999999"/>
    <n v="72"/>
    <n v="0"/>
    <n v="84"/>
    <n v="7268.4"/>
    <n v="39"/>
    <n v="58.5"/>
    <n v="78"/>
    <n v="39"/>
    <n v="4299.75"/>
    <n v="2968.6499999999996"/>
    <m/>
    <m/>
    <n v="7"/>
    <m/>
    <m/>
  </r>
  <r>
    <x v="19"/>
    <s v="E8395"/>
    <x v="5"/>
    <n v="40"/>
    <n v="28.5"/>
    <n v="12"/>
    <n v="3.5"/>
    <n v="72"/>
    <n v="93.600000000000009"/>
    <n v="122.39999999999999"/>
    <n v="72"/>
    <n v="0"/>
    <n v="84"/>
    <n v="7268.4"/>
    <n v="36"/>
    <n v="54"/>
    <n v="72"/>
    <n v="36"/>
    <n v="3969"/>
    <n v="3299.3999999999996"/>
    <m/>
    <m/>
    <n v="7"/>
    <m/>
    <m/>
  </r>
  <r>
    <x v="19"/>
    <s v="E8473"/>
    <x v="6"/>
    <n v="0"/>
    <n v="0"/>
    <n v="0"/>
    <n v="0"/>
    <n v="72"/>
    <n v="93.600000000000009"/>
    <n v="122.39999999999999"/>
    <n v="72"/>
    <n v="0"/>
    <n v="0"/>
    <n v="0"/>
    <n v="36"/>
    <n v="54"/>
    <n v="72"/>
    <n v="36"/>
    <n v="0"/>
    <n v="0"/>
    <m/>
    <m/>
    <m/>
    <m/>
    <m/>
  </r>
  <r>
    <x v="19"/>
    <s v="E8585"/>
    <x v="7"/>
    <n v="40"/>
    <n v="20.5"/>
    <n v="12"/>
    <n v="3.5"/>
    <n v="72"/>
    <n v="93.600000000000009"/>
    <n v="122.39999999999999"/>
    <n v="72"/>
    <n v="0"/>
    <n v="76"/>
    <n v="6519.6"/>
    <n v="30.67"/>
    <n v="46.005000000000003"/>
    <n v="61.34"/>
    <n v="30.67"/>
    <n v="3013.33"/>
    <n v="3506.2700000000004"/>
    <m/>
    <m/>
    <n v="5"/>
    <m/>
    <m/>
  </r>
  <r>
    <x v="19"/>
    <s v="E8585"/>
    <x v="8"/>
    <n v="40"/>
    <n v="7.5"/>
    <n v="0"/>
    <n v="7"/>
    <n v="72"/>
    <n v="93.600000000000009"/>
    <n v="122.39999999999999"/>
    <n v="72"/>
    <n v="0"/>
    <n v="54.5"/>
    <n v="4086"/>
    <n v="30"/>
    <n v="45"/>
    <n v="60"/>
    <n v="30"/>
    <n v="1747.5"/>
    <n v="2338.5"/>
    <m/>
    <m/>
    <n v="5"/>
    <n v="1"/>
    <n v="1"/>
  </r>
  <r>
    <x v="19"/>
    <s v="E8650"/>
    <x v="9"/>
    <n v="40"/>
    <n v="4.5"/>
    <n v="7.5"/>
    <n v="3"/>
    <n v="54"/>
    <n v="70.2"/>
    <n v="91.8"/>
    <n v="54"/>
    <n v="2"/>
    <n v="55"/>
    <n v="3326.4"/>
    <n v="27"/>
    <n v="40.5"/>
    <n v="54"/>
    <n v="27"/>
    <n v="1748.25"/>
    <n v="1578.15"/>
    <m/>
    <m/>
    <n v="3"/>
    <m/>
    <m/>
  </r>
  <r>
    <x v="20"/>
    <s v="E8022"/>
    <x v="0"/>
    <n v="39"/>
    <n v="0"/>
    <n v="0"/>
    <n v="0"/>
    <n v="72"/>
    <n v="93.600000000000009"/>
    <n v="122.39999999999999"/>
    <n v="72"/>
    <n v="0"/>
    <n v="39"/>
    <n v="2808"/>
    <n v="60"/>
    <n v="78"/>
    <n v="102"/>
    <n v="60"/>
    <n v="2340"/>
    <n v="468"/>
    <m/>
    <m/>
    <m/>
    <m/>
    <m/>
  </r>
  <r>
    <x v="20"/>
    <s v="E8031"/>
    <x v="1"/>
    <n v="40"/>
    <n v="0"/>
    <n v="0"/>
    <n v="0"/>
    <n v="72"/>
    <n v="93.600000000000009"/>
    <n v="122.39999999999999"/>
    <n v="72"/>
    <n v="0"/>
    <n v="40"/>
    <n v="2880"/>
    <n v="57"/>
    <n v="74.100000000000009"/>
    <n v="96.899999999999991"/>
    <n v="57"/>
    <n v="2280"/>
    <n v="600"/>
    <m/>
    <m/>
    <m/>
    <m/>
    <m/>
  </r>
  <r>
    <x v="20"/>
    <s v="E8041"/>
    <x v="2"/>
    <n v="0"/>
    <n v="0"/>
    <n v="0"/>
    <n v="0"/>
    <n v="72"/>
    <n v="93.600000000000009"/>
    <n v="122.39999999999999"/>
    <n v="72"/>
    <n v="0"/>
    <n v="0"/>
    <n v="0"/>
    <n v="55"/>
    <n v="71.5"/>
    <n v="93.5"/>
    <n v="55"/>
    <n v="0"/>
    <n v="0"/>
    <m/>
    <m/>
    <m/>
    <m/>
    <m/>
  </r>
  <r>
    <x v="20"/>
    <s v="E8174"/>
    <x v="3"/>
    <n v="40"/>
    <n v="0"/>
    <n v="0"/>
    <n v="0"/>
    <n v="72"/>
    <n v="93.600000000000009"/>
    <n v="122.39999999999999"/>
    <n v="72"/>
    <n v="0"/>
    <n v="40"/>
    <n v="2880"/>
    <n v="35"/>
    <n v="52.5"/>
    <n v="70"/>
    <n v="35"/>
    <n v="1400"/>
    <n v="1480"/>
    <m/>
    <m/>
    <m/>
    <m/>
    <m/>
  </r>
  <r>
    <x v="20"/>
    <s v="E8190"/>
    <x v="4"/>
    <n v="38"/>
    <n v="0"/>
    <n v="12"/>
    <n v="8"/>
    <n v="72"/>
    <n v="93.600000000000009"/>
    <n v="122.39999999999999"/>
    <n v="72"/>
    <n v="0"/>
    <n v="58"/>
    <n v="4780.8"/>
    <n v="39"/>
    <n v="58.5"/>
    <n v="78"/>
    <n v="39"/>
    <n v="2730"/>
    <n v="2050.8000000000002"/>
    <m/>
    <m/>
    <n v="5"/>
    <m/>
    <m/>
  </r>
  <r>
    <x v="20"/>
    <s v="E8395"/>
    <x v="5"/>
    <n v="37"/>
    <n v="0"/>
    <n v="12"/>
    <n v="8"/>
    <n v="72"/>
    <n v="93.600000000000009"/>
    <n v="122.39999999999999"/>
    <n v="72"/>
    <n v="0"/>
    <n v="57"/>
    <n v="4708.8"/>
    <n v="36"/>
    <n v="54"/>
    <n v="72"/>
    <n v="36"/>
    <n v="2484"/>
    <n v="2224.8000000000002"/>
    <m/>
    <m/>
    <n v="5"/>
    <m/>
    <m/>
  </r>
  <r>
    <x v="20"/>
    <s v="E8585"/>
    <x v="7"/>
    <n v="40"/>
    <n v="6.5"/>
    <n v="0"/>
    <n v="3.5"/>
    <n v="72"/>
    <n v="93.600000000000009"/>
    <n v="122.39999999999999"/>
    <n v="72"/>
    <n v="0"/>
    <n v="50"/>
    <n v="3740.4"/>
    <n v="30.67"/>
    <n v="46.005000000000003"/>
    <n v="61.34"/>
    <n v="30.67"/>
    <n v="1633.18"/>
    <n v="2107.2200000000003"/>
    <m/>
    <m/>
    <n v="3"/>
    <m/>
    <m/>
  </r>
  <r>
    <x v="20"/>
    <s v="E8585"/>
    <x v="8"/>
    <n v="34"/>
    <n v="0"/>
    <n v="0"/>
    <n v="14"/>
    <n v="72"/>
    <n v="93.600000000000009"/>
    <n v="122.39999999999999"/>
    <n v="72"/>
    <n v="0"/>
    <n v="48"/>
    <n v="3456"/>
    <n v="30"/>
    <n v="45"/>
    <n v="60"/>
    <n v="30"/>
    <n v="1440"/>
    <n v="2016"/>
    <m/>
    <m/>
    <n v="3"/>
    <n v="1"/>
    <n v="1"/>
  </r>
  <r>
    <x v="20"/>
    <s v="E8650"/>
    <x v="9"/>
    <n v="40"/>
    <n v="17.5"/>
    <n v="1.5"/>
    <n v="2.5"/>
    <n v="72"/>
    <n v="93.600000000000009"/>
    <n v="122.39999999999999"/>
    <n v="72"/>
    <n v="2"/>
    <n v="61.5"/>
    <n v="4881.6000000000004"/>
    <n v="27"/>
    <n v="40.5"/>
    <n v="54"/>
    <n v="27"/>
    <n v="1937.25"/>
    <n v="2944.3500000000004"/>
    <m/>
    <m/>
    <n v="5"/>
    <m/>
    <m/>
  </r>
  <r>
    <x v="21"/>
    <s v="E8022"/>
    <x v="0"/>
    <n v="40"/>
    <n v="9"/>
    <n v="0"/>
    <n v="0"/>
    <n v="72"/>
    <n v="93.600000000000009"/>
    <n v="122.39999999999999"/>
    <n v="72"/>
    <n v="0"/>
    <n v="49"/>
    <n v="3722.4"/>
    <n v="60"/>
    <n v="78"/>
    <n v="102"/>
    <n v="60"/>
    <n v="3102"/>
    <n v="620.40000000000009"/>
    <m/>
    <m/>
    <m/>
    <m/>
    <m/>
  </r>
  <r>
    <x v="21"/>
    <s v="E8031"/>
    <x v="1"/>
    <n v="40"/>
    <n v="0"/>
    <n v="0"/>
    <n v="0"/>
    <n v="72"/>
    <n v="93.600000000000009"/>
    <n v="122.39999999999999"/>
    <n v="72"/>
    <n v="0"/>
    <n v="40"/>
    <n v="2880"/>
    <n v="57"/>
    <n v="74.100000000000009"/>
    <n v="96.899999999999991"/>
    <n v="57"/>
    <n v="2280"/>
    <n v="600"/>
    <m/>
    <m/>
    <m/>
    <m/>
    <m/>
  </r>
  <r>
    <x v="21"/>
    <s v="E8041"/>
    <x v="2"/>
    <n v="0"/>
    <n v="0"/>
    <n v="0"/>
    <n v="0"/>
    <n v="72"/>
    <n v="93.600000000000009"/>
    <n v="122.39999999999999"/>
    <n v="72"/>
    <n v="0"/>
    <n v="0"/>
    <n v="0"/>
    <n v="55"/>
    <n v="71.5"/>
    <n v="93.5"/>
    <n v="55"/>
    <n v="0"/>
    <n v="0"/>
    <m/>
    <m/>
    <m/>
    <m/>
    <m/>
  </r>
  <r>
    <x v="21"/>
    <s v="E8174"/>
    <x v="3"/>
    <n v="33.75"/>
    <n v="0"/>
    <n v="0"/>
    <n v="0"/>
    <n v="72"/>
    <n v="93.600000000000009"/>
    <n v="122.39999999999999"/>
    <n v="72"/>
    <n v="0"/>
    <n v="33.75"/>
    <n v="2430"/>
    <n v="35"/>
    <n v="52.5"/>
    <n v="70"/>
    <n v="35"/>
    <n v="1181.25"/>
    <n v="1248.75"/>
    <m/>
    <m/>
    <m/>
    <m/>
    <m/>
  </r>
  <r>
    <x v="21"/>
    <s v="E8190"/>
    <x v="4"/>
    <n v="40"/>
    <n v="32"/>
    <n v="12"/>
    <n v="0"/>
    <n v="72"/>
    <n v="93.600000000000009"/>
    <n v="122.39999999999999"/>
    <n v="72"/>
    <n v="0"/>
    <n v="84"/>
    <n v="7344"/>
    <n v="39"/>
    <n v="58.5"/>
    <n v="78"/>
    <n v="39"/>
    <n v="4368"/>
    <n v="2976"/>
    <m/>
    <m/>
    <m/>
    <m/>
    <m/>
  </r>
  <r>
    <x v="21"/>
    <s v="E8395"/>
    <x v="5"/>
    <n v="30"/>
    <n v="0"/>
    <n v="0"/>
    <n v="3.5"/>
    <n v="72"/>
    <n v="93.600000000000009"/>
    <n v="122.39999999999999"/>
    <n v="72"/>
    <n v="0"/>
    <n v="33.5"/>
    <n v="2412"/>
    <n v="36"/>
    <n v="54"/>
    <n v="72"/>
    <n v="36"/>
    <n v="1206"/>
    <n v="1206"/>
    <m/>
    <m/>
    <m/>
    <m/>
    <m/>
  </r>
  <r>
    <x v="21"/>
    <s v="E8585"/>
    <x v="7"/>
    <n v="37.5"/>
    <n v="0"/>
    <n v="0"/>
    <n v="8"/>
    <n v="72"/>
    <n v="93.600000000000009"/>
    <n v="122.39999999999999"/>
    <n v="72"/>
    <n v="0"/>
    <n v="45.5"/>
    <n v="3276"/>
    <n v="30.67"/>
    <n v="46.005000000000003"/>
    <n v="61.34"/>
    <n v="30.67"/>
    <n v="1395.49"/>
    <n v="1880.51"/>
    <m/>
    <m/>
    <m/>
    <m/>
    <m/>
  </r>
  <r>
    <x v="21"/>
    <s v="E8585"/>
    <x v="8"/>
    <n v="40"/>
    <n v="5.25"/>
    <n v="12"/>
    <n v="15.5"/>
    <n v="72"/>
    <n v="93.600000000000009"/>
    <n v="122.39999999999999"/>
    <n v="72"/>
    <n v="0"/>
    <n v="72.75"/>
    <n v="5956.2"/>
    <n v="30"/>
    <n v="45"/>
    <n v="60"/>
    <n v="30"/>
    <n v="2621.25"/>
    <n v="3334.95"/>
    <m/>
    <m/>
    <m/>
    <m/>
    <m/>
  </r>
  <r>
    <x v="21"/>
    <s v="E8650"/>
    <x v="9"/>
    <n v="34"/>
    <n v="0"/>
    <n v="0"/>
    <n v="0"/>
    <n v="72"/>
    <n v="93.600000000000009"/>
    <n v="122.39999999999999"/>
    <n v="72"/>
    <n v="2"/>
    <n v="34"/>
    <n v="2448"/>
    <n v="27"/>
    <n v="40.5"/>
    <n v="54"/>
    <n v="27"/>
    <n v="918"/>
    <n v="1530"/>
    <m/>
    <m/>
    <m/>
    <m/>
    <m/>
  </r>
  <r>
    <x v="22"/>
    <m/>
    <x v="10"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DCD24B-C930-4074-B4AF-3EB8A83B9959}" name="PivotTable1" cacheId="22" applyNumberFormats="0" applyBorderFormats="0" applyFontFormats="0" applyPatternFormats="0" applyAlignmentFormats="0" applyWidthHeightFormats="1" dataCaption="Values" updatedVersion="8" minRefreshableVersion="3" useAutoFormatting="1" itemPrintTitles="1" createdVersion="5" indent="0" outline="1" outlineData="1" multipleFieldFilters="0">
  <location ref="A3:H224" firstHeaderRow="0" firstDataRow="1" firstDataCol="1"/>
  <pivotFields count="28">
    <pivotField axis="axisRow" showAll="0" sortType="descending" defaultSubtotal="0">
      <items count="75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m="1" x="74"/>
        <item m="1" x="73"/>
        <item m="1" x="72"/>
        <item m="1" x="71"/>
        <item m="1" x="70"/>
        <item m="1" x="69"/>
        <item m="1" x="68"/>
        <item m="1" x="67"/>
        <item m="1" x="66"/>
        <item m="1" x="65"/>
        <item m="1" x="64"/>
        <item m="1" x="63"/>
        <item m="1" x="62"/>
        <item m="1" x="61"/>
        <item m="1" x="60"/>
        <item m="1" x="59"/>
        <item m="1" x="58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</items>
    </pivotField>
    <pivotField showAll="0" defaultSubtotal="0"/>
    <pivotField axis="axisRow" showAll="0" defaultSubtotal="0">
      <items count="14">
        <item x="4"/>
        <item x="3"/>
        <item x="5"/>
        <item x="8"/>
        <item x="7"/>
        <item x="9"/>
        <item x="1"/>
        <item x="2"/>
        <item m="1" x="11"/>
        <item m="1" x="12"/>
        <item x="0"/>
        <item x="6"/>
        <item sd="0" x="10"/>
        <item m="1" x="13"/>
      </items>
    </pivotField>
    <pivotField dataField="1" showAll="0"/>
    <pivotField dataField="1" showAll="0" defaultSubtotal="0"/>
    <pivotField dataField="1" showAll="0" defaultSubtotal="0"/>
    <pivotField dataField="1"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75">
        <item sd="0" x="20"/>
        <item sd="0" x="73"/>
        <item sd="0" x="19"/>
        <item sd="0" x="18"/>
        <item sd="0" x="17"/>
        <item sd="0" x="16"/>
        <item sd="0" x="15"/>
        <item sd="0" x="14"/>
        <item sd="0" x="13"/>
        <item sd="0" x="12"/>
        <item sd="0" x="11"/>
        <item sd="0" x="10"/>
        <item sd="0" x="9"/>
        <item sd="0" x="8"/>
        <item sd="0" x="7"/>
        <item sd="0" x="6"/>
        <item sd="0" x="5"/>
        <item sd="0" x="4"/>
        <item sd="0" x="3"/>
        <item sd="0" x="2"/>
        <item sd="0" x="1"/>
        <item sd="0" x="0"/>
        <item sd="0" x="72"/>
        <item sd="0" x="71"/>
        <item sd="0" x="70"/>
        <item sd="0" x="69"/>
        <item sd="0" x="68"/>
        <item sd="0" x="67"/>
        <item sd="0" x="66"/>
        <item sd="0" x="65"/>
        <item sd="0" x="64"/>
        <item sd="0" x="63"/>
        <item sd="0" x="62"/>
        <item sd="0" x="61"/>
        <item sd="0" x="60"/>
        <item sd="0" x="59"/>
        <item sd="0" x="58"/>
        <item sd="0" x="57"/>
        <item sd="0" x="56"/>
        <item sd="0" x="55"/>
        <item sd="0" x="54"/>
        <item sd="0" x="53"/>
        <item sd="0" x="52"/>
        <item sd="0" x="51"/>
        <item sd="0" x="50"/>
        <item sd="0" x="49"/>
        <item sd="0" x="48"/>
        <item sd="0" x="47"/>
        <item sd="0" x="46"/>
        <item sd="0" x="45"/>
        <item sd="0" x="44"/>
        <item sd="0" x="43"/>
        <item sd="0" x="42"/>
        <item sd="0" x="41"/>
        <item sd="0" x="40"/>
        <item sd="0" x="39"/>
        <item sd="0" x="38"/>
        <item sd="0" x="37"/>
        <item sd="0" x="36"/>
        <item sd="0" x="35"/>
        <item sd="0" x="34"/>
        <item sd="0" x="33"/>
        <item sd="0" x="32"/>
        <item sd="0" x="31"/>
        <item sd="0" x="30"/>
        <item sd="0" x="29"/>
        <item sd="0" x="28"/>
        <item sd="0" x="27"/>
        <item sd="0" x="26"/>
        <item sd="0" x="25"/>
        <item sd="0" x="24"/>
        <item sd="0" x="23"/>
        <item sd="0" x="22"/>
        <item sd="0" x="21"/>
        <item t="default" sd="0"/>
      </items>
    </pivotField>
  </pivotFields>
  <rowFields count="3">
    <field x="2"/>
    <field x="27"/>
    <field x="0"/>
  </rowFields>
  <rowItems count="221">
    <i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>
      <x v="2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>
      <x v="3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>
      <x v="4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>
      <x v="5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>
      <x v="6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>
      <x v="7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>
      <x v="10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>
      <x v="1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>
      <x v="12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Sum of Hours_1" fld="3" baseField="4" baseItem="0"/>
    <dataField name="Sum of Hours_2" fld="4" baseField="4" baseItem="0"/>
    <dataField name="Sum of Hours_3" fld="5" baseField="4" baseItem="0"/>
    <dataField name="Sum of Hours_T" fld="6" baseField="0" baseItem="0"/>
    <dataField name="Sum of Travel Day" fld="21" baseField="0" baseItem="0"/>
    <dataField name="Sum of Full Day" fld="22" baseField="0" baseItem="0"/>
    <dataField name="Sum of Lates/Warn" fld="20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4512F2-F234-4B82-995B-2A6BB4CF5A7D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5" indent="0" outline="1" outlineData="1" multipleFieldFilters="0" chartFormat="5">
  <location ref="A3:F27" firstHeaderRow="0" firstDataRow="1" firstDataCol="1"/>
  <pivotFields count="22">
    <pivotField axis="axisRow" showAll="0" sortType="ascending" defaultSubtotal="0">
      <items count="75"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dataField="1" showAll="0"/>
    <pivotField dataField="1" showAll="0"/>
    <pivotField numFmtId="2" showAll="0"/>
    <pivotField numFmtId="2" showAll="0"/>
    <pivotField numFmtId="2" showAll="0"/>
    <pivotField showAll="0"/>
    <pivotField dataField="1" numFmtId="2" showAll="0"/>
    <pivotField dataField="1" numFmtId="2" showAll="0"/>
    <pivotField dragToRow="0" dragToCol="0" dragToPage="0" showAll="0" defaultSubtotal="0"/>
    <pivotField dataField="1" dragToRow="0" dragToCol="0" dragToPage="0" showAll="0" defaultSubtotal="0"/>
  </pivotFields>
  <rowFields count="1">
    <field x="0"/>
  </rowFields>
  <rowItems count="24"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Sum of amount" fld="13" baseField="0" baseItem="0"/>
    <dataField name="Sum of pay amount" fld="18" baseField="0" baseItem="0"/>
    <dataField name="Sum of profit" fld="19" baseField="0" baseItem="0"/>
    <dataField name="Sum of Hours" fld="12" baseField="0" baseItem="0" numFmtId="2"/>
    <dataField name="Average of R&amp;D Hourly Profit" fld="21" subtotal="average" baseField="0" baseItem="0" numFmtId="2"/>
  </dataFields>
  <formats count="8">
    <format dxfId="21">
      <pivotArea outline="0" collapsedLevelsAreSubtotals="1" fieldPosition="0"/>
    </format>
    <format dxfId="20">
      <pivotArea dataOnly="0" labelOnly="1" grandRow="1" outline="0" fieldPosition="0"/>
    </format>
    <format dxfId="19">
      <pivotArea dataOnly="0" labelOnly="1" grandRow="1" outline="0" fieldPosition="0"/>
    </format>
    <format dxfId="18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17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16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15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14">
      <pivotArea dataOnly="0" labelOnly="1" outline="0" fieldPosition="0">
        <references count="1">
          <reference field="4294967294" count="1">
            <x v="3"/>
          </reference>
        </references>
      </pivotArea>
    </format>
  </format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24542A-08DC-40FD-81E2-27C70BFB7A90}" name="PivotTable1" cacheId="1" applyNumberFormats="0" applyBorderFormats="0" applyFontFormats="0" applyPatternFormats="0" applyAlignmentFormats="0" applyWidthHeightFormats="1" dataCaption="Values" showMissing="0" updatedVersion="8" minRefreshableVersion="3" useAutoFormatting="1" itemPrintTitles="1" createdVersion="5" indent="0" outline="1" outlineData="1" multipleFieldFilters="0" chartFormat="3" rowHeaderCaption="Employee">
  <location ref="A3:E15" firstHeaderRow="0" firstDataRow="1" firstDataCol="1"/>
  <pivotFields count="22">
    <pivotField showAll="0" defaultSubtotal="0"/>
    <pivotField showAll="0" defaultSubtotal="0"/>
    <pivotField axis="axisRow" showAll="0" sortType="ascending" defaultSubtotal="0">
      <items count="14">
        <item x="0"/>
        <item x="5"/>
        <item x="3"/>
        <item m="1" x="12"/>
        <item x="8"/>
        <item m="1" x="13"/>
        <item x="2"/>
        <item x="6"/>
        <item x="9"/>
        <item m="1" x="11"/>
        <item x="4"/>
        <item x="1"/>
        <item x="7"/>
        <item x="10"/>
      </items>
    </pivotField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dataField="1" showAll="0"/>
    <pivotField numFmtId="2" showAll="0"/>
    <pivotField numFmtId="2" showAll="0"/>
    <pivotField numFmtId="2" showAll="0"/>
    <pivotField showAll="0"/>
    <pivotField dataField="1" numFmtId="2" showAll="0"/>
    <pivotField dataField="1" numFmtId="2" showAll="0"/>
    <pivotField dataField="1" dragToRow="0" dragToCol="0" dragToPage="0" showAll="0" defaultSubtotal="0"/>
    <pivotField dragToRow="0" dragToCol="0" dragToPage="0" showAll="0" defaultSubtotal="0"/>
  </pivotFields>
  <rowFields count="1">
    <field x="2"/>
  </rowFields>
  <rowItems count="12">
    <i>
      <x/>
    </i>
    <i>
      <x v="1"/>
    </i>
    <i>
      <x v="2"/>
    </i>
    <i>
      <x v="4"/>
    </i>
    <i>
      <x v="6"/>
    </i>
    <i>
      <x v="7"/>
    </i>
    <i>
      <x v="8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amount" fld="13" baseField="0" baseItem="0"/>
    <dataField name="Sum of pay amount" fld="18" baseField="0" baseItem="0"/>
    <dataField name="Sum of profit" fld="19" baseField="0" baseItem="0"/>
    <dataField name="Sum of Gross Margin" fld="20" baseField="0" baseItem="0"/>
  </dataFields>
  <formats count="10">
    <format dxfId="13">
      <pivotArea outline="0" collapsedLevelsAreSubtotals="1" fieldPosition="0"/>
    </format>
    <format dxfId="12">
      <pivotArea collapsedLevelsAreSubtotals="1" fieldPosition="0">
        <references count="2">
          <reference field="4294967294" count="1" selected="0">
            <x v="3"/>
          </reference>
          <reference field="2" count="0"/>
        </references>
      </pivotArea>
    </format>
    <format dxfId="11">
      <pivotArea collapsedLevelsAreSubtotals="1" fieldPosition="0">
        <references count="2">
          <reference field="4294967294" count="1" selected="0">
            <x v="3"/>
          </reference>
          <reference field="2" count="0"/>
        </references>
      </pivotArea>
    </format>
    <format dxfId="10">
      <pivotArea collapsedLevelsAreSubtotals="1" fieldPosition="0">
        <references count="2">
          <reference field="4294967294" count="1" selected="0">
            <x v="3"/>
          </reference>
          <reference field="2" count="0"/>
        </references>
      </pivotArea>
    </format>
    <format dxfId="9">
      <pivotArea collapsedLevelsAreSubtotals="1" fieldPosition="0">
        <references count="2">
          <reference field="4294967294" count="1" selected="0">
            <x v="3"/>
          </reference>
          <reference field="2" count="0"/>
        </references>
      </pivotArea>
    </format>
    <format dxfId="8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7">
      <pivotArea field="2" grandRow="1" outline="0" collapsedLevelsAreSubtotals="1" axis="axisRow" fieldPosition="0">
        <references count="1">
          <reference field="4294967294" count="1" selected="0">
            <x v="3"/>
          </reference>
        </references>
      </pivotArea>
    </format>
    <format dxfId="6">
      <pivotArea field="2" grandRow="1" outline="0" collapsedLevelsAreSubtotals="1" axis="axisRow" fieldPosition="0">
        <references count="1">
          <reference field="4294967294" count="1" selected="0">
            <x v="3"/>
          </reference>
        </references>
      </pivotArea>
    </format>
    <format dxfId="5">
      <pivotArea field="2" grandRow="1" outline="0" collapsedLevelsAreSubtotals="1" axis="axisRow" fieldPosition="0">
        <references count="1">
          <reference field="4294967294" count="1" selected="0">
            <x v="3"/>
          </reference>
        </references>
      </pivotArea>
    </format>
    <format dxfId="4">
      <pivotArea field="2" grandRow="1" outline="0" collapsedLevelsAreSubtotals="1" axis="axisRow" fieldPosition="0">
        <references count="1">
          <reference field="4294967294" count="1" selected="0">
            <x v="3"/>
          </reference>
        </references>
      </pivotArea>
    </format>
  </formats>
  <chartFormats count="1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896BDA-985F-4504-8448-66FFC3D2A927}" name="PivotTable1" cacheId="22" applyNumberFormats="0" applyBorderFormats="0" applyFontFormats="0" applyPatternFormats="0" applyAlignmentFormats="0" applyWidthHeightFormats="1" dataCaption="Values" updatedVersion="8" minRefreshableVersion="3" useAutoFormatting="1" itemPrintTitles="1" createdVersion="5" indent="0" outline="1" outlineData="1" multipleFieldFilters="0">
  <location ref="A3:I268" firstHeaderRow="0" firstDataRow="1" firstDataCol="1"/>
  <pivotFields count="28">
    <pivotField axis="axisRow" showAll="0" sortType="descending" defaultSubtotal="0">
      <items count="75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m="1" x="74"/>
        <item m="1" x="73"/>
        <item m="1" x="72"/>
        <item m="1" x="71"/>
        <item m="1" x="70"/>
        <item m="1" x="69"/>
        <item m="1" x="68"/>
        <item m="1" x="67"/>
        <item m="1" x="66"/>
        <item m="1" x="65"/>
        <item m="1" x="64"/>
        <item m="1" x="63"/>
        <item m="1" x="62"/>
        <item m="1" x="61"/>
        <item m="1" x="60"/>
        <item m="1" x="59"/>
        <item m="1" x="58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</items>
    </pivotField>
    <pivotField showAll="0" defaultSubtotal="0"/>
    <pivotField axis="axisRow" showAll="0" defaultSubtotal="0">
      <items count="14">
        <item x="1"/>
        <item x="4"/>
        <item x="2"/>
        <item m="1" x="11"/>
        <item x="3"/>
        <item x="5"/>
        <item x="9"/>
        <item x="6"/>
        <item m="1" x="12"/>
        <item sd="0" x="10"/>
        <item x="7"/>
        <item x="0"/>
        <item x="8"/>
        <item m="1" x="13"/>
      </items>
    </pivotField>
    <pivotField dataField="1" showAll="0"/>
    <pivotField dataField="1" showAll="0" defaultSubtotal="0"/>
    <pivotField dataField="1" showAll="0" defaultSubtotal="0"/>
    <pivotField dataField="1"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ragToRow="0" dragToCol="0" dragToPage="0" showAll="0" defaultSubtotal="0"/>
    <pivotField dragToRow="0" dragToCol="0" dragToPage="0" showAll="0" defaultSubtotal="0"/>
    <pivotField axis="axisRow" showAll="0">
      <items count="75">
        <item x="20"/>
        <item x="73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t="default"/>
      </items>
    </pivotField>
  </pivotFields>
  <rowFields count="3">
    <field x="27"/>
    <field x="0"/>
    <field x="2"/>
  </rowFields>
  <rowItems count="265">
    <i>
      <x/>
    </i>
    <i r="1">
      <x/>
    </i>
    <i r="2">
      <x v="9"/>
    </i>
    <i>
      <x v="1"/>
    </i>
    <i r="1">
      <x v="1"/>
    </i>
    <i r="2">
      <x/>
    </i>
    <i r="2">
      <x v="1"/>
    </i>
    <i r="2">
      <x v="2"/>
    </i>
    <i r="2">
      <x v="4"/>
    </i>
    <i r="2">
      <x v="5"/>
    </i>
    <i r="2">
      <x v="6"/>
    </i>
    <i r="2">
      <x v="10"/>
    </i>
    <i r="2">
      <x v="11"/>
    </i>
    <i r="2">
      <x v="12"/>
    </i>
    <i r="1">
      <x v="2"/>
    </i>
    <i r="2">
      <x/>
    </i>
    <i r="2">
      <x v="1"/>
    </i>
    <i r="2">
      <x v="2"/>
    </i>
    <i r="2">
      <x v="4"/>
    </i>
    <i r="2">
      <x v="5"/>
    </i>
    <i r="2">
      <x v="6"/>
    </i>
    <i r="2">
      <x v="10"/>
    </i>
    <i r="2">
      <x v="11"/>
    </i>
    <i r="2">
      <x v="12"/>
    </i>
    <i>
      <x v="2"/>
    </i>
    <i r="1">
      <x v="3"/>
    </i>
    <i r="2">
      <x/>
    </i>
    <i r="2">
      <x v="1"/>
    </i>
    <i r="2">
      <x v="2"/>
    </i>
    <i r="2">
      <x v="4"/>
    </i>
    <i r="2">
      <x v="5"/>
    </i>
    <i r="2">
      <x v="6"/>
    </i>
    <i r="2">
      <x v="7"/>
    </i>
    <i r="2">
      <x v="10"/>
    </i>
    <i r="2">
      <x v="11"/>
    </i>
    <i r="2">
      <x v="12"/>
    </i>
    <i>
      <x v="3"/>
    </i>
    <i r="1">
      <x v="4"/>
    </i>
    <i r="2">
      <x/>
    </i>
    <i r="2">
      <x v="1"/>
    </i>
    <i r="2">
      <x v="2"/>
    </i>
    <i r="2">
      <x v="4"/>
    </i>
    <i r="2">
      <x v="5"/>
    </i>
    <i r="2">
      <x v="6"/>
    </i>
    <i r="2">
      <x v="7"/>
    </i>
    <i r="2">
      <x v="10"/>
    </i>
    <i r="2">
      <x v="11"/>
    </i>
    <i r="2">
      <x v="12"/>
    </i>
    <i>
      <x v="4"/>
    </i>
    <i r="1">
      <x v="5"/>
    </i>
    <i r="2">
      <x/>
    </i>
    <i r="2">
      <x v="1"/>
    </i>
    <i r="2">
      <x v="2"/>
    </i>
    <i r="2">
      <x v="4"/>
    </i>
    <i r="2">
      <x v="5"/>
    </i>
    <i r="2">
      <x v="6"/>
    </i>
    <i r="2">
      <x v="7"/>
    </i>
    <i r="2">
      <x v="10"/>
    </i>
    <i r="2">
      <x v="11"/>
    </i>
    <i r="2">
      <x v="12"/>
    </i>
    <i>
      <x v="5"/>
    </i>
    <i r="1">
      <x v="6"/>
    </i>
    <i r="2">
      <x/>
    </i>
    <i r="2">
      <x v="1"/>
    </i>
    <i r="2">
      <x v="2"/>
    </i>
    <i r="2">
      <x v="4"/>
    </i>
    <i r="2">
      <x v="5"/>
    </i>
    <i r="2">
      <x v="6"/>
    </i>
    <i r="2">
      <x v="7"/>
    </i>
    <i r="2">
      <x v="10"/>
    </i>
    <i r="2">
      <x v="11"/>
    </i>
    <i r="2">
      <x v="12"/>
    </i>
    <i>
      <x v="6"/>
    </i>
    <i r="1">
      <x v="7"/>
    </i>
    <i r="2">
      <x/>
    </i>
    <i r="2">
      <x v="1"/>
    </i>
    <i r="2">
      <x v="2"/>
    </i>
    <i r="2">
      <x v="4"/>
    </i>
    <i r="2">
      <x v="5"/>
    </i>
    <i r="2">
      <x v="6"/>
    </i>
    <i r="2">
      <x v="7"/>
    </i>
    <i r="2">
      <x v="10"/>
    </i>
    <i r="2">
      <x v="11"/>
    </i>
    <i r="2">
      <x v="12"/>
    </i>
    <i>
      <x v="7"/>
    </i>
    <i r="1">
      <x v="8"/>
    </i>
    <i r="2">
      <x/>
    </i>
    <i r="2">
      <x v="1"/>
    </i>
    <i r="2">
      <x v="2"/>
    </i>
    <i r="2">
      <x v="4"/>
    </i>
    <i r="2">
      <x v="5"/>
    </i>
    <i r="2">
      <x v="6"/>
    </i>
    <i r="2">
      <x v="7"/>
    </i>
    <i r="2">
      <x v="10"/>
    </i>
    <i r="2">
      <x v="11"/>
    </i>
    <i r="2">
      <x v="12"/>
    </i>
    <i>
      <x v="8"/>
    </i>
    <i r="1">
      <x v="9"/>
    </i>
    <i r="2">
      <x/>
    </i>
    <i r="2">
      <x v="1"/>
    </i>
    <i r="2">
      <x v="2"/>
    </i>
    <i r="2">
      <x v="4"/>
    </i>
    <i r="2">
      <x v="5"/>
    </i>
    <i r="2">
      <x v="6"/>
    </i>
    <i r="2">
      <x v="7"/>
    </i>
    <i r="2">
      <x v="10"/>
    </i>
    <i r="2">
      <x v="11"/>
    </i>
    <i r="2">
      <x v="12"/>
    </i>
    <i>
      <x v="9"/>
    </i>
    <i r="1">
      <x v="10"/>
    </i>
    <i r="2">
      <x/>
    </i>
    <i r="2">
      <x v="1"/>
    </i>
    <i r="2">
      <x v="2"/>
    </i>
    <i r="2">
      <x v="4"/>
    </i>
    <i r="2">
      <x v="5"/>
    </i>
    <i r="2">
      <x v="6"/>
    </i>
    <i r="2">
      <x v="7"/>
    </i>
    <i r="2">
      <x v="10"/>
    </i>
    <i r="2">
      <x v="11"/>
    </i>
    <i r="2">
      <x v="12"/>
    </i>
    <i>
      <x v="10"/>
    </i>
    <i r="1">
      <x v="11"/>
    </i>
    <i r="2">
      <x/>
    </i>
    <i r="2">
      <x v="1"/>
    </i>
    <i r="2">
      <x v="2"/>
    </i>
    <i r="2">
      <x v="4"/>
    </i>
    <i r="2">
      <x v="5"/>
    </i>
    <i r="2">
      <x v="6"/>
    </i>
    <i r="2">
      <x v="7"/>
    </i>
    <i r="2">
      <x v="10"/>
    </i>
    <i r="2">
      <x v="11"/>
    </i>
    <i r="2">
      <x v="12"/>
    </i>
    <i>
      <x v="11"/>
    </i>
    <i r="1">
      <x v="12"/>
    </i>
    <i r="2">
      <x/>
    </i>
    <i r="2">
      <x v="1"/>
    </i>
    <i r="2">
      <x v="2"/>
    </i>
    <i r="2">
      <x v="4"/>
    </i>
    <i r="2">
      <x v="5"/>
    </i>
    <i r="2">
      <x v="6"/>
    </i>
    <i r="2">
      <x v="7"/>
    </i>
    <i r="2">
      <x v="10"/>
    </i>
    <i r="2">
      <x v="11"/>
    </i>
    <i r="2">
      <x v="12"/>
    </i>
    <i>
      <x v="12"/>
    </i>
    <i r="1">
      <x v="13"/>
    </i>
    <i r="2">
      <x/>
    </i>
    <i r="2">
      <x v="1"/>
    </i>
    <i r="2">
      <x v="2"/>
    </i>
    <i r="2">
      <x v="4"/>
    </i>
    <i r="2">
      <x v="5"/>
    </i>
    <i r="2">
      <x v="6"/>
    </i>
    <i r="2">
      <x v="7"/>
    </i>
    <i r="2">
      <x v="10"/>
    </i>
    <i r="2">
      <x v="11"/>
    </i>
    <i r="2">
      <x v="12"/>
    </i>
    <i>
      <x v="13"/>
    </i>
    <i r="1">
      <x v="14"/>
    </i>
    <i r="2">
      <x/>
    </i>
    <i r="2">
      <x v="1"/>
    </i>
    <i r="2">
      <x v="2"/>
    </i>
    <i r="2">
      <x v="4"/>
    </i>
    <i r="2">
      <x v="5"/>
    </i>
    <i r="2">
      <x v="6"/>
    </i>
    <i r="2">
      <x v="7"/>
    </i>
    <i r="2">
      <x v="10"/>
    </i>
    <i r="2">
      <x v="11"/>
    </i>
    <i r="2">
      <x v="12"/>
    </i>
    <i>
      <x v="14"/>
    </i>
    <i r="1">
      <x v="15"/>
    </i>
    <i r="2">
      <x/>
    </i>
    <i r="2">
      <x v="1"/>
    </i>
    <i r="2">
      <x v="2"/>
    </i>
    <i r="2">
      <x v="4"/>
    </i>
    <i r="2">
      <x v="5"/>
    </i>
    <i r="2">
      <x v="6"/>
    </i>
    <i r="2">
      <x v="7"/>
    </i>
    <i r="2">
      <x v="10"/>
    </i>
    <i r="2">
      <x v="11"/>
    </i>
    <i r="2">
      <x v="12"/>
    </i>
    <i>
      <x v="15"/>
    </i>
    <i r="1">
      <x v="16"/>
    </i>
    <i r="2">
      <x/>
    </i>
    <i r="2">
      <x v="1"/>
    </i>
    <i r="2">
      <x v="2"/>
    </i>
    <i r="2">
      <x v="4"/>
    </i>
    <i r="2">
      <x v="5"/>
    </i>
    <i r="2">
      <x v="6"/>
    </i>
    <i r="2">
      <x v="7"/>
    </i>
    <i r="2">
      <x v="10"/>
    </i>
    <i r="2">
      <x v="11"/>
    </i>
    <i r="2">
      <x v="12"/>
    </i>
    <i>
      <x v="16"/>
    </i>
    <i r="1">
      <x v="17"/>
    </i>
    <i r="2">
      <x/>
    </i>
    <i r="2">
      <x v="1"/>
    </i>
    <i r="2">
      <x v="2"/>
    </i>
    <i r="2">
      <x v="4"/>
    </i>
    <i r="2">
      <x v="5"/>
    </i>
    <i r="2">
      <x v="6"/>
    </i>
    <i r="2">
      <x v="7"/>
    </i>
    <i r="2">
      <x v="10"/>
    </i>
    <i r="2">
      <x v="11"/>
    </i>
    <i r="2">
      <x v="12"/>
    </i>
    <i>
      <x v="17"/>
    </i>
    <i r="1">
      <x v="18"/>
    </i>
    <i r="2">
      <x/>
    </i>
    <i r="2">
      <x v="1"/>
    </i>
    <i r="2">
      <x v="2"/>
    </i>
    <i r="2">
      <x v="4"/>
    </i>
    <i r="2">
      <x v="5"/>
    </i>
    <i r="2">
      <x v="6"/>
    </i>
    <i r="2">
      <x v="7"/>
    </i>
    <i r="2">
      <x v="10"/>
    </i>
    <i r="2">
      <x v="11"/>
    </i>
    <i r="2">
      <x v="12"/>
    </i>
    <i>
      <x v="18"/>
    </i>
    <i r="1">
      <x v="19"/>
    </i>
    <i r="2">
      <x/>
    </i>
    <i r="2">
      <x v="1"/>
    </i>
    <i r="2">
      <x v="2"/>
    </i>
    <i r="2">
      <x v="4"/>
    </i>
    <i r="2">
      <x v="5"/>
    </i>
    <i r="2">
      <x v="6"/>
    </i>
    <i r="2">
      <x v="7"/>
    </i>
    <i r="2">
      <x v="10"/>
    </i>
    <i r="2">
      <x v="11"/>
    </i>
    <i r="2">
      <x v="12"/>
    </i>
    <i>
      <x v="19"/>
    </i>
    <i r="1">
      <x v="20"/>
    </i>
    <i r="2">
      <x/>
    </i>
    <i r="2">
      <x v="1"/>
    </i>
    <i r="2">
      <x v="2"/>
    </i>
    <i r="2">
      <x v="4"/>
    </i>
    <i r="2">
      <x v="5"/>
    </i>
    <i r="2">
      <x v="6"/>
    </i>
    <i r="2">
      <x v="7"/>
    </i>
    <i r="2">
      <x v="10"/>
    </i>
    <i r="2">
      <x v="11"/>
    </i>
    <i r="2">
      <x v="12"/>
    </i>
    <i>
      <x v="20"/>
    </i>
    <i r="1">
      <x v="21"/>
    </i>
    <i r="2">
      <x/>
    </i>
    <i r="2">
      <x v="1"/>
    </i>
    <i r="2">
      <x v="2"/>
    </i>
    <i r="2">
      <x v="4"/>
    </i>
    <i r="2">
      <x v="5"/>
    </i>
    <i r="2">
      <x v="6"/>
    </i>
    <i r="2">
      <x v="7"/>
    </i>
    <i r="2">
      <x v="10"/>
    </i>
    <i r="2">
      <x v="11"/>
    </i>
    <i r="2">
      <x v="12"/>
    </i>
    <i>
      <x v="21"/>
    </i>
    <i r="1">
      <x v="22"/>
    </i>
    <i r="2">
      <x/>
    </i>
    <i r="2">
      <x v="1"/>
    </i>
    <i r="2">
      <x v="2"/>
    </i>
    <i r="2">
      <x v="4"/>
    </i>
    <i r="2">
      <x v="5"/>
    </i>
    <i r="2">
      <x v="6"/>
    </i>
    <i r="2">
      <x v="7"/>
    </i>
    <i r="2">
      <x v="10"/>
    </i>
    <i r="2">
      <x v="11"/>
    </i>
    <i r="2">
      <x v="12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dataFields count="8">
    <dataField name="Sum of Hours_1" fld="3" baseField="4" baseItem="0"/>
    <dataField name="Sum of Hours_2" fld="4" baseField="4" baseItem="0"/>
    <dataField name="Sum of Hours_3" fld="5" baseField="4" baseItem="0"/>
    <dataField name="Sum of Hours_T" fld="6" baseField="0" baseItem="0"/>
    <dataField name="Sum of Full Day" fld="22" baseField="0" baseItem="0"/>
    <dataField name="Sum of Travel Day" fld="21" baseField="0" baseItem="0"/>
    <dataField name="Max of CAD/USD" fld="24" subtotal="max" baseField="0" baseItem="0"/>
    <dataField name="Count of Other" fld="23" subtotal="count" baseField="0" baseItem="0"/>
  </dataFields>
  <conditionalFormats count="3">
    <conditionalFormat scope="field" priority="4">
      <pivotAreas count="1">
        <pivotArea outline="0" collapsedLevelsAreSubtotals="1" fieldPosition="0">
          <references count="2">
            <reference field="4294967294" count="1" selected="0">
              <x v="6"/>
            </reference>
            <reference field="0" count="0" selected="0"/>
          </references>
        </pivotArea>
      </pivotAreas>
    </conditionalFormat>
    <conditionalFormat scope="field" priority="2">
      <pivotAreas count="1">
        <pivotArea outline="0" collapsedLevelsAreSubtotals="1" fieldPosition="0">
          <references count="2">
            <reference field="4294967294" count="1" selected="0">
              <x v="6"/>
            </reference>
            <reference field="2" count="0" selected="0"/>
          </references>
        </pivotArea>
      </pivotAreas>
    </conditionalFormat>
    <conditionalFormat scope="field" priority="1">
      <pivotAreas count="1">
        <pivotArea outline="0" collapsedLevelsAreSubtotals="1" fieldPosition="0">
          <references count="2">
            <reference field="4294967294" count="1" selected="0">
              <x v="6"/>
            </reference>
            <reference field="2" count="0" selected="0"/>
          </references>
        </pivotArea>
      </pivotAreas>
    </conditionalFormat>
  </conditional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1"/>
  <sheetViews>
    <sheetView workbookViewId="0">
      <selection activeCell="B18" sqref="B18"/>
    </sheetView>
  </sheetViews>
  <sheetFormatPr defaultRowHeight="14.25" x14ac:dyDescent="0.45"/>
  <cols>
    <col min="1" max="2" width="14.265625" bestFit="1" customWidth="1"/>
    <col min="3" max="3" width="12.59765625" bestFit="1" customWidth="1"/>
    <col min="4" max="4" width="14" bestFit="1" customWidth="1"/>
    <col min="8" max="9" width="9.1328125" bestFit="1" customWidth="1"/>
    <col min="11" max="11" width="13.3984375" bestFit="1" customWidth="1"/>
  </cols>
  <sheetData>
    <row r="1" spans="1:11" x14ac:dyDescent="0.45">
      <c r="A1" s="6" t="s">
        <v>18</v>
      </c>
    </row>
    <row r="2" spans="1:11" x14ac:dyDescent="0.45">
      <c r="A2" s="1" t="s">
        <v>10</v>
      </c>
      <c r="B2" s="1" t="s">
        <v>11</v>
      </c>
      <c r="C2" s="1" t="s">
        <v>12</v>
      </c>
      <c r="D2" s="1" t="s">
        <v>13</v>
      </c>
    </row>
    <row r="3" spans="1:11" x14ac:dyDescent="0.45">
      <c r="A3" s="1">
        <f>SUM(RawData!N2:N1372)</f>
        <v>648087.20000000019</v>
      </c>
      <c r="B3" s="1">
        <f>SUM(RawData!S2:S1372)</f>
        <v>376835.27</v>
      </c>
      <c r="C3" s="1">
        <f>SUM(RawData!T2:T1372)</f>
        <v>271251.93000000005</v>
      </c>
      <c r="D3" s="2">
        <f>C3/A3</f>
        <v>0.41854233504380273</v>
      </c>
    </row>
    <row r="5" spans="1:11" x14ac:dyDescent="0.45">
      <c r="A5" s="5"/>
    </row>
    <row r="10" spans="1:11" x14ac:dyDescent="0.45">
      <c r="H10" s="37"/>
      <c r="I10" s="37"/>
    </row>
    <row r="11" spans="1:11" x14ac:dyDescent="0.45">
      <c r="K11" s="5"/>
    </row>
  </sheetData>
  <pageMargins left="0.7" right="0.7" top="0.75" bottom="0.75" header="0.3" footer="0.3"/>
  <pageSetup orientation="landscape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3:W1390"/>
  <sheetViews>
    <sheetView topLeftCell="A85" zoomScale="85" zoomScaleNormal="85" workbookViewId="0">
      <selection activeCell="B93" sqref="B93:E93"/>
    </sheetView>
  </sheetViews>
  <sheetFormatPr defaultColWidth="9.1328125" defaultRowHeight="14.25" x14ac:dyDescent="0.45"/>
  <cols>
    <col min="1" max="1" width="20" style="17" bestFit="1" customWidth="1"/>
    <col min="2" max="4" width="13.796875" style="17" bestFit="1" customWidth="1"/>
    <col min="5" max="5" width="13.73046875" style="17" bestFit="1" customWidth="1"/>
    <col min="6" max="6" width="15.6640625" style="17" bestFit="1" customWidth="1"/>
    <col min="7" max="7" width="13.46484375" style="17" bestFit="1" customWidth="1"/>
    <col min="8" max="8" width="16.6640625" style="56" bestFit="1" customWidth="1"/>
    <col min="9" max="9" width="9.1328125" style="17"/>
    <col min="10" max="10" width="10.3984375" style="17" bestFit="1" customWidth="1"/>
    <col min="11" max="16384" width="9.1328125" style="17"/>
  </cols>
  <sheetData>
    <row r="3" spans="1:13" x14ac:dyDescent="0.45">
      <c r="A3" s="3" t="s">
        <v>20</v>
      </c>
      <c r="B3" t="s">
        <v>34</v>
      </c>
      <c r="C3" t="s">
        <v>35</v>
      </c>
      <c r="D3" t="s">
        <v>36</v>
      </c>
      <c r="E3" t="s">
        <v>182</v>
      </c>
      <c r="F3" t="s">
        <v>74</v>
      </c>
      <c r="G3" t="s">
        <v>75</v>
      </c>
      <c r="H3" t="s">
        <v>253</v>
      </c>
    </row>
    <row r="4" spans="1:13" x14ac:dyDescent="0.45">
      <c r="A4" s="4" t="s">
        <v>21</v>
      </c>
      <c r="B4" s="90"/>
      <c r="C4" s="90"/>
      <c r="D4" s="90"/>
      <c r="E4" s="90"/>
      <c r="F4" s="90"/>
      <c r="G4" s="90"/>
      <c r="H4" s="90"/>
    </row>
    <row r="5" spans="1:13" x14ac:dyDescent="0.45">
      <c r="A5" s="7" t="s">
        <v>285</v>
      </c>
      <c r="B5" s="90">
        <v>78</v>
      </c>
      <c r="C5" s="90">
        <v>32</v>
      </c>
      <c r="D5" s="90">
        <v>24</v>
      </c>
      <c r="E5" s="90">
        <v>8</v>
      </c>
      <c r="F5" s="90"/>
      <c r="G5" s="90">
        <v>5</v>
      </c>
      <c r="H5" s="90"/>
    </row>
    <row r="6" spans="1:13" x14ac:dyDescent="0.45">
      <c r="A6" s="52">
        <v>46096</v>
      </c>
      <c r="B6" s="90">
        <v>40</v>
      </c>
      <c r="C6" s="90">
        <v>28.5</v>
      </c>
      <c r="D6" s="90">
        <v>12</v>
      </c>
      <c r="E6" s="90">
        <v>3.5</v>
      </c>
      <c r="F6" s="90"/>
      <c r="G6" s="90">
        <v>7</v>
      </c>
      <c r="H6" s="90"/>
    </row>
    <row r="7" spans="1:13" x14ac:dyDescent="0.45">
      <c r="A7" s="52">
        <v>46089</v>
      </c>
      <c r="B7" s="90">
        <v>32</v>
      </c>
      <c r="C7" s="90">
        <v>0</v>
      </c>
      <c r="D7" s="90">
        <v>0</v>
      </c>
      <c r="E7" s="90">
        <v>0</v>
      </c>
      <c r="F7" s="90"/>
      <c r="G7" s="90"/>
      <c r="H7" s="90"/>
    </row>
    <row r="8" spans="1:13" x14ac:dyDescent="0.45">
      <c r="A8" s="52">
        <v>46082</v>
      </c>
      <c r="B8" s="90">
        <v>40</v>
      </c>
      <c r="C8" s="90">
        <v>6.25</v>
      </c>
      <c r="D8" s="90">
        <v>0</v>
      </c>
      <c r="E8" s="90">
        <v>0</v>
      </c>
      <c r="F8" s="90"/>
      <c r="G8" s="90"/>
      <c r="H8" s="90"/>
    </row>
    <row r="9" spans="1:13" x14ac:dyDescent="0.45">
      <c r="A9" s="52">
        <v>46075</v>
      </c>
      <c r="B9" s="90">
        <v>40</v>
      </c>
      <c r="C9" s="90">
        <v>14.25</v>
      </c>
      <c r="D9" s="90">
        <v>0</v>
      </c>
      <c r="E9" s="90">
        <v>0</v>
      </c>
      <c r="F9" s="90"/>
      <c r="G9" s="90"/>
      <c r="H9" s="90"/>
    </row>
    <row r="10" spans="1:13" x14ac:dyDescent="0.45">
      <c r="A10" s="52">
        <v>46068</v>
      </c>
      <c r="B10" s="90">
        <v>40</v>
      </c>
      <c r="C10" s="90">
        <v>16.25</v>
      </c>
      <c r="D10" s="90">
        <v>0</v>
      </c>
      <c r="E10" s="90">
        <v>0</v>
      </c>
      <c r="F10" s="90"/>
      <c r="G10" s="90"/>
      <c r="H10" s="90"/>
    </row>
    <row r="11" spans="1:13" x14ac:dyDescent="0.45">
      <c r="A11" s="52">
        <v>46061</v>
      </c>
      <c r="B11" s="90">
        <v>40</v>
      </c>
      <c r="C11" s="90">
        <v>13.25</v>
      </c>
      <c r="D11" s="90">
        <v>0</v>
      </c>
      <c r="E11" s="90">
        <v>0</v>
      </c>
      <c r="F11" s="90"/>
      <c r="G11" s="90"/>
      <c r="H11" s="90"/>
    </row>
    <row r="12" spans="1:13" x14ac:dyDescent="0.45">
      <c r="A12" s="52">
        <v>46054</v>
      </c>
      <c r="B12" s="90">
        <v>40</v>
      </c>
      <c r="C12" s="90">
        <v>2.25</v>
      </c>
      <c r="D12" s="90">
        <v>0</v>
      </c>
      <c r="E12" s="90">
        <v>4</v>
      </c>
      <c r="F12" s="90"/>
      <c r="G12" s="90">
        <v>2</v>
      </c>
      <c r="H12" s="90"/>
    </row>
    <row r="13" spans="1:13" x14ac:dyDescent="0.45">
      <c r="A13" s="52">
        <v>46047</v>
      </c>
      <c r="B13" s="90">
        <v>40</v>
      </c>
      <c r="C13" s="90">
        <v>14.5</v>
      </c>
      <c r="D13" s="90">
        <v>12</v>
      </c>
      <c r="E13" s="90">
        <v>4</v>
      </c>
      <c r="F13" s="90"/>
      <c r="G13" s="90">
        <v>4</v>
      </c>
      <c r="H13" s="90"/>
      <c r="M13"/>
    </row>
    <row r="14" spans="1:13" x14ac:dyDescent="0.45">
      <c r="A14" s="52">
        <v>46040</v>
      </c>
      <c r="B14" s="90">
        <v>40</v>
      </c>
      <c r="C14" s="90">
        <v>6</v>
      </c>
      <c r="D14" s="90">
        <v>0</v>
      </c>
      <c r="E14" s="90">
        <v>0</v>
      </c>
      <c r="F14" s="90"/>
      <c r="G14" s="90"/>
      <c r="H14" s="90"/>
    </row>
    <row r="15" spans="1:13" x14ac:dyDescent="0.45">
      <c r="A15" s="52">
        <v>46033</v>
      </c>
      <c r="B15" s="90">
        <v>40</v>
      </c>
      <c r="C15" s="90">
        <v>2</v>
      </c>
      <c r="D15" s="90">
        <v>0</v>
      </c>
      <c r="E15" s="90">
        <v>4</v>
      </c>
      <c r="F15" s="90"/>
      <c r="G15" s="90">
        <v>1</v>
      </c>
      <c r="H15" s="90"/>
    </row>
    <row r="16" spans="1:13" x14ac:dyDescent="0.45">
      <c r="A16" s="52">
        <v>46026</v>
      </c>
      <c r="B16" s="90">
        <v>0</v>
      </c>
      <c r="C16" s="90">
        <v>0</v>
      </c>
      <c r="D16" s="90">
        <v>0</v>
      </c>
      <c r="E16" s="90">
        <v>0</v>
      </c>
      <c r="F16" s="90"/>
      <c r="G16" s="90"/>
      <c r="H16" s="90"/>
    </row>
    <row r="17" spans="1:8" x14ac:dyDescent="0.45">
      <c r="A17" s="52">
        <v>46019</v>
      </c>
      <c r="B17" s="90">
        <v>8</v>
      </c>
      <c r="C17" s="90">
        <v>0</v>
      </c>
      <c r="D17" s="90">
        <v>0</v>
      </c>
      <c r="E17" s="90">
        <v>4</v>
      </c>
      <c r="F17" s="90"/>
      <c r="G17" s="90">
        <v>1</v>
      </c>
      <c r="H17" s="90"/>
    </row>
    <row r="18" spans="1:8" x14ac:dyDescent="0.45">
      <c r="A18" s="52">
        <v>46012</v>
      </c>
      <c r="B18" s="90">
        <v>40</v>
      </c>
      <c r="C18" s="90">
        <v>15.5</v>
      </c>
      <c r="D18" s="90">
        <v>10</v>
      </c>
      <c r="E18" s="90">
        <v>0</v>
      </c>
      <c r="F18" s="90"/>
      <c r="G18" s="90">
        <v>2</v>
      </c>
      <c r="H18" s="90"/>
    </row>
    <row r="19" spans="1:8" x14ac:dyDescent="0.45">
      <c r="A19" s="52">
        <v>46005</v>
      </c>
      <c r="B19" s="90">
        <v>40</v>
      </c>
      <c r="C19" s="90">
        <v>6.5</v>
      </c>
      <c r="D19" s="90">
        <v>0</v>
      </c>
      <c r="E19" s="90">
        <v>4</v>
      </c>
      <c r="F19" s="90"/>
      <c r="G19" s="90"/>
      <c r="H19" s="90"/>
    </row>
    <row r="20" spans="1:8" x14ac:dyDescent="0.45">
      <c r="A20" s="52">
        <v>45998</v>
      </c>
      <c r="B20" s="90">
        <v>32</v>
      </c>
      <c r="C20" s="90">
        <v>0</v>
      </c>
      <c r="D20" s="90">
        <v>0</v>
      </c>
      <c r="E20" s="90">
        <v>8</v>
      </c>
      <c r="F20" s="90"/>
      <c r="G20" s="90"/>
      <c r="H20" s="90"/>
    </row>
    <row r="21" spans="1:8" x14ac:dyDescent="0.45">
      <c r="A21" s="52">
        <v>45991</v>
      </c>
      <c r="B21" s="90">
        <v>40</v>
      </c>
      <c r="C21" s="90">
        <v>2.75</v>
      </c>
      <c r="D21" s="90">
        <v>0</v>
      </c>
      <c r="E21" s="90">
        <v>4</v>
      </c>
      <c r="F21" s="90"/>
      <c r="G21" s="90"/>
      <c r="H21" s="90"/>
    </row>
    <row r="22" spans="1:8" x14ac:dyDescent="0.45">
      <c r="A22" s="52">
        <v>45984</v>
      </c>
      <c r="B22" s="90">
        <v>40</v>
      </c>
      <c r="C22" s="90">
        <v>4</v>
      </c>
      <c r="D22" s="90">
        <v>0</v>
      </c>
      <c r="E22" s="90">
        <v>0</v>
      </c>
      <c r="F22" s="90"/>
      <c r="G22" s="90"/>
      <c r="H22" s="90"/>
    </row>
    <row r="23" spans="1:8" x14ac:dyDescent="0.45">
      <c r="A23" s="52">
        <v>45977</v>
      </c>
      <c r="B23" s="90">
        <v>40</v>
      </c>
      <c r="C23" s="90">
        <v>5</v>
      </c>
      <c r="D23" s="90">
        <v>0</v>
      </c>
      <c r="E23" s="90">
        <v>0</v>
      </c>
      <c r="F23" s="90"/>
      <c r="G23" s="90"/>
      <c r="H23" s="90"/>
    </row>
    <row r="24" spans="1:8" x14ac:dyDescent="0.45">
      <c r="A24" s="52">
        <v>45970</v>
      </c>
      <c r="B24" s="90">
        <v>40</v>
      </c>
      <c r="C24" s="90">
        <v>5.5</v>
      </c>
      <c r="D24" s="90">
        <v>0</v>
      </c>
      <c r="E24" s="90">
        <v>0</v>
      </c>
      <c r="F24" s="90"/>
      <c r="G24" s="90"/>
      <c r="H24" s="90"/>
    </row>
    <row r="25" spans="1:8" x14ac:dyDescent="0.45">
      <c r="A25" s="52">
        <v>45963</v>
      </c>
      <c r="B25" s="90">
        <v>40</v>
      </c>
      <c r="C25" s="90">
        <v>1</v>
      </c>
      <c r="D25" s="90">
        <v>0</v>
      </c>
      <c r="E25" s="90">
        <v>0</v>
      </c>
      <c r="F25" s="90"/>
      <c r="G25" s="90"/>
      <c r="H25" s="90"/>
    </row>
    <row r="26" spans="1:8" x14ac:dyDescent="0.45">
      <c r="A26" s="4" t="s">
        <v>2</v>
      </c>
      <c r="B26" s="90"/>
      <c r="C26" s="90"/>
      <c r="D26" s="90"/>
      <c r="E26" s="90"/>
      <c r="F26" s="90"/>
      <c r="G26" s="90"/>
      <c r="H26" s="90"/>
    </row>
    <row r="27" spans="1:8" x14ac:dyDescent="0.45">
      <c r="A27" s="7" t="s">
        <v>285</v>
      </c>
      <c r="B27" s="90">
        <v>73.75</v>
      </c>
      <c r="C27" s="90">
        <v>0</v>
      </c>
      <c r="D27" s="90">
        <v>0</v>
      </c>
      <c r="E27" s="90">
        <v>0</v>
      </c>
      <c r="F27" s="90"/>
      <c r="G27" s="90"/>
      <c r="H27" s="90"/>
    </row>
    <row r="28" spans="1:8" x14ac:dyDescent="0.45">
      <c r="A28" s="52">
        <v>46096</v>
      </c>
      <c r="B28" s="90">
        <v>40</v>
      </c>
      <c r="C28" s="90">
        <v>0</v>
      </c>
      <c r="D28" s="90">
        <v>0</v>
      </c>
      <c r="E28" s="90">
        <v>0</v>
      </c>
      <c r="F28" s="90"/>
      <c r="G28" s="90"/>
      <c r="H28" s="90"/>
    </row>
    <row r="29" spans="1:8" x14ac:dyDescent="0.45">
      <c r="A29" s="52">
        <v>46089</v>
      </c>
      <c r="B29" s="90">
        <v>40</v>
      </c>
      <c r="C29" s="90">
        <v>4</v>
      </c>
      <c r="D29" s="90">
        <v>0</v>
      </c>
      <c r="E29" s="90">
        <v>0</v>
      </c>
      <c r="F29" s="90"/>
      <c r="G29" s="90"/>
      <c r="H29" s="90"/>
    </row>
    <row r="30" spans="1:8" x14ac:dyDescent="0.45">
      <c r="A30" s="52">
        <v>46082</v>
      </c>
      <c r="B30" s="90">
        <v>40</v>
      </c>
      <c r="C30" s="90">
        <v>0</v>
      </c>
      <c r="D30" s="90">
        <v>0</v>
      </c>
      <c r="E30" s="90">
        <v>0</v>
      </c>
      <c r="F30" s="90"/>
      <c r="G30" s="90"/>
      <c r="H30" s="90"/>
    </row>
    <row r="31" spans="1:8" x14ac:dyDescent="0.45">
      <c r="A31" s="52">
        <v>46075</v>
      </c>
      <c r="B31" s="90">
        <v>35</v>
      </c>
      <c r="C31" s="90">
        <v>0</v>
      </c>
      <c r="D31" s="90">
        <v>0</v>
      </c>
      <c r="E31" s="90">
        <v>0</v>
      </c>
      <c r="F31" s="90"/>
      <c r="G31" s="90"/>
      <c r="H31" s="90"/>
    </row>
    <row r="32" spans="1:8" x14ac:dyDescent="0.45">
      <c r="A32" s="52">
        <v>46068</v>
      </c>
      <c r="B32" s="90">
        <v>40</v>
      </c>
      <c r="C32" s="90">
        <v>0</v>
      </c>
      <c r="D32" s="90">
        <v>0</v>
      </c>
      <c r="E32" s="90">
        <v>0</v>
      </c>
      <c r="F32" s="90"/>
      <c r="G32" s="90"/>
      <c r="H32" s="90"/>
    </row>
    <row r="33" spans="1:8" x14ac:dyDescent="0.45">
      <c r="A33" s="52">
        <v>46061</v>
      </c>
      <c r="B33" s="90">
        <v>40</v>
      </c>
      <c r="C33" s="90">
        <v>0</v>
      </c>
      <c r="D33" s="90">
        <v>0</v>
      </c>
      <c r="E33" s="90">
        <v>0</v>
      </c>
      <c r="F33" s="90"/>
      <c r="G33" s="90"/>
      <c r="H33" s="90"/>
    </row>
    <row r="34" spans="1:8" x14ac:dyDescent="0.45">
      <c r="A34" s="52">
        <v>46054</v>
      </c>
      <c r="B34" s="90">
        <v>40</v>
      </c>
      <c r="C34" s="90">
        <v>0</v>
      </c>
      <c r="D34" s="90">
        <v>0</v>
      </c>
      <c r="E34" s="90">
        <v>0</v>
      </c>
      <c r="F34" s="90"/>
      <c r="G34" s="90"/>
      <c r="H34" s="90"/>
    </row>
    <row r="35" spans="1:8" x14ac:dyDescent="0.45">
      <c r="A35" s="52">
        <v>46047</v>
      </c>
      <c r="B35" s="90">
        <v>40</v>
      </c>
      <c r="C35" s="90">
        <v>0</v>
      </c>
      <c r="D35" s="90">
        <v>0</v>
      </c>
      <c r="E35" s="90">
        <v>0</v>
      </c>
      <c r="F35" s="90"/>
      <c r="G35" s="90"/>
      <c r="H35" s="90"/>
    </row>
    <row r="36" spans="1:8" x14ac:dyDescent="0.45">
      <c r="A36" s="52">
        <v>46040</v>
      </c>
      <c r="B36" s="90">
        <v>40</v>
      </c>
      <c r="C36" s="90">
        <v>0</v>
      </c>
      <c r="D36" s="90">
        <v>0</v>
      </c>
      <c r="E36" s="90">
        <v>0</v>
      </c>
      <c r="F36" s="90"/>
      <c r="G36" s="90"/>
      <c r="H36" s="90"/>
    </row>
    <row r="37" spans="1:8" x14ac:dyDescent="0.45">
      <c r="A37" s="52">
        <v>46033</v>
      </c>
      <c r="B37" s="90">
        <v>40</v>
      </c>
      <c r="C37" s="90">
        <v>12.5</v>
      </c>
      <c r="D37" s="90">
        <v>1</v>
      </c>
      <c r="E37" s="90">
        <v>0</v>
      </c>
      <c r="F37" s="90"/>
      <c r="G37" s="90"/>
      <c r="H37" s="90"/>
    </row>
    <row r="38" spans="1:8" x14ac:dyDescent="0.45">
      <c r="A38" s="52">
        <v>46026</v>
      </c>
      <c r="B38" s="90">
        <v>0</v>
      </c>
      <c r="C38" s="90">
        <v>0</v>
      </c>
      <c r="D38" s="90">
        <v>0</v>
      </c>
      <c r="E38" s="90">
        <v>0</v>
      </c>
      <c r="F38" s="90"/>
      <c r="G38" s="90"/>
      <c r="H38" s="90"/>
    </row>
    <row r="39" spans="1:8" x14ac:dyDescent="0.45">
      <c r="A39" s="52">
        <v>46019</v>
      </c>
      <c r="B39" s="90">
        <v>12</v>
      </c>
      <c r="C39" s="90">
        <v>0</v>
      </c>
      <c r="D39" s="90">
        <v>0</v>
      </c>
      <c r="E39" s="90">
        <v>0</v>
      </c>
      <c r="F39" s="90"/>
      <c r="G39" s="90"/>
      <c r="H39" s="90"/>
    </row>
    <row r="40" spans="1:8" x14ac:dyDescent="0.45">
      <c r="A40" s="52">
        <v>46012</v>
      </c>
      <c r="B40" s="90">
        <v>40</v>
      </c>
      <c r="C40" s="90">
        <v>17</v>
      </c>
      <c r="D40" s="90">
        <v>0</v>
      </c>
      <c r="E40" s="90">
        <v>0</v>
      </c>
      <c r="F40" s="90"/>
      <c r="G40" s="90"/>
      <c r="H40" s="90"/>
    </row>
    <row r="41" spans="1:8" x14ac:dyDescent="0.45">
      <c r="A41" s="52">
        <v>46005</v>
      </c>
      <c r="B41" s="90">
        <v>40</v>
      </c>
      <c r="C41" s="90">
        <v>20</v>
      </c>
      <c r="D41" s="90">
        <v>0</v>
      </c>
      <c r="E41" s="90">
        <v>0</v>
      </c>
      <c r="F41" s="90"/>
      <c r="G41" s="90"/>
      <c r="H41" s="90"/>
    </row>
    <row r="42" spans="1:8" x14ac:dyDescent="0.45">
      <c r="A42" s="52">
        <v>45998</v>
      </c>
      <c r="B42" s="90">
        <v>40</v>
      </c>
      <c r="C42" s="90">
        <v>17</v>
      </c>
      <c r="D42" s="90">
        <v>0</v>
      </c>
      <c r="E42" s="90">
        <v>0</v>
      </c>
      <c r="F42" s="90"/>
      <c r="G42" s="90"/>
      <c r="H42" s="90"/>
    </row>
    <row r="43" spans="1:8" x14ac:dyDescent="0.45">
      <c r="A43" s="52">
        <v>45991</v>
      </c>
      <c r="B43" s="90">
        <v>40</v>
      </c>
      <c r="C43" s="90">
        <v>29.5</v>
      </c>
      <c r="D43" s="90">
        <v>0</v>
      </c>
      <c r="E43" s="90">
        <v>0</v>
      </c>
      <c r="F43" s="90"/>
      <c r="G43" s="90"/>
      <c r="H43" s="90"/>
    </row>
    <row r="44" spans="1:8" x14ac:dyDescent="0.45">
      <c r="A44" s="52">
        <v>45984</v>
      </c>
      <c r="B44" s="90">
        <v>40</v>
      </c>
      <c r="C44" s="90">
        <v>20</v>
      </c>
      <c r="D44" s="90">
        <v>0</v>
      </c>
      <c r="E44" s="90">
        <v>0</v>
      </c>
      <c r="F44" s="90"/>
      <c r="G44" s="90"/>
      <c r="H44" s="90"/>
    </row>
    <row r="45" spans="1:8" x14ac:dyDescent="0.45">
      <c r="A45" s="52">
        <v>45977</v>
      </c>
      <c r="B45" s="90">
        <v>40</v>
      </c>
      <c r="C45" s="90">
        <v>24</v>
      </c>
      <c r="D45" s="90">
        <v>0</v>
      </c>
      <c r="E45" s="90">
        <v>0</v>
      </c>
      <c r="F45" s="90"/>
      <c r="G45" s="90"/>
      <c r="H45" s="90"/>
    </row>
    <row r="46" spans="1:8" x14ac:dyDescent="0.45">
      <c r="A46" s="52">
        <v>45970</v>
      </c>
      <c r="B46" s="90">
        <v>40</v>
      </c>
      <c r="C46" s="90">
        <v>8.25</v>
      </c>
      <c r="D46" s="90">
        <v>0</v>
      </c>
      <c r="E46" s="90">
        <v>4</v>
      </c>
      <c r="F46" s="90"/>
      <c r="G46" s="90"/>
      <c r="H46" s="90"/>
    </row>
    <row r="47" spans="1:8" x14ac:dyDescent="0.45">
      <c r="A47" s="52">
        <v>45963</v>
      </c>
      <c r="B47" s="90">
        <v>38.75</v>
      </c>
      <c r="C47" s="90">
        <v>0</v>
      </c>
      <c r="D47" s="90">
        <v>0</v>
      </c>
      <c r="E47" s="90">
        <v>4</v>
      </c>
      <c r="F47" s="90"/>
      <c r="G47" s="90"/>
      <c r="H47" s="90">
        <v>1</v>
      </c>
    </row>
    <row r="48" spans="1:8" x14ac:dyDescent="0.45">
      <c r="A48" s="4" t="s">
        <v>37</v>
      </c>
      <c r="B48" s="90"/>
      <c r="C48" s="90"/>
      <c r="D48" s="90"/>
      <c r="E48" s="90"/>
      <c r="F48" s="90"/>
      <c r="G48" s="90"/>
      <c r="H48" s="90"/>
    </row>
    <row r="49" spans="1:8" x14ac:dyDescent="0.45">
      <c r="A49" s="7" t="s">
        <v>285</v>
      </c>
      <c r="B49" s="90">
        <v>67</v>
      </c>
      <c r="C49" s="90">
        <v>0</v>
      </c>
      <c r="D49" s="90">
        <v>12</v>
      </c>
      <c r="E49" s="90">
        <v>11.5</v>
      </c>
      <c r="F49" s="90"/>
      <c r="G49" s="90">
        <v>5</v>
      </c>
      <c r="H49" s="90"/>
    </row>
    <row r="50" spans="1:8" x14ac:dyDescent="0.45">
      <c r="A50" s="52">
        <v>46096</v>
      </c>
      <c r="B50" s="90">
        <v>40</v>
      </c>
      <c r="C50" s="90">
        <v>28.5</v>
      </c>
      <c r="D50" s="90">
        <v>12</v>
      </c>
      <c r="E50" s="90">
        <v>3.5</v>
      </c>
      <c r="F50" s="90"/>
      <c r="G50" s="90">
        <v>7</v>
      </c>
      <c r="H50" s="90"/>
    </row>
    <row r="51" spans="1:8" x14ac:dyDescent="0.45">
      <c r="A51" s="52">
        <v>46089</v>
      </c>
      <c r="B51" s="90">
        <v>30.5</v>
      </c>
      <c r="C51" s="90">
        <v>0</v>
      </c>
      <c r="D51" s="90">
        <v>0</v>
      </c>
      <c r="E51" s="90">
        <v>13</v>
      </c>
      <c r="F51" s="90"/>
      <c r="G51" s="90">
        <v>4</v>
      </c>
      <c r="H51" s="90"/>
    </row>
    <row r="52" spans="1:8" x14ac:dyDescent="0.45">
      <c r="A52" s="52">
        <v>46082</v>
      </c>
      <c r="B52" s="90">
        <v>28</v>
      </c>
      <c r="C52" s="90">
        <v>9</v>
      </c>
      <c r="D52" s="90">
        <v>12</v>
      </c>
      <c r="E52" s="90">
        <v>15.5</v>
      </c>
      <c r="F52" s="90"/>
      <c r="G52" s="90">
        <v>3</v>
      </c>
      <c r="H52" s="90"/>
    </row>
    <row r="53" spans="1:8" x14ac:dyDescent="0.45">
      <c r="A53" s="52">
        <v>46075</v>
      </c>
      <c r="B53" s="90">
        <v>40</v>
      </c>
      <c r="C53" s="90">
        <v>9.25</v>
      </c>
      <c r="D53" s="90">
        <v>0</v>
      </c>
      <c r="E53" s="90">
        <v>0</v>
      </c>
      <c r="F53" s="90"/>
      <c r="G53" s="90"/>
      <c r="H53" s="90"/>
    </row>
    <row r="54" spans="1:8" x14ac:dyDescent="0.45">
      <c r="A54" s="52">
        <v>46068</v>
      </c>
      <c r="B54" s="90">
        <v>40</v>
      </c>
      <c r="C54" s="90">
        <v>17.5</v>
      </c>
      <c r="D54" s="90">
        <v>8</v>
      </c>
      <c r="E54" s="90">
        <v>4</v>
      </c>
      <c r="F54" s="90"/>
      <c r="G54" s="90">
        <v>2</v>
      </c>
      <c r="H54" s="90"/>
    </row>
    <row r="55" spans="1:8" x14ac:dyDescent="0.45">
      <c r="A55" s="52">
        <v>46061</v>
      </c>
      <c r="B55" s="90">
        <v>40</v>
      </c>
      <c r="C55" s="90">
        <v>5</v>
      </c>
      <c r="D55" s="90">
        <v>0</v>
      </c>
      <c r="E55" s="90">
        <v>0</v>
      </c>
      <c r="F55" s="90"/>
      <c r="G55" s="90"/>
      <c r="H55" s="90"/>
    </row>
    <row r="56" spans="1:8" x14ac:dyDescent="0.45">
      <c r="A56" s="52">
        <v>46054</v>
      </c>
      <c r="B56" s="90">
        <v>40</v>
      </c>
      <c r="C56" s="90">
        <v>11.75</v>
      </c>
      <c r="D56" s="90">
        <v>0</v>
      </c>
      <c r="E56" s="90">
        <v>0</v>
      </c>
      <c r="F56" s="90"/>
      <c r="G56" s="90"/>
      <c r="H56" s="90"/>
    </row>
    <row r="57" spans="1:8" x14ac:dyDescent="0.45">
      <c r="A57" s="52">
        <v>46047</v>
      </c>
      <c r="B57" s="90">
        <v>40</v>
      </c>
      <c r="C57" s="90">
        <v>9.5</v>
      </c>
      <c r="D57" s="90">
        <v>0</v>
      </c>
      <c r="E57" s="90">
        <v>8</v>
      </c>
      <c r="F57" s="90"/>
      <c r="G57" s="90">
        <v>3</v>
      </c>
      <c r="H57" s="90"/>
    </row>
    <row r="58" spans="1:8" x14ac:dyDescent="0.45">
      <c r="A58" s="52">
        <v>46040</v>
      </c>
      <c r="B58" s="90">
        <v>40</v>
      </c>
      <c r="C58" s="90">
        <v>8</v>
      </c>
      <c r="D58" s="90">
        <v>0</v>
      </c>
      <c r="E58" s="90">
        <v>8.5</v>
      </c>
      <c r="F58" s="90"/>
      <c r="G58" s="90">
        <v>5</v>
      </c>
      <c r="H58" s="90"/>
    </row>
    <row r="59" spans="1:8" x14ac:dyDescent="0.45">
      <c r="A59" s="52">
        <v>46033</v>
      </c>
      <c r="B59" s="90">
        <v>40</v>
      </c>
      <c r="C59" s="90">
        <v>20</v>
      </c>
      <c r="D59" s="90">
        <v>12</v>
      </c>
      <c r="E59" s="90">
        <v>9.25</v>
      </c>
      <c r="F59" s="90"/>
      <c r="G59" s="90">
        <v>7</v>
      </c>
      <c r="H59" s="90"/>
    </row>
    <row r="60" spans="1:8" x14ac:dyDescent="0.45">
      <c r="A60" s="52">
        <v>46026</v>
      </c>
      <c r="B60" s="90">
        <v>0</v>
      </c>
      <c r="C60" s="90">
        <v>0</v>
      </c>
      <c r="D60" s="90">
        <v>0</v>
      </c>
      <c r="E60" s="90">
        <v>0</v>
      </c>
      <c r="F60" s="90"/>
      <c r="G60" s="90"/>
      <c r="H60" s="90"/>
    </row>
    <row r="61" spans="1:8" x14ac:dyDescent="0.45">
      <c r="A61" s="52">
        <v>46019</v>
      </c>
      <c r="B61" s="90">
        <v>0</v>
      </c>
      <c r="C61" s="90">
        <v>0</v>
      </c>
      <c r="D61" s="90">
        <v>0</v>
      </c>
      <c r="E61" s="90">
        <v>0</v>
      </c>
      <c r="F61" s="90"/>
      <c r="G61" s="90"/>
      <c r="H61" s="90"/>
    </row>
    <row r="62" spans="1:8" x14ac:dyDescent="0.45">
      <c r="A62" s="52">
        <v>46012</v>
      </c>
      <c r="B62" s="90">
        <v>40</v>
      </c>
      <c r="C62" s="90">
        <v>20</v>
      </c>
      <c r="D62" s="90">
        <v>0</v>
      </c>
      <c r="E62" s="90">
        <v>11</v>
      </c>
      <c r="F62" s="90"/>
      <c r="G62" s="90">
        <v>6</v>
      </c>
      <c r="H62" s="90"/>
    </row>
    <row r="63" spans="1:8" x14ac:dyDescent="0.45">
      <c r="A63" s="52">
        <v>46005</v>
      </c>
      <c r="B63" s="90">
        <v>40</v>
      </c>
      <c r="C63" s="90">
        <v>0</v>
      </c>
      <c r="D63" s="90">
        <v>0</v>
      </c>
      <c r="E63" s="90">
        <v>13.25</v>
      </c>
      <c r="F63" s="90"/>
      <c r="G63" s="90">
        <v>2</v>
      </c>
      <c r="H63" s="90"/>
    </row>
    <row r="64" spans="1:8" x14ac:dyDescent="0.45">
      <c r="A64" s="52">
        <v>45998</v>
      </c>
      <c r="B64" s="90">
        <v>12</v>
      </c>
      <c r="C64" s="90">
        <v>0</v>
      </c>
      <c r="D64" s="90">
        <v>9.5</v>
      </c>
      <c r="E64" s="90">
        <v>3.5</v>
      </c>
      <c r="F64" s="90"/>
      <c r="G64" s="90">
        <v>3</v>
      </c>
      <c r="H64" s="90"/>
    </row>
    <row r="65" spans="1:8" x14ac:dyDescent="0.45">
      <c r="A65" s="52">
        <v>45991</v>
      </c>
      <c r="B65" s="90">
        <v>0</v>
      </c>
      <c r="C65" s="90">
        <v>0</v>
      </c>
      <c r="D65" s="90">
        <v>0</v>
      </c>
      <c r="E65" s="90">
        <v>0</v>
      </c>
      <c r="F65" s="90"/>
      <c r="G65" s="90"/>
      <c r="H65" s="90"/>
    </row>
    <row r="66" spans="1:8" x14ac:dyDescent="0.45">
      <c r="A66" s="52">
        <v>45984</v>
      </c>
      <c r="B66" s="90">
        <v>0</v>
      </c>
      <c r="C66" s="90">
        <v>0</v>
      </c>
      <c r="D66" s="90">
        <v>0</v>
      </c>
      <c r="E66" s="90">
        <v>0</v>
      </c>
      <c r="F66" s="90"/>
      <c r="G66" s="90"/>
      <c r="H66" s="90"/>
    </row>
    <row r="67" spans="1:8" x14ac:dyDescent="0.45">
      <c r="A67" s="52">
        <v>45977</v>
      </c>
      <c r="B67" s="90">
        <v>40</v>
      </c>
      <c r="C67" s="90">
        <v>12.25</v>
      </c>
      <c r="D67" s="90">
        <v>1.25</v>
      </c>
      <c r="E67" s="90">
        <v>7.75</v>
      </c>
      <c r="F67" s="90"/>
      <c r="G67" s="90">
        <v>5</v>
      </c>
      <c r="H67" s="90"/>
    </row>
    <row r="68" spans="1:8" x14ac:dyDescent="0.45">
      <c r="A68" s="52">
        <v>45970</v>
      </c>
      <c r="B68" s="90">
        <v>40</v>
      </c>
      <c r="C68" s="90">
        <v>16</v>
      </c>
      <c r="D68" s="90">
        <v>15</v>
      </c>
      <c r="E68" s="90">
        <v>15.5</v>
      </c>
      <c r="F68" s="90"/>
      <c r="G68" s="90">
        <v>7</v>
      </c>
      <c r="H68" s="90">
        <v>1</v>
      </c>
    </row>
    <row r="69" spans="1:8" x14ac:dyDescent="0.45">
      <c r="A69" s="52">
        <v>45963</v>
      </c>
      <c r="B69" s="90">
        <v>38.75</v>
      </c>
      <c r="C69" s="90">
        <v>0</v>
      </c>
      <c r="D69" s="90">
        <v>0</v>
      </c>
      <c r="E69" s="90">
        <v>4</v>
      </c>
      <c r="F69" s="90"/>
      <c r="G69" s="90"/>
      <c r="H69" s="90"/>
    </row>
    <row r="70" spans="1:8" x14ac:dyDescent="0.45">
      <c r="A70" s="4" t="s">
        <v>190</v>
      </c>
      <c r="B70" s="90"/>
      <c r="C70" s="90"/>
      <c r="D70" s="90"/>
      <c r="E70" s="90"/>
      <c r="F70" s="90"/>
      <c r="G70" s="90"/>
      <c r="H70" s="90"/>
    </row>
    <row r="71" spans="1:8" x14ac:dyDescent="0.45">
      <c r="A71" s="7" t="s">
        <v>285</v>
      </c>
      <c r="B71" s="90">
        <v>74</v>
      </c>
      <c r="C71" s="90">
        <v>5.25</v>
      </c>
      <c r="D71" s="90">
        <v>12</v>
      </c>
      <c r="E71" s="90">
        <v>29.5</v>
      </c>
      <c r="F71" s="90"/>
      <c r="G71" s="90">
        <v>3</v>
      </c>
      <c r="H71" s="90"/>
    </row>
    <row r="72" spans="1:8" x14ac:dyDescent="0.45">
      <c r="A72" s="52">
        <v>46096</v>
      </c>
      <c r="B72" s="90">
        <v>40</v>
      </c>
      <c r="C72" s="90">
        <v>7.5</v>
      </c>
      <c r="D72" s="90">
        <v>0</v>
      </c>
      <c r="E72" s="90">
        <v>7</v>
      </c>
      <c r="F72" s="90"/>
      <c r="G72" s="90">
        <v>5</v>
      </c>
      <c r="H72" s="90"/>
    </row>
    <row r="73" spans="1:8" x14ac:dyDescent="0.45">
      <c r="A73" s="52">
        <v>46089</v>
      </c>
      <c r="B73" s="90">
        <v>39</v>
      </c>
      <c r="C73" s="90">
        <v>12</v>
      </c>
      <c r="D73" s="90">
        <v>12</v>
      </c>
      <c r="E73" s="90">
        <v>5</v>
      </c>
      <c r="F73" s="90"/>
      <c r="G73" s="90">
        <v>3</v>
      </c>
      <c r="H73" s="90"/>
    </row>
    <row r="74" spans="1:8" x14ac:dyDescent="0.45">
      <c r="A74" s="52">
        <v>46082</v>
      </c>
      <c r="B74" s="90">
        <v>21</v>
      </c>
      <c r="C74" s="90">
        <v>0</v>
      </c>
      <c r="D74" s="90">
        <v>8</v>
      </c>
      <c r="E74" s="90">
        <v>4</v>
      </c>
      <c r="F74" s="90"/>
      <c r="G74" s="90"/>
      <c r="H74" s="90"/>
    </row>
    <row r="75" spans="1:8" x14ac:dyDescent="0.45">
      <c r="A75" s="52">
        <v>46075</v>
      </c>
      <c r="B75" s="90">
        <v>37.5</v>
      </c>
      <c r="C75" s="90">
        <v>4.75</v>
      </c>
      <c r="D75" s="90">
        <v>0</v>
      </c>
      <c r="E75" s="90">
        <v>0</v>
      </c>
      <c r="F75" s="90"/>
      <c r="G75" s="90"/>
      <c r="H75" s="90"/>
    </row>
    <row r="76" spans="1:8" x14ac:dyDescent="0.45">
      <c r="A76" s="52">
        <v>46068</v>
      </c>
      <c r="B76" s="90">
        <v>40</v>
      </c>
      <c r="C76" s="90">
        <v>11</v>
      </c>
      <c r="D76" s="90">
        <v>8</v>
      </c>
      <c r="E76" s="90">
        <v>0</v>
      </c>
      <c r="F76" s="90"/>
      <c r="G76" s="90"/>
      <c r="H76" s="90"/>
    </row>
    <row r="77" spans="1:8" x14ac:dyDescent="0.45">
      <c r="A77" s="52">
        <v>46061</v>
      </c>
      <c r="B77" s="90">
        <v>40</v>
      </c>
      <c r="C77" s="90">
        <v>9.25</v>
      </c>
      <c r="D77" s="90">
        <v>0</v>
      </c>
      <c r="E77" s="90">
        <v>8.5</v>
      </c>
      <c r="F77" s="90"/>
      <c r="G77" s="90">
        <v>6</v>
      </c>
      <c r="H77" s="90"/>
    </row>
    <row r="78" spans="1:8" x14ac:dyDescent="0.45">
      <c r="A78" s="52">
        <v>46054</v>
      </c>
      <c r="B78" s="90">
        <v>40</v>
      </c>
      <c r="C78" s="90">
        <v>2</v>
      </c>
      <c r="D78" s="90">
        <v>0</v>
      </c>
      <c r="E78" s="90">
        <v>0</v>
      </c>
      <c r="F78" s="90"/>
      <c r="G78" s="90"/>
      <c r="H78" s="90">
        <v>2</v>
      </c>
    </row>
    <row r="79" spans="1:8" x14ac:dyDescent="0.45">
      <c r="A79" s="52">
        <v>46047</v>
      </c>
      <c r="B79" s="90">
        <v>40</v>
      </c>
      <c r="C79" s="90">
        <v>1.75</v>
      </c>
      <c r="D79" s="90">
        <v>0</v>
      </c>
      <c r="E79" s="90">
        <v>0</v>
      </c>
      <c r="F79" s="90"/>
      <c r="G79" s="90"/>
      <c r="H79" s="90">
        <v>1</v>
      </c>
    </row>
    <row r="80" spans="1:8" x14ac:dyDescent="0.45">
      <c r="A80" s="52">
        <v>46040</v>
      </c>
      <c r="B80" s="90">
        <v>40</v>
      </c>
      <c r="C80" s="90">
        <v>7.75</v>
      </c>
      <c r="D80" s="90">
        <v>0</v>
      </c>
      <c r="E80" s="90">
        <v>0</v>
      </c>
      <c r="F80" s="90"/>
      <c r="G80" s="90"/>
      <c r="H80" s="90">
        <v>1</v>
      </c>
    </row>
    <row r="81" spans="1:8" x14ac:dyDescent="0.45">
      <c r="A81" s="52">
        <v>46033</v>
      </c>
      <c r="B81" s="90">
        <v>40</v>
      </c>
      <c r="C81" s="90">
        <v>27.25</v>
      </c>
      <c r="D81" s="90">
        <v>0</v>
      </c>
      <c r="E81" s="90">
        <v>0</v>
      </c>
      <c r="F81" s="90"/>
      <c r="G81" s="90"/>
      <c r="H81" s="90">
        <v>1</v>
      </c>
    </row>
    <row r="82" spans="1:8" x14ac:dyDescent="0.45">
      <c r="A82" s="52">
        <v>46026</v>
      </c>
      <c r="B82" s="90">
        <v>0</v>
      </c>
      <c r="C82" s="90">
        <v>0</v>
      </c>
      <c r="D82" s="90">
        <v>0</v>
      </c>
      <c r="E82" s="90">
        <v>0</v>
      </c>
      <c r="F82" s="90"/>
      <c r="G82" s="90"/>
      <c r="H82" s="90"/>
    </row>
    <row r="83" spans="1:8" x14ac:dyDescent="0.45">
      <c r="A83" s="52">
        <v>46019</v>
      </c>
      <c r="B83" s="90">
        <v>23.5</v>
      </c>
      <c r="C83" s="90">
        <v>0</v>
      </c>
      <c r="D83" s="90">
        <v>0</v>
      </c>
      <c r="E83" s="90">
        <v>0</v>
      </c>
      <c r="F83" s="90"/>
      <c r="G83" s="90"/>
      <c r="H83" s="90"/>
    </row>
    <row r="84" spans="1:8" x14ac:dyDescent="0.45">
      <c r="A84" s="52">
        <v>46012</v>
      </c>
      <c r="B84" s="90">
        <v>40</v>
      </c>
      <c r="C84" s="90">
        <v>6.5</v>
      </c>
      <c r="D84" s="90">
        <v>0</v>
      </c>
      <c r="E84" s="90">
        <v>8</v>
      </c>
      <c r="F84" s="90"/>
      <c r="G84" s="90">
        <v>4</v>
      </c>
      <c r="H84" s="90"/>
    </row>
    <row r="85" spans="1:8" x14ac:dyDescent="0.45">
      <c r="A85" s="52">
        <v>46005</v>
      </c>
      <c r="B85" s="90">
        <v>40</v>
      </c>
      <c r="C85" s="90">
        <v>8</v>
      </c>
      <c r="D85" s="90">
        <v>0</v>
      </c>
      <c r="E85" s="90">
        <v>0</v>
      </c>
      <c r="F85" s="90"/>
      <c r="G85" s="90"/>
      <c r="H85" s="90">
        <v>2</v>
      </c>
    </row>
    <row r="86" spans="1:8" x14ac:dyDescent="0.45">
      <c r="A86" s="52">
        <v>45998</v>
      </c>
      <c r="B86" s="90">
        <v>40</v>
      </c>
      <c r="C86" s="90">
        <v>5.5</v>
      </c>
      <c r="D86" s="90">
        <v>0</v>
      </c>
      <c r="E86" s="90">
        <v>0</v>
      </c>
      <c r="F86" s="90"/>
      <c r="G86" s="90"/>
      <c r="H86" s="90">
        <v>1</v>
      </c>
    </row>
    <row r="87" spans="1:8" x14ac:dyDescent="0.45">
      <c r="A87" s="52">
        <v>45991</v>
      </c>
      <c r="B87" s="90">
        <v>40</v>
      </c>
      <c r="C87" s="90">
        <v>4</v>
      </c>
      <c r="D87" s="90">
        <v>0</v>
      </c>
      <c r="E87" s="90">
        <v>0</v>
      </c>
      <c r="F87" s="90"/>
      <c r="G87" s="90"/>
      <c r="H87" s="90"/>
    </row>
    <row r="88" spans="1:8" x14ac:dyDescent="0.45">
      <c r="A88" s="52">
        <v>45984</v>
      </c>
      <c r="B88" s="90">
        <v>40</v>
      </c>
      <c r="C88" s="90">
        <v>3.5</v>
      </c>
      <c r="D88" s="90">
        <v>0</v>
      </c>
      <c r="E88" s="90">
        <v>7.5</v>
      </c>
      <c r="F88" s="90"/>
      <c r="G88" s="90"/>
      <c r="H88" s="90"/>
    </row>
    <row r="89" spans="1:8" x14ac:dyDescent="0.45">
      <c r="A89" s="52">
        <v>45977</v>
      </c>
      <c r="B89" s="90">
        <v>40</v>
      </c>
      <c r="C89" s="90">
        <v>9.5</v>
      </c>
      <c r="D89" s="90">
        <v>0</v>
      </c>
      <c r="E89" s="90">
        <v>0</v>
      </c>
      <c r="F89" s="90"/>
      <c r="G89" s="90"/>
      <c r="H89" s="90">
        <v>1</v>
      </c>
    </row>
    <row r="90" spans="1:8" x14ac:dyDescent="0.45">
      <c r="A90" s="52">
        <v>45970</v>
      </c>
      <c r="B90" s="90">
        <v>40</v>
      </c>
      <c r="C90" s="90">
        <v>8.25</v>
      </c>
      <c r="D90" s="90">
        <v>0</v>
      </c>
      <c r="E90" s="90">
        <v>0</v>
      </c>
      <c r="F90" s="90"/>
      <c r="G90" s="90"/>
      <c r="H90" s="90"/>
    </row>
    <row r="91" spans="1:8" x14ac:dyDescent="0.45">
      <c r="A91" s="52">
        <v>45963</v>
      </c>
      <c r="B91" s="90">
        <v>40</v>
      </c>
      <c r="C91" s="90">
        <v>5.75</v>
      </c>
      <c r="D91" s="90">
        <v>0</v>
      </c>
      <c r="E91" s="90">
        <v>0</v>
      </c>
      <c r="F91" s="90"/>
      <c r="G91" s="90"/>
      <c r="H91" s="90">
        <v>1</v>
      </c>
    </row>
    <row r="92" spans="1:8" x14ac:dyDescent="0.45">
      <c r="A92" s="4" t="s">
        <v>94</v>
      </c>
      <c r="B92" s="90"/>
      <c r="C92" s="90"/>
      <c r="D92" s="90"/>
      <c r="E92" s="90"/>
      <c r="F92" s="90"/>
      <c r="G92" s="90"/>
      <c r="H92" s="90"/>
    </row>
    <row r="93" spans="1:8" x14ac:dyDescent="0.45">
      <c r="A93" s="7" t="s">
        <v>285</v>
      </c>
      <c r="B93" s="90">
        <v>77.5</v>
      </c>
      <c r="C93" s="90">
        <v>6.5</v>
      </c>
      <c r="D93" s="90">
        <v>0</v>
      </c>
      <c r="E93" s="90">
        <v>11.5</v>
      </c>
      <c r="F93" s="90"/>
      <c r="G93" s="90">
        <v>3</v>
      </c>
      <c r="H93" s="90"/>
    </row>
    <row r="94" spans="1:8" x14ac:dyDescent="0.45">
      <c r="A94" s="52">
        <v>46096</v>
      </c>
      <c r="B94" s="90">
        <v>40</v>
      </c>
      <c r="C94" s="90">
        <v>20.5</v>
      </c>
      <c r="D94" s="90">
        <v>12</v>
      </c>
      <c r="E94" s="90">
        <v>3.5</v>
      </c>
      <c r="F94" s="90"/>
      <c r="G94" s="90">
        <v>5</v>
      </c>
      <c r="H94" s="90"/>
    </row>
    <row r="95" spans="1:8" x14ac:dyDescent="0.45">
      <c r="A95" s="52">
        <v>46089</v>
      </c>
      <c r="B95" s="90">
        <v>40</v>
      </c>
      <c r="C95" s="90">
        <v>3</v>
      </c>
      <c r="D95" s="90">
        <v>0</v>
      </c>
      <c r="E95" s="90">
        <v>0</v>
      </c>
      <c r="F95" s="90"/>
      <c r="G95" s="90"/>
      <c r="H95" s="90"/>
    </row>
    <row r="96" spans="1:8" x14ac:dyDescent="0.45">
      <c r="A96" s="52">
        <v>46082</v>
      </c>
      <c r="B96" s="90">
        <v>40</v>
      </c>
      <c r="C96" s="90">
        <v>2.5</v>
      </c>
      <c r="D96" s="90">
        <v>0</v>
      </c>
      <c r="E96" s="90">
        <v>0</v>
      </c>
      <c r="F96" s="90"/>
      <c r="G96" s="90"/>
      <c r="H96" s="90"/>
    </row>
    <row r="97" spans="1:8" x14ac:dyDescent="0.45">
      <c r="A97" s="52">
        <v>46075</v>
      </c>
      <c r="B97" s="90">
        <v>40</v>
      </c>
      <c r="C97" s="90">
        <v>10.5</v>
      </c>
      <c r="D97" s="90">
        <v>0</v>
      </c>
      <c r="E97" s="90">
        <v>0</v>
      </c>
      <c r="F97" s="90"/>
      <c r="G97" s="90"/>
      <c r="H97" s="90"/>
    </row>
    <row r="98" spans="1:8" x14ac:dyDescent="0.45">
      <c r="A98" s="52">
        <v>46068</v>
      </c>
      <c r="B98" s="90">
        <v>40</v>
      </c>
      <c r="C98" s="90">
        <v>8.25</v>
      </c>
      <c r="D98" s="90">
        <v>8</v>
      </c>
      <c r="E98" s="90">
        <v>0</v>
      </c>
      <c r="F98" s="90"/>
      <c r="G98" s="90"/>
      <c r="H98" s="90"/>
    </row>
    <row r="99" spans="1:8" x14ac:dyDescent="0.45">
      <c r="A99" s="52">
        <v>46061</v>
      </c>
      <c r="B99" s="90">
        <v>40</v>
      </c>
      <c r="C99" s="90">
        <v>6.5</v>
      </c>
      <c r="D99" s="90">
        <v>0</v>
      </c>
      <c r="E99" s="90">
        <v>0</v>
      </c>
      <c r="F99" s="90"/>
      <c r="G99" s="90"/>
      <c r="H99" s="90">
        <v>2</v>
      </c>
    </row>
    <row r="100" spans="1:8" x14ac:dyDescent="0.45">
      <c r="A100" s="52">
        <v>46054</v>
      </c>
      <c r="B100" s="90">
        <v>40</v>
      </c>
      <c r="C100" s="90">
        <v>6</v>
      </c>
      <c r="D100" s="90">
        <v>0</v>
      </c>
      <c r="E100" s="90">
        <v>11.75</v>
      </c>
      <c r="F100" s="90"/>
      <c r="G100" s="90">
        <v>4</v>
      </c>
      <c r="H100" s="90"/>
    </row>
    <row r="101" spans="1:8" x14ac:dyDescent="0.45">
      <c r="A101" s="52">
        <v>46047</v>
      </c>
      <c r="B101" s="90">
        <v>48</v>
      </c>
      <c r="C101" s="90">
        <v>20</v>
      </c>
      <c r="D101" s="90">
        <v>0</v>
      </c>
      <c r="E101" s="90">
        <v>11</v>
      </c>
      <c r="F101" s="90"/>
      <c r="G101" s="90">
        <v>7</v>
      </c>
      <c r="H101" s="90"/>
    </row>
    <row r="102" spans="1:8" x14ac:dyDescent="0.45">
      <c r="A102" s="52">
        <v>46040</v>
      </c>
      <c r="B102" s="90">
        <v>40</v>
      </c>
      <c r="C102" s="90">
        <v>8</v>
      </c>
      <c r="D102" s="90">
        <v>0</v>
      </c>
      <c r="E102" s="90">
        <v>12</v>
      </c>
      <c r="F102" s="90"/>
      <c r="G102" s="90">
        <v>5</v>
      </c>
      <c r="H102" s="90"/>
    </row>
    <row r="103" spans="1:8" x14ac:dyDescent="0.45">
      <c r="A103" s="52">
        <v>46033</v>
      </c>
      <c r="B103" s="90">
        <v>40</v>
      </c>
      <c r="C103" s="90">
        <v>32</v>
      </c>
      <c r="D103" s="90">
        <v>8</v>
      </c>
      <c r="E103" s="90">
        <v>0</v>
      </c>
      <c r="F103" s="90"/>
      <c r="G103" s="90">
        <v>7</v>
      </c>
      <c r="H103" s="90"/>
    </row>
    <row r="104" spans="1:8" x14ac:dyDescent="0.45">
      <c r="A104" s="52">
        <v>46026</v>
      </c>
      <c r="B104" s="90">
        <v>0</v>
      </c>
      <c r="C104" s="90">
        <v>0</v>
      </c>
      <c r="D104" s="90">
        <v>13.25</v>
      </c>
      <c r="E104" s="90">
        <v>0</v>
      </c>
      <c r="F104" s="90"/>
      <c r="G104" s="90">
        <v>1</v>
      </c>
      <c r="H104" s="90"/>
    </row>
    <row r="105" spans="1:8" x14ac:dyDescent="0.45">
      <c r="A105" s="52">
        <v>46019</v>
      </c>
      <c r="B105" s="90">
        <v>0</v>
      </c>
      <c r="C105" s="90">
        <v>0</v>
      </c>
      <c r="D105" s="90">
        <v>0</v>
      </c>
      <c r="E105" s="90">
        <v>0</v>
      </c>
      <c r="F105" s="90"/>
      <c r="G105" s="90"/>
      <c r="H105" s="90"/>
    </row>
    <row r="106" spans="1:8" x14ac:dyDescent="0.45">
      <c r="A106" s="52">
        <v>46012</v>
      </c>
      <c r="B106" s="90">
        <v>40</v>
      </c>
      <c r="C106" s="90">
        <v>20</v>
      </c>
      <c r="D106" s="90">
        <v>0.5</v>
      </c>
      <c r="E106" s="90">
        <v>0</v>
      </c>
      <c r="F106" s="90"/>
      <c r="G106" s="90">
        <v>5</v>
      </c>
      <c r="H106" s="90"/>
    </row>
    <row r="107" spans="1:8" x14ac:dyDescent="0.45">
      <c r="A107" s="52">
        <v>46005</v>
      </c>
      <c r="B107" s="90">
        <v>40</v>
      </c>
      <c r="C107" s="90">
        <v>18.25</v>
      </c>
      <c r="D107" s="90">
        <v>12</v>
      </c>
      <c r="E107" s="90">
        <v>12</v>
      </c>
      <c r="F107" s="90"/>
      <c r="G107" s="90">
        <v>7</v>
      </c>
      <c r="H107" s="90"/>
    </row>
    <row r="108" spans="1:8" x14ac:dyDescent="0.45">
      <c r="A108" s="52">
        <v>45998</v>
      </c>
      <c r="B108" s="90">
        <v>40</v>
      </c>
      <c r="C108" s="90">
        <v>7.5</v>
      </c>
      <c r="D108" s="90">
        <v>0.5</v>
      </c>
      <c r="E108" s="90">
        <v>12.5</v>
      </c>
      <c r="F108" s="90"/>
      <c r="G108" s="90">
        <v>5</v>
      </c>
      <c r="H108" s="90"/>
    </row>
    <row r="109" spans="1:8" x14ac:dyDescent="0.45">
      <c r="A109" s="52">
        <v>45991</v>
      </c>
      <c r="B109" s="90">
        <v>40</v>
      </c>
      <c r="C109" s="90">
        <v>7.75</v>
      </c>
      <c r="D109" s="90">
        <v>12</v>
      </c>
      <c r="E109" s="90">
        <v>12</v>
      </c>
      <c r="F109" s="90"/>
      <c r="G109" s="90">
        <v>4</v>
      </c>
      <c r="H109" s="90">
        <v>1</v>
      </c>
    </row>
    <row r="110" spans="1:8" x14ac:dyDescent="0.45">
      <c r="A110" s="52">
        <v>45984</v>
      </c>
      <c r="B110" s="90">
        <v>40</v>
      </c>
      <c r="C110" s="90">
        <v>10</v>
      </c>
      <c r="D110" s="90">
        <v>0</v>
      </c>
      <c r="E110" s="90">
        <v>10</v>
      </c>
      <c r="F110" s="90"/>
      <c r="G110" s="90"/>
      <c r="H110" s="90"/>
    </row>
    <row r="111" spans="1:8" x14ac:dyDescent="0.45">
      <c r="A111" s="52">
        <v>45977</v>
      </c>
      <c r="B111" s="90">
        <v>40</v>
      </c>
      <c r="C111" s="90">
        <v>12</v>
      </c>
      <c r="D111" s="90">
        <v>0</v>
      </c>
      <c r="E111" s="90">
        <v>8</v>
      </c>
      <c r="F111" s="90"/>
      <c r="G111" s="90"/>
      <c r="H111" s="90"/>
    </row>
    <row r="112" spans="1:8" x14ac:dyDescent="0.45">
      <c r="A112" s="52">
        <v>45970</v>
      </c>
      <c r="B112" s="90">
        <v>40</v>
      </c>
      <c r="C112" s="90">
        <v>10</v>
      </c>
      <c r="D112" s="90">
        <v>0</v>
      </c>
      <c r="E112" s="90">
        <v>0</v>
      </c>
      <c r="F112" s="90"/>
      <c r="G112" s="90"/>
      <c r="H112" s="90">
        <v>1</v>
      </c>
    </row>
    <row r="113" spans="1:13" x14ac:dyDescent="0.45">
      <c r="A113" s="52">
        <v>45963</v>
      </c>
      <c r="B113" s="90">
        <v>40</v>
      </c>
      <c r="C113" s="90">
        <v>15.25</v>
      </c>
      <c r="D113" s="90">
        <v>0</v>
      </c>
      <c r="E113" s="90">
        <v>0</v>
      </c>
      <c r="F113" s="90"/>
      <c r="G113" s="90"/>
      <c r="H113" s="90"/>
    </row>
    <row r="114" spans="1:13" x14ac:dyDescent="0.45">
      <c r="A114" s="4" t="s">
        <v>189</v>
      </c>
      <c r="B114" s="90"/>
      <c r="C114" s="90"/>
      <c r="D114" s="90"/>
      <c r="E114" s="90"/>
      <c r="F114" s="90"/>
      <c r="G114" s="90"/>
      <c r="H114" s="90"/>
    </row>
    <row r="115" spans="1:13" x14ac:dyDescent="0.45">
      <c r="A115" s="7" t="s">
        <v>285</v>
      </c>
      <c r="B115" s="90">
        <v>74</v>
      </c>
      <c r="C115" s="90">
        <v>17.5</v>
      </c>
      <c r="D115" s="90">
        <v>1.5</v>
      </c>
      <c r="E115" s="90">
        <v>2.5</v>
      </c>
      <c r="F115" s="90"/>
      <c r="G115" s="90">
        <v>5</v>
      </c>
      <c r="H115" s="90"/>
    </row>
    <row r="116" spans="1:13" x14ac:dyDescent="0.45">
      <c r="A116" s="52">
        <v>46096</v>
      </c>
      <c r="B116" s="90">
        <v>40</v>
      </c>
      <c r="C116" s="90">
        <v>4.5</v>
      </c>
      <c r="D116" s="90">
        <v>7.5</v>
      </c>
      <c r="E116" s="90">
        <v>3</v>
      </c>
      <c r="F116" s="90"/>
      <c r="G116" s="90">
        <v>3</v>
      </c>
      <c r="H116" s="90"/>
    </row>
    <row r="117" spans="1:13" x14ac:dyDescent="0.45">
      <c r="A117" s="52">
        <v>46089</v>
      </c>
      <c r="B117" s="90">
        <v>40</v>
      </c>
      <c r="C117" s="90">
        <v>4</v>
      </c>
      <c r="D117" s="90">
        <v>0</v>
      </c>
      <c r="E117" s="90">
        <v>0</v>
      </c>
      <c r="F117" s="90"/>
      <c r="G117" s="90"/>
      <c r="H117" s="90"/>
    </row>
    <row r="118" spans="1:13" x14ac:dyDescent="0.45">
      <c r="A118" s="52">
        <v>46082</v>
      </c>
      <c r="B118" s="90">
        <v>40</v>
      </c>
      <c r="C118" s="90">
        <v>9</v>
      </c>
      <c r="D118" s="90">
        <v>0</v>
      </c>
      <c r="E118" s="90">
        <v>0</v>
      </c>
      <c r="F118" s="90"/>
      <c r="G118" s="90"/>
      <c r="H118" s="90"/>
    </row>
    <row r="119" spans="1:13" x14ac:dyDescent="0.45">
      <c r="A119" s="52">
        <v>46075</v>
      </c>
      <c r="B119" s="90">
        <v>40</v>
      </c>
      <c r="C119" s="90">
        <v>13.75</v>
      </c>
      <c r="D119" s="90">
        <v>0</v>
      </c>
      <c r="E119" s="90">
        <v>0</v>
      </c>
      <c r="F119" s="90"/>
      <c r="G119" s="90"/>
      <c r="H119" s="90"/>
    </row>
    <row r="120" spans="1:13" x14ac:dyDescent="0.45">
      <c r="A120" s="52">
        <v>46068</v>
      </c>
      <c r="B120" s="90">
        <v>40</v>
      </c>
      <c r="C120" s="90">
        <v>18</v>
      </c>
      <c r="D120" s="90">
        <v>8</v>
      </c>
      <c r="E120" s="90">
        <v>0</v>
      </c>
      <c r="F120" s="90"/>
      <c r="G120" s="90"/>
      <c r="H120" s="90"/>
    </row>
    <row r="121" spans="1:13" x14ac:dyDescent="0.45">
      <c r="A121" s="52">
        <v>46061</v>
      </c>
      <c r="B121" s="90">
        <v>40</v>
      </c>
      <c r="C121" s="90">
        <v>4.75</v>
      </c>
      <c r="D121" s="90">
        <v>0</v>
      </c>
      <c r="E121" s="90">
        <v>0</v>
      </c>
      <c r="F121" s="90"/>
      <c r="G121" s="90"/>
      <c r="H121" s="90"/>
    </row>
    <row r="122" spans="1:13" x14ac:dyDescent="0.45">
      <c r="A122" s="52">
        <v>46054</v>
      </c>
      <c r="B122" s="90">
        <v>40</v>
      </c>
      <c r="C122" s="90">
        <v>10.5</v>
      </c>
      <c r="D122" s="90">
        <v>0</v>
      </c>
      <c r="E122" s="90">
        <v>0</v>
      </c>
      <c r="F122" s="90"/>
      <c r="G122" s="90"/>
      <c r="H122" s="90">
        <v>1</v>
      </c>
    </row>
    <row r="123" spans="1:13" x14ac:dyDescent="0.45">
      <c r="A123" s="52">
        <v>46047</v>
      </c>
      <c r="B123" s="90">
        <v>40</v>
      </c>
      <c r="C123" s="90">
        <v>9.75</v>
      </c>
      <c r="D123" s="90">
        <v>0</v>
      </c>
      <c r="E123" s="90">
        <v>0</v>
      </c>
      <c r="F123" s="90"/>
      <c r="G123" s="90"/>
      <c r="H123" s="90">
        <v>1</v>
      </c>
    </row>
    <row r="124" spans="1:13" x14ac:dyDescent="0.45">
      <c r="A124" s="52">
        <v>46040</v>
      </c>
      <c r="B124" s="90">
        <v>40</v>
      </c>
      <c r="C124" s="90">
        <v>8</v>
      </c>
      <c r="D124" s="90">
        <v>0</v>
      </c>
      <c r="E124" s="90">
        <v>8.5</v>
      </c>
      <c r="F124" s="90"/>
      <c r="G124" s="90">
        <v>5</v>
      </c>
      <c r="H124" s="90"/>
    </row>
    <row r="125" spans="1:13" x14ac:dyDescent="0.45">
      <c r="A125" s="52">
        <v>46033</v>
      </c>
      <c r="B125" s="90">
        <v>40</v>
      </c>
      <c r="C125" s="90">
        <v>20</v>
      </c>
      <c r="D125" s="90">
        <v>12</v>
      </c>
      <c r="E125" s="90">
        <v>9.25</v>
      </c>
      <c r="F125" s="90"/>
      <c r="G125" s="90">
        <v>7</v>
      </c>
      <c r="H125" s="90"/>
    </row>
    <row r="126" spans="1:13" x14ac:dyDescent="0.45">
      <c r="A126" s="52">
        <v>46026</v>
      </c>
      <c r="B126" s="90">
        <v>0</v>
      </c>
      <c r="C126" s="90">
        <v>0</v>
      </c>
      <c r="D126" s="90">
        <v>0</v>
      </c>
      <c r="E126" s="90">
        <v>0</v>
      </c>
      <c r="F126" s="90"/>
      <c r="G126" s="90"/>
      <c r="H126" s="90"/>
      <c r="K126" s="17">
        <v>175</v>
      </c>
      <c r="L126" s="17">
        <v>43</v>
      </c>
      <c r="M126" s="17">
        <v>24</v>
      </c>
    </row>
    <row r="127" spans="1:13" x14ac:dyDescent="0.45">
      <c r="A127" s="52">
        <v>46019</v>
      </c>
      <c r="B127" s="90">
        <v>11.5</v>
      </c>
      <c r="C127" s="90">
        <v>0</v>
      </c>
      <c r="D127" s="90">
        <v>0</v>
      </c>
      <c r="E127" s="90">
        <v>0</v>
      </c>
      <c r="F127" s="90"/>
      <c r="G127" s="90"/>
      <c r="H127" s="90"/>
      <c r="K127" s="17">
        <f>SUM(B126:B129,E126:E129)</f>
        <v>98</v>
      </c>
      <c r="L127" s="17">
        <f>SUM(C126:C129)</f>
        <v>2.5</v>
      </c>
      <c r="M127" s="17">
        <f>SUM(D126:D129)</f>
        <v>0</v>
      </c>
    </row>
    <row r="128" spans="1:13" x14ac:dyDescent="0.45">
      <c r="A128" s="52">
        <v>46012</v>
      </c>
      <c r="B128" s="90">
        <v>32.5</v>
      </c>
      <c r="C128" s="90">
        <v>0</v>
      </c>
      <c r="D128" s="90">
        <v>0</v>
      </c>
      <c r="E128" s="90">
        <v>14</v>
      </c>
      <c r="F128" s="90"/>
      <c r="G128" s="90">
        <v>3</v>
      </c>
      <c r="H128" s="90">
        <v>1</v>
      </c>
      <c r="K128" s="17">
        <v>57</v>
      </c>
      <c r="L128" s="17">
        <v>74.099999999999994</v>
      </c>
      <c r="M128" s="17">
        <v>96.9</v>
      </c>
    </row>
    <row r="129" spans="1:16" x14ac:dyDescent="0.45">
      <c r="A129" s="52">
        <v>46005</v>
      </c>
      <c r="B129" s="90">
        <v>40</v>
      </c>
      <c r="C129" s="90">
        <v>2.5</v>
      </c>
      <c r="D129" s="90">
        <v>0</v>
      </c>
      <c r="E129" s="90">
        <v>0</v>
      </c>
      <c r="F129" s="90"/>
      <c r="G129" s="90"/>
      <c r="H129" s="90"/>
      <c r="K129" s="17">
        <f>K126*K128</f>
        <v>9975</v>
      </c>
      <c r="L129" s="17">
        <f>L126*L128</f>
        <v>3186.2999999999997</v>
      </c>
      <c r="M129" s="17">
        <f>M126*M128</f>
        <v>2325.6000000000004</v>
      </c>
      <c r="N129" s="17">
        <f>SUM(K129:M129)</f>
        <v>15486.9</v>
      </c>
    </row>
    <row r="130" spans="1:16" x14ac:dyDescent="0.45">
      <c r="A130" s="52">
        <v>45998</v>
      </c>
      <c r="B130" s="90">
        <v>37.25</v>
      </c>
      <c r="C130" s="90">
        <v>0</v>
      </c>
      <c r="D130" s="90">
        <v>0</v>
      </c>
      <c r="E130" s="90">
        <v>4</v>
      </c>
      <c r="F130" s="90"/>
      <c r="G130" s="90">
        <v>2</v>
      </c>
      <c r="H130" s="90">
        <v>1</v>
      </c>
      <c r="K130" s="17">
        <f>K127*K128</f>
        <v>5586</v>
      </c>
      <c r="L130" s="17">
        <f>L127*L128</f>
        <v>185.25</v>
      </c>
      <c r="M130" s="17">
        <f>M127*M128</f>
        <v>0</v>
      </c>
      <c r="N130" s="17">
        <f>SUM(K130:M130)</f>
        <v>5771.25</v>
      </c>
    </row>
    <row r="131" spans="1:16" x14ac:dyDescent="0.45">
      <c r="A131" s="52">
        <v>45991</v>
      </c>
      <c r="B131" s="90">
        <v>40</v>
      </c>
      <c r="C131" s="90">
        <v>28.5</v>
      </c>
      <c r="D131" s="90">
        <v>11.5</v>
      </c>
      <c r="E131" s="90">
        <v>0</v>
      </c>
      <c r="F131" s="90"/>
      <c r="G131" s="90">
        <v>7</v>
      </c>
      <c r="H131" s="90"/>
      <c r="N131" s="17">
        <f>N129-N130</f>
        <v>9715.65</v>
      </c>
    </row>
    <row r="132" spans="1:16" x14ac:dyDescent="0.45">
      <c r="A132" s="52">
        <v>45984</v>
      </c>
      <c r="B132" s="90">
        <v>40</v>
      </c>
      <c r="C132" s="90">
        <v>3.25</v>
      </c>
      <c r="D132" s="90">
        <v>11</v>
      </c>
      <c r="E132" s="90">
        <v>5.5</v>
      </c>
      <c r="F132" s="90"/>
      <c r="G132" s="90">
        <v>3</v>
      </c>
      <c r="H132" s="90"/>
      <c r="P132"/>
    </row>
    <row r="133" spans="1:16" x14ac:dyDescent="0.45">
      <c r="A133" s="52">
        <v>45977</v>
      </c>
      <c r="B133" s="90">
        <v>40</v>
      </c>
      <c r="C133" s="90">
        <v>7.75</v>
      </c>
      <c r="D133" s="90">
        <v>0</v>
      </c>
      <c r="E133" s="90">
        <v>0</v>
      </c>
      <c r="F133" s="90"/>
      <c r="G133" s="90"/>
      <c r="H133" s="90"/>
      <c r="O133" s="17">
        <v>15326.48</v>
      </c>
      <c r="P133"/>
    </row>
    <row r="134" spans="1:16" x14ac:dyDescent="0.45">
      <c r="A134" s="52">
        <v>45970</v>
      </c>
      <c r="B134" s="90">
        <v>40</v>
      </c>
      <c r="C134" s="90">
        <v>15</v>
      </c>
      <c r="D134" s="90">
        <v>0</v>
      </c>
      <c r="E134" s="90">
        <v>0</v>
      </c>
      <c r="F134" s="90"/>
      <c r="G134" s="90"/>
      <c r="H134" s="90"/>
      <c r="O134" s="17">
        <v>9070.7900000000009</v>
      </c>
    </row>
    <row r="135" spans="1:16" x14ac:dyDescent="0.45">
      <c r="A135" s="52">
        <v>45963</v>
      </c>
      <c r="B135" s="90">
        <v>40</v>
      </c>
      <c r="C135" s="90">
        <v>19.25</v>
      </c>
      <c r="D135" s="90">
        <v>0</v>
      </c>
      <c r="E135" s="90">
        <v>0</v>
      </c>
      <c r="F135" s="90"/>
      <c r="G135" s="90"/>
      <c r="H135" s="90"/>
      <c r="O135" s="17">
        <v>8766.2199999999993</v>
      </c>
    </row>
    <row r="136" spans="1:16" x14ac:dyDescent="0.45">
      <c r="A136" s="4" t="s">
        <v>3</v>
      </c>
      <c r="B136" s="90"/>
      <c r="C136" s="90"/>
      <c r="D136" s="90"/>
      <c r="E136" s="90"/>
      <c r="F136" s="90"/>
      <c r="G136" s="90"/>
      <c r="H136" s="90"/>
      <c r="O136">
        <v>4845.37</v>
      </c>
    </row>
    <row r="137" spans="1:16" x14ac:dyDescent="0.45">
      <c r="A137" s="7" t="s">
        <v>285</v>
      </c>
      <c r="B137" s="90">
        <v>80</v>
      </c>
      <c r="C137" s="90">
        <v>0</v>
      </c>
      <c r="D137" s="90">
        <v>0</v>
      </c>
      <c r="E137" s="90">
        <v>0</v>
      </c>
      <c r="F137" s="90"/>
      <c r="G137" s="90"/>
      <c r="H137" s="90"/>
      <c r="O137">
        <v>10959.85</v>
      </c>
    </row>
    <row r="138" spans="1:16" x14ac:dyDescent="0.45">
      <c r="A138" s="52">
        <v>46096</v>
      </c>
      <c r="B138" s="90">
        <v>40</v>
      </c>
      <c r="C138" s="90">
        <v>5</v>
      </c>
      <c r="D138" s="90">
        <v>0</v>
      </c>
      <c r="E138" s="90">
        <v>0</v>
      </c>
      <c r="F138" s="90"/>
      <c r="G138" s="90"/>
      <c r="H138" s="90"/>
      <c r="O138" s="17">
        <f>SUM(O133:O137)</f>
        <v>48968.71</v>
      </c>
    </row>
    <row r="139" spans="1:16" x14ac:dyDescent="0.45">
      <c r="A139" s="52">
        <v>46089</v>
      </c>
      <c r="B139" s="90">
        <v>24.75</v>
      </c>
      <c r="C139" s="90">
        <v>0</v>
      </c>
      <c r="D139" s="90">
        <v>0</v>
      </c>
      <c r="E139" s="90">
        <v>0</v>
      </c>
      <c r="F139" s="90"/>
      <c r="G139" s="90"/>
      <c r="H139" s="90"/>
      <c r="J139"/>
      <c r="O139" s="17">
        <f>O138*-1</f>
        <v>-48968.71</v>
      </c>
    </row>
    <row r="140" spans="1:16" x14ac:dyDescent="0.45">
      <c r="A140" s="52">
        <v>46082</v>
      </c>
      <c r="B140" s="90">
        <v>0</v>
      </c>
      <c r="C140" s="90">
        <v>0</v>
      </c>
      <c r="D140" s="90">
        <v>0</v>
      </c>
      <c r="E140" s="90">
        <v>0</v>
      </c>
      <c r="F140" s="90"/>
      <c r="G140" s="90"/>
      <c r="H140" s="90"/>
      <c r="O140">
        <v>82075.06</v>
      </c>
    </row>
    <row r="141" spans="1:16" x14ac:dyDescent="0.45">
      <c r="A141" s="52">
        <v>46075</v>
      </c>
      <c r="B141" s="90">
        <v>0</v>
      </c>
      <c r="C141" s="90">
        <v>0</v>
      </c>
      <c r="D141" s="90">
        <v>0</v>
      </c>
      <c r="E141" s="90">
        <v>0</v>
      </c>
      <c r="F141" s="90"/>
      <c r="G141" s="90"/>
      <c r="H141" s="90"/>
      <c r="O141" s="17">
        <f>SUM(O139:O140)</f>
        <v>33106.35</v>
      </c>
    </row>
    <row r="142" spans="1:16" x14ac:dyDescent="0.45">
      <c r="A142" s="52">
        <v>46068</v>
      </c>
      <c r="B142" s="90">
        <v>24</v>
      </c>
      <c r="C142" s="90">
        <v>0</v>
      </c>
      <c r="D142" s="90">
        <v>0</v>
      </c>
      <c r="E142" s="90">
        <v>0</v>
      </c>
      <c r="F142" s="90"/>
      <c r="G142" s="90"/>
      <c r="H142" s="90"/>
    </row>
    <row r="143" spans="1:16" x14ac:dyDescent="0.45">
      <c r="A143" s="52">
        <v>46061</v>
      </c>
      <c r="B143" s="90">
        <v>39</v>
      </c>
      <c r="C143" s="90">
        <v>0</v>
      </c>
      <c r="D143" s="90">
        <v>0</v>
      </c>
      <c r="E143" s="90">
        <v>0</v>
      </c>
      <c r="F143" s="90"/>
      <c r="G143" s="90"/>
      <c r="H143" s="90"/>
    </row>
    <row r="144" spans="1:16" x14ac:dyDescent="0.45">
      <c r="A144" s="52">
        <v>46054</v>
      </c>
      <c r="B144" s="90">
        <v>39</v>
      </c>
      <c r="C144" s="90">
        <v>0</v>
      </c>
      <c r="D144" s="90">
        <v>0</v>
      </c>
      <c r="E144" s="90">
        <v>4</v>
      </c>
      <c r="F144" s="90"/>
      <c r="G144" s="90">
        <v>1</v>
      </c>
      <c r="H144" s="90"/>
    </row>
    <row r="145" spans="1:8" x14ac:dyDescent="0.45">
      <c r="A145" s="52">
        <v>46047</v>
      </c>
      <c r="B145" s="90">
        <v>40</v>
      </c>
      <c r="C145" s="90">
        <v>22</v>
      </c>
      <c r="D145" s="90">
        <v>12</v>
      </c>
      <c r="E145" s="90">
        <v>6</v>
      </c>
      <c r="F145" s="90"/>
      <c r="G145" s="90">
        <v>6</v>
      </c>
      <c r="H145" s="90"/>
    </row>
    <row r="146" spans="1:8" x14ac:dyDescent="0.45">
      <c r="A146" s="52">
        <v>46040</v>
      </c>
      <c r="B146" s="90">
        <v>40</v>
      </c>
      <c r="C146" s="90">
        <v>4</v>
      </c>
      <c r="D146" s="90">
        <v>12</v>
      </c>
      <c r="E146" s="90">
        <v>3</v>
      </c>
      <c r="F146" s="90"/>
      <c r="G146" s="90">
        <v>3</v>
      </c>
      <c r="H146" s="90"/>
    </row>
    <row r="147" spans="1:8" x14ac:dyDescent="0.45">
      <c r="A147" s="52">
        <v>46033</v>
      </c>
      <c r="B147" s="90">
        <v>40</v>
      </c>
      <c r="C147" s="90">
        <v>15.5</v>
      </c>
      <c r="D147" s="90">
        <v>0</v>
      </c>
      <c r="E147" s="90">
        <v>4</v>
      </c>
      <c r="F147" s="90"/>
      <c r="G147" s="90">
        <v>5</v>
      </c>
      <c r="H147" s="90"/>
    </row>
    <row r="148" spans="1:8" x14ac:dyDescent="0.45">
      <c r="A148" s="52">
        <v>46026</v>
      </c>
      <c r="B148" s="90">
        <v>0</v>
      </c>
      <c r="C148" s="90">
        <v>0</v>
      </c>
      <c r="D148" s="90">
        <v>0</v>
      </c>
      <c r="E148" s="90">
        <v>0</v>
      </c>
      <c r="F148" s="90"/>
      <c r="G148" s="90"/>
      <c r="H148" s="90"/>
    </row>
    <row r="149" spans="1:8" x14ac:dyDescent="0.45">
      <c r="A149" s="52">
        <v>46019</v>
      </c>
      <c r="B149" s="90">
        <v>0</v>
      </c>
      <c r="C149" s="90">
        <v>0</v>
      </c>
      <c r="D149" s="90">
        <v>0</v>
      </c>
      <c r="E149" s="90">
        <v>4</v>
      </c>
      <c r="F149" s="90"/>
      <c r="G149" s="90">
        <v>1</v>
      </c>
      <c r="H149" s="90"/>
    </row>
    <row r="150" spans="1:8" x14ac:dyDescent="0.45">
      <c r="A150" s="52">
        <v>46012</v>
      </c>
      <c r="B150" s="90">
        <v>40</v>
      </c>
      <c r="C150" s="90">
        <v>10.75</v>
      </c>
      <c r="D150" s="90">
        <v>10</v>
      </c>
      <c r="E150" s="90">
        <v>0</v>
      </c>
      <c r="F150" s="90"/>
      <c r="G150" s="90">
        <v>3</v>
      </c>
      <c r="H150" s="90"/>
    </row>
    <row r="151" spans="1:8" x14ac:dyDescent="0.45">
      <c r="A151" s="52">
        <v>46005</v>
      </c>
      <c r="B151" s="90">
        <v>40</v>
      </c>
      <c r="C151" s="90">
        <v>0.25</v>
      </c>
      <c r="D151" s="90">
        <v>3.5</v>
      </c>
      <c r="E151" s="90">
        <v>4</v>
      </c>
      <c r="F151" s="90"/>
      <c r="G151" s="90">
        <v>1</v>
      </c>
      <c r="H151" s="90"/>
    </row>
    <row r="152" spans="1:8" x14ac:dyDescent="0.45">
      <c r="A152" s="52">
        <v>45998</v>
      </c>
      <c r="B152" s="90">
        <v>30.5</v>
      </c>
      <c r="C152" s="90">
        <v>0</v>
      </c>
      <c r="D152" s="90">
        <v>0</v>
      </c>
      <c r="E152" s="90">
        <v>0</v>
      </c>
      <c r="F152" s="90"/>
      <c r="G152" s="90"/>
      <c r="H152" s="90"/>
    </row>
    <row r="153" spans="1:8" x14ac:dyDescent="0.45">
      <c r="A153" s="52">
        <v>45991</v>
      </c>
      <c r="B153" s="90">
        <v>40</v>
      </c>
      <c r="C153" s="90">
        <v>0</v>
      </c>
      <c r="D153" s="90">
        <v>0</v>
      </c>
      <c r="E153" s="90">
        <v>0</v>
      </c>
      <c r="F153" s="90"/>
      <c r="G153" s="90"/>
      <c r="H153" s="90"/>
    </row>
    <row r="154" spans="1:8" x14ac:dyDescent="0.45">
      <c r="A154" s="52">
        <v>45984</v>
      </c>
      <c r="B154" s="90">
        <v>40</v>
      </c>
      <c r="C154" s="90">
        <v>0</v>
      </c>
      <c r="D154" s="90">
        <v>0</v>
      </c>
      <c r="E154" s="90">
        <v>0</v>
      </c>
      <c r="F154" s="90"/>
      <c r="G154" s="90"/>
      <c r="H154" s="90"/>
    </row>
    <row r="155" spans="1:8" x14ac:dyDescent="0.45">
      <c r="A155" s="52">
        <v>45977</v>
      </c>
      <c r="B155" s="90">
        <v>39.75</v>
      </c>
      <c r="C155" s="90">
        <v>0</v>
      </c>
      <c r="D155" s="90">
        <v>0</v>
      </c>
      <c r="E155" s="90">
        <v>0</v>
      </c>
      <c r="F155" s="90"/>
      <c r="G155" s="90"/>
      <c r="H155" s="90"/>
    </row>
    <row r="156" spans="1:8" x14ac:dyDescent="0.45">
      <c r="A156" s="52">
        <v>45970</v>
      </c>
      <c r="B156" s="90">
        <v>40</v>
      </c>
      <c r="C156" s="90">
        <v>0</v>
      </c>
      <c r="D156" s="90">
        <v>0</v>
      </c>
      <c r="E156" s="90">
        <v>0</v>
      </c>
      <c r="F156" s="90"/>
      <c r="G156" s="90"/>
      <c r="H156" s="90"/>
    </row>
    <row r="157" spans="1:8" x14ac:dyDescent="0.45">
      <c r="A157" s="52">
        <v>45963</v>
      </c>
      <c r="B157" s="90">
        <v>40</v>
      </c>
      <c r="C157" s="90">
        <v>1.25</v>
      </c>
      <c r="D157" s="90">
        <v>0</v>
      </c>
      <c r="E157" s="90">
        <v>0</v>
      </c>
      <c r="F157" s="90"/>
      <c r="G157" s="90"/>
      <c r="H157" s="90"/>
    </row>
    <row r="158" spans="1:8" x14ac:dyDescent="0.45">
      <c r="A158" s="4" t="s">
        <v>39</v>
      </c>
      <c r="B158" s="90"/>
      <c r="C158" s="90"/>
      <c r="D158" s="90"/>
      <c r="E158" s="90"/>
      <c r="F158" s="90"/>
      <c r="G158" s="90"/>
      <c r="H158" s="90"/>
    </row>
    <row r="159" spans="1:8" x14ac:dyDescent="0.45">
      <c r="A159" s="7" t="s">
        <v>285</v>
      </c>
      <c r="B159" s="90">
        <v>0</v>
      </c>
      <c r="C159" s="90">
        <v>0</v>
      </c>
      <c r="D159" s="90">
        <v>0</v>
      </c>
      <c r="E159" s="90">
        <v>0</v>
      </c>
      <c r="F159" s="90"/>
      <c r="G159" s="90"/>
      <c r="H159" s="90"/>
    </row>
    <row r="160" spans="1:8" x14ac:dyDescent="0.45">
      <c r="A160" s="52">
        <v>46096</v>
      </c>
      <c r="B160" s="90">
        <v>0</v>
      </c>
      <c r="C160" s="90">
        <v>0</v>
      </c>
      <c r="D160" s="90">
        <v>0</v>
      </c>
      <c r="E160" s="90">
        <v>0</v>
      </c>
      <c r="F160" s="90"/>
      <c r="G160" s="90"/>
      <c r="H160" s="90"/>
    </row>
    <row r="161" spans="1:8" x14ac:dyDescent="0.45">
      <c r="A161" s="52">
        <v>46089</v>
      </c>
      <c r="B161" s="90">
        <v>0</v>
      </c>
      <c r="C161" s="90">
        <v>0</v>
      </c>
      <c r="D161" s="90">
        <v>0</v>
      </c>
      <c r="E161" s="90">
        <v>0</v>
      </c>
      <c r="F161" s="90"/>
      <c r="G161" s="90"/>
      <c r="H161" s="90"/>
    </row>
    <row r="162" spans="1:8" x14ac:dyDescent="0.45">
      <c r="A162" s="52">
        <v>46082</v>
      </c>
      <c r="B162" s="90">
        <v>0</v>
      </c>
      <c r="C162" s="90">
        <v>0</v>
      </c>
      <c r="D162" s="90">
        <v>0</v>
      </c>
      <c r="E162" s="90">
        <v>0</v>
      </c>
      <c r="F162" s="90"/>
      <c r="G162" s="90"/>
      <c r="H162" s="90"/>
    </row>
    <row r="163" spans="1:8" x14ac:dyDescent="0.45">
      <c r="A163" s="52">
        <v>46075</v>
      </c>
      <c r="B163" s="90">
        <v>0</v>
      </c>
      <c r="C163" s="90">
        <v>0</v>
      </c>
      <c r="D163" s="90">
        <v>0</v>
      </c>
      <c r="E163" s="90">
        <v>0</v>
      </c>
      <c r="F163" s="90"/>
      <c r="G163" s="90"/>
      <c r="H163" s="90"/>
    </row>
    <row r="164" spans="1:8" x14ac:dyDescent="0.45">
      <c r="A164" s="52">
        <v>46068</v>
      </c>
      <c r="B164" s="90">
        <v>0</v>
      </c>
      <c r="C164" s="90">
        <v>0</v>
      </c>
      <c r="D164" s="90">
        <v>0</v>
      </c>
      <c r="E164" s="90">
        <v>0</v>
      </c>
      <c r="F164" s="90"/>
      <c r="G164" s="90"/>
      <c r="H164" s="90"/>
    </row>
    <row r="165" spans="1:8" x14ac:dyDescent="0.45">
      <c r="A165" s="52">
        <v>46061</v>
      </c>
      <c r="B165" s="90">
        <v>0</v>
      </c>
      <c r="C165" s="90">
        <v>0</v>
      </c>
      <c r="D165" s="90">
        <v>0</v>
      </c>
      <c r="E165" s="90">
        <v>0</v>
      </c>
      <c r="F165" s="90"/>
      <c r="G165" s="90"/>
      <c r="H165" s="90"/>
    </row>
    <row r="166" spans="1:8" x14ac:dyDescent="0.45">
      <c r="A166" s="52">
        <v>46054</v>
      </c>
      <c r="B166" s="90">
        <v>0</v>
      </c>
      <c r="C166" s="90">
        <v>0</v>
      </c>
      <c r="D166" s="90">
        <v>0</v>
      </c>
      <c r="E166" s="90">
        <v>0</v>
      </c>
      <c r="F166" s="90"/>
      <c r="G166" s="90"/>
      <c r="H166" s="90"/>
    </row>
    <row r="167" spans="1:8" x14ac:dyDescent="0.45">
      <c r="A167" s="52">
        <v>46047</v>
      </c>
      <c r="B167" s="90">
        <v>0</v>
      </c>
      <c r="C167" s="90">
        <v>0</v>
      </c>
      <c r="D167" s="90">
        <v>0</v>
      </c>
      <c r="E167" s="90">
        <v>0</v>
      </c>
      <c r="F167" s="90"/>
      <c r="G167" s="90"/>
      <c r="H167" s="90"/>
    </row>
    <row r="168" spans="1:8" x14ac:dyDescent="0.45">
      <c r="A168" s="52">
        <v>46040</v>
      </c>
      <c r="B168" s="90">
        <v>0</v>
      </c>
      <c r="C168" s="90">
        <v>0</v>
      </c>
      <c r="D168" s="90">
        <v>0</v>
      </c>
      <c r="E168" s="90">
        <v>0</v>
      </c>
      <c r="F168" s="90"/>
      <c r="G168" s="90"/>
      <c r="H168" s="90"/>
    </row>
    <row r="169" spans="1:8" x14ac:dyDescent="0.45">
      <c r="A169" s="52">
        <v>46033</v>
      </c>
      <c r="B169" s="90">
        <v>0</v>
      </c>
      <c r="C169" s="90">
        <v>0</v>
      </c>
      <c r="D169" s="90">
        <v>0</v>
      </c>
      <c r="E169" s="90">
        <v>0</v>
      </c>
      <c r="F169" s="90"/>
      <c r="G169" s="90"/>
      <c r="H169" s="90"/>
    </row>
    <row r="170" spans="1:8" x14ac:dyDescent="0.45">
      <c r="A170" s="52">
        <v>46026</v>
      </c>
      <c r="B170" s="90">
        <v>0</v>
      </c>
      <c r="C170" s="90">
        <v>0</v>
      </c>
      <c r="D170" s="90">
        <v>0</v>
      </c>
      <c r="E170" s="90">
        <v>0</v>
      </c>
      <c r="F170" s="90"/>
      <c r="G170" s="90"/>
      <c r="H170" s="90"/>
    </row>
    <row r="171" spans="1:8" x14ac:dyDescent="0.45">
      <c r="A171" s="52">
        <v>46019</v>
      </c>
      <c r="B171" s="90">
        <v>0</v>
      </c>
      <c r="C171" s="90">
        <v>0</v>
      </c>
      <c r="D171" s="90">
        <v>0</v>
      </c>
      <c r="E171" s="90">
        <v>0</v>
      </c>
      <c r="F171" s="90"/>
      <c r="G171" s="90"/>
      <c r="H171" s="90"/>
    </row>
    <row r="172" spans="1:8" x14ac:dyDescent="0.45">
      <c r="A172" s="52">
        <v>46012</v>
      </c>
      <c r="B172" s="90">
        <v>6.5</v>
      </c>
      <c r="C172" s="90">
        <v>0</v>
      </c>
      <c r="D172" s="90">
        <v>0</v>
      </c>
      <c r="E172" s="90">
        <v>2.5</v>
      </c>
      <c r="F172" s="90"/>
      <c r="G172" s="90"/>
      <c r="H172" s="90"/>
    </row>
    <row r="173" spans="1:8" x14ac:dyDescent="0.45">
      <c r="A173" s="52">
        <v>46005</v>
      </c>
      <c r="B173" s="90">
        <v>0</v>
      </c>
      <c r="C173" s="90">
        <v>0</v>
      </c>
      <c r="D173" s="90">
        <v>0</v>
      </c>
      <c r="E173" s="90">
        <v>0</v>
      </c>
      <c r="F173" s="90"/>
      <c r="G173" s="90"/>
      <c r="H173" s="90"/>
    </row>
    <row r="174" spans="1:8" x14ac:dyDescent="0.45">
      <c r="A174" s="52">
        <v>45998</v>
      </c>
      <c r="B174" s="90">
        <v>6.75</v>
      </c>
      <c r="C174" s="90">
        <v>0</v>
      </c>
      <c r="D174" s="90">
        <v>0</v>
      </c>
      <c r="E174" s="90">
        <v>2.5</v>
      </c>
      <c r="F174" s="90"/>
      <c r="G174" s="90"/>
      <c r="H174" s="90"/>
    </row>
    <row r="175" spans="1:8" x14ac:dyDescent="0.45">
      <c r="A175" s="52">
        <v>45991</v>
      </c>
      <c r="B175" s="90">
        <v>2.5</v>
      </c>
      <c r="C175" s="90">
        <v>0</v>
      </c>
      <c r="D175" s="90">
        <v>0</v>
      </c>
      <c r="E175" s="90">
        <v>2.5</v>
      </c>
      <c r="F175" s="90"/>
      <c r="G175" s="90"/>
      <c r="H175" s="90"/>
    </row>
    <row r="176" spans="1:8" x14ac:dyDescent="0.45">
      <c r="A176" s="52">
        <v>45984</v>
      </c>
      <c r="B176" s="90">
        <v>0</v>
      </c>
      <c r="C176" s="90">
        <v>0</v>
      </c>
      <c r="D176" s="90">
        <v>0</v>
      </c>
      <c r="E176" s="90">
        <v>0</v>
      </c>
      <c r="F176" s="90"/>
      <c r="G176" s="90"/>
      <c r="H176" s="90"/>
    </row>
    <row r="177" spans="1:23" x14ac:dyDescent="0.45">
      <c r="A177" s="52">
        <v>45977</v>
      </c>
      <c r="B177" s="90">
        <v>0</v>
      </c>
      <c r="C177" s="90">
        <v>0</v>
      </c>
      <c r="D177" s="90">
        <v>0</v>
      </c>
      <c r="E177" s="90">
        <v>0</v>
      </c>
      <c r="F177" s="90"/>
      <c r="G177" s="90"/>
      <c r="H177" s="90"/>
    </row>
    <row r="178" spans="1:23" x14ac:dyDescent="0.45">
      <c r="A178" s="52">
        <v>45970</v>
      </c>
      <c r="B178" s="90">
        <v>4.75</v>
      </c>
      <c r="C178" s="90">
        <v>0</v>
      </c>
      <c r="D178" s="90">
        <v>0</v>
      </c>
      <c r="E178" s="90">
        <v>0</v>
      </c>
      <c r="F178" s="90"/>
      <c r="G178" s="90"/>
      <c r="H178" s="90"/>
    </row>
    <row r="179" spans="1:23" x14ac:dyDescent="0.45">
      <c r="A179" s="52">
        <v>45963</v>
      </c>
      <c r="B179" s="90">
        <v>14.25</v>
      </c>
      <c r="C179" s="90">
        <v>0</v>
      </c>
      <c r="D179" s="90">
        <v>0</v>
      </c>
      <c r="E179" s="90">
        <v>0</v>
      </c>
      <c r="F179" s="90"/>
      <c r="G179" s="90"/>
      <c r="H179" s="90"/>
    </row>
    <row r="180" spans="1:23" x14ac:dyDescent="0.45">
      <c r="A180" s="4" t="s">
        <v>92</v>
      </c>
      <c r="B180" s="90"/>
      <c r="C180" s="90"/>
      <c r="D180" s="90"/>
      <c r="E180" s="90"/>
      <c r="F180" s="90"/>
      <c r="G180" s="90"/>
      <c r="H180" s="90"/>
    </row>
    <row r="181" spans="1:23" x14ac:dyDescent="0.45">
      <c r="A181" s="7" t="s">
        <v>285</v>
      </c>
      <c r="B181" s="90">
        <v>79</v>
      </c>
      <c r="C181" s="90">
        <v>9</v>
      </c>
      <c r="D181" s="90">
        <v>0</v>
      </c>
      <c r="E181" s="90">
        <v>0</v>
      </c>
      <c r="F181" s="90"/>
      <c r="G181" s="90"/>
      <c r="H181" s="90"/>
    </row>
    <row r="182" spans="1:23" x14ac:dyDescent="0.45">
      <c r="A182" s="52">
        <v>46096</v>
      </c>
      <c r="B182" s="90">
        <v>40</v>
      </c>
      <c r="C182" s="90">
        <v>16</v>
      </c>
      <c r="D182" s="90">
        <v>0</v>
      </c>
      <c r="E182" s="90">
        <v>0</v>
      </c>
      <c r="F182" s="90"/>
      <c r="G182" s="90"/>
      <c r="H182" s="90"/>
    </row>
    <row r="183" spans="1:23" x14ac:dyDescent="0.45">
      <c r="A183" s="52">
        <v>46089</v>
      </c>
      <c r="B183" s="90">
        <v>40</v>
      </c>
      <c r="C183" s="90">
        <v>4</v>
      </c>
      <c r="D183" s="90">
        <v>0</v>
      </c>
      <c r="E183" s="90">
        <v>0</v>
      </c>
      <c r="F183" s="90"/>
      <c r="G183" s="90"/>
      <c r="H183" s="90"/>
      <c r="V183" s="17">
        <v>68213.149999999994</v>
      </c>
      <c r="W183" s="17">
        <v>14740.17</v>
      </c>
    </row>
    <row r="184" spans="1:23" x14ac:dyDescent="0.45">
      <c r="A184" s="52">
        <v>46082</v>
      </c>
      <c r="B184" s="90">
        <v>40</v>
      </c>
      <c r="C184" s="90">
        <v>7</v>
      </c>
      <c r="D184" s="90">
        <v>0</v>
      </c>
      <c r="E184" s="90">
        <v>0</v>
      </c>
      <c r="F184" s="90"/>
      <c r="G184" s="90"/>
      <c r="H184" s="90"/>
      <c r="V184" s="17">
        <f>-W188</f>
        <v>-44725.740000000005</v>
      </c>
      <c r="W184" s="17">
        <v>8440.5499999999993</v>
      </c>
    </row>
    <row r="185" spans="1:23" x14ac:dyDescent="0.45">
      <c r="A185" s="52">
        <v>46075</v>
      </c>
      <c r="B185" s="90">
        <v>40</v>
      </c>
      <c r="C185" s="90">
        <v>7.5</v>
      </c>
      <c r="D185" s="90">
        <v>0</v>
      </c>
      <c r="E185" s="90">
        <v>0</v>
      </c>
      <c r="F185" s="90"/>
      <c r="G185" s="90"/>
      <c r="H185" s="90"/>
      <c r="V185" s="17">
        <f>SUM(V183:V184)</f>
        <v>23487.409999999989</v>
      </c>
      <c r="W185">
        <v>6691.58</v>
      </c>
    </row>
    <row r="186" spans="1:23" x14ac:dyDescent="0.45">
      <c r="A186" s="52">
        <v>46068</v>
      </c>
      <c r="B186" s="90">
        <v>40</v>
      </c>
      <c r="C186" s="90">
        <v>4.75</v>
      </c>
      <c r="D186" s="90">
        <v>0</v>
      </c>
      <c r="E186" s="90">
        <v>0</v>
      </c>
      <c r="F186" s="90"/>
      <c r="G186" s="90"/>
      <c r="H186" s="90"/>
      <c r="W186">
        <v>1429.45</v>
      </c>
    </row>
    <row r="187" spans="1:23" x14ac:dyDescent="0.45">
      <c r="A187" s="52">
        <v>46061</v>
      </c>
      <c r="B187" s="90">
        <v>40</v>
      </c>
      <c r="C187" s="90">
        <v>10</v>
      </c>
      <c r="D187" s="90">
        <v>0</v>
      </c>
      <c r="E187" s="90">
        <v>8.5</v>
      </c>
      <c r="F187" s="90"/>
      <c r="G187" s="90">
        <v>6</v>
      </c>
      <c r="H187" s="90"/>
      <c r="W187">
        <v>13423.99</v>
      </c>
    </row>
    <row r="188" spans="1:23" x14ac:dyDescent="0.45">
      <c r="A188" s="52">
        <v>46054</v>
      </c>
      <c r="B188" s="90">
        <v>40</v>
      </c>
      <c r="C188" s="90">
        <v>4</v>
      </c>
      <c r="D188" s="90">
        <v>0</v>
      </c>
      <c r="E188" s="90">
        <v>11.75</v>
      </c>
      <c r="F188" s="90"/>
      <c r="G188" s="90">
        <v>4</v>
      </c>
      <c r="H188" s="90"/>
      <c r="W188" s="17">
        <f>SUM(W183:W187)</f>
        <v>44725.740000000005</v>
      </c>
    </row>
    <row r="189" spans="1:23" x14ac:dyDescent="0.45">
      <c r="A189" s="52">
        <v>46047</v>
      </c>
      <c r="B189" s="90">
        <v>48</v>
      </c>
      <c r="C189" s="90">
        <v>20</v>
      </c>
      <c r="D189" s="90">
        <v>0</v>
      </c>
      <c r="E189" s="90">
        <v>11</v>
      </c>
      <c r="F189" s="90"/>
      <c r="G189" s="90">
        <v>7</v>
      </c>
      <c r="H189" s="90"/>
    </row>
    <row r="190" spans="1:23" x14ac:dyDescent="0.45">
      <c r="A190" s="52">
        <v>46040</v>
      </c>
      <c r="B190" s="90">
        <v>40</v>
      </c>
      <c r="C190" s="90">
        <v>8</v>
      </c>
      <c r="D190" s="90">
        <v>0</v>
      </c>
      <c r="E190" s="90">
        <v>12</v>
      </c>
      <c r="F190" s="90"/>
      <c r="G190" s="90">
        <v>5</v>
      </c>
      <c r="H190" s="90"/>
    </row>
    <row r="191" spans="1:23" x14ac:dyDescent="0.45">
      <c r="A191" s="52">
        <v>46033</v>
      </c>
      <c r="B191" s="90">
        <v>40</v>
      </c>
      <c r="C191" s="90">
        <v>20</v>
      </c>
      <c r="D191" s="90">
        <v>8</v>
      </c>
      <c r="E191" s="90">
        <v>12</v>
      </c>
      <c r="F191" s="90"/>
      <c r="G191" s="90">
        <v>7</v>
      </c>
      <c r="H191" s="90"/>
    </row>
    <row r="192" spans="1:23" x14ac:dyDescent="0.45">
      <c r="A192" s="52">
        <v>46026</v>
      </c>
      <c r="B192" s="90">
        <v>0</v>
      </c>
      <c r="C192" s="90">
        <v>0</v>
      </c>
      <c r="D192" s="90">
        <v>0</v>
      </c>
      <c r="E192" s="90">
        <v>0</v>
      </c>
      <c r="F192" s="90"/>
      <c r="G192" s="90"/>
      <c r="H192" s="90"/>
    </row>
    <row r="193" spans="1:8" x14ac:dyDescent="0.45">
      <c r="A193" s="52">
        <v>46019</v>
      </c>
      <c r="B193" s="90">
        <v>12</v>
      </c>
      <c r="C193" s="90">
        <v>0</v>
      </c>
      <c r="D193" s="90">
        <v>0</v>
      </c>
      <c r="E193" s="90">
        <v>13</v>
      </c>
      <c r="F193" s="90"/>
      <c r="G193" s="90">
        <v>2</v>
      </c>
      <c r="H193" s="90"/>
    </row>
    <row r="194" spans="1:8" x14ac:dyDescent="0.45">
      <c r="A194" s="52">
        <v>46012</v>
      </c>
      <c r="B194" s="90">
        <v>40</v>
      </c>
      <c r="C194" s="90">
        <v>20.5</v>
      </c>
      <c r="D194" s="90">
        <v>8</v>
      </c>
      <c r="E194" s="90">
        <v>11.5</v>
      </c>
      <c r="F194" s="90"/>
      <c r="G194" s="90">
        <v>7</v>
      </c>
      <c r="H194" s="90"/>
    </row>
    <row r="195" spans="1:8" x14ac:dyDescent="0.45">
      <c r="A195" s="52">
        <v>46005</v>
      </c>
      <c r="B195" s="90">
        <v>38</v>
      </c>
      <c r="C195" s="90">
        <v>0</v>
      </c>
      <c r="D195" s="90">
        <v>0</v>
      </c>
      <c r="E195" s="90">
        <v>12</v>
      </c>
      <c r="F195" s="90"/>
      <c r="G195" s="90"/>
      <c r="H195" s="90"/>
    </row>
    <row r="196" spans="1:8" x14ac:dyDescent="0.45">
      <c r="A196" s="52">
        <v>45998</v>
      </c>
      <c r="B196" s="90">
        <v>40</v>
      </c>
      <c r="C196" s="90">
        <v>5</v>
      </c>
      <c r="D196" s="90">
        <v>0</v>
      </c>
      <c r="E196" s="90">
        <v>3</v>
      </c>
      <c r="F196" s="90"/>
      <c r="G196" s="90"/>
      <c r="H196" s="90"/>
    </row>
    <row r="197" spans="1:8" x14ac:dyDescent="0.45">
      <c r="A197" s="52">
        <v>45991</v>
      </c>
      <c r="B197" s="90">
        <v>37</v>
      </c>
      <c r="C197" s="90">
        <v>0</v>
      </c>
      <c r="D197" s="90">
        <v>0</v>
      </c>
      <c r="E197" s="90">
        <v>5</v>
      </c>
      <c r="F197" s="90"/>
      <c r="G197" s="90"/>
      <c r="H197" s="90"/>
    </row>
    <row r="198" spans="1:8" x14ac:dyDescent="0.45">
      <c r="A198" s="52">
        <v>45984</v>
      </c>
      <c r="B198" s="90">
        <v>40</v>
      </c>
      <c r="C198" s="90">
        <v>2.75</v>
      </c>
      <c r="D198" s="90">
        <v>0</v>
      </c>
      <c r="E198" s="90">
        <v>0</v>
      </c>
      <c r="F198" s="90"/>
      <c r="G198" s="90"/>
      <c r="H198" s="90"/>
    </row>
    <row r="199" spans="1:8" x14ac:dyDescent="0.45">
      <c r="A199" s="52">
        <v>45977</v>
      </c>
      <c r="B199" s="90">
        <v>40</v>
      </c>
      <c r="C199" s="90">
        <v>2.5</v>
      </c>
      <c r="D199" s="90">
        <v>0</v>
      </c>
      <c r="E199" s="90">
        <v>0</v>
      </c>
      <c r="F199" s="90"/>
      <c r="G199" s="90"/>
      <c r="H199" s="90"/>
    </row>
    <row r="200" spans="1:8" x14ac:dyDescent="0.45">
      <c r="A200" s="52">
        <v>45970</v>
      </c>
      <c r="B200" s="90">
        <v>40</v>
      </c>
      <c r="C200" s="90">
        <v>13.25</v>
      </c>
      <c r="D200" s="90">
        <v>0</v>
      </c>
      <c r="E200" s="90">
        <v>0</v>
      </c>
      <c r="F200" s="90"/>
      <c r="G200" s="90"/>
      <c r="H200" s="90"/>
    </row>
    <row r="201" spans="1:8" x14ac:dyDescent="0.45">
      <c r="A201" s="52">
        <v>45963</v>
      </c>
      <c r="B201" s="90">
        <v>40</v>
      </c>
      <c r="C201" s="90">
        <v>4.5</v>
      </c>
      <c r="D201" s="90">
        <v>0</v>
      </c>
      <c r="E201" s="90">
        <v>0</v>
      </c>
      <c r="F201" s="90"/>
      <c r="G201" s="90"/>
      <c r="H201" s="90"/>
    </row>
    <row r="202" spans="1:8" x14ac:dyDescent="0.45">
      <c r="A202" s="4" t="s">
        <v>58</v>
      </c>
      <c r="B202" s="90"/>
      <c r="C202" s="90"/>
      <c r="D202" s="90"/>
      <c r="E202" s="90"/>
      <c r="F202" s="90"/>
      <c r="G202" s="90"/>
      <c r="H202" s="90"/>
    </row>
    <row r="203" spans="1:8" x14ac:dyDescent="0.45">
      <c r="A203" s="52">
        <v>46096</v>
      </c>
      <c r="B203" s="90">
        <v>0</v>
      </c>
      <c r="C203" s="90">
        <v>0</v>
      </c>
      <c r="D203" s="90">
        <v>0</v>
      </c>
      <c r="E203" s="90">
        <v>0</v>
      </c>
      <c r="F203" s="90"/>
      <c r="G203" s="90"/>
      <c r="H203" s="90"/>
    </row>
    <row r="204" spans="1:8" x14ac:dyDescent="0.45">
      <c r="A204" s="52">
        <v>46089</v>
      </c>
      <c r="B204" s="90">
        <v>0</v>
      </c>
      <c r="C204" s="90">
        <v>0</v>
      </c>
      <c r="D204" s="90">
        <v>0</v>
      </c>
      <c r="E204" s="90">
        <v>0</v>
      </c>
      <c r="F204" s="90"/>
      <c r="G204" s="90"/>
      <c r="H204" s="90"/>
    </row>
    <row r="205" spans="1:8" x14ac:dyDescent="0.45">
      <c r="A205" s="52">
        <v>46082</v>
      </c>
      <c r="B205" s="90">
        <v>0</v>
      </c>
      <c r="C205" s="90">
        <v>0</v>
      </c>
      <c r="D205" s="90">
        <v>0</v>
      </c>
      <c r="E205" s="90">
        <v>0</v>
      </c>
      <c r="F205" s="90"/>
      <c r="G205" s="90"/>
      <c r="H205" s="90"/>
    </row>
    <row r="206" spans="1:8" x14ac:dyDescent="0.45">
      <c r="A206" s="52">
        <v>46075</v>
      </c>
      <c r="B206" s="90">
        <v>11.5</v>
      </c>
      <c r="C206" s="90">
        <v>0</v>
      </c>
      <c r="D206" s="90">
        <v>0</v>
      </c>
      <c r="E206" s="90">
        <v>12</v>
      </c>
      <c r="F206" s="90"/>
      <c r="G206" s="90">
        <v>2</v>
      </c>
      <c r="H206" s="90"/>
    </row>
    <row r="207" spans="1:8" x14ac:dyDescent="0.45">
      <c r="A207" s="52">
        <v>46068</v>
      </c>
      <c r="B207" s="90">
        <v>40</v>
      </c>
      <c r="C207" s="90">
        <v>8</v>
      </c>
      <c r="D207" s="90">
        <v>0</v>
      </c>
      <c r="E207" s="90">
        <v>9.5</v>
      </c>
      <c r="F207" s="90"/>
      <c r="G207" s="90">
        <v>5</v>
      </c>
      <c r="H207" s="90"/>
    </row>
    <row r="208" spans="1:8" x14ac:dyDescent="0.45">
      <c r="A208" s="52">
        <v>46061</v>
      </c>
      <c r="B208" s="90">
        <v>40</v>
      </c>
      <c r="C208" s="90">
        <v>20</v>
      </c>
      <c r="D208" s="90">
        <v>12</v>
      </c>
      <c r="E208" s="90">
        <v>9</v>
      </c>
      <c r="F208" s="90"/>
      <c r="G208" s="90">
        <v>7</v>
      </c>
      <c r="H208" s="90"/>
    </row>
    <row r="209" spans="1:8" x14ac:dyDescent="0.45">
      <c r="A209" s="52">
        <v>46054</v>
      </c>
      <c r="B209" s="90">
        <v>30.25</v>
      </c>
      <c r="C209" s="90">
        <v>0</v>
      </c>
      <c r="D209" s="90">
        <v>0</v>
      </c>
      <c r="E209" s="90">
        <v>3</v>
      </c>
      <c r="F209" s="90"/>
      <c r="G209" s="90"/>
      <c r="H209" s="90"/>
    </row>
    <row r="210" spans="1:8" x14ac:dyDescent="0.45">
      <c r="A210" s="52">
        <v>46047</v>
      </c>
      <c r="B210" s="90">
        <v>0</v>
      </c>
      <c r="C210" s="90">
        <v>0</v>
      </c>
      <c r="D210" s="90">
        <v>0</v>
      </c>
      <c r="E210" s="90">
        <v>0</v>
      </c>
      <c r="F210" s="90"/>
      <c r="G210" s="90"/>
      <c r="H210" s="90"/>
    </row>
    <row r="211" spans="1:8" x14ac:dyDescent="0.45">
      <c r="A211" s="52">
        <v>46040</v>
      </c>
      <c r="B211" s="90">
        <v>10.25</v>
      </c>
      <c r="C211" s="90">
        <v>0</v>
      </c>
      <c r="D211" s="90">
        <v>0</v>
      </c>
      <c r="E211" s="90">
        <v>0</v>
      </c>
      <c r="F211" s="90"/>
      <c r="G211" s="90"/>
      <c r="H211" s="90"/>
    </row>
    <row r="212" spans="1:8" x14ac:dyDescent="0.45">
      <c r="A212" s="52">
        <v>46033</v>
      </c>
      <c r="B212" s="90">
        <v>19.5</v>
      </c>
      <c r="C212" s="90">
        <v>0</v>
      </c>
      <c r="D212" s="90">
        <v>0</v>
      </c>
      <c r="E212" s="90">
        <v>2</v>
      </c>
      <c r="F212" s="90"/>
      <c r="G212" s="90"/>
      <c r="H212" s="90"/>
    </row>
    <row r="213" spans="1:8" x14ac:dyDescent="0.45">
      <c r="A213" s="52">
        <v>46026</v>
      </c>
      <c r="B213" s="90">
        <v>0</v>
      </c>
      <c r="C213" s="90">
        <v>0</v>
      </c>
      <c r="D213" s="90">
        <v>0</v>
      </c>
      <c r="E213" s="90">
        <v>0</v>
      </c>
      <c r="F213" s="90"/>
      <c r="G213" s="90"/>
      <c r="H213" s="90"/>
    </row>
    <row r="214" spans="1:8" x14ac:dyDescent="0.45">
      <c r="A214" s="52">
        <v>46019</v>
      </c>
      <c r="B214" s="90">
        <v>0</v>
      </c>
      <c r="C214" s="90">
        <v>0</v>
      </c>
      <c r="D214" s="90">
        <v>0</v>
      </c>
      <c r="E214" s="90">
        <v>0</v>
      </c>
      <c r="F214" s="90"/>
      <c r="G214" s="90"/>
      <c r="H214" s="90"/>
    </row>
    <row r="215" spans="1:8" x14ac:dyDescent="0.45">
      <c r="A215" s="52">
        <v>46012</v>
      </c>
      <c r="B215" s="90">
        <v>33</v>
      </c>
      <c r="C215" s="90">
        <v>0</v>
      </c>
      <c r="D215" s="90">
        <v>0</v>
      </c>
      <c r="E215" s="90">
        <v>8</v>
      </c>
      <c r="F215" s="90"/>
      <c r="G215" s="90">
        <v>4</v>
      </c>
      <c r="H215" s="90"/>
    </row>
    <row r="216" spans="1:8" x14ac:dyDescent="0.45">
      <c r="A216" s="52">
        <v>46005</v>
      </c>
      <c r="B216" s="90">
        <v>40</v>
      </c>
      <c r="C216" s="90">
        <v>8</v>
      </c>
      <c r="D216" s="90">
        <v>0.5</v>
      </c>
      <c r="E216" s="90">
        <v>9</v>
      </c>
      <c r="F216" s="90"/>
      <c r="G216" s="90">
        <v>5</v>
      </c>
      <c r="H216" s="90"/>
    </row>
    <row r="217" spans="1:8" x14ac:dyDescent="0.45">
      <c r="A217" s="52">
        <v>45998</v>
      </c>
      <c r="B217" s="90">
        <v>32.5</v>
      </c>
      <c r="C217" s="90">
        <v>0</v>
      </c>
      <c r="D217" s="90">
        <v>12</v>
      </c>
      <c r="E217" s="90">
        <v>17.25</v>
      </c>
      <c r="F217" s="90"/>
      <c r="G217" s="90">
        <v>2</v>
      </c>
      <c r="H217" s="90"/>
    </row>
    <row r="218" spans="1:8" x14ac:dyDescent="0.45">
      <c r="A218" s="52">
        <v>45991</v>
      </c>
      <c r="B218" s="90">
        <v>36</v>
      </c>
      <c r="C218" s="90">
        <v>0</v>
      </c>
      <c r="D218" s="90">
        <v>0</v>
      </c>
      <c r="E218" s="90">
        <v>6</v>
      </c>
      <c r="F218" s="90"/>
      <c r="G218" s="90"/>
      <c r="H218" s="90"/>
    </row>
    <row r="219" spans="1:8" x14ac:dyDescent="0.45">
      <c r="A219" s="52">
        <v>45984</v>
      </c>
      <c r="B219" s="90">
        <v>40</v>
      </c>
      <c r="C219" s="90">
        <v>2.5</v>
      </c>
      <c r="D219" s="90">
        <v>0</v>
      </c>
      <c r="E219" s="90">
        <v>13</v>
      </c>
      <c r="F219" s="90"/>
      <c r="G219" s="90">
        <v>4</v>
      </c>
      <c r="H219" s="90"/>
    </row>
    <row r="220" spans="1:8" x14ac:dyDescent="0.45">
      <c r="A220" s="52">
        <v>45977</v>
      </c>
      <c r="B220" s="90">
        <v>0</v>
      </c>
      <c r="C220" s="90">
        <v>0</v>
      </c>
      <c r="D220" s="90">
        <v>0</v>
      </c>
      <c r="E220" s="90">
        <v>0</v>
      </c>
      <c r="F220" s="90"/>
      <c r="G220" s="90"/>
      <c r="H220" s="90"/>
    </row>
    <row r="221" spans="1:8" x14ac:dyDescent="0.45">
      <c r="A221" s="52">
        <v>45970</v>
      </c>
      <c r="B221" s="90">
        <v>24</v>
      </c>
      <c r="C221" s="90">
        <v>0</v>
      </c>
      <c r="D221" s="90">
        <v>0</v>
      </c>
      <c r="E221" s="90">
        <v>0</v>
      </c>
      <c r="F221" s="90"/>
      <c r="G221" s="90"/>
      <c r="H221" s="90"/>
    </row>
    <row r="222" spans="1:8" x14ac:dyDescent="0.45">
      <c r="A222" s="52">
        <v>45963</v>
      </c>
      <c r="B222" s="90">
        <v>18.5</v>
      </c>
      <c r="C222" s="90">
        <v>0</v>
      </c>
      <c r="D222" s="90">
        <v>0</v>
      </c>
      <c r="E222" s="90">
        <v>0</v>
      </c>
      <c r="F222" s="90"/>
      <c r="G222" s="90"/>
      <c r="H222" s="90"/>
    </row>
    <row r="223" spans="1:8" x14ac:dyDescent="0.45">
      <c r="A223" s="4" t="s">
        <v>22</v>
      </c>
      <c r="B223" s="90"/>
      <c r="C223" s="90"/>
      <c r="D223" s="90"/>
      <c r="E223" s="90"/>
      <c r="F223" s="90"/>
      <c r="G223" s="90"/>
      <c r="H223" s="90"/>
    </row>
    <row r="224" spans="1:8" x14ac:dyDescent="0.45">
      <c r="A224" s="4" t="s">
        <v>14</v>
      </c>
      <c r="B224" s="90">
        <v>6542.75</v>
      </c>
      <c r="C224" s="90">
        <v>1310.5</v>
      </c>
      <c r="D224" s="90">
        <v>376.5</v>
      </c>
      <c r="E224" s="90">
        <v>621.25</v>
      </c>
      <c r="F224" s="90"/>
      <c r="G224" s="90">
        <v>277</v>
      </c>
      <c r="H224" s="90">
        <v>20</v>
      </c>
    </row>
    <row r="225" spans="1:12" x14ac:dyDescent="0.45">
      <c r="A225"/>
      <c r="B225"/>
      <c r="C225"/>
      <c r="D225"/>
      <c r="E225"/>
      <c r="F225"/>
      <c r="G225"/>
      <c r="H225"/>
    </row>
    <row r="226" spans="1:12" x14ac:dyDescent="0.45">
      <c r="A226"/>
      <c r="B226"/>
      <c r="C226"/>
      <c r="D226"/>
      <c r="E226"/>
      <c r="F226"/>
      <c r="G226"/>
      <c r="H226"/>
    </row>
    <row r="227" spans="1:12" x14ac:dyDescent="0.45">
      <c r="A227"/>
      <c r="B227"/>
      <c r="C227"/>
      <c r="D227"/>
      <c r="E227"/>
      <c r="F227"/>
      <c r="G227"/>
      <c r="H227"/>
    </row>
    <row r="228" spans="1:12" x14ac:dyDescent="0.45">
      <c r="A228"/>
      <c r="B228"/>
      <c r="C228"/>
      <c r="D228"/>
      <c r="E228"/>
      <c r="F228"/>
      <c r="G228"/>
      <c r="H228"/>
      <c r="L228"/>
    </row>
    <row r="229" spans="1:12" x14ac:dyDescent="0.45">
      <c r="A229"/>
      <c r="B229"/>
      <c r="C229"/>
      <c r="D229"/>
      <c r="E229"/>
      <c r="F229"/>
      <c r="G229"/>
      <c r="H229"/>
    </row>
    <row r="230" spans="1:12" x14ac:dyDescent="0.45">
      <c r="A230"/>
      <c r="B230"/>
      <c r="C230"/>
      <c r="D230"/>
      <c r="E230"/>
      <c r="F230"/>
      <c r="G230"/>
      <c r="H230"/>
    </row>
    <row r="231" spans="1:12" x14ac:dyDescent="0.45">
      <c r="A231"/>
      <c r="B231"/>
      <c r="C231"/>
      <c r="D231"/>
      <c r="E231"/>
      <c r="F231"/>
      <c r="G231"/>
      <c r="H231"/>
    </row>
    <row r="232" spans="1:12" x14ac:dyDescent="0.45">
      <c r="A232"/>
      <c r="B232"/>
      <c r="C232"/>
      <c r="D232"/>
      <c r="E232"/>
      <c r="F232"/>
      <c r="G232"/>
      <c r="H232"/>
    </row>
    <row r="233" spans="1:12" x14ac:dyDescent="0.45">
      <c r="A233"/>
      <c r="B233"/>
      <c r="C233"/>
      <c r="D233"/>
      <c r="E233"/>
      <c r="F233"/>
      <c r="G233"/>
      <c r="H233"/>
    </row>
    <row r="234" spans="1:12" x14ac:dyDescent="0.45">
      <c r="A234"/>
      <c r="B234"/>
      <c r="C234"/>
      <c r="D234"/>
      <c r="E234"/>
      <c r="F234"/>
      <c r="G234"/>
      <c r="H234"/>
    </row>
    <row r="235" spans="1:12" x14ac:dyDescent="0.45">
      <c r="A235"/>
      <c r="B235"/>
      <c r="C235"/>
      <c r="D235"/>
      <c r="E235"/>
      <c r="F235"/>
      <c r="G235"/>
      <c r="H235"/>
    </row>
    <row r="236" spans="1:12" x14ac:dyDescent="0.45">
      <c r="A236"/>
      <c r="B236"/>
      <c r="C236"/>
      <c r="D236"/>
      <c r="E236"/>
      <c r="F236"/>
      <c r="G236"/>
      <c r="H236"/>
    </row>
    <row r="237" spans="1:12" x14ac:dyDescent="0.45">
      <c r="A237"/>
      <c r="B237"/>
      <c r="C237"/>
      <c r="D237"/>
      <c r="E237"/>
      <c r="F237"/>
      <c r="G237"/>
      <c r="H237"/>
    </row>
    <row r="238" spans="1:12" x14ac:dyDescent="0.45">
      <c r="A238"/>
      <c r="B238"/>
      <c r="C238"/>
      <c r="D238"/>
      <c r="E238"/>
      <c r="F238"/>
      <c r="G238"/>
      <c r="H238"/>
    </row>
    <row r="239" spans="1:12" x14ac:dyDescent="0.45">
      <c r="A239"/>
      <c r="B239"/>
      <c r="C239"/>
      <c r="D239"/>
      <c r="E239"/>
      <c r="F239"/>
      <c r="G239"/>
      <c r="H239"/>
    </row>
    <row r="240" spans="1:12" x14ac:dyDescent="0.45">
      <c r="A240"/>
      <c r="B240"/>
      <c r="C240"/>
      <c r="D240"/>
      <c r="E240"/>
      <c r="F240"/>
      <c r="G240"/>
      <c r="H240"/>
    </row>
    <row r="241" spans="1:18" x14ac:dyDescent="0.45">
      <c r="A241"/>
      <c r="B241"/>
      <c r="C241"/>
      <c r="D241"/>
      <c r="E241"/>
      <c r="F241"/>
      <c r="G241"/>
      <c r="H241"/>
      <c r="R241" s="17">
        <v>17311.68</v>
      </c>
    </row>
    <row r="242" spans="1:18" x14ac:dyDescent="0.45">
      <c r="A242"/>
      <c r="B242"/>
      <c r="C242"/>
      <c r="D242"/>
      <c r="E242"/>
      <c r="F242"/>
      <c r="G242"/>
      <c r="H242"/>
      <c r="R242" s="17">
        <v>9856.92</v>
      </c>
    </row>
    <row r="243" spans="1:18" x14ac:dyDescent="0.45">
      <c r="A243"/>
      <c r="B243"/>
      <c r="C243"/>
      <c r="D243"/>
      <c r="E243"/>
      <c r="F243"/>
      <c r="G243"/>
      <c r="H243"/>
      <c r="R243" s="17">
        <v>6705.31</v>
      </c>
    </row>
    <row r="244" spans="1:18" x14ac:dyDescent="0.45">
      <c r="A244"/>
      <c r="B244"/>
      <c r="C244"/>
      <c r="D244"/>
      <c r="E244"/>
      <c r="F244"/>
      <c r="G244"/>
      <c r="H244"/>
      <c r="R244">
        <v>4178.46</v>
      </c>
    </row>
    <row r="245" spans="1:18" x14ac:dyDescent="0.45">
      <c r="A245"/>
      <c r="B245"/>
      <c r="C245"/>
      <c r="D245"/>
      <c r="E245"/>
      <c r="F245"/>
      <c r="G245"/>
      <c r="H245"/>
      <c r="R245" s="17">
        <f>SUM(R241:R244)</f>
        <v>38052.369999999995</v>
      </c>
    </row>
    <row r="246" spans="1:18" x14ac:dyDescent="0.45">
      <c r="A246"/>
      <c r="B246"/>
      <c r="C246"/>
      <c r="D246"/>
      <c r="E246"/>
      <c r="F246"/>
      <c r="G246"/>
      <c r="H246"/>
    </row>
    <row r="247" spans="1:18" x14ac:dyDescent="0.45">
      <c r="A247"/>
      <c r="B247"/>
      <c r="C247"/>
      <c r="D247"/>
      <c r="E247"/>
      <c r="F247"/>
      <c r="G247"/>
      <c r="H247"/>
    </row>
    <row r="248" spans="1:18" x14ac:dyDescent="0.45">
      <c r="A248"/>
      <c r="B248"/>
      <c r="C248"/>
      <c r="D248"/>
      <c r="E248"/>
      <c r="F248"/>
      <c r="G248"/>
      <c r="H248"/>
    </row>
    <row r="249" spans="1:18" x14ac:dyDescent="0.45">
      <c r="A249"/>
      <c r="B249"/>
      <c r="C249"/>
      <c r="D249"/>
      <c r="E249"/>
      <c r="F249"/>
      <c r="G249"/>
      <c r="H249"/>
    </row>
    <row r="250" spans="1:18" x14ac:dyDescent="0.45">
      <c r="A250"/>
      <c r="B250"/>
      <c r="C250"/>
      <c r="D250"/>
      <c r="E250"/>
      <c r="F250"/>
      <c r="G250"/>
      <c r="H250"/>
    </row>
    <row r="251" spans="1:18" x14ac:dyDescent="0.45">
      <c r="A251"/>
      <c r="B251"/>
      <c r="C251"/>
      <c r="D251"/>
      <c r="E251"/>
      <c r="F251"/>
      <c r="G251"/>
      <c r="H251"/>
    </row>
    <row r="252" spans="1:18" x14ac:dyDescent="0.45">
      <c r="A252"/>
      <c r="B252"/>
      <c r="C252"/>
      <c r="D252"/>
      <c r="E252"/>
      <c r="F252"/>
      <c r="G252"/>
      <c r="H252"/>
    </row>
    <row r="253" spans="1:18" x14ac:dyDescent="0.45">
      <c r="A253"/>
      <c r="B253"/>
      <c r="C253"/>
      <c r="D253"/>
      <c r="E253"/>
      <c r="F253"/>
      <c r="G253"/>
      <c r="H253"/>
    </row>
    <row r="254" spans="1:18" x14ac:dyDescent="0.45">
      <c r="A254"/>
      <c r="B254"/>
      <c r="C254"/>
      <c r="D254"/>
      <c r="E254"/>
      <c r="F254"/>
      <c r="G254"/>
      <c r="H254"/>
    </row>
    <row r="255" spans="1:18" x14ac:dyDescent="0.45">
      <c r="A255"/>
      <c r="B255"/>
      <c r="C255"/>
      <c r="D255"/>
      <c r="E255"/>
      <c r="F255"/>
      <c r="G255"/>
      <c r="H255"/>
    </row>
    <row r="256" spans="1:18" x14ac:dyDescent="0.45">
      <c r="A256"/>
      <c r="B256"/>
      <c r="C256"/>
      <c r="D256"/>
      <c r="E256"/>
      <c r="F256"/>
      <c r="G256"/>
      <c r="H256"/>
    </row>
    <row r="257" spans="1:10" x14ac:dyDescent="0.45">
      <c r="A257"/>
      <c r="B257"/>
      <c r="C257"/>
      <c r="D257"/>
      <c r="E257"/>
      <c r="F257"/>
      <c r="G257"/>
      <c r="H257"/>
    </row>
    <row r="258" spans="1:10" x14ac:dyDescent="0.45">
      <c r="A258"/>
      <c r="B258"/>
      <c r="C258"/>
      <c r="D258"/>
      <c r="E258"/>
      <c r="F258"/>
      <c r="G258"/>
      <c r="H258"/>
    </row>
    <row r="259" spans="1:10" x14ac:dyDescent="0.45">
      <c r="A259"/>
      <c r="B259"/>
      <c r="C259"/>
      <c r="D259"/>
      <c r="E259"/>
      <c r="F259"/>
      <c r="G259"/>
      <c r="H259"/>
    </row>
    <row r="260" spans="1:10" x14ac:dyDescent="0.45">
      <c r="A260"/>
      <c r="B260"/>
      <c r="C260"/>
      <c r="D260"/>
      <c r="E260"/>
      <c r="F260"/>
      <c r="G260"/>
      <c r="H260"/>
    </row>
    <row r="261" spans="1:10" x14ac:dyDescent="0.45">
      <c r="A261"/>
      <c r="B261"/>
      <c r="C261"/>
      <c r="D261"/>
      <c r="E261"/>
      <c r="F261"/>
      <c r="G261"/>
      <c r="H261"/>
    </row>
    <row r="262" spans="1:10" x14ac:dyDescent="0.45">
      <c r="A262"/>
      <c r="B262"/>
      <c r="C262"/>
      <c r="D262"/>
      <c r="E262"/>
      <c r="F262"/>
      <c r="G262"/>
      <c r="H262"/>
    </row>
    <row r="263" spans="1:10" x14ac:dyDescent="0.45">
      <c r="A263"/>
      <c r="B263"/>
      <c r="C263"/>
      <c r="D263"/>
      <c r="E263"/>
      <c r="F263"/>
      <c r="G263"/>
      <c r="H263"/>
    </row>
    <row r="264" spans="1:10" x14ac:dyDescent="0.45">
      <c r="A264"/>
      <c r="B264"/>
      <c r="C264"/>
      <c r="D264"/>
      <c r="E264"/>
      <c r="F264"/>
      <c r="G264"/>
      <c r="H264"/>
      <c r="J264"/>
    </row>
    <row r="265" spans="1:10" x14ac:dyDescent="0.45">
      <c r="A265"/>
      <c r="B265"/>
      <c r="C265"/>
      <c r="D265"/>
      <c r="E265"/>
      <c r="F265"/>
      <c r="G265"/>
      <c r="H265"/>
      <c r="J265"/>
    </row>
    <row r="266" spans="1:10" x14ac:dyDescent="0.45">
      <c r="A266"/>
      <c r="B266"/>
      <c r="C266"/>
      <c r="D266"/>
      <c r="E266"/>
      <c r="F266"/>
      <c r="G266"/>
      <c r="H266"/>
      <c r="J266"/>
    </row>
    <row r="267" spans="1:10" x14ac:dyDescent="0.45">
      <c r="A267"/>
      <c r="B267"/>
      <c r="C267"/>
      <c r="D267"/>
      <c r="E267"/>
      <c r="F267"/>
      <c r="G267"/>
      <c r="H267"/>
      <c r="J267"/>
    </row>
    <row r="268" spans="1:10" x14ac:dyDescent="0.45">
      <c r="A268"/>
      <c r="B268"/>
      <c r="C268"/>
      <c r="D268"/>
      <c r="E268"/>
      <c r="F268"/>
      <c r="G268"/>
      <c r="H268"/>
    </row>
    <row r="269" spans="1:10" x14ac:dyDescent="0.45">
      <c r="A269"/>
      <c r="B269"/>
      <c r="C269"/>
      <c r="D269"/>
      <c r="E269"/>
      <c r="F269"/>
      <c r="G269"/>
      <c r="H269"/>
    </row>
    <row r="270" spans="1:10" x14ac:dyDescent="0.45">
      <c r="A270"/>
      <c r="B270"/>
      <c r="C270"/>
      <c r="D270"/>
      <c r="E270"/>
      <c r="F270"/>
      <c r="G270"/>
      <c r="H270"/>
    </row>
    <row r="271" spans="1:10" x14ac:dyDescent="0.45">
      <c r="A271"/>
      <c r="B271"/>
      <c r="C271"/>
      <c r="D271"/>
      <c r="E271"/>
      <c r="F271"/>
      <c r="G271"/>
      <c r="H271"/>
    </row>
    <row r="272" spans="1:10" x14ac:dyDescent="0.45">
      <c r="A272"/>
      <c r="B272"/>
      <c r="C272"/>
      <c r="D272"/>
      <c r="E272"/>
      <c r="F272"/>
      <c r="G272"/>
      <c r="H272"/>
    </row>
    <row r="273" spans="1:14" x14ac:dyDescent="0.45">
      <c r="A273"/>
      <c r="B273"/>
      <c r="C273"/>
      <c r="D273"/>
      <c r="E273"/>
      <c r="F273"/>
      <c r="G273"/>
      <c r="H273"/>
    </row>
    <row r="274" spans="1:14" x14ac:dyDescent="0.45">
      <c r="A274"/>
      <c r="B274"/>
      <c r="C274"/>
      <c r="D274"/>
      <c r="E274"/>
      <c r="F274"/>
      <c r="G274"/>
      <c r="H274"/>
    </row>
    <row r="275" spans="1:14" x14ac:dyDescent="0.45">
      <c r="A275"/>
      <c r="B275"/>
      <c r="C275"/>
      <c r="D275"/>
      <c r="E275"/>
      <c r="F275"/>
      <c r="G275"/>
      <c r="H275"/>
    </row>
    <row r="276" spans="1:14" x14ac:dyDescent="0.45">
      <c r="A276"/>
      <c r="B276"/>
      <c r="C276"/>
      <c r="D276"/>
      <c r="E276"/>
      <c r="F276"/>
      <c r="G276"/>
      <c r="H276"/>
    </row>
    <row r="277" spans="1:14" x14ac:dyDescent="0.45">
      <c r="A277"/>
      <c r="B277"/>
      <c r="C277"/>
      <c r="D277"/>
      <c r="E277"/>
      <c r="F277"/>
      <c r="G277"/>
      <c r="H277"/>
    </row>
    <row r="278" spans="1:14" x14ac:dyDescent="0.45">
      <c r="A278"/>
      <c r="B278"/>
      <c r="C278"/>
      <c r="D278"/>
      <c r="E278"/>
      <c r="F278"/>
      <c r="G278"/>
      <c r="H278"/>
    </row>
    <row r="279" spans="1:14" x14ac:dyDescent="0.45">
      <c r="A279"/>
      <c r="B279"/>
      <c r="C279"/>
      <c r="D279"/>
      <c r="E279"/>
      <c r="F279"/>
      <c r="G279"/>
      <c r="H279"/>
    </row>
    <row r="280" spans="1:14" x14ac:dyDescent="0.45">
      <c r="A280"/>
      <c r="B280"/>
      <c r="C280"/>
      <c r="D280"/>
      <c r="E280"/>
      <c r="F280"/>
      <c r="G280"/>
      <c r="H280"/>
    </row>
    <row r="281" spans="1:14" x14ac:dyDescent="0.45">
      <c r="A281"/>
      <c r="B281"/>
      <c r="C281"/>
      <c r="D281"/>
      <c r="E281"/>
      <c r="F281"/>
      <c r="G281"/>
      <c r="H281"/>
      <c r="L281"/>
      <c r="M281"/>
    </row>
    <row r="282" spans="1:14" x14ac:dyDescent="0.45">
      <c r="A282"/>
      <c r="B282"/>
      <c r="C282"/>
      <c r="D282"/>
      <c r="E282"/>
      <c r="F282"/>
      <c r="G282"/>
      <c r="H282"/>
      <c r="L282"/>
      <c r="M282"/>
    </row>
    <row r="283" spans="1:14" x14ac:dyDescent="0.45">
      <c r="A283"/>
      <c r="B283"/>
      <c r="C283"/>
      <c r="D283"/>
      <c r="E283"/>
      <c r="F283"/>
      <c r="G283"/>
      <c r="H283"/>
    </row>
    <row r="284" spans="1:14" x14ac:dyDescent="0.45">
      <c r="A284"/>
      <c r="B284"/>
      <c r="C284"/>
      <c r="D284"/>
      <c r="E284"/>
      <c r="F284"/>
      <c r="G284"/>
      <c r="H284"/>
      <c r="N284"/>
    </row>
    <row r="285" spans="1:14" x14ac:dyDescent="0.45">
      <c r="A285"/>
      <c r="B285"/>
      <c r="C285"/>
      <c r="D285"/>
      <c r="E285"/>
      <c r="F285"/>
      <c r="G285"/>
      <c r="H285"/>
    </row>
    <row r="286" spans="1:14" x14ac:dyDescent="0.45">
      <c r="A286"/>
      <c r="B286"/>
      <c r="C286"/>
      <c r="D286"/>
      <c r="E286"/>
      <c r="F286"/>
      <c r="G286"/>
      <c r="H286"/>
    </row>
    <row r="287" spans="1:14" x14ac:dyDescent="0.45">
      <c r="A287"/>
      <c r="B287"/>
      <c r="C287"/>
      <c r="D287"/>
      <c r="E287"/>
      <c r="F287"/>
      <c r="G287"/>
      <c r="H287"/>
    </row>
    <row r="288" spans="1:14" x14ac:dyDescent="0.45">
      <c r="A288"/>
      <c r="B288"/>
      <c r="C288"/>
      <c r="D288"/>
      <c r="E288"/>
      <c r="F288"/>
      <c r="G288"/>
      <c r="H288"/>
    </row>
    <row r="289" spans="1:8" x14ac:dyDescent="0.45">
      <c r="A289"/>
      <c r="B289"/>
      <c r="C289"/>
      <c r="D289"/>
      <c r="E289"/>
      <c r="F289"/>
      <c r="G289"/>
      <c r="H289"/>
    </row>
    <row r="290" spans="1:8" x14ac:dyDescent="0.45">
      <c r="A290"/>
      <c r="B290"/>
      <c r="C290"/>
      <c r="D290"/>
      <c r="E290"/>
      <c r="F290"/>
      <c r="G290"/>
      <c r="H290"/>
    </row>
    <row r="291" spans="1:8" x14ac:dyDescent="0.45">
      <c r="A291"/>
      <c r="B291"/>
      <c r="C291"/>
      <c r="D291"/>
      <c r="E291"/>
      <c r="F291"/>
      <c r="G291"/>
      <c r="H291"/>
    </row>
    <row r="292" spans="1:8" x14ac:dyDescent="0.45">
      <c r="A292"/>
      <c r="B292"/>
      <c r="C292"/>
      <c r="D292"/>
      <c r="E292"/>
      <c r="F292"/>
      <c r="G292"/>
      <c r="H292"/>
    </row>
    <row r="293" spans="1:8" x14ac:dyDescent="0.45">
      <c r="A293"/>
      <c r="B293"/>
      <c r="C293"/>
      <c r="D293"/>
      <c r="E293"/>
      <c r="F293"/>
      <c r="G293"/>
      <c r="H293"/>
    </row>
    <row r="294" spans="1:8" x14ac:dyDescent="0.45">
      <c r="A294"/>
      <c r="B294"/>
      <c r="C294"/>
      <c r="D294"/>
      <c r="E294"/>
      <c r="F294"/>
      <c r="G294"/>
      <c r="H294"/>
    </row>
    <row r="295" spans="1:8" x14ac:dyDescent="0.45">
      <c r="A295"/>
      <c r="B295"/>
      <c r="C295"/>
      <c r="D295"/>
      <c r="E295"/>
      <c r="F295"/>
      <c r="G295"/>
      <c r="H295"/>
    </row>
    <row r="296" spans="1:8" x14ac:dyDescent="0.45">
      <c r="A296"/>
      <c r="B296"/>
      <c r="C296"/>
      <c r="D296"/>
      <c r="E296"/>
      <c r="F296"/>
      <c r="G296"/>
      <c r="H296"/>
    </row>
    <row r="297" spans="1:8" x14ac:dyDescent="0.45">
      <c r="A297"/>
      <c r="B297"/>
      <c r="C297"/>
      <c r="D297"/>
      <c r="E297"/>
      <c r="F297"/>
      <c r="G297"/>
      <c r="H297"/>
    </row>
    <row r="298" spans="1:8" x14ac:dyDescent="0.45">
      <c r="A298"/>
      <c r="B298"/>
      <c r="C298"/>
      <c r="D298"/>
      <c r="E298"/>
      <c r="F298"/>
      <c r="G298"/>
      <c r="H298"/>
    </row>
    <row r="299" spans="1:8" x14ac:dyDescent="0.45">
      <c r="A299"/>
      <c r="B299"/>
      <c r="C299"/>
      <c r="D299"/>
      <c r="E299"/>
      <c r="F299"/>
      <c r="G299"/>
      <c r="H299"/>
    </row>
    <row r="300" spans="1:8" x14ac:dyDescent="0.45">
      <c r="A300"/>
      <c r="B300"/>
      <c r="C300"/>
      <c r="D300"/>
      <c r="E300"/>
      <c r="F300"/>
      <c r="G300"/>
      <c r="H300"/>
    </row>
    <row r="301" spans="1:8" x14ac:dyDescent="0.45">
      <c r="A301"/>
      <c r="B301"/>
      <c r="C301"/>
      <c r="D301"/>
      <c r="E301"/>
      <c r="F301"/>
      <c r="G301"/>
      <c r="H301"/>
    </row>
    <row r="302" spans="1:8" x14ac:dyDescent="0.45">
      <c r="A302"/>
      <c r="B302"/>
      <c r="C302"/>
      <c r="D302"/>
      <c r="E302"/>
      <c r="F302"/>
      <c r="G302"/>
      <c r="H302"/>
    </row>
    <row r="303" spans="1:8" x14ac:dyDescent="0.45">
      <c r="A303"/>
      <c r="B303"/>
      <c r="C303"/>
      <c r="D303"/>
      <c r="E303"/>
      <c r="F303"/>
      <c r="G303"/>
      <c r="H303"/>
    </row>
    <row r="304" spans="1:8" x14ac:dyDescent="0.45">
      <c r="A304"/>
      <c r="B304"/>
      <c r="C304"/>
      <c r="D304"/>
      <c r="E304"/>
      <c r="F304"/>
      <c r="G304"/>
      <c r="H304"/>
    </row>
    <row r="305" spans="1:10" x14ac:dyDescent="0.45">
      <c r="A305"/>
      <c r="B305"/>
      <c r="C305"/>
      <c r="D305"/>
      <c r="E305"/>
      <c r="F305"/>
      <c r="G305"/>
      <c r="H305"/>
    </row>
    <row r="306" spans="1:10" x14ac:dyDescent="0.45">
      <c r="A306"/>
      <c r="B306"/>
      <c r="C306"/>
      <c r="D306"/>
      <c r="E306"/>
      <c r="F306"/>
      <c r="G306"/>
      <c r="H306"/>
    </row>
    <row r="307" spans="1:10" x14ac:dyDescent="0.45">
      <c r="A307"/>
      <c r="B307"/>
      <c r="C307"/>
      <c r="D307"/>
      <c r="E307"/>
      <c r="F307"/>
      <c r="G307"/>
      <c r="H307"/>
    </row>
    <row r="308" spans="1:10" x14ac:dyDescent="0.45">
      <c r="A308"/>
      <c r="B308"/>
      <c r="C308"/>
      <c r="D308"/>
      <c r="E308"/>
      <c r="F308"/>
      <c r="G308"/>
      <c r="H308"/>
      <c r="J308" s="56"/>
    </row>
    <row r="309" spans="1:10" x14ac:dyDescent="0.45">
      <c r="A309"/>
      <c r="B309"/>
      <c r="C309"/>
      <c r="D309"/>
      <c r="E309"/>
      <c r="F309"/>
      <c r="G309"/>
      <c r="H309"/>
    </row>
    <row r="310" spans="1:10" x14ac:dyDescent="0.45">
      <c r="A310"/>
      <c r="B310"/>
      <c r="C310"/>
      <c r="D310"/>
      <c r="E310"/>
      <c r="F310"/>
      <c r="G310"/>
      <c r="H310"/>
    </row>
    <row r="311" spans="1:10" x14ac:dyDescent="0.45">
      <c r="A311"/>
      <c r="B311"/>
      <c r="C311"/>
      <c r="D311"/>
      <c r="E311"/>
      <c r="F311"/>
      <c r="G311"/>
      <c r="H311"/>
    </row>
    <row r="312" spans="1:10" x14ac:dyDescent="0.45">
      <c r="A312"/>
      <c r="B312"/>
      <c r="C312"/>
      <c r="D312"/>
      <c r="E312"/>
      <c r="F312"/>
      <c r="G312"/>
      <c r="H312"/>
    </row>
    <row r="313" spans="1:10" x14ac:dyDescent="0.45">
      <c r="A313"/>
      <c r="B313"/>
      <c r="C313"/>
      <c r="D313"/>
      <c r="E313"/>
      <c r="F313"/>
      <c r="G313"/>
      <c r="H313"/>
    </row>
    <row r="314" spans="1:10" x14ac:dyDescent="0.45">
      <c r="A314"/>
      <c r="B314"/>
      <c r="C314"/>
      <c r="D314"/>
      <c r="E314"/>
      <c r="F314"/>
      <c r="G314"/>
      <c r="H314"/>
    </row>
    <row r="315" spans="1:10" x14ac:dyDescent="0.45">
      <c r="A315"/>
      <c r="B315"/>
      <c r="C315"/>
      <c r="D315"/>
      <c r="E315"/>
      <c r="F315"/>
      <c r="G315"/>
      <c r="H315"/>
    </row>
    <row r="316" spans="1:10" x14ac:dyDescent="0.45">
      <c r="A316"/>
      <c r="B316"/>
      <c r="C316"/>
      <c r="D316"/>
      <c r="E316"/>
      <c r="F316"/>
      <c r="G316"/>
      <c r="H316"/>
    </row>
    <row r="317" spans="1:10" x14ac:dyDescent="0.45">
      <c r="A317"/>
      <c r="B317"/>
      <c r="C317"/>
      <c r="D317"/>
      <c r="E317"/>
      <c r="F317"/>
      <c r="G317"/>
      <c r="H317"/>
    </row>
    <row r="318" spans="1:10" x14ac:dyDescent="0.45">
      <c r="A318"/>
      <c r="B318"/>
      <c r="C318"/>
      <c r="D318"/>
      <c r="E318"/>
      <c r="F318"/>
      <c r="G318"/>
      <c r="H318"/>
    </row>
    <row r="319" spans="1:10" x14ac:dyDescent="0.45">
      <c r="A319"/>
      <c r="B319"/>
      <c r="C319"/>
      <c r="D319"/>
      <c r="E319"/>
      <c r="F319"/>
      <c r="G319"/>
      <c r="H319"/>
    </row>
    <row r="320" spans="1:10" x14ac:dyDescent="0.45">
      <c r="A320"/>
      <c r="B320"/>
      <c r="C320"/>
      <c r="D320"/>
      <c r="E320"/>
      <c r="F320"/>
      <c r="G320"/>
      <c r="H320"/>
    </row>
    <row r="321" spans="1:8" x14ac:dyDescent="0.45">
      <c r="A321"/>
      <c r="B321"/>
      <c r="C321"/>
      <c r="D321"/>
      <c r="E321"/>
      <c r="F321"/>
      <c r="G321"/>
      <c r="H321"/>
    </row>
    <row r="322" spans="1:8" x14ac:dyDescent="0.45">
      <c r="A322"/>
      <c r="B322"/>
      <c r="C322"/>
      <c r="D322"/>
      <c r="E322"/>
      <c r="F322"/>
      <c r="G322"/>
      <c r="H322"/>
    </row>
    <row r="323" spans="1:8" x14ac:dyDescent="0.45">
      <c r="A323"/>
      <c r="B323"/>
      <c r="C323"/>
      <c r="D323"/>
      <c r="E323"/>
      <c r="F323"/>
      <c r="G323"/>
      <c r="H323"/>
    </row>
    <row r="324" spans="1:8" x14ac:dyDescent="0.45">
      <c r="A324"/>
      <c r="B324"/>
      <c r="C324"/>
      <c r="D324"/>
      <c r="E324"/>
      <c r="F324"/>
      <c r="G324"/>
      <c r="H324"/>
    </row>
    <row r="325" spans="1:8" x14ac:dyDescent="0.45">
      <c r="A325"/>
      <c r="B325"/>
      <c r="C325"/>
      <c r="D325"/>
      <c r="E325"/>
      <c r="F325"/>
      <c r="G325"/>
      <c r="H325"/>
    </row>
    <row r="326" spans="1:8" x14ac:dyDescent="0.45">
      <c r="A326"/>
      <c r="B326"/>
      <c r="C326"/>
      <c r="D326"/>
      <c r="E326"/>
      <c r="F326"/>
      <c r="G326"/>
      <c r="H326"/>
    </row>
    <row r="327" spans="1:8" x14ac:dyDescent="0.45">
      <c r="A327"/>
      <c r="B327"/>
      <c r="C327"/>
      <c r="D327"/>
      <c r="E327"/>
      <c r="F327"/>
      <c r="G327"/>
      <c r="H327"/>
    </row>
    <row r="328" spans="1:8" x14ac:dyDescent="0.45">
      <c r="A328"/>
      <c r="B328"/>
      <c r="C328"/>
      <c r="D328"/>
      <c r="E328"/>
      <c r="F328"/>
      <c r="G328"/>
      <c r="H328"/>
    </row>
    <row r="329" spans="1:8" x14ac:dyDescent="0.45">
      <c r="A329"/>
      <c r="B329"/>
      <c r="C329"/>
      <c r="D329"/>
      <c r="E329"/>
      <c r="F329"/>
      <c r="G329"/>
      <c r="H329"/>
    </row>
    <row r="330" spans="1:8" x14ac:dyDescent="0.45">
      <c r="A330"/>
      <c r="B330"/>
      <c r="C330"/>
      <c r="D330"/>
      <c r="E330"/>
      <c r="F330"/>
      <c r="G330"/>
      <c r="H330"/>
    </row>
    <row r="331" spans="1:8" x14ac:dyDescent="0.45">
      <c r="A331"/>
      <c r="B331"/>
      <c r="C331"/>
      <c r="D331"/>
      <c r="E331"/>
      <c r="F331"/>
      <c r="G331"/>
      <c r="H331"/>
    </row>
    <row r="332" spans="1:8" x14ac:dyDescent="0.45">
      <c r="A332"/>
      <c r="B332"/>
      <c r="C332"/>
      <c r="D332"/>
      <c r="E332"/>
      <c r="F332"/>
      <c r="G332"/>
      <c r="H332"/>
    </row>
    <row r="333" spans="1:8" x14ac:dyDescent="0.45">
      <c r="A333"/>
      <c r="B333"/>
      <c r="C333"/>
      <c r="D333"/>
      <c r="E333"/>
      <c r="F333"/>
      <c r="G333"/>
      <c r="H333"/>
    </row>
    <row r="334" spans="1:8" x14ac:dyDescent="0.45">
      <c r="A334"/>
      <c r="B334"/>
      <c r="C334"/>
      <c r="D334"/>
      <c r="E334"/>
      <c r="F334"/>
      <c r="G334"/>
      <c r="H334"/>
    </row>
    <row r="335" spans="1:8" x14ac:dyDescent="0.45">
      <c r="A335"/>
      <c r="B335"/>
      <c r="C335"/>
      <c r="D335"/>
      <c r="E335"/>
      <c r="F335"/>
      <c r="G335"/>
      <c r="H335"/>
    </row>
    <row r="336" spans="1:8" x14ac:dyDescent="0.45">
      <c r="A336"/>
      <c r="B336"/>
      <c r="C336"/>
      <c r="D336"/>
      <c r="E336"/>
      <c r="F336"/>
      <c r="G336"/>
      <c r="H336"/>
    </row>
    <row r="337" spans="1:8" x14ac:dyDescent="0.45">
      <c r="A337"/>
      <c r="B337"/>
      <c r="C337"/>
      <c r="D337"/>
      <c r="E337"/>
      <c r="F337"/>
      <c r="G337"/>
      <c r="H337"/>
    </row>
    <row r="338" spans="1:8" x14ac:dyDescent="0.45">
      <c r="A338"/>
      <c r="B338"/>
      <c r="C338"/>
      <c r="D338"/>
      <c r="E338"/>
      <c r="F338"/>
      <c r="G338"/>
      <c r="H338"/>
    </row>
    <row r="339" spans="1:8" x14ac:dyDescent="0.45">
      <c r="A339"/>
      <c r="B339"/>
      <c r="C339"/>
      <c r="D339"/>
      <c r="E339"/>
      <c r="F339"/>
      <c r="G339"/>
      <c r="H339"/>
    </row>
    <row r="340" spans="1:8" x14ac:dyDescent="0.45">
      <c r="A340"/>
      <c r="B340"/>
      <c r="C340"/>
      <c r="D340"/>
      <c r="E340"/>
      <c r="F340"/>
      <c r="G340"/>
      <c r="H340"/>
    </row>
    <row r="341" spans="1:8" x14ac:dyDescent="0.45">
      <c r="A341"/>
      <c r="B341"/>
      <c r="C341"/>
      <c r="D341"/>
      <c r="E341"/>
      <c r="F341"/>
      <c r="G341"/>
      <c r="H341"/>
    </row>
    <row r="342" spans="1:8" x14ac:dyDescent="0.45">
      <c r="A342"/>
      <c r="B342"/>
      <c r="C342"/>
      <c r="D342"/>
      <c r="E342"/>
      <c r="F342"/>
      <c r="G342"/>
      <c r="H342"/>
    </row>
    <row r="343" spans="1:8" x14ac:dyDescent="0.45">
      <c r="A343"/>
      <c r="B343"/>
      <c r="C343"/>
      <c r="D343"/>
      <c r="E343"/>
      <c r="F343"/>
      <c r="G343"/>
      <c r="H343"/>
    </row>
    <row r="344" spans="1:8" x14ac:dyDescent="0.45">
      <c r="A344"/>
      <c r="B344"/>
      <c r="C344"/>
      <c r="D344"/>
      <c r="E344"/>
      <c r="F344"/>
      <c r="G344"/>
      <c r="H344"/>
    </row>
    <row r="345" spans="1:8" x14ac:dyDescent="0.45">
      <c r="A345"/>
      <c r="B345"/>
      <c r="C345"/>
      <c r="D345"/>
      <c r="E345"/>
      <c r="F345"/>
      <c r="G345"/>
      <c r="H345"/>
    </row>
    <row r="346" spans="1:8" x14ac:dyDescent="0.45">
      <c r="A346"/>
      <c r="B346"/>
      <c r="C346"/>
      <c r="D346"/>
      <c r="E346"/>
      <c r="F346"/>
      <c r="G346"/>
      <c r="H346"/>
    </row>
    <row r="347" spans="1:8" x14ac:dyDescent="0.45">
      <c r="A347"/>
      <c r="B347"/>
      <c r="C347"/>
      <c r="D347"/>
      <c r="E347"/>
      <c r="F347"/>
      <c r="G347"/>
      <c r="H347"/>
    </row>
    <row r="348" spans="1:8" x14ac:dyDescent="0.45">
      <c r="A348"/>
      <c r="B348"/>
      <c r="C348"/>
      <c r="D348"/>
      <c r="E348"/>
      <c r="F348"/>
      <c r="G348"/>
      <c r="H348"/>
    </row>
    <row r="349" spans="1:8" x14ac:dyDescent="0.45">
      <c r="A349"/>
      <c r="B349"/>
      <c r="C349"/>
      <c r="D349"/>
      <c r="E349"/>
      <c r="F349"/>
      <c r="G349"/>
      <c r="H349"/>
    </row>
    <row r="350" spans="1:8" x14ac:dyDescent="0.45">
      <c r="A350"/>
      <c r="B350"/>
      <c r="C350"/>
      <c r="D350"/>
      <c r="E350"/>
      <c r="F350"/>
      <c r="G350"/>
      <c r="H350"/>
    </row>
    <row r="351" spans="1:8" x14ac:dyDescent="0.45">
      <c r="A351"/>
      <c r="B351"/>
      <c r="C351"/>
      <c r="D351"/>
      <c r="E351"/>
      <c r="F351"/>
      <c r="G351"/>
      <c r="H351"/>
    </row>
    <row r="352" spans="1:8" x14ac:dyDescent="0.45">
      <c r="A352"/>
      <c r="B352"/>
      <c r="C352"/>
      <c r="D352"/>
      <c r="E352"/>
      <c r="F352"/>
      <c r="G352"/>
      <c r="H352"/>
    </row>
    <row r="353" spans="1:8" x14ac:dyDescent="0.45">
      <c r="A353"/>
      <c r="B353"/>
      <c r="C353"/>
      <c r="D353"/>
      <c r="E353"/>
      <c r="F353"/>
      <c r="G353"/>
      <c r="H353"/>
    </row>
    <row r="354" spans="1:8" x14ac:dyDescent="0.45">
      <c r="A354"/>
      <c r="B354"/>
      <c r="C354"/>
      <c r="D354"/>
      <c r="E354"/>
      <c r="F354"/>
      <c r="G354"/>
      <c r="H354"/>
    </row>
    <row r="355" spans="1:8" x14ac:dyDescent="0.45">
      <c r="A355"/>
      <c r="B355"/>
      <c r="C355"/>
      <c r="D355"/>
      <c r="E355"/>
      <c r="F355"/>
      <c r="G355"/>
      <c r="H355"/>
    </row>
    <row r="356" spans="1:8" x14ac:dyDescent="0.45">
      <c r="A356"/>
      <c r="B356"/>
      <c r="C356"/>
      <c r="D356"/>
      <c r="E356"/>
      <c r="F356"/>
      <c r="G356"/>
      <c r="H356"/>
    </row>
    <row r="357" spans="1:8" x14ac:dyDescent="0.45">
      <c r="A357"/>
      <c r="B357"/>
      <c r="C357"/>
      <c r="D357"/>
      <c r="E357"/>
      <c r="F357"/>
      <c r="G357"/>
      <c r="H357"/>
    </row>
    <row r="358" spans="1:8" x14ac:dyDescent="0.45">
      <c r="A358"/>
      <c r="B358"/>
      <c r="C358"/>
      <c r="D358"/>
      <c r="E358"/>
      <c r="F358"/>
      <c r="G358"/>
      <c r="H358"/>
    </row>
    <row r="359" spans="1:8" x14ac:dyDescent="0.45">
      <c r="A359"/>
      <c r="B359"/>
      <c r="C359"/>
      <c r="D359"/>
      <c r="E359"/>
      <c r="F359"/>
      <c r="G359"/>
      <c r="H359"/>
    </row>
    <row r="360" spans="1:8" x14ac:dyDescent="0.45">
      <c r="A360"/>
      <c r="B360"/>
      <c r="C360"/>
      <c r="D360"/>
      <c r="E360"/>
      <c r="F360"/>
      <c r="G360"/>
      <c r="H360"/>
    </row>
    <row r="361" spans="1:8" x14ac:dyDescent="0.45">
      <c r="A361"/>
      <c r="B361"/>
      <c r="C361"/>
      <c r="D361"/>
      <c r="E361"/>
      <c r="F361"/>
      <c r="G361"/>
      <c r="H361"/>
    </row>
    <row r="362" spans="1:8" x14ac:dyDescent="0.45">
      <c r="A362"/>
      <c r="B362"/>
      <c r="C362"/>
      <c r="D362"/>
      <c r="E362"/>
      <c r="F362"/>
      <c r="G362"/>
      <c r="H362"/>
    </row>
    <row r="363" spans="1:8" x14ac:dyDescent="0.45">
      <c r="A363"/>
      <c r="B363"/>
      <c r="C363"/>
      <c r="D363"/>
      <c r="E363"/>
      <c r="F363"/>
      <c r="G363"/>
      <c r="H363"/>
    </row>
    <row r="364" spans="1:8" x14ac:dyDescent="0.45">
      <c r="A364"/>
      <c r="B364"/>
      <c r="C364"/>
      <c r="D364"/>
      <c r="E364"/>
      <c r="F364"/>
      <c r="G364"/>
      <c r="H364"/>
    </row>
    <row r="365" spans="1:8" x14ac:dyDescent="0.45">
      <c r="A365"/>
      <c r="B365"/>
      <c r="C365"/>
      <c r="D365"/>
      <c r="E365"/>
      <c r="F365"/>
      <c r="G365"/>
      <c r="H365"/>
    </row>
    <row r="366" spans="1:8" x14ac:dyDescent="0.45">
      <c r="A366"/>
      <c r="B366"/>
      <c r="C366"/>
      <c r="D366"/>
      <c r="E366"/>
      <c r="F366"/>
      <c r="G366"/>
      <c r="H366"/>
    </row>
    <row r="367" spans="1:8" x14ac:dyDescent="0.45">
      <c r="A367"/>
      <c r="B367"/>
      <c r="C367"/>
      <c r="D367"/>
      <c r="E367"/>
      <c r="F367"/>
      <c r="G367"/>
      <c r="H367"/>
    </row>
    <row r="368" spans="1:8" x14ac:dyDescent="0.45">
      <c r="A368"/>
      <c r="B368"/>
      <c r="C368"/>
      <c r="D368"/>
      <c r="E368"/>
      <c r="F368"/>
      <c r="G368"/>
      <c r="H368"/>
    </row>
    <row r="369" spans="1:8" x14ac:dyDescent="0.45">
      <c r="A369"/>
      <c r="B369"/>
      <c r="C369"/>
      <c r="D369"/>
      <c r="E369"/>
      <c r="F369"/>
      <c r="G369"/>
      <c r="H369"/>
    </row>
    <row r="370" spans="1:8" x14ac:dyDescent="0.45">
      <c r="A370"/>
      <c r="B370"/>
      <c r="C370"/>
      <c r="D370"/>
      <c r="E370"/>
      <c r="F370"/>
      <c r="G370"/>
      <c r="H370"/>
    </row>
    <row r="371" spans="1:8" x14ac:dyDescent="0.45">
      <c r="A371"/>
      <c r="B371"/>
      <c r="C371"/>
      <c r="D371"/>
      <c r="E371"/>
      <c r="F371"/>
      <c r="G371"/>
      <c r="H371"/>
    </row>
    <row r="372" spans="1:8" x14ac:dyDescent="0.45">
      <c r="A372"/>
      <c r="B372"/>
      <c r="C372"/>
      <c r="D372"/>
      <c r="E372"/>
      <c r="F372"/>
      <c r="G372"/>
      <c r="H372"/>
    </row>
    <row r="373" spans="1:8" x14ac:dyDescent="0.45">
      <c r="A373"/>
      <c r="B373"/>
      <c r="C373"/>
      <c r="D373"/>
      <c r="E373"/>
      <c r="F373"/>
      <c r="G373"/>
      <c r="H373"/>
    </row>
    <row r="374" spans="1:8" x14ac:dyDescent="0.45">
      <c r="A374"/>
      <c r="B374"/>
      <c r="C374"/>
      <c r="D374"/>
      <c r="E374"/>
      <c r="F374"/>
      <c r="G374"/>
      <c r="H374"/>
    </row>
    <row r="375" spans="1:8" x14ac:dyDescent="0.45">
      <c r="A375"/>
      <c r="B375"/>
      <c r="C375"/>
      <c r="D375"/>
      <c r="E375"/>
      <c r="F375"/>
      <c r="G375"/>
      <c r="H375"/>
    </row>
    <row r="376" spans="1:8" x14ac:dyDescent="0.45">
      <c r="A376"/>
      <c r="B376"/>
      <c r="C376"/>
      <c r="D376"/>
      <c r="E376"/>
      <c r="F376"/>
      <c r="G376"/>
      <c r="H376"/>
    </row>
    <row r="377" spans="1:8" x14ac:dyDescent="0.45">
      <c r="A377"/>
      <c r="B377"/>
      <c r="C377"/>
      <c r="D377"/>
      <c r="E377"/>
      <c r="F377"/>
      <c r="G377"/>
      <c r="H377"/>
    </row>
    <row r="378" spans="1:8" x14ac:dyDescent="0.45">
      <c r="A378"/>
      <c r="B378"/>
      <c r="C378"/>
      <c r="D378"/>
      <c r="E378"/>
      <c r="F378"/>
      <c r="G378"/>
      <c r="H378"/>
    </row>
    <row r="379" spans="1:8" x14ac:dyDescent="0.45">
      <c r="A379"/>
      <c r="B379"/>
      <c r="C379"/>
      <c r="D379"/>
      <c r="E379"/>
      <c r="F379"/>
      <c r="G379"/>
      <c r="H379"/>
    </row>
    <row r="380" spans="1:8" x14ac:dyDescent="0.45">
      <c r="A380"/>
      <c r="B380"/>
      <c r="C380"/>
      <c r="D380"/>
      <c r="E380"/>
      <c r="F380"/>
      <c r="G380"/>
      <c r="H380"/>
    </row>
    <row r="381" spans="1:8" x14ac:dyDescent="0.45">
      <c r="A381"/>
      <c r="B381"/>
      <c r="C381"/>
      <c r="D381"/>
      <c r="E381"/>
      <c r="F381"/>
      <c r="G381"/>
      <c r="H381"/>
    </row>
    <row r="382" spans="1:8" x14ac:dyDescent="0.45">
      <c r="A382"/>
      <c r="B382"/>
      <c r="C382"/>
      <c r="D382"/>
      <c r="E382"/>
      <c r="F382"/>
      <c r="G382"/>
      <c r="H382"/>
    </row>
    <row r="383" spans="1:8" x14ac:dyDescent="0.45">
      <c r="A383"/>
      <c r="B383"/>
      <c r="C383"/>
      <c r="D383"/>
      <c r="E383"/>
      <c r="F383"/>
      <c r="G383"/>
      <c r="H383"/>
    </row>
    <row r="384" spans="1:8" x14ac:dyDescent="0.45">
      <c r="A384"/>
      <c r="B384"/>
      <c r="C384"/>
      <c r="D384"/>
      <c r="E384"/>
      <c r="F384"/>
      <c r="G384"/>
      <c r="H384"/>
    </row>
    <row r="385" spans="1:8" x14ac:dyDescent="0.45">
      <c r="A385"/>
      <c r="B385"/>
      <c r="C385"/>
      <c r="D385"/>
      <c r="E385"/>
      <c r="F385"/>
      <c r="G385"/>
      <c r="H385"/>
    </row>
    <row r="386" spans="1:8" x14ac:dyDescent="0.45">
      <c r="A386"/>
      <c r="B386"/>
      <c r="C386"/>
      <c r="D386"/>
      <c r="E386"/>
      <c r="F386"/>
      <c r="G386"/>
      <c r="H386"/>
    </row>
    <row r="387" spans="1:8" x14ac:dyDescent="0.45">
      <c r="A387"/>
      <c r="B387"/>
      <c r="C387"/>
      <c r="D387"/>
      <c r="E387"/>
      <c r="F387"/>
      <c r="G387"/>
      <c r="H387"/>
    </row>
    <row r="388" spans="1:8" x14ac:dyDescent="0.45">
      <c r="A388"/>
      <c r="B388"/>
      <c r="C388"/>
      <c r="D388"/>
      <c r="E388"/>
      <c r="F388"/>
      <c r="G388"/>
      <c r="H388"/>
    </row>
    <row r="389" spans="1:8" x14ac:dyDescent="0.45">
      <c r="A389"/>
      <c r="B389"/>
      <c r="C389"/>
      <c r="D389"/>
      <c r="E389"/>
      <c r="F389"/>
      <c r="G389"/>
      <c r="H389"/>
    </row>
    <row r="390" spans="1:8" x14ac:dyDescent="0.45">
      <c r="A390"/>
      <c r="B390"/>
      <c r="C390"/>
      <c r="D390"/>
      <c r="E390"/>
      <c r="F390"/>
      <c r="G390"/>
      <c r="H390"/>
    </row>
    <row r="391" spans="1:8" x14ac:dyDescent="0.45">
      <c r="A391"/>
      <c r="B391"/>
      <c r="C391"/>
      <c r="D391"/>
      <c r="E391"/>
      <c r="F391"/>
      <c r="G391"/>
      <c r="H391"/>
    </row>
    <row r="392" spans="1:8" x14ac:dyDescent="0.45">
      <c r="A392"/>
      <c r="B392"/>
      <c r="C392"/>
      <c r="D392"/>
      <c r="E392"/>
      <c r="F392"/>
      <c r="G392"/>
      <c r="H392"/>
    </row>
    <row r="393" spans="1:8" x14ac:dyDescent="0.45">
      <c r="A393"/>
      <c r="B393"/>
      <c r="C393"/>
      <c r="D393"/>
      <c r="E393"/>
      <c r="F393"/>
      <c r="G393"/>
      <c r="H393"/>
    </row>
    <row r="394" spans="1:8" x14ac:dyDescent="0.45">
      <c r="A394"/>
      <c r="B394"/>
      <c r="C394"/>
      <c r="D394"/>
      <c r="E394"/>
      <c r="F394"/>
      <c r="G394"/>
      <c r="H394"/>
    </row>
    <row r="395" spans="1:8" x14ac:dyDescent="0.45">
      <c r="A395"/>
      <c r="B395"/>
      <c r="C395"/>
      <c r="D395"/>
      <c r="E395"/>
      <c r="F395"/>
      <c r="G395"/>
      <c r="H395"/>
    </row>
    <row r="396" spans="1:8" x14ac:dyDescent="0.45">
      <c r="A396"/>
      <c r="B396"/>
      <c r="C396"/>
      <c r="D396"/>
      <c r="E396"/>
      <c r="F396"/>
      <c r="G396"/>
      <c r="H396"/>
    </row>
    <row r="397" spans="1:8" x14ac:dyDescent="0.45">
      <c r="A397"/>
      <c r="B397"/>
      <c r="C397"/>
      <c r="D397"/>
      <c r="E397"/>
      <c r="F397"/>
      <c r="G397"/>
      <c r="H397"/>
    </row>
    <row r="398" spans="1:8" x14ac:dyDescent="0.45">
      <c r="A398"/>
      <c r="B398"/>
      <c r="C398"/>
      <c r="D398"/>
      <c r="E398"/>
      <c r="F398"/>
      <c r="G398"/>
      <c r="H398"/>
    </row>
    <row r="399" spans="1:8" x14ac:dyDescent="0.45">
      <c r="A399"/>
      <c r="B399"/>
      <c r="C399"/>
      <c r="D399"/>
      <c r="E399"/>
      <c r="F399"/>
      <c r="G399"/>
      <c r="H399"/>
    </row>
    <row r="400" spans="1:8" x14ac:dyDescent="0.45">
      <c r="A400"/>
      <c r="B400"/>
      <c r="C400"/>
      <c r="D400"/>
      <c r="E400"/>
      <c r="F400"/>
      <c r="G400"/>
      <c r="H400"/>
    </row>
    <row r="401" spans="1:8" x14ac:dyDescent="0.45">
      <c r="A401"/>
      <c r="B401"/>
      <c r="C401"/>
      <c r="D401"/>
      <c r="E401"/>
      <c r="F401"/>
      <c r="G401"/>
      <c r="H401"/>
    </row>
    <row r="402" spans="1:8" x14ac:dyDescent="0.45">
      <c r="A402"/>
      <c r="B402"/>
      <c r="C402"/>
      <c r="D402"/>
      <c r="E402"/>
      <c r="F402"/>
      <c r="G402"/>
      <c r="H402"/>
    </row>
    <row r="403" spans="1:8" x14ac:dyDescent="0.45">
      <c r="A403"/>
      <c r="B403"/>
      <c r="C403"/>
      <c r="D403"/>
      <c r="E403"/>
      <c r="F403"/>
      <c r="G403"/>
      <c r="H403"/>
    </row>
    <row r="404" spans="1:8" x14ac:dyDescent="0.45">
      <c r="A404"/>
      <c r="B404"/>
      <c r="C404"/>
      <c r="D404"/>
      <c r="E404"/>
      <c r="F404"/>
      <c r="G404"/>
      <c r="H404"/>
    </row>
    <row r="405" spans="1:8" x14ac:dyDescent="0.45">
      <c r="A405"/>
      <c r="B405"/>
      <c r="C405"/>
      <c r="D405"/>
      <c r="E405"/>
      <c r="F405"/>
      <c r="G405"/>
      <c r="H405"/>
    </row>
    <row r="406" spans="1:8" x14ac:dyDescent="0.45">
      <c r="A406"/>
      <c r="B406"/>
      <c r="C406"/>
      <c r="D406"/>
      <c r="E406"/>
      <c r="F406"/>
      <c r="G406"/>
      <c r="H406"/>
    </row>
    <row r="407" spans="1:8" x14ac:dyDescent="0.45">
      <c r="A407"/>
      <c r="B407"/>
      <c r="C407"/>
      <c r="D407"/>
      <c r="E407"/>
      <c r="F407"/>
      <c r="G407"/>
      <c r="H407"/>
    </row>
    <row r="408" spans="1:8" x14ac:dyDescent="0.45">
      <c r="A408"/>
      <c r="B408"/>
      <c r="C408"/>
      <c r="D408"/>
      <c r="E408"/>
      <c r="F408"/>
      <c r="G408"/>
      <c r="H408"/>
    </row>
    <row r="409" spans="1:8" x14ac:dyDescent="0.45">
      <c r="A409"/>
      <c r="B409"/>
      <c r="C409"/>
      <c r="D409"/>
      <c r="E409"/>
      <c r="F409"/>
      <c r="G409"/>
      <c r="H409"/>
    </row>
    <row r="410" spans="1:8" x14ac:dyDescent="0.45">
      <c r="A410"/>
      <c r="B410"/>
      <c r="C410"/>
      <c r="D410"/>
      <c r="E410"/>
      <c r="F410"/>
      <c r="G410"/>
      <c r="H410"/>
    </row>
    <row r="411" spans="1:8" x14ac:dyDescent="0.45">
      <c r="A411"/>
      <c r="B411"/>
      <c r="C411"/>
      <c r="D411"/>
      <c r="E411"/>
      <c r="F411"/>
      <c r="G411"/>
      <c r="H411"/>
    </row>
    <row r="412" spans="1:8" x14ac:dyDescent="0.45">
      <c r="A412"/>
      <c r="B412"/>
      <c r="C412"/>
      <c r="D412"/>
      <c r="E412"/>
      <c r="F412"/>
      <c r="G412"/>
      <c r="H412"/>
    </row>
    <row r="413" spans="1:8" x14ac:dyDescent="0.45">
      <c r="A413"/>
      <c r="B413"/>
      <c r="C413"/>
      <c r="D413"/>
      <c r="E413"/>
      <c r="F413"/>
      <c r="G413"/>
      <c r="H413"/>
    </row>
    <row r="414" spans="1:8" x14ac:dyDescent="0.45">
      <c r="A414"/>
      <c r="B414"/>
      <c r="C414"/>
      <c r="D414"/>
      <c r="E414"/>
      <c r="F414"/>
      <c r="G414"/>
      <c r="H414"/>
    </row>
    <row r="415" spans="1:8" x14ac:dyDescent="0.45">
      <c r="A415"/>
      <c r="B415"/>
      <c r="C415"/>
      <c r="D415"/>
      <c r="E415"/>
      <c r="F415"/>
      <c r="G415"/>
      <c r="H415"/>
    </row>
    <row r="416" spans="1:8" x14ac:dyDescent="0.45">
      <c r="A416"/>
      <c r="B416"/>
      <c r="C416"/>
      <c r="D416"/>
      <c r="E416"/>
      <c r="F416"/>
      <c r="G416"/>
      <c r="H416"/>
    </row>
    <row r="417" spans="1:8" x14ac:dyDescent="0.45">
      <c r="A417"/>
      <c r="B417"/>
      <c r="C417"/>
      <c r="D417"/>
      <c r="E417"/>
      <c r="F417"/>
      <c r="G417"/>
      <c r="H417"/>
    </row>
    <row r="418" spans="1:8" x14ac:dyDescent="0.45">
      <c r="A418"/>
      <c r="B418"/>
      <c r="C418"/>
      <c r="D418"/>
      <c r="E418"/>
      <c r="F418"/>
      <c r="G418"/>
      <c r="H418"/>
    </row>
    <row r="419" spans="1:8" x14ac:dyDescent="0.45">
      <c r="A419"/>
      <c r="B419"/>
      <c r="C419"/>
      <c r="D419"/>
      <c r="E419"/>
      <c r="F419"/>
      <c r="G419"/>
      <c r="H419"/>
    </row>
    <row r="420" spans="1:8" x14ac:dyDescent="0.45">
      <c r="A420"/>
      <c r="B420"/>
      <c r="C420"/>
      <c r="D420"/>
      <c r="E420"/>
      <c r="F420"/>
      <c r="G420"/>
      <c r="H420"/>
    </row>
    <row r="421" spans="1:8" x14ac:dyDescent="0.45">
      <c r="A421"/>
      <c r="B421"/>
      <c r="C421"/>
      <c r="D421"/>
      <c r="E421"/>
      <c r="F421"/>
      <c r="G421"/>
      <c r="H421"/>
    </row>
    <row r="422" spans="1:8" x14ac:dyDescent="0.45">
      <c r="A422"/>
      <c r="B422"/>
      <c r="C422"/>
      <c r="D422"/>
      <c r="E422"/>
      <c r="F422"/>
      <c r="G422"/>
      <c r="H422"/>
    </row>
    <row r="423" spans="1:8" x14ac:dyDescent="0.45">
      <c r="A423"/>
      <c r="B423"/>
      <c r="C423"/>
      <c r="D423"/>
      <c r="E423"/>
      <c r="F423"/>
      <c r="G423"/>
      <c r="H423"/>
    </row>
    <row r="424" spans="1:8" x14ac:dyDescent="0.45">
      <c r="A424"/>
      <c r="B424"/>
      <c r="C424"/>
      <c r="D424"/>
      <c r="E424"/>
      <c r="F424"/>
      <c r="G424"/>
      <c r="H424"/>
    </row>
    <row r="425" spans="1:8" x14ac:dyDescent="0.45">
      <c r="A425"/>
      <c r="B425"/>
      <c r="C425"/>
      <c r="D425"/>
      <c r="E425"/>
      <c r="F425"/>
      <c r="G425"/>
      <c r="H425"/>
    </row>
    <row r="426" spans="1:8" x14ac:dyDescent="0.45">
      <c r="A426"/>
      <c r="B426"/>
      <c r="C426"/>
      <c r="D426"/>
      <c r="E426"/>
      <c r="F426"/>
      <c r="G426"/>
      <c r="H426"/>
    </row>
    <row r="427" spans="1:8" x14ac:dyDescent="0.45">
      <c r="A427"/>
      <c r="B427"/>
      <c r="C427"/>
      <c r="D427"/>
      <c r="E427"/>
      <c r="F427"/>
      <c r="G427"/>
      <c r="H427"/>
    </row>
    <row r="428" spans="1:8" x14ac:dyDescent="0.45">
      <c r="A428"/>
      <c r="B428"/>
      <c r="C428"/>
      <c r="D428"/>
      <c r="E428"/>
      <c r="F428"/>
      <c r="G428"/>
      <c r="H428"/>
    </row>
    <row r="429" spans="1:8" x14ac:dyDescent="0.45">
      <c r="A429"/>
      <c r="B429"/>
      <c r="C429"/>
      <c r="D429"/>
      <c r="E429"/>
      <c r="F429"/>
      <c r="G429"/>
      <c r="H429"/>
    </row>
    <row r="430" spans="1:8" x14ac:dyDescent="0.45">
      <c r="A430"/>
      <c r="B430"/>
      <c r="C430"/>
      <c r="D430"/>
      <c r="E430"/>
      <c r="F430"/>
      <c r="G430"/>
      <c r="H430"/>
    </row>
    <row r="431" spans="1:8" x14ac:dyDescent="0.45">
      <c r="A431"/>
      <c r="B431"/>
      <c r="C431"/>
      <c r="D431"/>
      <c r="E431"/>
      <c r="F431"/>
      <c r="G431"/>
      <c r="H431"/>
    </row>
    <row r="432" spans="1:8" x14ac:dyDescent="0.45">
      <c r="A432"/>
      <c r="B432"/>
      <c r="C432"/>
      <c r="D432"/>
      <c r="E432"/>
      <c r="F432"/>
      <c r="G432"/>
      <c r="H432"/>
    </row>
    <row r="433" spans="1:8" x14ac:dyDescent="0.45">
      <c r="A433"/>
      <c r="B433"/>
      <c r="C433"/>
      <c r="D433"/>
      <c r="E433"/>
      <c r="F433"/>
      <c r="G433"/>
      <c r="H433"/>
    </row>
    <row r="434" spans="1:8" x14ac:dyDescent="0.45">
      <c r="A434"/>
      <c r="B434"/>
      <c r="C434"/>
      <c r="D434"/>
      <c r="E434"/>
      <c r="F434"/>
      <c r="G434"/>
      <c r="H434"/>
    </row>
    <row r="435" spans="1:8" x14ac:dyDescent="0.45">
      <c r="A435"/>
      <c r="B435"/>
      <c r="C435"/>
      <c r="D435"/>
      <c r="E435"/>
      <c r="F435"/>
      <c r="G435"/>
      <c r="H435"/>
    </row>
    <row r="436" spans="1:8" x14ac:dyDescent="0.45">
      <c r="A436"/>
      <c r="B436"/>
      <c r="C436"/>
      <c r="D436"/>
      <c r="E436"/>
      <c r="F436"/>
      <c r="G436"/>
      <c r="H436"/>
    </row>
    <row r="437" spans="1:8" x14ac:dyDescent="0.45">
      <c r="A437"/>
      <c r="B437"/>
      <c r="C437"/>
      <c r="D437"/>
      <c r="E437"/>
      <c r="F437"/>
      <c r="G437"/>
      <c r="H437"/>
    </row>
    <row r="438" spans="1:8" x14ac:dyDescent="0.45">
      <c r="A438"/>
      <c r="B438"/>
      <c r="C438"/>
      <c r="D438"/>
      <c r="E438"/>
      <c r="F438"/>
      <c r="G438"/>
      <c r="H438"/>
    </row>
    <row r="439" spans="1:8" x14ac:dyDescent="0.45">
      <c r="A439"/>
      <c r="B439"/>
      <c r="C439"/>
      <c r="D439"/>
      <c r="E439"/>
      <c r="F439"/>
      <c r="G439"/>
      <c r="H439"/>
    </row>
    <row r="440" spans="1:8" x14ac:dyDescent="0.45">
      <c r="A440"/>
      <c r="B440"/>
      <c r="C440"/>
      <c r="D440"/>
      <c r="E440"/>
      <c r="F440"/>
      <c r="G440"/>
      <c r="H440"/>
    </row>
    <row r="441" spans="1:8" x14ac:dyDescent="0.45">
      <c r="A441"/>
      <c r="B441"/>
      <c r="C441"/>
      <c r="D441"/>
      <c r="E441"/>
      <c r="F441"/>
      <c r="G441"/>
      <c r="H441"/>
    </row>
    <row r="442" spans="1:8" x14ac:dyDescent="0.45">
      <c r="A442"/>
      <c r="B442"/>
      <c r="C442"/>
      <c r="D442"/>
      <c r="E442"/>
      <c r="F442"/>
      <c r="G442"/>
      <c r="H442"/>
    </row>
    <row r="443" spans="1:8" x14ac:dyDescent="0.45">
      <c r="A443"/>
      <c r="B443"/>
      <c r="C443"/>
      <c r="D443"/>
      <c r="E443"/>
      <c r="F443"/>
      <c r="G443"/>
      <c r="H443"/>
    </row>
    <row r="444" spans="1:8" x14ac:dyDescent="0.45">
      <c r="A444"/>
      <c r="B444"/>
      <c r="C444"/>
      <c r="D444"/>
      <c r="E444"/>
      <c r="F444"/>
      <c r="G444"/>
      <c r="H444"/>
    </row>
    <row r="445" spans="1:8" x14ac:dyDescent="0.45">
      <c r="A445"/>
      <c r="B445"/>
      <c r="C445"/>
      <c r="D445"/>
      <c r="E445"/>
      <c r="F445"/>
      <c r="G445"/>
      <c r="H445"/>
    </row>
    <row r="446" spans="1:8" x14ac:dyDescent="0.45">
      <c r="A446"/>
      <c r="B446"/>
      <c r="C446"/>
      <c r="D446"/>
      <c r="E446"/>
      <c r="F446"/>
      <c r="G446"/>
      <c r="H446"/>
    </row>
    <row r="447" spans="1:8" x14ac:dyDescent="0.45">
      <c r="A447"/>
      <c r="B447"/>
      <c r="C447"/>
      <c r="D447"/>
      <c r="E447"/>
      <c r="F447"/>
      <c r="G447"/>
      <c r="H447"/>
    </row>
    <row r="448" spans="1:8" x14ac:dyDescent="0.45">
      <c r="A448"/>
      <c r="B448"/>
      <c r="C448"/>
      <c r="D448"/>
      <c r="E448"/>
      <c r="F448"/>
      <c r="G448"/>
      <c r="H448"/>
    </row>
    <row r="449" spans="1:8" x14ac:dyDescent="0.45">
      <c r="A449"/>
      <c r="B449"/>
      <c r="C449"/>
      <c r="D449"/>
      <c r="E449"/>
      <c r="F449"/>
      <c r="G449"/>
      <c r="H449"/>
    </row>
    <row r="450" spans="1:8" x14ac:dyDescent="0.45">
      <c r="A450"/>
      <c r="B450"/>
      <c r="C450"/>
      <c r="D450"/>
      <c r="E450"/>
      <c r="F450"/>
      <c r="G450"/>
      <c r="H450"/>
    </row>
    <row r="451" spans="1:8" x14ac:dyDescent="0.45">
      <c r="A451"/>
      <c r="B451"/>
      <c r="C451"/>
      <c r="D451"/>
      <c r="E451"/>
      <c r="F451"/>
      <c r="G451"/>
      <c r="H451"/>
    </row>
    <row r="452" spans="1:8" x14ac:dyDescent="0.45">
      <c r="A452"/>
      <c r="B452"/>
      <c r="C452"/>
      <c r="D452"/>
      <c r="E452"/>
      <c r="F452"/>
      <c r="G452"/>
      <c r="H452"/>
    </row>
    <row r="453" spans="1:8" x14ac:dyDescent="0.45">
      <c r="A453"/>
      <c r="B453"/>
      <c r="C453"/>
      <c r="D453"/>
      <c r="E453"/>
      <c r="F453"/>
      <c r="G453"/>
      <c r="H453"/>
    </row>
    <row r="454" spans="1:8" x14ac:dyDescent="0.45">
      <c r="A454"/>
      <c r="B454"/>
      <c r="C454"/>
      <c r="D454"/>
      <c r="E454"/>
      <c r="F454"/>
      <c r="G454"/>
      <c r="H454"/>
    </row>
    <row r="455" spans="1:8" x14ac:dyDescent="0.45">
      <c r="A455"/>
      <c r="B455"/>
      <c r="C455"/>
      <c r="D455"/>
      <c r="E455"/>
      <c r="F455"/>
      <c r="G455"/>
      <c r="H455"/>
    </row>
    <row r="456" spans="1:8" x14ac:dyDescent="0.45">
      <c r="A456"/>
      <c r="B456"/>
      <c r="C456"/>
      <c r="D456"/>
      <c r="E456"/>
      <c r="F456"/>
      <c r="G456"/>
      <c r="H456"/>
    </row>
    <row r="457" spans="1:8" x14ac:dyDescent="0.45">
      <c r="A457"/>
      <c r="B457"/>
      <c r="C457"/>
      <c r="D457"/>
      <c r="E457"/>
      <c r="F457"/>
      <c r="G457"/>
      <c r="H457"/>
    </row>
    <row r="458" spans="1:8" x14ac:dyDescent="0.45">
      <c r="A458"/>
      <c r="B458"/>
      <c r="C458"/>
      <c r="D458"/>
      <c r="E458"/>
      <c r="F458"/>
      <c r="G458"/>
      <c r="H458"/>
    </row>
    <row r="459" spans="1:8" x14ac:dyDescent="0.45">
      <c r="A459"/>
      <c r="B459"/>
      <c r="C459"/>
      <c r="D459"/>
      <c r="E459"/>
      <c r="F459"/>
      <c r="G459"/>
      <c r="H459"/>
    </row>
    <row r="460" spans="1:8" x14ac:dyDescent="0.45">
      <c r="A460"/>
      <c r="B460"/>
      <c r="C460"/>
      <c r="D460"/>
      <c r="E460"/>
      <c r="F460"/>
      <c r="G460"/>
      <c r="H460"/>
    </row>
    <row r="461" spans="1:8" x14ac:dyDescent="0.45">
      <c r="A461"/>
      <c r="B461"/>
      <c r="C461"/>
      <c r="D461"/>
      <c r="E461"/>
      <c r="F461"/>
      <c r="G461"/>
      <c r="H461"/>
    </row>
    <row r="462" spans="1:8" x14ac:dyDescent="0.45">
      <c r="A462"/>
      <c r="B462"/>
      <c r="C462"/>
      <c r="D462"/>
      <c r="E462"/>
      <c r="F462"/>
      <c r="G462"/>
      <c r="H462"/>
    </row>
    <row r="463" spans="1:8" x14ac:dyDescent="0.45">
      <c r="A463"/>
      <c r="B463"/>
      <c r="C463"/>
      <c r="D463"/>
      <c r="E463"/>
      <c r="F463"/>
      <c r="G463"/>
      <c r="H463"/>
    </row>
    <row r="464" spans="1:8" x14ac:dyDescent="0.45">
      <c r="A464"/>
      <c r="B464"/>
      <c r="C464"/>
      <c r="D464"/>
      <c r="E464"/>
      <c r="F464"/>
      <c r="G464"/>
      <c r="H464"/>
    </row>
    <row r="465" spans="1:8" x14ac:dyDescent="0.45">
      <c r="A465"/>
      <c r="B465"/>
      <c r="C465"/>
      <c r="D465"/>
      <c r="E465"/>
      <c r="F465"/>
      <c r="G465"/>
      <c r="H465"/>
    </row>
    <row r="466" spans="1:8" x14ac:dyDescent="0.45">
      <c r="A466"/>
      <c r="B466"/>
      <c r="C466"/>
      <c r="D466"/>
      <c r="E466"/>
      <c r="F466"/>
      <c r="G466"/>
      <c r="H466"/>
    </row>
    <row r="467" spans="1:8" x14ac:dyDescent="0.45">
      <c r="A467"/>
      <c r="B467"/>
      <c r="C467"/>
      <c r="D467"/>
      <c r="E467"/>
      <c r="F467"/>
      <c r="G467"/>
      <c r="H467"/>
    </row>
    <row r="468" spans="1:8" x14ac:dyDescent="0.45">
      <c r="A468"/>
      <c r="B468"/>
      <c r="C468"/>
      <c r="D468"/>
      <c r="E468"/>
      <c r="F468"/>
      <c r="G468"/>
      <c r="H468"/>
    </row>
    <row r="469" spans="1:8" x14ac:dyDescent="0.45">
      <c r="A469"/>
      <c r="B469"/>
      <c r="C469"/>
      <c r="D469"/>
      <c r="E469"/>
      <c r="F469"/>
      <c r="G469"/>
      <c r="H469"/>
    </row>
    <row r="470" spans="1:8" x14ac:dyDescent="0.45">
      <c r="A470"/>
      <c r="B470"/>
      <c r="C470"/>
      <c r="D470"/>
      <c r="E470"/>
      <c r="F470"/>
      <c r="G470"/>
      <c r="H470"/>
    </row>
    <row r="471" spans="1:8" x14ac:dyDescent="0.45">
      <c r="A471"/>
      <c r="B471"/>
      <c r="C471"/>
      <c r="D471"/>
      <c r="E471"/>
      <c r="F471"/>
      <c r="G471"/>
      <c r="H471"/>
    </row>
    <row r="472" spans="1:8" x14ac:dyDescent="0.45">
      <c r="A472"/>
      <c r="B472"/>
      <c r="C472"/>
      <c r="D472"/>
      <c r="E472"/>
      <c r="F472"/>
      <c r="G472"/>
      <c r="H472"/>
    </row>
    <row r="473" spans="1:8" x14ac:dyDescent="0.45">
      <c r="A473"/>
      <c r="B473"/>
      <c r="C473"/>
      <c r="D473"/>
      <c r="E473"/>
      <c r="F473"/>
      <c r="G473"/>
      <c r="H473"/>
    </row>
    <row r="474" spans="1:8" x14ac:dyDescent="0.45">
      <c r="A474"/>
      <c r="B474"/>
      <c r="C474"/>
      <c r="D474"/>
      <c r="E474"/>
      <c r="F474"/>
      <c r="G474"/>
      <c r="H474"/>
    </row>
    <row r="475" spans="1:8" x14ac:dyDescent="0.45">
      <c r="A475"/>
      <c r="B475"/>
      <c r="C475"/>
      <c r="D475"/>
      <c r="E475"/>
      <c r="F475"/>
      <c r="G475"/>
      <c r="H475"/>
    </row>
    <row r="476" spans="1:8" x14ac:dyDescent="0.45">
      <c r="A476"/>
      <c r="B476"/>
      <c r="C476"/>
      <c r="D476"/>
      <c r="E476"/>
      <c r="F476"/>
      <c r="G476"/>
      <c r="H476"/>
    </row>
    <row r="477" spans="1:8" x14ac:dyDescent="0.45">
      <c r="A477"/>
      <c r="B477"/>
      <c r="C477"/>
      <c r="D477"/>
      <c r="E477"/>
      <c r="F477"/>
      <c r="G477"/>
      <c r="H477"/>
    </row>
    <row r="478" spans="1:8" x14ac:dyDescent="0.45">
      <c r="A478"/>
      <c r="B478"/>
      <c r="C478"/>
      <c r="D478"/>
      <c r="E478"/>
      <c r="F478"/>
      <c r="G478"/>
      <c r="H478"/>
    </row>
    <row r="479" spans="1:8" x14ac:dyDescent="0.45">
      <c r="A479"/>
      <c r="B479"/>
      <c r="C479"/>
      <c r="D479"/>
      <c r="E479"/>
      <c r="F479"/>
      <c r="G479"/>
      <c r="H479"/>
    </row>
    <row r="480" spans="1:8" x14ac:dyDescent="0.45">
      <c r="A480"/>
      <c r="B480"/>
      <c r="C480"/>
      <c r="D480"/>
      <c r="E480"/>
      <c r="F480"/>
      <c r="G480"/>
      <c r="H480"/>
    </row>
    <row r="481" spans="1:8" x14ac:dyDescent="0.45">
      <c r="A481"/>
      <c r="B481"/>
      <c r="C481"/>
      <c r="D481"/>
      <c r="E481"/>
      <c r="F481"/>
      <c r="G481"/>
      <c r="H481"/>
    </row>
    <row r="482" spans="1:8" x14ac:dyDescent="0.45">
      <c r="A482"/>
      <c r="B482"/>
      <c r="C482"/>
      <c r="D482"/>
      <c r="E482"/>
      <c r="F482"/>
      <c r="G482"/>
      <c r="H482"/>
    </row>
    <row r="483" spans="1:8" x14ac:dyDescent="0.45">
      <c r="A483"/>
      <c r="B483"/>
      <c r="C483"/>
      <c r="D483"/>
      <c r="E483"/>
      <c r="F483"/>
      <c r="G483"/>
      <c r="H483"/>
    </row>
    <row r="484" spans="1:8" x14ac:dyDescent="0.45">
      <c r="A484"/>
      <c r="B484"/>
      <c r="C484"/>
      <c r="D484"/>
      <c r="E484"/>
      <c r="F484"/>
      <c r="G484"/>
      <c r="H484"/>
    </row>
    <row r="485" spans="1:8" x14ac:dyDescent="0.45">
      <c r="A485"/>
      <c r="B485"/>
      <c r="C485"/>
      <c r="D485"/>
      <c r="E485"/>
      <c r="F485"/>
      <c r="G485"/>
      <c r="H485"/>
    </row>
    <row r="486" spans="1:8" x14ac:dyDescent="0.45">
      <c r="A486"/>
      <c r="B486"/>
      <c r="C486"/>
      <c r="D486"/>
      <c r="E486"/>
      <c r="F486"/>
      <c r="G486"/>
      <c r="H486"/>
    </row>
    <row r="487" spans="1:8" x14ac:dyDescent="0.45">
      <c r="A487"/>
      <c r="B487"/>
      <c r="C487"/>
      <c r="D487"/>
      <c r="E487"/>
      <c r="F487"/>
      <c r="G487"/>
      <c r="H487"/>
    </row>
    <row r="488" spans="1:8" x14ac:dyDescent="0.45">
      <c r="A488"/>
      <c r="B488"/>
      <c r="C488"/>
      <c r="D488"/>
      <c r="E488"/>
      <c r="F488"/>
      <c r="G488"/>
      <c r="H488"/>
    </row>
    <row r="489" spans="1:8" x14ac:dyDescent="0.45">
      <c r="A489"/>
      <c r="B489"/>
      <c r="C489"/>
      <c r="D489"/>
      <c r="E489"/>
      <c r="F489"/>
      <c r="G489"/>
      <c r="H489"/>
    </row>
    <row r="490" spans="1:8" x14ac:dyDescent="0.45">
      <c r="A490"/>
      <c r="B490"/>
      <c r="C490"/>
      <c r="D490"/>
      <c r="E490"/>
      <c r="F490"/>
      <c r="G490"/>
      <c r="H490"/>
    </row>
    <row r="491" spans="1:8" x14ac:dyDescent="0.45">
      <c r="A491"/>
      <c r="B491"/>
      <c r="C491"/>
      <c r="D491"/>
      <c r="E491"/>
      <c r="F491"/>
      <c r="G491"/>
      <c r="H491"/>
    </row>
    <row r="492" spans="1:8" x14ac:dyDescent="0.45">
      <c r="A492"/>
      <c r="B492"/>
      <c r="C492"/>
      <c r="D492"/>
      <c r="E492"/>
      <c r="F492"/>
      <c r="G492"/>
      <c r="H492"/>
    </row>
    <row r="493" spans="1:8" x14ac:dyDescent="0.45">
      <c r="A493"/>
      <c r="B493"/>
      <c r="C493"/>
      <c r="D493"/>
      <c r="E493"/>
      <c r="F493"/>
      <c r="G493"/>
      <c r="H493"/>
    </row>
    <row r="494" spans="1:8" x14ac:dyDescent="0.45">
      <c r="A494"/>
      <c r="B494"/>
      <c r="C494"/>
      <c r="D494"/>
      <c r="E494"/>
      <c r="F494"/>
      <c r="G494"/>
      <c r="H494"/>
    </row>
    <row r="495" spans="1:8" x14ac:dyDescent="0.45">
      <c r="A495"/>
      <c r="B495"/>
      <c r="C495"/>
      <c r="D495"/>
      <c r="E495"/>
      <c r="F495"/>
      <c r="G495"/>
      <c r="H495"/>
    </row>
    <row r="496" spans="1:8" x14ac:dyDescent="0.45">
      <c r="A496"/>
      <c r="B496"/>
      <c r="C496"/>
      <c r="D496"/>
      <c r="E496"/>
      <c r="F496"/>
      <c r="G496"/>
      <c r="H496"/>
    </row>
    <row r="497" spans="1:8" x14ac:dyDescent="0.45">
      <c r="A497"/>
      <c r="B497"/>
      <c r="C497"/>
      <c r="D497"/>
      <c r="E497"/>
      <c r="F497"/>
      <c r="G497"/>
      <c r="H497"/>
    </row>
    <row r="498" spans="1:8" x14ac:dyDescent="0.45">
      <c r="A498"/>
      <c r="B498"/>
      <c r="C498"/>
      <c r="D498"/>
      <c r="E498"/>
      <c r="F498"/>
      <c r="G498"/>
      <c r="H498"/>
    </row>
    <row r="499" spans="1:8" x14ac:dyDescent="0.45">
      <c r="A499"/>
      <c r="B499"/>
      <c r="C499"/>
      <c r="D499"/>
      <c r="E499"/>
      <c r="F499"/>
      <c r="G499"/>
      <c r="H499"/>
    </row>
    <row r="500" spans="1:8" x14ac:dyDescent="0.45">
      <c r="A500"/>
      <c r="B500"/>
      <c r="C500"/>
      <c r="D500"/>
      <c r="E500"/>
      <c r="F500"/>
      <c r="G500"/>
      <c r="H500"/>
    </row>
    <row r="501" spans="1:8" x14ac:dyDescent="0.45">
      <c r="A501"/>
      <c r="B501"/>
      <c r="C501"/>
      <c r="D501"/>
      <c r="E501"/>
      <c r="F501"/>
      <c r="G501"/>
      <c r="H501"/>
    </row>
    <row r="502" spans="1:8" x14ac:dyDescent="0.45">
      <c r="A502"/>
      <c r="B502"/>
      <c r="C502"/>
      <c r="D502"/>
      <c r="E502"/>
      <c r="F502"/>
      <c r="G502"/>
      <c r="H502"/>
    </row>
    <row r="503" spans="1:8" x14ac:dyDescent="0.45">
      <c r="A503"/>
      <c r="B503"/>
      <c r="C503"/>
      <c r="D503"/>
      <c r="E503"/>
      <c r="F503"/>
      <c r="G503"/>
      <c r="H503"/>
    </row>
    <row r="504" spans="1:8" x14ac:dyDescent="0.45">
      <c r="A504"/>
      <c r="B504"/>
      <c r="C504"/>
      <c r="D504"/>
      <c r="E504"/>
      <c r="F504"/>
      <c r="G504"/>
      <c r="H504"/>
    </row>
    <row r="505" spans="1:8" x14ac:dyDescent="0.45">
      <c r="A505"/>
      <c r="B505"/>
      <c r="C505"/>
      <c r="D505"/>
      <c r="E505"/>
      <c r="F505"/>
      <c r="G505"/>
      <c r="H505"/>
    </row>
    <row r="506" spans="1:8" x14ac:dyDescent="0.45">
      <c r="A506"/>
      <c r="B506"/>
      <c r="C506"/>
      <c r="D506"/>
      <c r="E506"/>
      <c r="F506"/>
      <c r="G506"/>
      <c r="H506"/>
    </row>
    <row r="507" spans="1:8" x14ac:dyDescent="0.45">
      <c r="A507"/>
      <c r="B507"/>
      <c r="C507"/>
      <c r="D507"/>
      <c r="E507"/>
      <c r="F507"/>
      <c r="G507"/>
      <c r="H507"/>
    </row>
    <row r="508" spans="1:8" x14ac:dyDescent="0.45">
      <c r="A508"/>
      <c r="B508"/>
      <c r="C508"/>
      <c r="D508"/>
      <c r="E508"/>
      <c r="F508"/>
      <c r="G508"/>
      <c r="H508"/>
    </row>
    <row r="509" spans="1:8" x14ac:dyDescent="0.45">
      <c r="A509"/>
      <c r="B509"/>
      <c r="C509"/>
      <c r="D509"/>
      <c r="E509"/>
      <c r="F509"/>
      <c r="G509"/>
      <c r="H509"/>
    </row>
    <row r="510" spans="1:8" x14ac:dyDescent="0.45">
      <c r="A510"/>
      <c r="B510"/>
      <c r="C510"/>
      <c r="D510"/>
      <c r="E510"/>
      <c r="F510"/>
      <c r="G510"/>
      <c r="H510"/>
    </row>
    <row r="511" spans="1:8" x14ac:dyDescent="0.45">
      <c r="A511"/>
      <c r="B511"/>
      <c r="C511"/>
      <c r="D511"/>
      <c r="E511"/>
      <c r="F511"/>
      <c r="G511"/>
      <c r="H511"/>
    </row>
    <row r="512" spans="1:8" x14ac:dyDescent="0.45">
      <c r="A512"/>
      <c r="B512"/>
      <c r="C512"/>
      <c r="D512"/>
      <c r="E512"/>
      <c r="F512"/>
      <c r="G512"/>
      <c r="H512"/>
    </row>
    <row r="513" spans="1:8" x14ac:dyDescent="0.45">
      <c r="A513"/>
      <c r="B513"/>
      <c r="C513"/>
      <c r="D513"/>
      <c r="E513"/>
      <c r="F513"/>
      <c r="G513"/>
      <c r="H513"/>
    </row>
    <row r="514" spans="1:8" x14ac:dyDescent="0.45">
      <c r="A514"/>
      <c r="B514"/>
      <c r="C514"/>
      <c r="D514"/>
      <c r="E514"/>
      <c r="F514"/>
      <c r="G514"/>
      <c r="H514"/>
    </row>
    <row r="515" spans="1:8" x14ac:dyDescent="0.45">
      <c r="A515"/>
      <c r="B515"/>
      <c r="C515"/>
      <c r="D515"/>
      <c r="E515"/>
      <c r="F515"/>
      <c r="G515"/>
      <c r="H515"/>
    </row>
    <row r="516" spans="1:8" x14ac:dyDescent="0.45">
      <c r="A516"/>
      <c r="B516"/>
      <c r="C516"/>
      <c r="D516"/>
      <c r="E516"/>
      <c r="F516"/>
      <c r="G516"/>
      <c r="H516"/>
    </row>
    <row r="517" spans="1:8" x14ac:dyDescent="0.45">
      <c r="A517"/>
      <c r="B517"/>
      <c r="C517"/>
      <c r="D517"/>
      <c r="E517"/>
      <c r="F517"/>
      <c r="G517"/>
      <c r="H517"/>
    </row>
    <row r="518" spans="1:8" x14ac:dyDescent="0.45">
      <c r="A518"/>
      <c r="B518"/>
      <c r="C518"/>
      <c r="D518"/>
      <c r="E518"/>
      <c r="F518"/>
      <c r="G518"/>
      <c r="H518"/>
    </row>
    <row r="519" spans="1:8" x14ac:dyDescent="0.45">
      <c r="A519"/>
      <c r="B519"/>
      <c r="C519"/>
      <c r="D519"/>
      <c r="E519"/>
      <c r="F519"/>
      <c r="G519"/>
      <c r="H519"/>
    </row>
    <row r="520" spans="1:8" x14ac:dyDescent="0.45">
      <c r="A520"/>
      <c r="B520"/>
      <c r="C520"/>
      <c r="D520"/>
      <c r="E520"/>
      <c r="F520"/>
      <c r="G520"/>
      <c r="H520"/>
    </row>
    <row r="521" spans="1:8" x14ac:dyDescent="0.45">
      <c r="A521"/>
      <c r="B521"/>
      <c r="C521"/>
      <c r="D521"/>
      <c r="E521"/>
      <c r="F521"/>
      <c r="G521"/>
      <c r="H521"/>
    </row>
    <row r="522" spans="1:8" x14ac:dyDescent="0.45">
      <c r="A522"/>
      <c r="B522"/>
      <c r="C522"/>
      <c r="D522"/>
      <c r="E522"/>
      <c r="F522"/>
      <c r="G522"/>
      <c r="H522"/>
    </row>
    <row r="523" spans="1:8" x14ac:dyDescent="0.45">
      <c r="A523"/>
      <c r="B523"/>
      <c r="C523"/>
      <c r="D523"/>
      <c r="E523"/>
      <c r="F523"/>
      <c r="G523"/>
      <c r="H523"/>
    </row>
    <row r="524" spans="1:8" x14ac:dyDescent="0.45">
      <c r="A524"/>
      <c r="B524"/>
      <c r="C524"/>
      <c r="D524"/>
      <c r="E524"/>
      <c r="F524"/>
      <c r="G524"/>
      <c r="H524"/>
    </row>
    <row r="525" spans="1:8" x14ac:dyDescent="0.45">
      <c r="A525"/>
      <c r="B525"/>
      <c r="C525"/>
      <c r="D525"/>
      <c r="E525"/>
      <c r="F525"/>
      <c r="G525"/>
      <c r="H525"/>
    </row>
    <row r="526" spans="1:8" x14ac:dyDescent="0.45">
      <c r="A526"/>
      <c r="B526"/>
      <c r="C526"/>
      <c r="D526"/>
      <c r="E526"/>
      <c r="F526"/>
      <c r="G526"/>
      <c r="H526"/>
    </row>
    <row r="527" spans="1:8" x14ac:dyDescent="0.45">
      <c r="A527"/>
      <c r="B527"/>
      <c r="C527"/>
      <c r="D527"/>
      <c r="E527"/>
      <c r="F527"/>
      <c r="G527"/>
      <c r="H527"/>
    </row>
    <row r="528" spans="1:8" x14ac:dyDescent="0.45">
      <c r="A528"/>
      <c r="B528"/>
      <c r="C528"/>
      <c r="D528"/>
      <c r="E528"/>
      <c r="F528"/>
      <c r="G528"/>
      <c r="H528"/>
    </row>
    <row r="529" spans="1:8" x14ac:dyDescent="0.45">
      <c r="A529"/>
      <c r="B529"/>
      <c r="C529"/>
      <c r="D529"/>
      <c r="E529"/>
      <c r="F529"/>
      <c r="G529"/>
      <c r="H529"/>
    </row>
    <row r="530" spans="1:8" x14ac:dyDescent="0.45">
      <c r="A530"/>
      <c r="B530"/>
      <c r="C530"/>
      <c r="D530"/>
      <c r="E530"/>
      <c r="F530"/>
      <c r="G530"/>
      <c r="H530"/>
    </row>
    <row r="531" spans="1:8" x14ac:dyDescent="0.45">
      <c r="A531"/>
      <c r="B531"/>
      <c r="C531"/>
      <c r="D531"/>
      <c r="E531"/>
      <c r="F531"/>
      <c r="G531"/>
      <c r="H531"/>
    </row>
    <row r="532" spans="1:8" x14ac:dyDescent="0.45">
      <c r="A532"/>
      <c r="B532"/>
      <c r="C532"/>
      <c r="D532"/>
      <c r="E532"/>
      <c r="F532"/>
      <c r="G532"/>
      <c r="H532"/>
    </row>
    <row r="533" spans="1:8" x14ac:dyDescent="0.45">
      <c r="A533"/>
      <c r="B533"/>
      <c r="C533"/>
      <c r="D533"/>
      <c r="E533"/>
      <c r="F533"/>
      <c r="G533"/>
      <c r="H533"/>
    </row>
    <row r="534" spans="1:8" x14ac:dyDescent="0.45">
      <c r="A534"/>
      <c r="B534"/>
      <c r="C534"/>
      <c r="D534"/>
      <c r="E534"/>
      <c r="F534"/>
      <c r="G534"/>
      <c r="H534"/>
    </row>
    <row r="535" spans="1:8" x14ac:dyDescent="0.45">
      <c r="A535"/>
      <c r="B535"/>
      <c r="C535"/>
      <c r="D535"/>
      <c r="E535"/>
      <c r="F535"/>
      <c r="G535"/>
      <c r="H535"/>
    </row>
    <row r="536" spans="1:8" x14ac:dyDescent="0.45">
      <c r="A536"/>
      <c r="B536"/>
      <c r="C536"/>
      <c r="D536"/>
      <c r="E536"/>
      <c r="F536"/>
      <c r="G536"/>
      <c r="H536"/>
    </row>
    <row r="537" spans="1:8" x14ac:dyDescent="0.45">
      <c r="A537"/>
      <c r="B537"/>
      <c r="C537"/>
      <c r="D537"/>
      <c r="E537"/>
      <c r="F537"/>
      <c r="G537"/>
      <c r="H537"/>
    </row>
    <row r="538" spans="1:8" x14ac:dyDescent="0.45">
      <c r="A538"/>
      <c r="B538"/>
      <c r="C538"/>
      <c r="D538"/>
      <c r="E538"/>
      <c r="F538"/>
      <c r="G538"/>
      <c r="H538"/>
    </row>
    <row r="539" spans="1:8" x14ac:dyDescent="0.45">
      <c r="A539"/>
      <c r="B539"/>
      <c r="C539"/>
      <c r="D539"/>
      <c r="E539"/>
      <c r="F539"/>
      <c r="G539"/>
      <c r="H539"/>
    </row>
    <row r="540" spans="1:8" x14ac:dyDescent="0.45">
      <c r="A540"/>
      <c r="B540"/>
      <c r="C540"/>
      <c r="D540"/>
      <c r="E540"/>
      <c r="F540"/>
      <c r="G540"/>
      <c r="H540"/>
    </row>
    <row r="541" spans="1:8" x14ac:dyDescent="0.45">
      <c r="A541"/>
      <c r="B541"/>
      <c r="C541"/>
      <c r="D541"/>
      <c r="E541"/>
      <c r="F541"/>
      <c r="G541"/>
      <c r="H541"/>
    </row>
    <row r="542" spans="1:8" x14ac:dyDescent="0.45">
      <c r="A542"/>
      <c r="B542"/>
      <c r="C542"/>
      <c r="D542"/>
      <c r="E542"/>
      <c r="F542"/>
      <c r="G542"/>
      <c r="H542"/>
    </row>
    <row r="543" spans="1:8" x14ac:dyDescent="0.45">
      <c r="A543"/>
      <c r="B543"/>
      <c r="C543"/>
      <c r="D543"/>
      <c r="E543"/>
      <c r="F543"/>
      <c r="G543"/>
      <c r="H543"/>
    </row>
    <row r="544" spans="1:8" x14ac:dyDescent="0.45">
      <c r="A544"/>
      <c r="B544"/>
      <c r="C544"/>
      <c r="D544"/>
      <c r="E544"/>
      <c r="F544"/>
      <c r="G544"/>
      <c r="H544"/>
    </row>
    <row r="545" spans="1:8" x14ac:dyDescent="0.45">
      <c r="A545"/>
      <c r="B545"/>
      <c r="C545"/>
      <c r="D545"/>
      <c r="E545"/>
      <c r="F545"/>
      <c r="G545"/>
      <c r="H545"/>
    </row>
    <row r="546" spans="1:8" x14ac:dyDescent="0.45">
      <c r="A546"/>
      <c r="B546"/>
      <c r="C546"/>
      <c r="D546"/>
      <c r="E546"/>
      <c r="F546"/>
      <c r="G546"/>
      <c r="H546"/>
    </row>
    <row r="547" spans="1:8" x14ac:dyDescent="0.45">
      <c r="A547"/>
      <c r="B547"/>
      <c r="C547"/>
      <c r="D547"/>
      <c r="E547"/>
      <c r="F547"/>
      <c r="G547"/>
      <c r="H547"/>
    </row>
    <row r="548" spans="1:8" x14ac:dyDescent="0.45">
      <c r="A548"/>
      <c r="B548"/>
      <c r="C548"/>
      <c r="D548"/>
      <c r="E548"/>
      <c r="F548"/>
      <c r="G548"/>
      <c r="H548"/>
    </row>
    <row r="549" spans="1:8" x14ac:dyDescent="0.45">
      <c r="A549"/>
      <c r="B549"/>
      <c r="C549"/>
      <c r="D549"/>
      <c r="E549"/>
      <c r="F549"/>
      <c r="G549"/>
      <c r="H549"/>
    </row>
    <row r="550" spans="1:8" x14ac:dyDescent="0.45">
      <c r="A550"/>
      <c r="B550"/>
      <c r="C550"/>
      <c r="D550"/>
      <c r="E550"/>
      <c r="F550"/>
      <c r="G550"/>
      <c r="H550"/>
    </row>
    <row r="551" spans="1:8" x14ac:dyDescent="0.45">
      <c r="A551"/>
      <c r="B551"/>
      <c r="C551"/>
      <c r="D551"/>
      <c r="E551"/>
      <c r="F551"/>
      <c r="G551"/>
      <c r="H551"/>
    </row>
    <row r="552" spans="1:8" x14ac:dyDescent="0.45">
      <c r="A552"/>
      <c r="B552"/>
      <c r="C552"/>
      <c r="D552"/>
      <c r="E552"/>
      <c r="F552"/>
      <c r="G552"/>
      <c r="H552"/>
    </row>
    <row r="553" spans="1:8" x14ac:dyDescent="0.45">
      <c r="A553"/>
      <c r="B553"/>
      <c r="C553"/>
      <c r="D553"/>
      <c r="E553"/>
      <c r="F553"/>
      <c r="G553"/>
      <c r="H553"/>
    </row>
    <row r="554" spans="1:8" x14ac:dyDescent="0.45">
      <c r="A554"/>
      <c r="B554"/>
      <c r="C554"/>
      <c r="D554"/>
      <c r="E554"/>
      <c r="F554"/>
      <c r="G554"/>
      <c r="H554"/>
    </row>
    <row r="555" spans="1:8" x14ac:dyDescent="0.45">
      <c r="A555"/>
      <c r="B555"/>
      <c r="C555"/>
      <c r="D555"/>
      <c r="E555"/>
      <c r="F555"/>
      <c r="G555"/>
      <c r="H555"/>
    </row>
    <row r="556" spans="1:8" x14ac:dyDescent="0.45">
      <c r="A556"/>
      <c r="B556"/>
      <c r="C556"/>
      <c r="D556"/>
      <c r="E556"/>
      <c r="F556"/>
      <c r="G556"/>
      <c r="H556"/>
    </row>
    <row r="557" spans="1:8" x14ac:dyDescent="0.45">
      <c r="A557"/>
      <c r="B557"/>
      <c r="C557"/>
      <c r="D557"/>
      <c r="E557"/>
      <c r="F557"/>
      <c r="G557"/>
      <c r="H557"/>
    </row>
    <row r="558" spans="1:8" x14ac:dyDescent="0.45">
      <c r="A558"/>
      <c r="B558"/>
      <c r="C558"/>
      <c r="D558"/>
      <c r="E558"/>
      <c r="F558"/>
      <c r="G558"/>
      <c r="H558"/>
    </row>
    <row r="559" spans="1:8" x14ac:dyDescent="0.45">
      <c r="A559"/>
      <c r="B559"/>
      <c r="C559"/>
      <c r="D559"/>
      <c r="E559"/>
      <c r="F559"/>
      <c r="G559"/>
      <c r="H559"/>
    </row>
    <row r="560" spans="1:8" x14ac:dyDescent="0.45">
      <c r="A560"/>
      <c r="B560"/>
      <c r="C560"/>
      <c r="D560"/>
      <c r="E560"/>
      <c r="F560"/>
      <c r="G560"/>
      <c r="H560"/>
    </row>
    <row r="561" spans="1:8" x14ac:dyDescent="0.45">
      <c r="A561"/>
      <c r="B561"/>
      <c r="C561"/>
      <c r="D561"/>
      <c r="E561"/>
      <c r="F561"/>
      <c r="G561"/>
      <c r="H561"/>
    </row>
    <row r="562" spans="1:8" x14ac:dyDescent="0.45">
      <c r="A562"/>
      <c r="B562"/>
      <c r="C562"/>
      <c r="D562"/>
      <c r="E562"/>
      <c r="F562"/>
      <c r="G562"/>
      <c r="H562"/>
    </row>
    <row r="563" spans="1:8" x14ac:dyDescent="0.45">
      <c r="A563"/>
      <c r="B563"/>
      <c r="C563"/>
      <c r="D563"/>
      <c r="E563"/>
      <c r="F563"/>
      <c r="G563"/>
      <c r="H563"/>
    </row>
    <row r="564" spans="1:8" x14ac:dyDescent="0.45">
      <c r="A564"/>
      <c r="B564"/>
      <c r="C564"/>
      <c r="D564"/>
      <c r="E564"/>
      <c r="F564"/>
      <c r="G564"/>
      <c r="H564"/>
    </row>
    <row r="565" spans="1:8" x14ac:dyDescent="0.45">
      <c r="A565"/>
      <c r="B565"/>
      <c r="C565"/>
      <c r="D565"/>
      <c r="E565"/>
      <c r="F565"/>
      <c r="G565"/>
      <c r="H565"/>
    </row>
    <row r="566" spans="1:8" x14ac:dyDescent="0.45">
      <c r="A566"/>
      <c r="B566"/>
      <c r="C566"/>
      <c r="D566"/>
      <c r="E566"/>
      <c r="F566"/>
      <c r="G566"/>
      <c r="H566"/>
    </row>
    <row r="567" spans="1:8" x14ac:dyDescent="0.45">
      <c r="A567"/>
      <c r="B567"/>
      <c r="C567"/>
      <c r="D567"/>
      <c r="E567"/>
      <c r="F567"/>
      <c r="G567"/>
      <c r="H567"/>
    </row>
    <row r="568" spans="1:8" x14ac:dyDescent="0.45">
      <c r="A568"/>
      <c r="B568"/>
      <c r="C568"/>
      <c r="D568"/>
      <c r="E568"/>
      <c r="F568"/>
      <c r="G568"/>
      <c r="H568"/>
    </row>
    <row r="569" spans="1:8" x14ac:dyDescent="0.45">
      <c r="A569"/>
      <c r="B569"/>
      <c r="C569"/>
      <c r="D569"/>
      <c r="E569"/>
      <c r="F569"/>
      <c r="G569"/>
      <c r="H569"/>
    </row>
    <row r="570" spans="1:8" x14ac:dyDescent="0.45">
      <c r="A570"/>
      <c r="B570"/>
      <c r="C570"/>
      <c r="D570"/>
      <c r="E570"/>
      <c r="F570"/>
      <c r="G570"/>
      <c r="H570"/>
    </row>
    <row r="571" spans="1:8" x14ac:dyDescent="0.45">
      <c r="A571"/>
      <c r="B571"/>
      <c r="C571"/>
      <c r="D571"/>
      <c r="E571"/>
      <c r="F571"/>
      <c r="G571"/>
      <c r="H571"/>
    </row>
    <row r="572" spans="1:8" x14ac:dyDescent="0.45">
      <c r="A572"/>
      <c r="B572"/>
      <c r="C572"/>
      <c r="D572"/>
      <c r="E572"/>
      <c r="F572"/>
      <c r="G572"/>
      <c r="H572"/>
    </row>
    <row r="573" spans="1:8" x14ac:dyDescent="0.45">
      <c r="A573"/>
      <c r="B573"/>
      <c r="C573"/>
      <c r="D573"/>
      <c r="E573"/>
      <c r="F573"/>
      <c r="G573"/>
      <c r="H573"/>
    </row>
    <row r="574" spans="1:8" x14ac:dyDescent="0.45">
      <c r="A574"/>
      <c r="B574"/>
      <c r="C574"/>
      <c r="D574"/>
      <c r="E574"/>
      <c r="F574"/>
      <c r="G574"/>
      <c r="H574"/>
    </row>
    <row r="575" spans="1:8" x14ac:dyDescent="0.45">
      <c r="A575"/>
      <c r="B575"/>
      <c r="C575"/>
      <c r="D575"/>
      <c r="E575"/>
      <c r="F575"/>
      <c r="G575"/>
      <c r="H575"/>
    </row>
    <row r="576" spans="1:8" x14ac:dyDescent="0.45">
      <c r="A576"/>
      <c r="B576"/>
      <c r="C576"/>
      <c r="D576"/>
      <c r="E576"/>
      <c r="F576"/>
      <c r="G576"/>
      <c r="H576"/>
    </row>
    <row r="577" spans="1:8" x14ac:dyDescent="0.45">
      <c r="A577"/>
      <c r="B577"/>
      <c r="C577"/>
      <c r="D577"/>
      <c r="E577"/>
      <c r="F577"/>
      <c r="G577"/>
      <c r="H577"/>
    </row>
    <row r="578" spans="1:8" x14ac:dyDescent="0.45">
      <c r="A578"/>
      <c r="B578"/>
      <c r="C578"/>
      <c r="D578"/>
      <c r="E578"/>
      <c r="F578"/>
      <c r="G578"/>
      <c r="H578"/>
    </row>
    <row r="579" spans="1:8" x14ac:dyDescent="0.45">
      <c r="A579"/>
      <c r="B579"/>
      <c r="C579"/>
      <c r="D579"/>
      <c r="E579"/>
      <c r="F579"/>
      <c r="G579"/>
      <c r="H579"/>
    </row>
    <row r="580" spans="1:8" x14ac:dyDescent="0.45">
      <c r="A580"/>
      <c r="B580"/>
      <c r="C580"/>
      <c r="D580"/>
      <c r="E580"/>
      <c r="F580"/>
      <c r="G580"/>
      <c r="H580"/>
    </row>
    <row r="581" spans="1:8" x14ac:dyDescent="0.45">
      <c r="A581"/>
      <c r="B581"/>
      <c r="C581"/>
      <c r="D581"/>
      <c r="E581"/>
      <c r="F581"/>
      <c r="G581"/>
      <c r="H581"/>
    </row>
    <row r="582" spans="1:8" x14ac:dyDescent="0.45">
      <c r="A582"/>
      <c r="B582"/>
      <c r="C582"/>
      <c r="D582"/>
      <c r="E582"/>
      <c r="F582"/>
      <c r="G582"/>
      <c r="H582"/>
    </row>
    <row r="583" spans="1:8" x14ac:dyDescent="0.45">
      <c r="A583"/>
      <c r="B583"/>
      <c r="C583"/>
      <c r="D583"/>
      <c r="E583"/>
      <c r="F583"/>
      <c r="G583"/>
      <c r="H583"/>
    </row>
    <row r="584" spans="1:8" x14ac:dyDescent="0.45">
      <c r="A584"/>
      <c r="B584"/>
      <c r="C584"/>
      <c r="D584"/>
      <c r="E584"/>
      <c r="F584"/>
      <c r="G584"/>
      <c r="H584"/>
    </row>
    <row r="585" spans="1:8" x14ac:dyDescent="0.45">
      <c r="A585"/>
      <c r="B585"/>
      <c r="C585"/>
      <c r="D585"/>
      <c r="E585"/>
      <c r="F585"/>
      <c r="G585"/>
      <c r="H585"/>
    </row>
    <row r="586" spans="1:8" x14ac:dyDescent="0.45">
      <c r="A586"/>
      <c r="B586"/>
      <c r="C586"/>
      <c r="D586"/>
      <c r="E586"/>
      <c r="F586"/>
      <c r="G586"/>
      <c r="H586"/>
    </row>
    <row r="587" spans="1:8" x14ac:dyDescent="0.45">
      <c r="A587"/>
      <c r="B587"/>
      <c r="C587"/>
      <c r="D587"/>
      <c r="E587"/>
      <c r="F587"/>
      <c r="G587"/>
      <c r="H587"/>
    </row>
    <row r="588" spans="1:8" x14ac:dyDescent="0.45">
      <c r="A588"/>
      <c r="B588"/>
      <c r="C588"/>
      <c r="D588"/>
      <c r="E588"/>
      <c r="F588"/>
      <c r="G588"/>
      <c r="H588"/>
    </row>
    <row r="589" spans="1:8" x14ac:dyDescent="0.45">
      <c r="A589"/>
      <c r="B589"/>
      <c r="C589"/>
      <c r="D589"/>
      <c r="E589"/>
      <c r="F589"/>
      <c r="G589"/>
      <c r="H589"/>
    </row>
    <row r="590" spans="1:8" x14ac:dyDescent="0.45">
      <c r="A590"/>
      <c r="B590"/>
      <c r="C590"/>
      <c r="D590"/>
      <c r="E590"/>
      <c r="F590"/>
      <c r="G590"/>
      <c r="H590"/>
    </row>
    <row r="591" spans="1:8" x14ac:dyDescent="0.45">
      <c r="A591"/>
      <c r="B591"/>
      <c r="C591"/>
      <c r="D591"/>
      <c r="E591"/>
      <c r="F591"/>
      <c r="G591"/>
      <c r="H591"/>
    </row>
    <row r="592" spans="1:8" x14ac:dyDescent="0.45">
      <c r="A592"/>
      <c r="B592"/>
      <c r="C592"/>
      <c r="D592"/>
      <c r="E592"/>
      <c r="F592"/>
      <c r="G592"/>
      <c r="H592"/>
    </row>
    <row r="593" spans="1:8" x14ac:dyDescent="0.45">
      <c r="A593"/>
      <c r="B593"/>
      <c r="C593"/>
      <c r="D593"/>
      <c r="E593"/>
      <c r="F593"/>
      <c r="G593"/>
      <c r="H593"/>
    </row>
    <row r="594" spans="1:8" x14ac:dyDescent="0.45">
      <c r="A594"/>
      <c r="B594"/>
      <c r="C594"/>
      <c r="D594"/>
      <c r="E594"/>
      <c r="F594"/>
      <c r="G594"/>
      <c r="H594"/>
    </row>
    <row r="595" spans="1:8" x14ac:dyDescent="0.45">
      <c r="A595"/>
      <c r="B595"/>
      <c r="C595"/>
      <c r="D595"/>
      <c r="E595"/>
      <c r="F595"/>
      <c r="G595"/>
      <c r="H595"/>
    </row>
    <row r="596" spans="1:8" x14ac:dyDescent="0.45">
      <c r="A596"/>
      <c r="B596"/>
      <c r="C596"/>
      <c r="D596"/>
      <c r="E596"/>
      <c r="F596"/>
      <c r="G596"/>
      <c r="H596"/>
    </row>
    <row r="597" spans="1:8" x14ac:dyDescent="0.45">
      <c r="A597"/>
      <c r="B597"/>
      <c r="C597"/>
      <c r="D597"/>
      <c r="E597"/>
      <c r="F597"/>
      <c r="G597"/>
      <c r="H597"/>
    </row>
    <row r="598" spans="1:8" x14ac:dyDescent="0.45">
      <c r="A598"/>
      <c r="B598"/>
      <c r="C598"/>
      <c r="D598"/>
      <c r="E598"/>
      <c r="F598"/>
      <c r="G598"/>
      <c r="H598"/>
    </row>
    <row r="599" spans="1:8" x14ac:dyDescent="0.45">
      <c r="A599"/>
      <c r="B599"/>
      <c r="C599"/>
      <c r="D599"/>
      <c r="E599"/>
      <c r="F599"/>
      <c r="G599"/>
      <c r="H599"/>
    </row>
    <row r="600" spans="1:8" x14ac:dyDescent="0.45">
      <c r="A600"/>
      <c r="B600"/>
      <c r="C600"/>
      <c r="D600"/>
      <c r="E600"/>
      <c r="F600"/>
      <c r="G600"/>
      <c r="H600"/>
    </row>
    <row r="601" spans="1:8" x14ac:dyDescent="0.45">
      <c r="A601"/>
      <c r="B601"/>
      <c r="C601"/>
      <c r="D601"/>
      <c r="E601"/>
      <c r="F601"/>
      <c r="G601"/>
      <c r="H601"/>
    </row>
    <row r="602" spans="1:8" x14ac:dyDescent="0.45">
      <c r="A602"/>
      <c r="B602"/>
      <c r="C602"/>
      <c r="D602"/>
      <c r="E602"/>
      <c r="F602"/>
      <c r="G602"/>
      <c r="H602"/>
    </row>
    <row r="603" spans="1:8" x14ac:dyDescent="0.45">
      <c r="A603"/>
      <c r="B603"/>
      <c r="C603"/>
      <c r="D603"/>
      <c r="E603"/>
      <c r="F603"/>
      <c r="G603"/>
      <c r="H603"/>
    </row>
    <row r="604" spans="1:8" x14ac:dyDescent="0.45">
      <c r="A604"/>
      <c r="B604"/>
      <c r="C604"/>
      <c r="D604"/>
      <c r="E604"/>
      <c r="F604"/>
      <c r="G604"/>
      <c r="H604"/>
    </row>
    <row r="605" spans="1:8" x14ac:dyDescent="0.45">
      <c r="A605"/>
      <c r="B605"/>
      <c r="C605"/>
      <c r="D605"/>
      <c r="E605"/>
      <c r="F605"/>
      <c r="G605"/>
      <c r="H605"/>
    </row>
    <row r="606" spans="1:8" x14ac:dyDescent="0.45">
      <c r="A606"/>
      <c r="B606"/>
      <c r="C606"/>
      <c r="D606"/>
      <c r="E606"/>
      <c r="F606"/>
      <c r="G606"/>
      <c r="H606"/>
    </row>
    <row r="607" spans="1:8" x14ac:dyDescent="0.45">
      <c r="A607"/>
      <c r="B607"/>
      <c r="C607"/>
      <c r="D607"/>
      <c r="E607"/>
      <c r="F607"/>
      <c r="G607"/>
      <c r="H607"/>
    </row>
    <row r="608" spans="1:8" x14ac:dyDescent="0.45">
      <c r="A608"/>
      <c r="B608"/>
      <c r="C608"/>
      <c r="D608"/>
      <c r="E608"/>
      <c r="F608"/>
      <c r="G608"/>
      <c r="H608"/>
    </row>
    <row r="609" spans="1:8" x14ac:dyDescent="0.45">
      <c r="A609"/>
      <c r="B609"/>
      <c r="C609"/>
      <c r="D609"/>
      <c r="E609"/>
      <c r="F609"/>
      <c r="G609"/>
      <c r="H609"/>
    </row>
    <row r="610" spans="1:8" x14ac:dyDescent="0.45">
      <c r="A610"/>
      <c r="B610"/>
      <c r="C610"/>
      <c r="D610"/>
      <c r="E610"/>
      <c r="F610"/>
      <c r="G610"/>
      <c r="H610"/>
    </row>
    <row r="611" spans="1:8" x14ac:dyDescent="0.45">
      <c r="A611"/>
      <c r="B611"/>
      <c r="C611"/>
      <c r="D611"/>
      <c r="E611"/>
      <c r="F611"/>
      <c r="G611"/>
      <c r="H611"/>
    </row>
    <row r="612" spans="1:8" x14ac:dyDescent="0.45">
      <c r="A612"/>
      <c r="B612"/>
      <c r="C612"/>
      <c r="D612"/>
      <c r="E612"/>
      <c r="F612"/>
      <c r="G612"/>
      <c r="H612"/>
    </row>
    <row r="613" spans="1:8" x14ac:dyDescent="0.45">
      <c r="A613"/>
      <c r="B613"/>
      <c r="C613"/>
      <c r="D613"/>
      <c r="E613"/>
      <c r="F613"/>
      <c r="G613"/>
      <c r="H613"/>
    </row>
    <row r="614" spans="1:8" x14ac:dyDescent="0.45">
      <c r="A614"/>
      <c r="B614"/>
      <c r="C614"/>
      <c r="D614"/>
      <c r="E614"/>
      <c r="F614"/>
      <c r="G614"/>
      <c r="H614"/>
    </row>
    <row r="615" spans="1:8" x14ac:dyDescent="0.45">
      <c r="A615"/>
      <c r="B615"/>
      <c r="C615"/>
      <c r="D615"/>
      <c r="E615"/>
      <c r="F615"/>
      <c r="G615"/>
      <c r="H615"/>
    </row>
    <row r="616" spans="1:8" x14ac:dyDescent="0.45">
      <c r="A616"/>
      <c r="B616"/>
      <c r="C616"/>
      <c r="D616"/>
      <c r="E616"/>
      <c r="F616"/>
      <c r="G616"/>
      <c r="H616"/>
    </row>
    <row r="617" spans="1:8" x14ac:dyDescent="0.45">
      <c r="A617"/>
      <c r="B617"/>
      <c r="C617"/>
      <c r="D617"/>
      <c r="E617"/>
      <c r="F617"/>
      <c r="G617"/>
      <c r="H617"/>
    </row>
    <row r="618" spans="1:8" x14ac:dyDescent="0.45">
      <c r="A618"/>
      <c r="B618"/>
      <c r="C618"/>
      <c r="D618"/>
      <c r="E618"/>
      <c r="F618"/>
      <c r="G618"/>
      <c r="H618"/>
    </row>
    <row r="619" spans="1:8" x14ac:dyDescent="0.45">
      <c r="A619"/>
      <c r="B619"/>
      <c r="C619"/>
      <c r="D619"/>
      <c r="E619"/>
      <c r="F619"/>
      <c r="G619"/>
      <c r="H619"/>
    </row>
    <row r="620" spans="1:8" x14ac:dyDescent="0.45">
      <c r="A620"/>
      <c r="B620"/>
      <c r="C620"/>
      <c r="D620"/>
      <c r="E620"/>
      <c r="F620"/>
      <c r="G620"/>
      <c r="H620"/>
    </row>
    <row r="621" spans="1:8" x14ac:dyDescent="0.45">
      <c r="A621"/>
      <c r="B621"/>
      <c r="C621"/>
      <c r="D621"/>
      <c r="E621"/>
      <c r="F621"/>
      <c r="G621"/>
      <c r="H621"/>
    </row>
    <row r="622" spans="1:8" x14ac:dyDescent="0.45">
      <c r="A622"/>
      <c r="B622"/>
      <c r="C622"/>
      <c r="D622"/>
      <c r="E622"/>
      <c r="F622"/>
      <c r="G622"/>
      <c r="H622"/>
    </row>
    <row r="623" spans="1:8" x14ac:dyDescent="0.45">
      <c r="A623"/>
      <c r="B623"/>
      <c r="C623"/>
      <c r="D623"/>
      <c r="E623"/>
      <c r="F623"/>
      <c r="G623"/>
      <c r="H623"/>
    </row>
    <row r="624" spans="1:8" x14ac:dyDescent="0.45">
      <c r="A624"/>
      <c r="B624"/>
      <c r="C624"/>
      <c r="D624"/>
      <c r="E624"/>
      <c r="F624"/>
      <c r="G624"/>
      <c r="H624"/>
    </row>
    <row r="625" spans="1:8" x14ac:dyDescent="0.45">
      <c r="A625"/>
      <c r="B625"/>
      <c r="C625"/>
      <c r="D625"/>
      <c r="E625"/>
      <c r="F625"/>
      <c r="G625"/>
      <c r="H625"/>
    </row>
    <row r="626" spans="1:8" x14ac:dyDescent="0.45">
      <c r="A626"/>
      <c r="B626"/>
      <c r="C626"/>
      <c r="D626"/>
      <c r="E626"/>
      <c r="F626"/>
      <c r="G626"/>
      <c r="H626"/>
    </row>
    <row r="627" spans="1:8" x14ac:dyDescent="0.45">
      <c r="A627"/>
      <c r="B627"/>
      <c r="C627"/>
      <c r="D627"/>
      <c r="E627"/>
      <c r="F627"/>
      <c r="G627"/>
      <c r="H627"/>
    </row>
    <row r="628" spans="1:8" x14ac:dyDescent="0.45">
      <c r="A628"/>
      <c r="B628"/>
      <c r="C628"/>
      <c r="D628"/>
      <c r="E628"/>
      <c r="F628"/>
      <c r="G628"/>
      <c r="H628"/>
    </row>
    <row r="629" spans="1:8" x14ac:dyDescent="0.45">
      <c r="A629"/>
      <c r="B629"/>
      <c r="C629"/>
      <c r="D629"/>
      <c r="E629"/>
      <c r="F629"/>
      <c r="G629"/>
      <c r="H629"/>
    </row>
    <row r="630" spans="1:8" x14ac:dyDescent="0.45">
      <c r="A630"/>
      <c r="B630"/>
      <c r="C630"/>
      <c r="D630"/>
      <c r="E630"/>
      <c r="F630"/>
      <c r="G630"/>
      <c r="H630"/>
    </row>
    <row r="631" spans="1:8" x14ac:dyDescent="0.45">
      <c r="A631"/>
      <c r="B631"/>
      <c r="C631"/>
      <c r="D631"/>
      <c r="E631"/>
      <c r="F631"/>
      <c r="G631"/>
      <c r="H631"/>
    </row>
    <row r="632" spans="1:8" x14ac:dyDescent="0.45">
      <c r="A632"/>
      <c r="B632"/>
      <c r="C632"/>
      <c r="D632"/>
      <c r="E632"/>
      <c r="F632"/>
      <c r="G632"/>
      <c r="H632"/>
    </row>
    <row r="633" spans="1:8" x14ac:dyDescent="0.45">
      <c r="A633"/>
      <c r="B633"/>
      <c r="C633"/>
      <c r="D633"/>
      <c r="E633"/>
      <c r="F633"/>
      <c r="G633"/>
      <c r="H633"/>
    </row>
    <row r="634" spans="1:8" x14ac:dyDescent="0.45">
      <c r="A634"/>
      <c r="B634"/>
      <c r="C634"/>
      <c r="D634"/>
      <c r="E634"/>
      <c r="F634"/>
      <c r="G634"/>
      <c r="H634"/>
    </row>
    <row r="635" spans="1:8" x14ac:dyDescent="0.45">
      <c r="A635"/>
      <c r="B635"/>
      <c r="C635"/>
      <c r="D635"/>
      <c r="E635"/>
      <c r="F635"/>
      <c r="G635"/>
      <c r="H635"/>
    </row>
    <row r="636" spans="1:8" x14ac:dyDescent="0.45">
      <c r="A636"/>
      <c r="B636"/>
      <c r="C636"/>
      <c r="D636"/>
      <c r="E636"/>
      <c r="F636"/>
      <c r="G636"/>
      <c r="H636"/>
    </row>
    <row r="637" spans="1:8" x14ac:dyDescent="0.45">
      <c r="A637"/>
      <c r="B637"/>
      <c r="C637"/>
      <c r="D637"/>
      <c r="E637"/>
      <c r="F637"/>
      <c r="G637"/>
      <c r="H637"/>
    </row>
    <row r="638" spans="1:8" x14ac:dyDescent="0.45">
      <c r="A638"/>
      <c r="B638"/>
      <c r="C638"/>
      <c r="D638"/>
      <c r="E638"/>
      <c r="F638"/>
      <c r="G638"/>
      <c r="H638"/>
    </row>
    <row r="639" spans="1:8" x14ac:dyDescent="0.45">
      <c r="A639"/>
      <c r="B639"/>
      <c r="C639"/>
      <c r="D639"/>
      <c r="E639"/>
      <c r="F639"/>
      <c r="G639"/>
      <c r="H639"/>
    </row>
    <row r="640" spans="1:8" x14ac:dyDescent="0.45">
      <c r="A640"/>
      <c r="B640"/>
      <c r="C640"/>
      <c r="D640"/>
      <c r="E640"/>
      <c r="F640"/>
      <c r="G640"/>
      <c r="H640"/>
    </row>
    <row r="641" spans="1:8" x14ac:dyDescent="0.45">
      <c r="A641"/>
      <c r="B641"/>
      <c r="C641"/>
      <c r="D641"/>
      <c r="E641"/>
      <c r="F641"/>
      <c r="G641"/>
      <c r="H641"/>
    </row>
    <row r="642" spans="1:8" x14ac:dyDescent="0.45">
      <c r="A642"/>
      <c r="B642"/>
      <c r="C642"/>
      <c r="D642"/>
      <c r="E642"/>
      <c r="F642"/>
      <c r="G642"/>
      <c r="H642"/>
    </row>
    <row r="643" spans="1:8" x14ac:dyDescent="0.45">
      <c r="A643"/>
      <c r="B643"/>
      <c r="C643"/>
      <c r="D643"/>
      <c r="E643"/>
      <c r="F643"/>
      <c r="G643"/>
      <c r="H643"/>
    </row>
    <row r="644" spans="1:8" x14ac:dyDescent="0.45">
      <c r="A644"/>
      <c r="B644"/>
      <c r="C644"/>
      <c r="D644"/>
      <c r="E644"/>
      <c r="F644"/>
      <c r="G644"/>
      <c r="H644"/>
    </row>
    <row r="645" spans="1:8" x14ac:dyDescent="0.45">
      <c r="A645"/>
      <c r="B645"/>
      <c r="C645"/>
      <c r="D645"/>
      <c r="E645"/>
      <c r="F645"/>
      <c r="G645"/>
      <c r="H645"/>
    </row>
    <row r="646" spans="1:8" x14ac:dyDescent="0.45">
      <c r="A646"/>
      <c r="B646"/>
      <c r="C646"/>
      <c r="D646"/>
      <c r="E646"/>
      <c r="F646"/>
      <c r="G646"/>
      <c r="H646"/>
    </row>
    <row r="647" spans="1:8" x14ac:dyDescent="0.45">
      <c r="A647"/>
      <c r="B647"/>
      <c r="C647"/>
      <c r="D647"/>
      <c r="E647"/>
      <c r="F647"/>
      <c r="G647"/>
      <c r="H647"/>
    </row>
    <row r="648" spans="1:8" x14ac:dyDescent="0.45">
      <c r="A648"/>
      <c r="B648"/>
      <c r="C648"/>
      <c r="D648"/>
      <c r="E648"/>
      <c r="F648"/>
      <c r="G648"/>
      <c r="H648"/>
    </row>
    <row r="649" spans="1:8" x14ac:dyDescent="0.45">
      <c r="A649"/>
      <c r="B649"/>
      <c r="C649"/>
      <c r="D649"/>
      <c r="E649"/>
      <c r="F649"/>
      <c r="G649"/>
      <c r="H649"/>
    </row>
    <row r="650" spans="1:8" x14ac:dyDescent="0.45">
      <c r="A650"/>
      <c r="B650"/>
      <c r="C650"/>
      <c r="D650"/>
      <c r="E650"/>
      <c r="F650"/>
      <c r="G650"/>
      <c r="H650"/>
    </row>
    <row r="651" spans="1:8" x14ac:dyDescent="0.45">
      <c r="A651"/>
      <c r="B651"/>
      <c r="C651"/>
      <c r="D651"/>
      <c r="E651"/>
      <c r="F651"/>
      <c r="G651"/>
      <c r="H651"/>
    </row>
    <row r="652" spans="1:8" x14ac:dyDescent="0.45">
      <c r="A652"/>
      <c r="B652"/>
      <c r="C652"/>
      <c r="D652"/>
      <c r="E652"/>
      <c r="F652"/>
      <c r="G652"/>
      <c r="H652"/>
    </row>
    <row r="653" spans="1:8" x14ac:dyDescent="0.45">
      <c r="A653"/>
      <c r="B653"/>
      <c r="C653"/>
      <c r="D653"/>
      <c r="E653"/>
      <c r="F653"/>
      <c r="G653"/>
      <c r="H653"/>
    </row>
    <row r="654" spans="1:8" x14ac:dyDescent="0.45">
      <c r="A654"/>
      <c r="B654"/>
      <c r="C654"/>
      <c r="D654"/>
      <c r="E654"/>
      <c r="F654"/>
      <c r="G654"/>
      <c r="H654"/>
    </row>
    <row r="655" spans="1:8" x14ac:dyDescent="0.45">
      <c r="A655"/>
      <c r="B655"/>
      <c r="C655"/>
      <c r="D655"/>
      <c r="E655"/>
      <c r="F655"/>
      <c r="G655"/>
      <c r="H655"/>
    </row>
    <row r="656" spans="1:8" x14ac:dyDescent="0.45">
      <c r="A656"/>
      <c r="B656"/>
      <c r="C656"/>
      <c r="D656"/>
      <c r="E656"/>
      <c r="F656"/>
      <c r="G656"/>
      <c r="H656"/>
    </row>
    <row r="657" spans="1:8" x14ac:dyDescent="0.45">
      <c r="A657"/>
      <c r="B657"/>
      <c r="C657"/>
      <c r="D657"/>
      <c r="E657"/>
      <c r="F657"/>
      <c r="G657"/>
      <c r="H657"/>
    </row>
    <row r="658" spans="1:8" x14ac:dyDescent="0.45">
      <c r="A658"/>
      <c r="B658"/>
      <c r="C658"/>
      <c r="D658"/>
      <c r="E658"/>
      <c r="F658"/>
      <c r="G658"/>
      <c r="H658"/>
    </row>
    <row r="659" spans="1:8" x14ac:dyDescent="0.45">
      <c r="A659"/>
      <c r="B659"/>
      <c r="C659"/>
      <c r="D659"/>
      <c r="E659"/>
      <c r="F659"/>
      <c r="G659"/>
      <c r="H659"/>
    </row>
    <row r="660" spans="1:8" x14ac:dyDescent="0.45">
      <c r="A660"/>
      <c r="B660"/>
      <c r="C660"/>
      <c r="D660"/>
      <c r="E660"/>
      <c r="F660"/>
      <c r="G660"/>
      <c r="H660"/>
    </row>
    <row r="661" spans="1:8" x14ac:dyDescent="0.45">
      <c r="A661"/>
      <c r="B661"/>
      <c r="C661"/>
      <c r="D661"/>
      <c r="E661"/>
      <c r="F661"/>
      <c r="G661"/>
      <c r="H661"/>
    </row>
    <row r="662" spans="1:8" x14ac:dyDescent="0.45">
      <c r="A662"/>
      <c r="B662"/>
      <c r="C662"/>
      <c r="D662"/>
      <c r="E662"/>
      <c r="F662"/>
      <c r="G662"/>
      <c r="H662"/>
    </row>
    <row r="663" spans="1:8" x14ac:dyDescent="0.45">
      <c r="A663"/>
      <c r="B663"/>
      <c r="C663"/>
      <c r="D663"/>
      <c r="E663"/>
      <c r="F663"/>
      <c r="G663"/>
      <c r="H663"/>
    </row>
    <row r="664" spans="1:8" x14ac:dyDescent="0.45">
      <c r="A664"/>
      <c r="B664"/>
      <c r="C664"/>
      <c r="D664"/>
      <c r="E664"/>
      <c r="F664"/>
      <c r="G664"/>
      <c r="H664"/>
    </row>
    <row r="665" spans="1:8" x14ac:dyDescent="0.45">
      <c r="A665"/>
      <c r="B665"/>
      <c r="C665"/>
      <c r="D665"/>
      <c r="E665"/>
      <c r="F665"/>
      <c r="G665"/>
      <c r="H665"/>
    </row>
    <row r="666" spans="1:8" x14ac:dyDescent="0.45">
      <c r="A666"/>
      <c r="B666"/>
      <c r="C666"/>
      <c r="D666"/>
      <c r="E666"/>
      <c r="F666"/>
      <c r="G666"/>
      <c r="H666"/>
    </row>
    <row r="667" spans="1:8" x14ac:dyDescent="0.45">
      <c r="A667"/>
      <c r="B667"/>
      <c r="C667"/>
      <c r="D667"/>
      <c r="E667"/>
      <c r="F667"/>
      <c r="G667"/>
      <c r="H667"/>
    </row>
    <row r="668" spans="1:8" x14ac:dyDescent="0.45">
      <c r="A668"/>
      <c r="B668"/>
      <c r="C668"/>
      <c r="D668"/>
      <c r="E668"/>
      <c r="F668"/>
      <c r="G668"/>
      <c r="H668"/>
    </row>
    <row r="669" spans="1:8" x14ac:dyDescent="0.45">
      <c r="A669"/>
      <c r="B669"/>
      <c r="C669"/>
      <c r="D669"/>
      <c r="E669"/>
      <c r="F669"/>
      <c r="G669"/>
      <c r="H669"/>
    </row>
    <row r="670" spans="1:8" x14ac:dyDescent="0.45">
      <c r="A670"/>
      <c r="B670"/>
      <c r="C670"/>
      <c r="D670"/>
      <c r="E670"/>
      <c r="F670"/>
      <c r="G670"/>
      <c r="H670"/>
    </row>
    <row r="671" spans="1:8" x14ac:dyDescent="0.45">
      <c r="A671"/>
      <c r="B671"/>
      <c r="C671"/>
      <c r="D671"/>
      <c r="E671"/>
      <c r="F671"/>
      <c r="G671"/>
      <c r="H671"/>
    </row>
    <row r="672" spans="1:8" x14ac:dyDescent="0.45">
      <c r="A672"/>
      <c r="B672"/>
      <c r="C672"/>
      <c r="D672"/>
      <c r="E672"/>
      <c r="F672"/>
      <c r="G672"/>
      <c r="H672"/>
    </row>
    <row r="673" spans="1:8" x14ac:dyDescent="0.45">
      <c r="A673"/>
      <c r="B673"/>
      <c r="C673"/>
      <c r="D673"/>
      <c r="E673"/>
      <c r="F673"/>
      <c r="G673"/>
      <c r="H673"/>
    </row>
    <row r="674" spans="1:8" x14ac:dyDescent="0.45">
      <c r="A674"/>
      <c r="B674"/>
      <c r="C674"/>
      <c r="D674"/>
      <c r="E674"/>
      <c r="F674"/>
      <c r="G674"/>
      <c r="H674"/>
    </row>
    <row r="675" spans="1:8" x14ac:dyDescent="0.45">
      <c r="A675"/>
      <c r="B675"/>
      <c r="C675"/>
      <c r="D675"/>
      <c r="E675"/>
      <c r="F675"/>
      <c r="G675"/>
      <c r="H675"/>
    </row>
    <row r="676" spans="1:8" x14ac:dyDescent="0.45">
      <c r="A676"/>
      <c r="B676"/>
      <c r="C676"/>
      <c r="D676"/>
      <c r="E676"/>
      <c r="F676"/>
      <c r="G676"/>
      <c r="H676"/>
    </row>
    <row r="677" spans="1:8" x14ac:dyDescent="0.45">
      <c r="A677"/>
      <c r="B677"/>
      <c r="C677"/>
      <c r="D677"/>
      <c r="E677"/>
      <c r="F677"/>
      <c r="G677"/>
      <c r="H677"/>
    </row>
    <row r="678" spans="1:8" x14ac:dyDescent="0.45">
      <c r="A678"/>
      <c r="B678"/>
      <c r="C678"/>
      <c r="D678"/>
      <c r="E678"/>
      <c r="F678"/>
      <c r="G678"/>
      <c r="H678"/>
    </row>
    <row r="679" spans="1:8" x14ac:dyDescent="0.45">
      <c r="A679"/>
      <c r="B679"/>
      <c r="C679"/>
      <c r="D679"/>
      <c r="E679"/>
      <c r="F679"/>
      <c r="G679"/>
      <c r="H679"/>
    </row>
    <row r="680" spans="1:8" x14ac:dyDescent="0.45">
      <c r="A680"/>
      <c r="B680"/>
      <c r="C680"/>
      <c r="D680"/>
      <c r="E680"/>
      <c r="F680"/>
      <c r="G680"/>
      <c r="H680"/>
    </row>
    <row r="681" spans="1:8" x14ac:dyDescent="0.45">
      <c r="A681"/>
      <c r="B681"/>
      <c r="C681"/>
      <c r="D681"/>
      <c r="E681"/>
      <c r="F681"/>
      <c r="G681"/>
      <c r="H681"/>
    </row>
    <row r="682" spans="1:8" x14ac:dyDescent="0.45">
      <c r="A682"/>
      <c r="B682"/>
      <c r="C682"/>
      <c r="D682"/>
      <c r="E682"/>
      <c r="F682"/>
      <c r="G682"/>
      <c r="H682"/>
    </row>
    <row r="683" spans="1:8" x14ac:dyDescent="0.45">
      <c r="A683"/>
      <c r="B683"/>
      <c r="C683"/>
      <c r="D683"/>
      <c r="E683"/>
      <c r="F683"/>
      <c r="G683"/>
      <c r="H683"/>
    </row>
    <row r="684" spans="1:8" x14ac:dyDescent="0.45">
      <c r="A684"/>
      <c r="B684"/>
      <c r="C684"/>
      <c r="D684"/>
      <c r="E684"/>
      <c r="F684"/>
      <c r="G684"/>
      <c r="H684"/>
    </row>
    <row r="685" spans="1:8" x14ac:dyDescent="0.45">
      <c r="A685"/>
      <c r="B685"/>
      <c r="C685"/>
      <c r="D685"/>
      <c r="E685"/>
      <c r="F685"/>
      <c r="G685"/>
      <c r="H685"/>
    </row>
    <row r="686" spans="1:8" x14ac:dyDescent="0.45">
      <c r="A686"/>
      <c r="B686"/>
      <c r="C686"/>
      <c r="D686"/>
      <c r="E686"/>
      <c r="F686"/>
      <c r="G686"/>
      <c r="H686"/>
    </row>
    <row r="687" spans="1:8" x14ac:dyDescent="0.45">
      <c r="A687"/>
      <c r="B687"/>
      <c r="C687"/>
      <c r="D687"/>
      <c r="E687"/>
      <c r="F687"/>
      <c r="G687"/>
      <c r="H687"/>
    </row>
    <row r="688" spans="1:8" x14ac:dyDescent="0.45">
      <c r="A688"/>
      <c r="B688"/>
      <c r="C688"/>
      <c r="D688"/>
      <c r="E688"/>
      <c r="F688"/>
      <c r="G688"/>
      <c r="H688"/>
    </row>
    <row r="689" spans="1:8" x14ac:dyDescent="0.45">
      <c r="A689"/>
      <c r="B689"/>
      <c r="C689"/>
      <c r="D689"/>
      <c r="E689"/>
      <c r="F689"/>
      <c r="G689"/>
      <c r="H689"/>
    </row>
    <row r="690" spans="1:8" x14ac:dyDescent="0.45">
      <c r="A690"/>
      <c r="B690"/>
      <c r="C690"/>
      <c r="D690"/>
      <c r="E690"/>
      <c r="F690"/>
      <c r="G690"/>
      <c r="H690"/>
    </row>
    <row r="691" spans="1:8" x14ac:dyDescent="0.45">
      <c r="A691"/>
      <c r="B691"/>
      <c r="C691"/>
      <c r="D691"/>
      <c r="E691"/>
      <c r="F691"/>
      <c r="G691"/>
      <c r="H691"/>
    </row>
    <row r="692" spans="1:8" x14ac:dyDescent="0.45">
      <c r="A692"/>
      <c r="B692"/>
      <c r="C692"/>
      <c r="D692"/>
      <c r="E692"/>
      <c r="F692"/>
      <c r="G692"/>
      <c r="H692"/>
    </row>
    <row r="693" spans="1:8" x14ac:dyDescent="0.45">
      <c r="A693"/>
      <c r="B693"/>
      <c r="C693"/>
      <c r="D693"/>
      <c r="E693"/>
      <c r="F693"/>
      <c r="G693"/>
      <c r="H693"/>
    </row>
    <row r="694" spans="1:8" x14ac:dyDescent="0.45">
      <c r="A694"/>
      <c r="B694"/>
      <c r="C694"/>
      <c r="D694"/>
      <c r="E694"/>
      <c r="F694"/>
      <c r="G694"/>
      <c r="H694"/>
    </row>
    <row r="695" spans="1:8" x14ac:dyDescent="0.45">
      <c r="A695"/>
      <c r="B695"/>
      <c r="C695"/>
      <c r="D695"/>
      <c r="E695"/>
      <c r="F695"/>
      <c r="G695"/>
      <c r="H695"/>
    </row>
    <row r="696" spans="1:8" x14ac:dyDescent="0.45">
      <c r="A696"/>
      <c r="B696"/>
      <c r="C696"/>
      <c r="D696"/>
      <c r="E696"/>
      <c r="F696"/>
      <c r="G696"/>
      <c r="H696"/>
    </row>
    <row r="697" spans="1:8" x14ac:dyDescent="0.45">
      <c r="A697"/>
      <c r="B697"/>
      <c r="C697"/>
      <c r="D697"/>
      <c r="E697"/>
      <c r="F697"/>
      <c r="G697"/>
      <c r="H697"/>
    </row>
    <row r="698" spans="1:8" x14ac:dyDescent="0.45">
      <c r="A698"/>
      <c r="B698"/>
      <c r="C698"/>
      <c r="D698"/>
      <c r="E698"/>
      <c r="F698"/>
      <c r="G698"/>
      <c r="H698"/>
    </row>
    <row r="699" spans="1:8" x14ac:dyDescent="0.45">
      <c r="A699"/>
      <c r="B699"/>
      <c r="C699"/>
      <c r="D699"/>
      <c r="E699"/>
      <c r="F699"/>
      <c r="G699"/>
      <c r="H699"/>
    </row>
    <row r="700" spans="1:8" x14ac:dyDescent="0.45">
      <c r="A700"/>
      <c r="B700"/>
      <c r="C700"/>
      <c r="D700"/>
      <c r="E700"/>
      <c r="F700"/>
      <c r="G700"/>
      <c r="H700"/>
    </row>
    <row r="701" spans="1:8" x14ac:dyDescent="0.45">
      <c r="A701"/>
      <c r="B701"/>
      <c r="C701"/>
      <c r="D701"/>
      <c r="E701"/>
      <c r="F701"/>
      <c r="G701"/>
      <c r="H701"/>
    </row>
    <row r="702" spans="1:8" x14ac:dyDescent="0.45">
      <c r="A702"/>
      <c r="B702"/>
      <c r="C702"/>
      <c r="D702"/>
      <c r="E702"/>
      <c r="F702"/>
      <c r="G702"/>
      <c r="H702"/>
    </row>
    <row r="703" spans="1:8" x14ac:dyDescent="0.45">
      <c r="A703"/>
      <c r="B703"/>
      <c r="C703"/>
      <c r="D703"/>
      <c r="E703"/>
      <c r="F703"/>
      <c r="G703"/>
      <c r="H703"/>
    </row>
    <row r="704" spans="1:8" x14ac:dyDescent="0.45">
      <c r="A704"/>
      <c r="B704"/>
      <c r="C704"/>
      <c r="D704"/>
      <c r="E704"/>
      <c r="F704"/>
      <c r="G704"/>
      <c r="H704"/>
    </row>
    <row r="705" spans="1:8" x14ac:dyDescent="0.45">
      <c r="A705"/>
      <c r="B705"/>
      <c r="C705"/>
      <c r="D705"/>
      <c r="E705"/>
      <c r="F705"/>
      <c r="G705"/>
      <c r="H705"/>
    </row>
    <row r="706" spans="1:8" x14ac:dyDescent="0.45">
      <c r="A706"/>
      <c r="B706"/>
      <c r="C706"/>
      <c r="D706"/>
      <c r="E706"/>
      <c r="F706"/>
      <c r="G706"/>
      <c r="H706"/>
    </row>
    <row r="707" spans="1:8" x14ac:dyDescent="0.45">
      <c r="A707"/>
      <c r="B707"/>
      <c r="C707"/>
      <c r="D707"/>
      <c r="E707"/>
      <c r="F707"/>
      <c r="G707"/>
      <c r="H707"/>
    </row>
    <row r="708" spans="1:8" x14ac:dyDescent="0.45">
      <c r="A708"/>
      <c r="B708"/>
      <c r="C708"/>
      <c r="D708"/>
      <c r="E708"/>
      <c r="F708"/>
      <c r="G708"/>
      <c r="H708"/>
    </row>
    <row r="709" spans="1:8" x14ac:dyDescent="0.45">
      <c r="A709"/>
      <c r="B709"/>
      <c r="C709"/>
      <c r="D709"/>
      <c r="E709"/>
      <c r="F709"/>
      <c r="G709"/>
      <c r="H709"/>
    </row>
    <row r="710" spans="1:8" x14ac:dyDescent="0.45">
      <c r="A710"/>
      <c r="B710"/>
      <c r="C710"/>
      <c r="D710"/>
      <c r="E710"/>
      <c r="F710"/>
      <c r="G710"/>
      <c r="H710"/>
    </row>
    <row r="711" spans="1:8" x14ac:dyDescent="0.45">
      <c r="A711"/>
      <c r="B711"/>
      <c r="C711"/>
      <c r="D711"/>
      <c r="E711"/>
      <c r="F711"/>
      <c r="G711"/>
      <c r="H711"/>
    </row>
    <row r="712" spans="1:8" x14ac:dyDescent="0.45">
      <c r="A712"/>
      <c r="B712"/>
      <c r="C712"/>
      <c r="D712"/>
      <c r="E712"/>
      <c r="F712"/>
      <c r="G712"/>
      <c r="H712"/>
    </row>
    <row r="713" spans="1:8" x14ac:dyDescent="0.45">
      <c r="A713"/>
      <c r="B713"/>
      <c r="C713"/>
      <c r="D713"/>
      <c r="E713"/>
      <c r="F713"/>
      <c r="G713"/>
      <c r="H713"/>
    </row>
    <row r="714" spans="1:8" x14ac:dyDescent="0.45">
      <c r="A714"/>
      <c r="B714"/>
      <c r="C714"/>
      <c r="D714"/>
      <c r="E714"/>
      <c r="F714"/>
      <c r="G714"/>
      <c r="H714"/>
    </row>
    <row r="715" spans="1:8" x14ac:dyDescent="0.45">
      <c r="A715"/>
      <c r="B715"/>
      <c r="C715"/>
      <c r="D715"/>
      <c r="E715"/>
      <c r="F715"/>
      <c r="G715"/>
      <c r="H715"/>
    </row>
    <row r="716" spans="1:8" x14ac:dyDescent="0.45">
      <c r="A716"/>
      <c r="B716"/>
      <c r="C716"/>
      <c r="D716"/>
      <c r="E716"/>
      <c r="F716"/>
      <c r="G716"/>
      <c r="H716"/>
    </row>
    <row r="717" spans="1:8" x14ac:dyDescent="0.45">
      <c r="A717"/>
      <c r="B717"/>
      <c r="C717"/>
      <c r="D717"/>
      <c r="E717"/>
      <c r="F717"/>
      <c r="G717"/>
      <c r="H717"/>
    </row>
    <row r="718" spans="1:8" x14ac:dyDescent="0.45">
      <c r="A718"/>
      <c r="B718"/>
      <c r="C718"/>
      <c r="D718"/>
      <c r="E718"/>
      <c r="F718"/>
      <c r="G718"/>
      <c r="H718"/>
    </row>
    <row r="719" spans="1:8" x14ac:dyDescent="0.45">
      <c r="A719"/>
      <c r="B719"/>
      <c r="C719"/>
      <c r="D719"/>
      <c r="E719"/>
      <c r="F719"/>
      <c r="G719"/>
      <c r="H719"/>
    </row>
    <row r="720" spans="1:8" x14ac:dyDescent="0.45">
      <c r="A720"/>
      <c r="B720"/>
      <c r="C720"/>
      <c r="D720"/>
      <c r="E720"/>
      <c r="F720"/>
      <c r="G720"/>
      <c r="H720"/>
    </row>
    <row r="721" spans="1:8" x14ac:dyDescent="0.45">
      <c r="A721"/>
      <c r="B721"/>
      <c r="C721"/>
      <c r="D721"/>
      <c r="E721"/>
      <c r="F721"/>
      <c r="G721"/>
      <c r="H721"/>
    </row>
    <row r="722" spans="1:8" x14ac:dyDescent="0.45">
      <c r="A722"/>
      <c r="B722"/>
      <c r="C722"/>
      <c r="D722"/>
      <c r="E722"/>
      <c r="F722"/>
      <c r="G722"/>
      <c r="H722"/>
    </row>
    <row r="723" spans="1:8" x14ac:dyDescent="0.45">
      <c r="A723"/>
      <c r="B723"/>
      <c r="C723"/>
      <c r="D723"/>
      <c r="E723"/>
      <c r="F723"/>
      <c r="G723"/>
      <c r="H723"/>
    </row>
    <row r="724" spans="1:8" x14ac:dyDescent="0.45">
      <c r="A724"/>
      <c r="B724"/>
      <c r="C724"/>
      <c r="D724"/>
      <c r="E724"/>
      <c r="F724"/>
      <c r="G724"/>
      <c r="H724"/>
    </row>
    <row r="725" spans="1:8" x14ac:dyDescent="0.45">
      <c r="A725"/>
      <c r="B725"/>
      <c r="C725"/>
      <c r="D725"/>
      <c r="E725"/>
      <c r="F725"/>
      <c r="G725"/>
      <c r="H725"/>
    </row>
    <row r="726" spans="1:8" x14ac:dyDescent="0.45">
      <c r="A726"/>
      <c r="B726"/>
      <c r="C726"/>
      <c r="D726"/>
      <c r="E726"/>
      <c r="F726"/>
      <c r="G726"/>
      <c r="H726"/>
    </row>
    <row r="727" spans="1:8" x14ac:dyDescent="0.45">
      <c r="A727"/>
      <c r="B727"/>
      <c r="C727"/>
      <c r="D727"/>
      <c r="E727"/>
      <c r="F727"/>
      <c r="G727"/>
      <c r="H727"/>
    </row>
    <row r="728" spans="1:8" x14ac:dyDescent="0.45">
      <c r="A728"/>
      <c r="B728"/>
      <c r="C728"/>
      <c r="D728"/>
      <c r="E728"/>
      <c r="F728"/>
      <c r="G728"/>
      <c r="H728"/>
    </row>
    <row r="729" spans="1:8" x14ac:dyDescent="0.45">
      <c r="A729"/>
      <c r="B729"/>
      <c r="C729"/>
      <c r="D729"/>
      <c r="E729"/>
      <c r="F729"/>
      <c r="G729"/>
      <c r="H729"/>
    </row>
    <row r="730" spans="1:8" x14ac:dyDescent="0.45">
      <c r="A730"/>
      <c r="B730"/>
      <c r="C730"/>
      <c r="D730"/>
      <c r="E730"/>
      <c r="F730"/>
      <c r="G730"/>
      <c r="H730"/>
    </row>
    <row r="731" spans="1:8" x14ac:dyDescent="0.45">
      <c r="A731"/>
      <c r="B731"/>
      <c r="C731"/>
      <c r="D731"/>
      <c r="E731"/>
      <c r="F731"/>
      <c r="G731"/>
      <c r="H731"/>
    </row>
    <row r="732" spans="1:8" x14ac:dyDescent="0.45">
      <c r="A732"/>
      <c r="B732"/>
      <c r="C732"/>
      <c r="D732"/>
      <c r="E732"/>
      <c r="F732"/>
      <c r="G732"/>
      <c r="H732"/>
    </row>
    <row r="733" spans="1:8" x14ac:dyDescent="0.45">
      <c r="A733"/>
      <c r="B733"/>
      <c r="C733"/>
      <c r="D733"/>
      <c r="E733"/>
      <c r="F733"/>
      <c r="G733"/>
      <c r="H733"/>
    </row>
    <row r="734" spans="1:8" x14ac:dyDescent="0.45">
      <c r="A734"/>
      <c r="B734"/>
      <c r="C734"/>
      <c r="D734"/>
      <c r="E734"/>
      <c r="F734"/>
      <c r="G734"/>
      <c r="H734"/>
    </row>
    <row r="735" spans="1:8" x14ac:dyDescent="0.45">
      <c r="A735"/>
      <c r="B735"/>
      <c r="C735"/>
      <c r="D735"/>
      <c r="E735"/>
      <c r="F735"/>
      <c r="G735"/>
      <c r="H735"/>
    </row>
    <row r="736" spans="1:8" x14ac:dyDescent="0.45">
      <c r="A736"/>
      <c r="B736"/>
      <c r="C736"/>
      <c r="D736"/>
      <c r="E736"/>
      <c r="F736"/>
      <c r="G736"/>
      <c r="H736"/>
    </row>
    <row r="737" spans="1:8" x14ac:dyDescent="0.45">
      <c r="A737"/>
      <c r="B737"/>
      <c r="C737"/>
      <c r="D737"/>
      <c r="E737"/>
      <c r="F737"/>
      <c r="G737"/>
      <c r="H737"/>
    </row>
    <row r="738" spans="1:8" x14ac:dyDescent="0.45">
      <c r="A738"/>
      <c r="B738"/>
      <c r="C738"/>
      <c r="D738"/>
      <c r="E738"/>
      <c r="F738"/>
      <c r="G738"/>
      <c r="H738"/>
    </row>
    <row r="739" spans="1:8" x14ac:dyDescent="0.45">
      <c r="A739"/>
      <c r="B739"/>
      <c r="C739"/>
      <c r="D739"/>
      <c r="E739"/>
      <c r="F739"/>
      <c r="G739"/>
      <c r="H739"/>
    </row>
    <row r="740" spans="1:8" x14ac:dyDescent="0.45">
      <c r="A740"/>
      <c r="B740"/>
      <c r="C740"/>
      <c r="D740"/>
      <c r="E740"/>
      <c r="F740"/>
      <c r="G740"/>
      <c r="H740"/>
    </row>
    <row r="741" spans="1:8" x14ac:dyDescent="0.45">
      <c r="A741"/>
      <c r="B741"/>
      <c r="C741"/>
      <c r="D741"/>
      <c r="E741"/>
      <c r="F741"/>
      <c r="G741"/>
      <c r="H741"/>
    </row>
    <row r="742" spans="1:8" x14ac:dyDescent="0.45">
      <c r="A742"/>
      <c r="B742"/>
      <c r="C742"/>
      <c r="D742"/>
      <c r="E742"/>
      <c r="F742"/>
      <c r="G742"/>
      <c r="H742"/>
    </row>
    <row r="743" spans="1:8" x14ac:dyDescent="0.45">
      <c r="A743"/>
      <c r="B743"/>
      <c r="C743"/>
      <c r="D743"/>
      <c r="E743"/>
      <c r="F743"/>
      <c r="G743"/>
      <c r="H743"/>
    </row>
    <row r="744" spans="1:8" x14ac:dyDescent="0.45">
      <c r="A744"/>
      <c r="B744"/>
      <c r="C744"/>
      <c r="D744"/>
      <c r="E744"/>
      <c r="F744"/>
      <c r="G744"/>
      <c r="H744"/>
    </row>
    <row r="745" spans="1:8" x14ac:dyDescent="0.45">
      <c r="A745"/>
      <c r="B745"/>
      <c r="C745"/>
      <c r="D745"/>
      <c r="E745"/>
      <c r="F745"/>
      <c r="G745"/>
      <c r="H745"/>
    </row>
    <row r="746" spans="1:8" x14ac:dyDescent="0.45">
      <c r="A746"/>
      <c r="B746"/>
      <c r="C746"/>
      <c r="D746"/>
      <c r="E746"/>
      <c r="F746"/>
      <c r="G746"/>
      <c r="H746"/>
    </row>
    <row r="747" spans="1:8" x14ac:dyDescent="0.45">
      <c r="A747"/>
      <c r="B747"/>
      <c r="C747"/>
      <c r="D747"/>
      <c r="E747"/>
      <c r="F747"/>
      <c r="G747"/>
      <c r="H747"/>
    </row>
    <row r="748" spans="1:8" x14ac:dyDescent="0.45">
      <c r="A748"/>
      <c r="B748"/>
      <c r="C748"/>
      <c r="D748"/>
      <c r="E748"/>
      <c r="F748"/>
      <c r="G748"/>
      <c r="H748"/>
    </row>
    <row r="749" spans="1:8" x14ac:dyDescent="0.45">
      <c r="A749"/>
      <c r="B749"/>
      <c r="C749"/>
      <c r="D749"/>
      <c r="E749"/>
      <c r="F749"/>
      <c r="G749"/>
      <c r="H749"/>
    </row>
    <row r="750" spans="1:8" x14ac:dyDescent="0.45">
      <c r="A750"/>
      <c r="B750"/>
      <c r="C750"/>
      <c r="D750"/>
      <c r="E750"/>
      <c r="F750"/>
      <c r="G750"/>
      <c r="H750"/>
    </row>
    <row r="751" spans="1:8" x14ac:dyDescent="0.45">
      <c r="A751"/>
      <c r="B751"/>
      <c r="C751"/>
      <c r="D751"/>
      <c r="E751"/>
      <c r="F751"/>
      <c r="G751"/>
      <c r="H751"/>
    </row>
    <row r="752" spans="1:8" x14ac:dyDescent="0.45">
      <c r="A752"/>
      <c r="B752"/>
      <c r="C752"/>
      <c r="D752"/>
      <c r="E752"/>
      <c r="F752"/>
      <c r="G752"/>
      <c r="H752"/>
    </row>
    <row r="753" spans="1:8" x14ac:dyDescent="0.45">
      <c r="A753"/>
      <c r="B753"/>
      <c r="C753"/>
      <c r="D753"/>
      <c r="E753"/>
      <c r="F753"/>
      <c r="G753"/>
      <c r="H753"/>
    </row>
    <row r="754" spans="1:8" x14ac:dyDescent="0.45">
      <c r="A754"/>
      <c r="B754"/>
      <c r="C754"/>
      <c r="D754"/>
      <c r="E754"/>
      <c r="F754"/>
      <c r="G754"/>
      <c r="H754"/>
    </row>
    <row r="755" spans="1:8" x14ac:dyDescent="0.45">
      <c r="A755"/>
      <c r="B755"/>
      <c r="C755"/>
      <c r="D755"/>
      <c r="E755"/>
      <c r="F755"/>
      <c r="G755"/>
      <c r="H755"/>
    </row>
    <row r="756" spans="1:8" x14ac:dyDescent="0.45">
      <c r="A756"/>
      <c r="B756"/>
      <c r="C756"/>
      <c r="D756"/>
      <c r="E756"/>
      <c r="F756"/>
      <c r="G756"/>
      <c r="H756"/>
    </row>
    <row r="757" spans="1:8" x14ac:dyDescent="0.45">
      <c r="A757"/>
      <c r="B757"/>
      <c r="C757"/>
      <c r="D757"/>
      <c r="E757"/>
      <c r="F757"/>
      <c r="G757"/>
      <c r="H757"/>
    </row>
    <row r="758" spans="1:8" x14ac:dyDescent="0.45">
      <c r="A758"/>
      <c r="B758"/>
      <c r="C758"/>
      <c r="D758"/>
      <c r="E758"/>
      <c r="F758"/>
      <c r="G758"/>
      <c r="H758"/>
    </row>
    <row r="759" spans="1:8" x14ac:dyDescent="0.45">
      <c r="A759"/>
      <c r="B759"/>
      <c r="C759"/>
      <c r="D759"/>
      <c r="E759"/>
      <c r="F759"/>
      <c r="G759"/>
      <c r="H759"/>
    </row>
    <row r="760" spans="1:8" x14ac:dyDescent="0.45">
      <c r="A760"/>
      <c r="B760"/>
      <c r="C760"/>
      <c r="D760"/>
      <c r="E760"/>
      <c r="F760"/>
      <c r="G760"/>
      <c r="H760"/>
    </row>
    <row r="761" spans="1:8" x14ac:dyDescent="0.45">
      <c r="A761"/>
      <c r="B761"/>
      <c r="C761"/>
      <c r="D761"/>
      <c r="E761"/>
      <c r="F761"/>
      <c r="G761"/>
      <c r="H761"/>
    </row>
    <row r="762" spans="1:8" x14ac:dyDescent="0.45">
      <c r="A762"/>
      <c r="B762"/>
      <c r="C762"/>
      <c r="D762"/>
      <c r="E762"/>
      <c r="F762"/>
      <c r="G762"/>
      <c r="H762"/>
    </row>
    <row r="763" spans="1:8" x14ac:dyDescent="0.45">
      <c r="A763"/>
      <c r="B763"/>
      <c r="C763"/>
      <c r="D763"/>
      <c r="E763"/>
      <c r="F763"/>
      <c r="G763"/>
      <c r="H763"/>
    </row>
    <row r="764" spans="1:8" x14ac:dyDescent="0.45">
      <c r="A764"/>
      <c r="B764"/>
      <c r="C764"/>
      <c r="D764"/>
      <c r="E764"/>
      <c r="F764"/>
      <c r="G764"/>
      <c r="H764"/>
    </row>
    <row r="765" spans="1:8" x14ac:dyDescent="0.45">
      <c r="A765"/>
      <c r="B765"/>
      <c r="C765"/>
      <c r="D765"/>
      <c r="E765"/>
      <c r="F765"/>
      <c r="G765"/>
      <c r="H765"/>
    </row>
    <row r="766" spans="1:8" x14ac:dyDescent="0.45">
      <c r="A766"/>
      <c r="B766"/>
      <c r="C766"/>
      <c r="D766"/>
      <c r="E766"/>
      <c r="F766"/>
      <c r="G766"/>
      <c r="H766"/>
    </row>
    <row r="767" spans="1:8" x14ac:dyDescent="0.45">
      <c r="A767"/>
      <c r="B767"/>
      <c r="C767"/>
      <c r="D767"/>
      <c r="E767"/>
      <c r="F767"/>
      <c r="G767"/>
      <c r="H767"/>
    </row>
    <row r="768" spans="1:8" x14ac:dyDescent="0.45">
      <c r="A768"/>
      <c r="B768"/>
      <c r="C768"/>
      <c r="D768"/>
      <c r="E768"/>
      <c r="F768"/>
      <c r="G768"/>
      <c r="H768"/>
    </row>
    <row r="769" spans="1:8" x14ac:dyDescent="0.45">
      <c r="A769"/>
      <c r="B769"/>
      <c r="C769"/>
      <c r="D769"/>
      <c r="E769"/>
      <c r="F769"/>
      <c r="G769"/>
      <c r="H769"/>
    </row>
    <row r="770" spans="1:8" x14ac:dyDescent="0.45">
      <c r="A770"/>
      <c r="B770"/>
      <c r="C770"/>
      <c r="D770"/>
      <c r="E770"/>
      <c r="F770"/>
      <c r="G770"/>
      <c r="H770"/>
    </row>
    <row r="771" spans="1:8" x14ac:dyDescent="0.45">
      <c r="A771"/>
      <c r="B771"/>
      <c r="C771"/>
      <c r="D771"/>
      <c r="E771"/>
      <c r="F771"/>
      <c r="G771"/>
      <c r="H771"/>
    </row>
    <row r="772" spans="1:8" x14ac:dyDescent="0.45">
      <c r="A772"/>
      <c r="B772"/>
      <c r="C772"/>
      <c r="D772"/>
      <c r="E772"/>
      <c r="F772"/>
      <c r="G772"/>
      <c r="H772"/>
    </row>
    <row r="773" spans="1:8" x14ac:dyDescent="0.45">
      <c r="A773"/>
      <c r="B773"/>
      <c r="C773"/>
      <c r="D773"/>
      <c r="E773"/>
      <c r="F773"/>
      <c r="G773"/>
      <c r="H773"/>
    </row>
    <row r="774" spans="1:8" x14ac:dyDescent="0.45">
      <c r="A774"/>
      <c r="B774"/>
      <c r="C774"/>
      <c r="D774"/>
      <c r="E774"/>
      <c r="F774"/>
      <c r="G774"/>
      <c r="H774"/>
    </row>
    <row r="775" spans="1:8" x14ac:dyDescent="0.45">
      <c r="A775"/>
      <c r="B775"/>
      <c r="C775"/>
      <c r="D775"/>
      <c r="E775"/>
      <c r="F775"/>
      <c r="G775"/>
      <c r="H775"/>
    </row>
    <row r="776" spans="1:8" x14ac:dyDescent="0.45">
      <c r="A776"/>
      <c r="B776"/>
      <c r="C776"/>
      <c r="D776"/>
      <c r="E776"/>
      <c r="F776"/>
      <c r="G776"/>
      <c r="H776"/>
    </row>
    <row r="777" spans="1:8" x14ac:dyDescent="0.45">
      <c r="A777"/>
      <c r="B777"/>
      <c r="C777"/>
      <c r="D777"/>
      <c r="E777"/>
      <c r="F777"/>
      <c r="G777"/>
      <c r="H777"/>
    </row>
    <row r="778" spans="1:8" x14ac:dyDescent="0.45">
      <c r="A778"/>
      <c r="B778"/>
      <c r="C778"/>
      <c r="D778"/>
      <c r="E778"/>
      <c r="F778"/>
      <c r="G778"/>
      <c r="H778"/>
    </row>
    <row r="779" spans="1:8" x14ac:dyDescent="0.45">
      <c r="A779"/>
      <c r="B779"/>
      <c r="C779"/>
      <c r="D779"/>
      <c r="E779"/>
      <c r="F779"/>
      <c r="G779"/>
      <c r="H779"/>
    </row>
    <row r="780" spans="1:8" x14ac:dyDescent="0.45">
      <c r="A780"/>
      <c r="B780"/>
      <c r="C780"/>
      <c r="D780"/>
      <c r="E780"/>
      <c r="F780"/>
      <c r="G780"/>
      <c r="H780"/>
    </row>
    <row r="781" spans="1:8" x14ac:dyDescent="0.45">
      <c r="A781"/>
      <c r="B781"/>
      <c r="C781"/>
      <c r="D781"/>
      <c r="E781"/>
      <c r="F781"/>
      <c r="G781"/>
      <c r="H781"/>
    </row>
    <row r="782" spans="1:8" x14ac:dyDescent="0.45">
      <c r="A782"/>
      <c r="B782"/>
      <c r="C782"/>
      <c r="D782"/>
      <c r="E782"/>
      <c r="F782"/>
      <c r="G782"/>
      <c r="H782"/>
    </row>
    <row r="783" spans="1:8" x14ac:dyDescent="0.45">
      <c r="A783"/>
      <c r="B783"/>
      <c r="C783"/>
      <c r="D783"/>
      <c r="E783"/>
      <c r="F783"/>
      <c r="G783"/>
      <c r="H783"/>
    </row>
    <row r="784" spans="1:8" x14ac:dyDescent="0.45">
      <c r="A784"/>
      <c r="B784"/>
      <c r="C784"/>
      <c r="D784"/>
      <c r="E784"/>
      <c r="F784"/>
      <c r="G784"/>
      <c r="H784"/>
    </row>
    <row r="785" spans="1:8" x14ac:dyDescent="0.45">
      <c r="A785"/>
      <c r="B785"/>
      <c r="C785"/>
      <c r="D785"/>
      <c r="E785"/>
      <c r="F785"/>
      <c r="G785"/>
      <c r="H785"/>
    </row>
    <row r="786" spans="1:8" x14ac:dyDescent="0.45">
      <c r="A786"/>
      <c r="B786"/>
      <c r="C786"/>
      <c r="D786"/>
      <c r="E786"/>
      <c r="F786"/>
      <c r="G786"/>
      <c r="H786"/>
    </row>
    <row r="787" spans="1:8" x14ac:dyDescent="0.45">
      <c r="A787"/>
      <c r="B787"/>
      <c r="C787"/>
      <c r="D787"/>
      <c r="E787"/>
      <c r="F787"/>
      <c r="G787"/>
      <c r="H787"/>
    </row>
    <row r="788" spans="1:8" x14ac:dyDescent="0.45">
      <c r="A788"/>
      <c r="B788"/>
      <c r="C788"/>
      <c r="D788"/>
      <c r="E788"/>
      <c r="F788"/>
      <c r="G788"/>
      <c r="H788"/>
    </row>
    <row r="789" spans="1:8" x14ac:dyDescent="0.45">
      <c r="A789"/>
      <c r="B789"/>
      <c r="C789"/>
      <c r="D789"/>
      <c r="E789"/>
      <c r="F789"/>
      <c r="G789"/>
      <c r="H789"/>
    </row>
    <row r="790" spans="1:8" x14ac:dyDescent="0.45">
      <c r="A790"/>
      <c r="B790"/>
      <c r="C790"/>
      <c r="D790"/>
      <c r="E790"/>
      <c r="F790"/>
      <c r="G790"/>
      <c r="H790"/>
    </row>
    <row r="791" spans="1:8" x14ac:dyDescent="0.45">
      <c r="A791"/>
      <c r="B791"/>
      <c r="C791"/>
      <c r="D791"/>
      <c r="E791"/>
      <c r="F791"/>
      <c r="G791"/>
      <c r="H791"/>
    </row>
    <row r="792" spans="1:8" x14ac:dyDescent="0.45">
      <c r="A792"/>
      <c r="B792"/>
      <c r="C792"/>
      <c r="D792"/>
      <c r="E792"/>
      <c r="F792"/>
      <c r="G792"/>
      <c r="H792"/>
    </row>
    <row r="793" spans="1:8" x14ac:dyDescent="0.45">
      <c r="A793"/>
      <c r="B793"/>
      <c r="C793"/>
      <c r="D793"/>
      <c r="E793"/>
      <c r="F793"/>
      <c r="G793"/>
      <c r="H793"/>
    </row>
    <row r="794" spans="1:8" x14ac:dyDescent="0.45">
      <c r="A794"/>
      <c r="B794"/>
      <c r="C794"/>
      <c r="D794"/>
      <c r="E794"/>
      <c r="F794"/>
      <c r="G794"/>
      <c r="H794"/>
    </row>
    <row r="795" spans="1:8" x14ac:dyDescent="0.45">
      <c r="A795"/>
      <c r="B795"/>
      <c r="C795"/>
      <c r="D795"/>
      <c r="E795"/>
      <c r="F795"/>
      <c r="G795"/>
      <c r="H795"/>
    </row>
    <row r="796" spans="1:8" x14ac:dyDescent="0.45">
      <c r="A796"/>
      <c r="B796"/>
      <c r="C796"/>
      <c r="D796"/>
      <c r="E796"/>
      <c r="F796"/>
      <c r="G796"/>
      <c r="H796"/>
    </row>
    <row r="797" spans="1:8" x14ac:dyDescent="0.45">
      <c r="A797"/>
      <c r="B797"/>
      <c r="C797"/>
      <c r="D797"/>
      <c r="E797"/>
      <c r="F797"/>
      <c r="G797"/>
      <c r="H797"/>
    </row>
    <row r="798" spans="1:8" x14ac:dyDescent="0.45">
      <c r="A798"/>
      <c r="B798"/>
      <c r="C798"/>
      <c r="D798"/>
      <c r="E798"/>
      <c r="F798"/>
      <c r="G798"/>
      <c r="H798"/>
    </row>
    <row r="799" spans="1:8" x14ac:dyDescent="0.45">
      <c r="A799"/>
      <c r="B799"/>
      <c r="C799"/>
      <c r="D799"/>
      <c r="E799"/>
      <c r="F799"/>
      <c r="G799"/>
      <c r="H799"/>
    </row>
    <row r="800" spans="1:8" x14ac:dyDescent="0.45">
      <c r="A800"/>
      <c r="B800"/>
      <c r="C800"/>
      <c r="D800"/>
      <c r="E800"/>
      <c r="F800"/>
      <c r="G800"/>
      <c r="H800"/>
    </row>
    <row r="801" spans="1:8" x14ac:dyDescent="0.45">
      <c r="A801"/>
      <c r="B801"/>
      <c r="C801"/>
      <c r="D801"/>
      <c r="E801"/>
      <c r="F801"/>
      <c r="G801"/>
      <c r="H801"/>
    </row>
    <row r="802" spans="1:8" x14ac:dyDescent="0.45">
      <c r="A802"/>
      <c r="B802"/>
      <c r="C802"/>
      <c r="D802"/>
      <c r="E802"/>
      <c r="F802"/>
      <c r="G802"/>
      <c r="H802"/>
    </row>
    <row r="803" spans="1:8" x14ac:dyDescent="0.45">
      <c r="A803"/>
      <c r="B803"/>
      <c r="C803"/>
      <c r="D803"/>
      <c r="E803"/>
      <c r="F803"/>
      <c r="G803"/>
      <c r="H803"/>
    </row>
    <row r="804" spans="1:8" x14ac:dyDescent="0.45">
      <c r="A804"/>
      <c r="B804"/>
      <c r="C804"/>
      <c r="D804"/>
      <c r="E804"/>
      <c r="F804"/>
      <c r="G804"/>
      <c r="H804"/>
    </row>
    <row r="805" spans="1:8" x14ac:dyDescent="0.45">
      <c r="A805"/>
      <c r="B805"/>
      <c r="C805"/>
      <c r="D805"/>
      <c r="E805"/>
      <c r="F805"/>
      <c r="G805"/>
      <c r="H805"/>
    </row>
    <row r="806" spans="1:8" x14ac:dyDescent="0.45">
      <c r="A806"/>
      <c r="B806"/>
      <c r="C806"/>
      <c r="D806"/>
      <c r="E806"/>
      <c r="F806"/>
      <c r="G806"/>
      <c r="H806"/>
    </row>
    <row r="807" spans="1:8" x14ac:dyDescent="0.45">
      <c r="A807"/>
      <c r="B807"/>
      <c r="C807"/>
      <c r="D807"/>
      <c r="E807"/>
      <c r="F807"/>
      <c r="G807"/>
      <c r="H807"/>
    </row>
    <row r="808" spans="1:8" x14ac:dyDescent="0.45">
      <c r="A808"/>
      <c r="B808"/>
      <c r="C808"/>
      <c r="D808"/>
      <c r="E808"/>
      <c r="F808"/>
      <c r="G808"/>
      <c r="H808"/>
    </row>
    <row r="809" spans="1:8" x14ac:dyDescent="0.45">
      <c r="A809"/>
      <c r="B809"/>
      <c r="C809"/>
      <c r="D809"/>
      <c r="E809"/>
      <c r="F809"/>
      <c r="G809"/>
      <c r="H809"/>
    </row>
    <row r="810" spans="1:8" x14ac:dyDescent="0.45">
      <c r="A810"/>
      <c r="B810"/>
      <c r="C810"/>
      <c r="D810"/>
      <c r="E810"/>
      <c r="F810"/>
      <c r="G810"/>
      <c r="H810"/>
    </row>
    <row r="811" spans="1:8" x14ac:dyDescent="0.45">
      <c r="A811"/>
      <c r="B811"/>
      <c r="C811"/>
      <c r="D811"/>
      <c r="E811"/>
      <c r="F811"/>
      <c r="G811"/>
      <c r="H811"/>
    </row>
    <row r="812" spans="1:8" x14ac:dyDescent="0.45">
      <c r="A812"/>
      <c r="B812"/>
      <c r="C812"/>
      <c r="D812"/>
      <c r="E812"/>
      <c r="F812"/>
      <c r="G812"/>
      <c r="H812"/>
    </row>
    <row r="813" spans="1:8" x14ac:dyDescent="0.45">
      <c r="A813"/>
      <c r="B813"/>
      <c r="C813"/>
      <c r="D813"/>
      <c r="E813"/>
      <c r="F813"/>
      <c r="G813"/>
      <c r="H813"/>
    </row>
    <row r="814" spans="1:8" x14ac:dyDescent="0.45">
      <c r="A814"/>
      <c r="B814"/>
      <c r="C814"/>
      <c r="D814"/>
      <c r="E814"/>
      <c r="F814"/>
      <c r="G814"/>
      <c r="H814"/>
    </row>
    <row r="815" spans="1:8" x14ac:dyDescent="0.45">
      <c r="A815"/>
      <c r="B815"/>
      <c r="C815"/>
      <c r="D815"/>
      <c r="E815"/>
      <c r="F815"/>
      <c r="G815"/>
      <c r="H815"/>
    </row>
    <row r="816" spans="1:8" x14ac:dyDescent="0.45">
      <c r="A816"/>
      <c r="B816"/>
      <c r="C816"/>
      <c r="D816"/>
      <c r="E816"/>
      <c r="F816"/>
      <c r="G816"/>
      <c r="H816"/>
    </row>
    <row r="817" spans="1:8" x14ac:dyDescent="0.45">
      <c r="A817"/>
      <c r="B817"/>
      <c r="C817"/>
      <c r="D817"/>
      <c r="E817"/>
      <c r="F817"/>
      <c r="G817"/>
      <c r="H817"/>
    </row>
    <row r="818" spans="1:8" x14ac:dyDescent="0.45">
      <c r="A818"/>
      <c r="B818"/>
      <c r="C818"/>
      <c r="D818"/>
      <c r="E818"/>
      <c r="F818"/>
      <c r="G818"/>
      <c r="H818"/>
    </row>
    <row r="819" spans="1:8" x14ac:dyDescent="0.45">
      <c r="A819"/>
      <c r="B819"/>
      <c r="C819"/>
      <c r="D819"/>
      <c r="E819"/>
      <c r="F819"/>
      <c r="G819"/>
      <c r="H819"/>
    </row>
    <row r="820" spans="1:8" x14ac:dyDescent="0.45">
      <c r="A820"/>
      <c r="B820"/>
      <c r="C820"/>
      <c r="D820"/>
      <c r="E820"/>
      <c r="F820"/>
      <c r="G820"/>
      <c r="H820"/>
    </row>
    <row r="821" spans="1:8" x14ac:dyDescent="0.45">
      <c r="A821"/>
      <c r="B821"/>
      <c r="C821"/>
      <c r="D821"/>
      <c r="E821"/>
      <c r="F821"/>
      <c r="G821"/>
      <c r="H821"/>
    </row>
    <row r="822" spans="1:8" x14ac:dyDescent="0.45">
      <c r="A822"/>
      <c r="B822"/>
      <c r="C822"/>
      <c r="D822"/>
      <c r="E822"/>
      <c r="F822"/>
      <c r="G822"/>
      <c r="H822"/>
    </row>
    <row r="823" spans="1:8" x14ac:dyDescent="0.45">
      <c r="A823"/>
      <c r="B823"/>
      <c r="C823"/>
      <c r="D823"/>
      <c r="E823"/>
      <c r="F823"/>
      <c r="G823"/>
      <c r="H823"/>
    </row>
    <row r="824" spans="1:8" x14ac:dyDescent="0.45">
      <c r="A824"/>
      <c r="B824"/>
      <c r="C824"/>
      <c r="D824"/>
      <c r="E824"/>
      <c r="F824"/>
      <c r="G824"/>
      <c r="H824"/>
    </row>
    <row r="825" spans="1:8" x14ac:dyDescent="0.45">
      <c r="A825"/>
      <c r="B825"/>
      <c r="C825"/>
      <c r="D825"/>
      <c r="E825"/>
      <c r="F825"/>
      <c r="G825"/>
      <c r="H825"/>
    </row>
    <row r="826" spans="1:8" x14ac:dyDescent="0.45">
      <c r="A826"/>
      <c r="B826"/>
      <c r="C826"/>
      <c r="D826"/>
      <c r="E826"/>
      <c r="F826"/>
      <c r="G826"/>
      <c r="H826"/>
    </row>
    <row r="827" spans="1:8" x14ac:dyDescent="0.45">
      <c r="A827"/>
      <c r="B827"/>
      <c r="C827"/>
      <c r="D827"/>
      <c r="E827"/>
      <c r="F827"/>
      <c r="G827"/>
      <c r="H827"/>
    </row>
    <row r="828" spans="1:8" x14ac:dyDescent="0.45">
      <c r="A828"/>
      <c r="B828"/>
      <c r="C828"/>
      <c r="D828"/>
      <c r="E828"/>
      <c r="F828"/>
      <c r="G828"/>
      <c r="H828"/>
    </row>
    <row r="829" spans="1:8" x14ac:dyDescent="0.45">
      <c r="A829"/>
      <c r="B829"/>
      <c r="C829"/>
      <c r="D829"/>
      <c r="E829"/>
      <c r="F829"/>
      <c r="G829"/>
      <c r="H829"/>
    </row>
    <row r="830" spans="1:8" x14ac:dyDescent="0.45">
      <c r="A830"/>
      <c r="B830"/>
      <c r="C830"/>
      <c r="D830"/>
      <c r="E830"/>
      <c r="F830"/>
      <c r="G830"/>
      <c r="H830"/>
    </row>
    <row r="831" spans="1:8" x14ac:dyDescent="0.45">
      <c r="A831"/>
      <c r="B831"/>
      <c r="C831"/>
      <c r="D831"/>
      <c r="E831"/>
      <c r="F831"/>
      <c r="G831"/>
      <c r="H831"/>
    </row>
    <row r="832" spans="1:8" x14ac:dyDescent="0.45">
      <c r="A832"/>
      <c r="B832"/>
      <c r="C832"/>
      <c r="D832"/>
      <c r="E832"/>
      <c r="F832"/>
      <c r="G832"/>
      <c r="H832"/>
    </row>
    <row r="833" spans="1:8" x14ac:dyDescent="0.45">
      <c r="A833"/>
      <c r="B833"/>
      <c r="C833"/>
      <c r="D833"/>
      <c r="E833"/>
      <c r="F833"/>
      <c r="G833"/>
      <c r="H833"/>
    </row>
    <row r="834" spans="1:8" x14ac:dyDescent="0.45">
      <c r="A834"/>
      <c r="B834"/>
      <c r="C834"/>
      <c r="D834"/>
      <c r="E834"/>
      <c r="F834"/>
      <c r="G834"/>
      <c r="H834"/>
    </row>
    <row r="835" spans="1:8" x14ac:dyDescent="0.45">
      <c r="A835"/>
      <c r="B835"/>
      <c r="C835"/>
      <c r="D835"/>
      <c r="E835"/>
      <c r="F835"/>
      <c r="G835"/>
      <c r="H835"/>
    </row>
    <row r="836" spans="1:8" x14ac:dyDescent="0.45">
      <c r="A836"/>
      <c r="B836"/>
      <c r="C836"/>
      <c r="D836"/>
      <c r="E836"/>
      <c r="F836"/>
      <c r="G836"/>
      <c r="H836"/>
    </row>
    <row r="837" spans="1:8" x14ac:dyDescent="0.45">
      <c r="A837"/>
      <c r="B837"/>
      <c r="C837"/>
      <c r="D837"/>
      <c r="E837"/>
      <c r="F837"/>
      <c r="G837"/>
      <c r="H837"/>
    </row>
    <row r="838" spans="1:8" x14ac:dyDescent="0.45">
      <c r="A838"/>
      <c r="B838"/>
      <c r="C838"/>
      <c r="D838"/>
      <c r="E838"/>
      <c r="F838"/>
      <c r="G838"/>
      <c r="H838"/>
    </row>
    <row r="839" spans="1:8" x14ac:dyDescent="0.45">
      <c r="A839"/>
      <c r="B839"/>
      <c r="C839"/>
      <c r="D839"/>
      <c r="E839"/>
      <c r="F839"/>
      <c r="G839"/>
      <c r="H839"/>
    </row>
    <row r="840" spans="1:8" x14ac:dyDescent="0.45">
      <c r="A840"/>
      <c r="B840"/>
      <c r="C840"/>
      <c r="D840"/>
      <c r="E840"/>
      <c r="F840"/>
      <c r="G840"/>
      <c r="H840"/>
    </row>
    <row r="841" spans="1:8" x14ac:dyDescent="0.45">
      <c r="A841"/>
      <c r="B841"/>
      <c r="C841"/>
      <c r="D841"/>
      <c r="E841"/>
      <c r="F841"/>
      <c r="G841"/>
      <c r="H841"/>
    </row>
    <row r="842" spans="1:8" x14ac:dyDescent="0.45">
      <c r="A842"/>
      <c r="B842"/>
      <c r="C842"/>
      <c r="D842"/>
      <c r="E842"/>
      <c r="F842"/>
      <c r="G842"/>
      <c r="H842"/>
    </row>
    <row r="843" spans="1:8" x14ac:dyDescent="0.45">
      <c r="A843"/>
      <c r="B843"/>
      <c r="C843"/>
      <c r="D843"/>
      <c r="E843"/>
      <c r="F843"/>
      <c r="G843"/>
      <c r="H843"/>
    </row>
    <row r="844" spans="1:8" x14ac:dyDescent="0.45">
      <c r="A844"/>
      <c r="B844"/>
      <c r="C844"/>
      <c r="D844"/>
      <c r="E844"/>
      <c r="F844"/>
      <c r="G844"/>
      <c r="H844"/>
    </row>
    <row r="845" spans="1:8" x14ac:dyDescent="0.45">
      <c r="A845"/>
      <c r="B845"/>
      <c r="C845"/>
      <c r="D845"/>
      <c r="E845"/>
      <c r="F845"/>
      <c r="G845"/>
      <c r="H845"/>
    </row>
    <row r="846" spans="1:8" x14ac:dyDescent="0.45">
      <c r="A846"/>
      <c r="B846"/>
      <c r="C846"/>
      <c r="D846"/>
      <c r="E846"/>
      <c r="F846"/>
      <c r="G846"/>
      <c r="H846"/>
    </row>
    <row r="847" spans="1:8" x14ac:dyDescent="0.45">
      <c r="A847"/>
      <c r="B847"/>
      <c r="C847"/>
      <c r="D847"/>
      <c r="E847"/>
      <c r="F847"/>
      <c r="G847"/>
      <c r="H847"/>
    </row>
    <row r="848" spans="1:8" x14ac:dyDescent="0.45">
      <c r="A848"/>
      <c r="B848"/>
      <c r="C848"/>
      <c r="D848"/>
      <c r="E848"/>
      <c r="F848"/>
      <c r="G848"/>
      <c r="H848"/>
    </row>
    <row r="849" spans="1:8" x14ac:dyDescent="0.45">
      <c r="A849"/>
      <c r="B849"/>
      <c r="C849"/>
      <c r="D849"/>
      <c r="E849"/>
      <c r="F849"/>
      <c r="G849"/>
      <c r="H849"/>
    </row>
    <row r="850" spans="1:8" x14ac:dyDescent="0.45">
      <c r="A850"/>
      <c r="B850"/>
      <c r="C850"/>
      <c r="D850"/>
      <c r="E850"/>
      <c r="F850"/>
      <c r="G850"/>
      <c r="H850"/>
    </row>
    <row r="851" spans="1:8" x14ac:dyDescent="0.45">
      <c r="A851"/>
      <c r="B851"/>
      <c r="C851"/>
      <c r="D851"/>
      <c r="E851"/>
      <c r="F851"/>
      <c r="G851"/>
      <c r="H851"/>
    </row>
    <row r="852" spans="1:8" x14ac:dyDescent="0.45">
      <c r="A852"/>
      <c r="B852"/>
      <c r="C852"/>
      <c r="D852"/>
      <c r="E852"/>
      <c r="F852"/>
      <c r="G852"/>
      <c r="H852"/>
    </row>
    <row r="853" spans="1:8" x14ac:dyDescent="0.45">
      <c r="A853"/>
      <c r="B853"/>
      <c r="C853"/>
      <c r="D853"/>
      <c r="E853"/>
      <c r="F853"/>
      <c r="G853"/>
      <c r="H853"/>
    </row>
    <row r="854" spans="1:8" x14ac:dyDescent="0.45">
      <c r="A854"/>
      <c r="B854"/>
      <c r="C854"/>
      <c r="D854"/>
      <c r="E854"/>
      <c r="F854"/>
      <c r="G854"/>
      <c r="H854"/>
    </row>
    <row r="855" spans="1:8" x14ac:dyDescent="0.45">
      <c r="A855"/>
      <c r="B855"/>
      <c r="C855"/>
      <c r="D855"/>
      <c r="E855"/>
      <c r="F855"/>
      <c r="G855"/>
      <c r="H855"/>
    </row>
    <row r="856" spans="1:8" x14ac:dyDescent="0.45">
      <c r="A856"/>
      <c r="B856"/>
      <c r="C856"/>
      <c r="D856"/>
      <c r="E856"/>
      <c r="F856"/>
      <c r="G856"/>
      <c r="H856"/>
    </row>
    <row r="857" spans="1:8" x14ac:dyDescent="0.45">
      <c r="A857"/>
      <c r="B857"/>
      <c r="C857"/>
      <c r="D857"/>
      <c r="E857"/>
      <c r="F857"/>
      <c r="G857"/>
      <c r="H857"/>
    </row>
    <row r="858" spans="1:8" x14ac:dyDescent="0.45">
      <c r="A858"/>
      <c r="B858"/>
      <c r="C858"/>
      <c r="D858"/>
      <c r="E858"/>
      <c r="F858"/>
      <c r="G858"/>
      <c r="H858"/>
    </row>
    <row r="859" spans="1:8" x14ac:dyDescent="0.45">
      <c r="A859"/>
      <c r="B859"/>
      <c r="C859"/>
      <c r="D859"/>
      <c r="E859"/>
      <c r="F859"/>
      <c r="G859"/>
      <c r="H859"/>
    </row>
    <row r="860" spans="1:8" x14ac:dyDescent="0.45">
      <c r="A860"/>
      <c r="B860"/>
      <c r="C860"/>
      <c r="D860"/>
      <c r="E860"/>
      <c r="F860"/>
      <c r="G860"/>
      <c r="H860"/>
    </row>
    <row r="861" spans="1:8" x14ac:dyDescent="0.45">
      <c r="A861"/>
      <c r="B861"/>
      <c r="C861"/>
      <c r="D861"/>
      <c r="E861"/>
      <c r="F861"/>
      <c r="G861"/>
      <c r="H861"/>
    </row>
    <row r="862" spans="1:8" x14ac:dyDescent="0.45">
      <c r="A862"/>
      <c r="B862"/>
      <c r="C862"/>
      <c r="D862"/>
      <c r="E862"/>
      <c r="F862"/>
      <c r="G862"/>
      <c r="H862"/>
    </row>
    <row r="863" spans="1:8" x14ac:dyDescent="0.45">
      <c r="A863"/>
      <c r="B863"/>
      <c r="C863"/>
      <c r="D863"/>
      <c r="E863"/>
      <c r="F863"/>
      <c r="G863"/>
      <c r="H863"/>
    </row>
    <row r="864" spans="1:8" x14ac:dyDescent="0.45">
      <c r="A864"/>
      <c r="B864"/>
      <c r="C864"/>
      <c r="D864"/>
      <c r="E864"/>
      <c r="F864"/>
      <c r="G864"/>
      <c r="H864"/>
    </row>
    <row r="865" spans="1:8" x14ac:dyDescent="0.45">
      <c r="A865"/>
      <c r="B865"/>
      <c r="C865"/>
      <c r="D865"/>
      <c r="E865"/>
      <c r="F865"/>
      <c r="G865"/>
      <c r="H865"/>
    </row>
    <row r="866" spans="1:8" x14ac:dyDescent="0.45">
      <c r="A866"/>
      <c r="B866"/>
      <c r="C866"/>
      <c r="D866"/>
      <c r="E866"/>
      <c r="F866"/>
      <c r="G866"/>
      <c r="H866"/>
    </row>
    <row r="867" spans="1:8" x14ac:dyDescent="0.45">
      <c r="A867"/>
      <c r="B867"/>
      <c r="C867"/>
      <c r="D867"/>
      <c r="E867"/>
      <c r="F867"/>
      <c r="G867"/>
      <c r="H867"/>
    </row>
    <row r="868" spans="1:8" x14ac:dyDescent="0.45">
      <c r="A868"/>
      <c r="B868"/>
      <c r="C868"/>
      <c r="D868"/>
      <c r="E868"/>
      <c r="F868"/>
      <c r="G868"/>
      <c r="H868"/>
    </row>
    <row r="869" spans="1:8" x14ac:dyDescent="0.45">
      <c r="A869"/>
      <c r="B869"/>
      <c r="C869"/>
      <c r="D869"/>
      <c r="E869"/>
      <c r="F869"/>
      <c r="G869"/>
      <c r="H869"/>
    </row>
    <row r="870" spans="1:8" x14ac:dyDescent="0.45">
      <c r="A870"/>
      <c r="B870"/>
      <c r="C870"/>
      <c r="D870"/>
      <c r="E870"/>
      <c r="F870"/>
      <c r="G870"/>
      <c r="H870"/>
    </row>
    <row r="871" spans="1:8" x14ac:dyDescent="0.45">
      <c r="A871"/>
      <c r="B871"/>
      <c r="C871"/>
      <c r="D871"/>
      <c r="E871"/>
      <c r="F871"/>
      <c r="G871"/>
      <c r="H871"/>
    </row>
    <row r="872" spans="1:8" x14ac:dyDescent="0.45">
      <c r="A872"/>
      <c r="B872"/>
      <c r="C872"/>
      <c r="D872"/>
      <c r="E872"/>
      <c r="F872"/>
      <c r="G872"/>
      <c r="H872"/>
    </row>
    <row r="873" spans="1:8" x14ac:dyDescent="0.45">
      <c r="A873"/>
      <c r="B873"/>
      <c r="C873"/>
      <c r="D873"/>
      <c r="E873"/>
      <c r="F873"/>
      <c r="G873"/>
      <c r="H873"/>
    </row>
    <row r="874" spans="1:8" x14ac:dyDescent="0.45">
      <c r="A874"/>
      <c r="B874"/>
      <c r="C874"/>
      <c r="D874"/>
      <c r="E874"/>
      <c r="F874"/>
      <c r="G874"/>
      <c r="H874"/>
    </row>
    <row r="875" spans="1:8" x14ac:dyDescent="0.45">
      <c r="A875"/>
      <c r="B875"/>
      <c r="C875"/>
      <c r="D875"/>
      <c r="E875"/>
      <c r="F875"/>
      <c r="G875"/>
      <c r="H875"/>
    </row>
    <row r="876" spans="1:8" x14ac:dyDescent="0.45">
      <c r="A876"/>
      <c r="B876"/>
      <c r="C876"/>
      <c r="D876"/>
      <c r="E876"/>
      <c r="F876"/>
      <c r="G876"/>
      <c r="H876"/>
    </row>
    <row r="877" spans="1:8" x14ac:dyDescent="0.45">
      <c r="A877"/>
      <c r="B877"/>
      <c r="C877"/>
      <c r="D877"/>
      <c r="E877"/>
      <c r="F877"/>
      <c r="G877"/>
      <c r="H877"/>
    </row>
    <row r="878" spans="1:8" x14ac:dyDescent="0.45">
      <c r="A878"/>
      <c r="B878"/>
      <c r="C878"/>
      <c r="D878"/>
      <c r="E878"/>
      <c r="F878"/>
      <c r="G878"/>
      <c r="H878"/>
    </row>
    <row r="879" spans="1:8" x14ac:dyDescent="0.45">
      <c r="A879"/>
      <c r="B879"/>
      <c r="C879"/>
      <c r="D879"/>
      <c r="E879"/>
      <c r="F879"/>
      <c r="G879"/>
      <c r="H879"/>
    </row>
    <row r="880" spans="1:8" x14ac:dyDescent="0.45">
      <c r="A880"/>
      <c r="B880"/>
      <c r="C880"/>
      <c r="D880"/>
      <c r="E880"/>
      <c r="F880"/>
      <c r="G880"/>
      <c r="H880"/>
    </row>
    <row r="881" spans="1:8" x14ac:dyDescent="0.45">
      <c r="A881"/>
      <c r="B881"/>
      <c r="C881"/>
      <c r="D881"/>
      <c r="E881"/>
      <c r="F881"/>
      <c r="G881"/>
      <c r="H881"/>
    </row>
    <row r="882" spans="1:8" x14ac:dyDescent="0.45">
      <c r="A882"/>
      <c r="B882"/>
      <c r="C882"/>
      <c r="D882"/>
      <c r="E882"/>
      <c r="F882"/>
      <c r="G882"/>
      <c r="H882"/>
    </row>
    <row r="883" spans="1:8" x14ac:dyDescent="0.45">
      <c r="A883"/>
      <c r="B883"/>
      <c r="C883"/>
      <c r="D883"/>
      <c r="E883"/>
      <c r="F883"/>
      <c r="G883"/>
      <c r="H883"/>
    </row>
    <row r="884" spans="1:8" x14ac:dyDescent="0.45">
      <c r="A884"/>
      <c r="B884"/>
      <c r="C884"/>
      <c r="D884"/>
      <c r="E884"/>
      <c r="F884"/>
      <c r="G884"/>
      <c r="H884"/>
    </row>
    <row r="885" spans="1:8" x14ac:dyDescent="0.45">
      <c r="A885"/>
      <c r="B885"/>
      <c r="C885"/>
      <c r="D885"/>
      <c r="E885"/>
      <c r="F885"/>
      <c r="G885"/>
      <c r="H885"/>
    </row>
    <row r="886" spans="1:8" x14ac:dyDescent="0.45">
      <c r="A886"/>
      <c r="B886"/>
      <c r="C886"/>
      <c r="D886"/>
      <c r="E886"/>
      <c r="F886"/>
      <c r="G886"/>
      <c r="H886"/>
    </row>
    <row r="887" spans="1:8" x14ac:dyDescent="0.45">
      <c r="A887"/>
      <c r="B887"/>
      <c r="C887"/>
      <c r="D887"/>
      <c r="E887"/>
      <c r="F887"/>
      <c r="G887"/>
      <c r="H887"/>
    </row>
    <row r="888" spans="1:8" x14ac:dyDescent="0.45">
      <c r="A888"/>
      <c r="B888"/>
      <c r="C888"/>
      <c r="D888"/>
      <c r="E888"/>
      <c r="F888"/>
      <c r="G888"/>
      <c r="H888"/>
    </row>
    <row r="889" spans="1:8" x14ac:dyDescent="0.45">
      <c r="A889"/>
      <c r="B889"/>
      <c r="C889"/>
      <c r="D889"/>
      <c r="E889"/>
      <c r="F889"/>
      <c r="G889"/>
      <c r="H889"/>
    </row>
    <row r="890" spans="1:8" x14ac:dyDescent="0.45">
      <c r="A890"/>
      <c r="B890"/>
      <c r="C890"/>
      <c r="D890"/>
      <c r="E890"/>
      <c r="F890"/>
      <c r="G890"/>
      <c r="H890"/>
    </row>
    <row r="891" spans="1:8" x14ac:dyDescent="0.45">
      <c r="A891"/>
      <c r="B891"/>
      <c r="C891"/>
      <c r="D891"/>
      <c r="E891"/>
      <c r="F891"/>
      <c r="G891"/>
      <c r="H891"/>
    </row>
    <row r="892" spans="1:8" x14ac:dyDescent="0.45">
      <c r="A892"/>
      <c r="B892"/>
      <c r="C892"/>
      <c r="D892"/>
      <c r="E892"/>
      <c r="F892"/>
      <c r="G892"/>
      <c r="H892"/>
    </row>
    <row r="893" spans="1:8" x14ac:dyDescent="0.45">
      <c r="A893"/>
      <c r="B893"/>
      <c r="C893"/>
      <c r="D893"/>
      <c r="E893"/>
      <c r="F893"/>
      <c r="G893"/>
      <c r="H893"/>
    </row>
    <row r="894" spans="1:8" x14ac:dyDescent="0.45">
      <c r="A894"/>
      <c r="B894"/>
      <c r="C894"/>
      <c r="D894"/>
      <c r="E894"/>
      <c r="F894"/>
      <c r="G894"/>
      <c r="H894"/>
    </row>
    <row r="895" spans="1:8" x14ac:dyDescent="0.45">
      <c r="A895"/>
      <c r="B895"/>
      <c r="C895"/>
      <c r="D895"/>
      <c r="E895"/>
      <c r="F895"/>
      <c r="G895"/>
      <c r="H895"/>
    </row>
    <row r="896" spans="1:8" x14ac:dyDescent="0.45">
      <c r="A896"/>
      <c r="B896"/>
      <c r="C896"/>
      <c r="D896"/>
      <c r="E896"/>
      <c r="F896"/>
      <c r="G896"/>
      <c r="H896"/>
    </row>
    <row r="897" spans="1:8" x14ac:dyDescent="0.45">
      <c r="A897"/>
      <c r="B897"/>
      <c r="C897"/>
      <c r="D897"/>
      <c r="E897"/>
      <c r="F897"/>
      <c r="G897"/>
      <c r="H897"/>
    </row>
    <row r="898" spans="1:8" x14ac:dyDescent="0.45">
      <c r="A898"/>
      <c r="B898"/>
      <c r="C898"/>
      <c r="D898"/>
      <c r="E898"/>
      <c r="F898"/>
      <c r="G898"/>
      <c r="H898"/>
    </row>
    <row r="899" spans="1:8" x14ac:dyDescent="0.45">
      <c r="A899"/>
      <c r="B899"/>
      <c r="C899"/>
      <c r="D899"/>
      <c r="E899"/>
      <c r="F899"/>
      <c r="G899"/>
      <c r="H899"/>
    </row>
    <row r="900" spans="1:8" x14ac:dyDescent="0.45">
      <c r="A900"/>
      <c r="B900"/>
      <c r="C900"/>
      <c r="D900"/>
      <c r="E900"/>
      <c r="F900"/>
      <c r="G900"/>
      <c r="H900"/>
    </row>
    <row r="901" spans="1:8" x14ac:dyDescent="0.45">
      <c r="A901"/>
      <c r="B901"/>
      <c r="C901"/>
      <c r="D901"/>
      <c r="E901"/>
      <c r="F901"/>
      <c r="G901"/>
      <c r="H901"/>
    </row>
    <row r="902" spans="1:8" x14ac:dyDescent="0.45">
      <c r="A902"/>
      <c r="B902"/>
      <c r="C902"/>
      <c r="D902"/>
      <c r="E902"/>
      <c r="F902"/>
      <c r="G902"/>
      <c r="H902"/>
    </row>
    <row r="903" spans="1:8" x14ac:dyDescent="0.45">
      <c r="A903"/>
      <c r="B903"/>
      <c r="C903"/>
      <c r="D903"/>
      <c r="E903"/>
      <c r="F903"/>
      <c r="G903"/>
      <c r="H903"/>
    </row>
    <row r="904" spans="1:8" x14ac:dyDescent="0.45">
      <c r="A904"/>
      <c r="B904"/>
      <c r="C904"/>
      <c r="D904"/>
      <c r="E904"/>
      <c r="F904"/>
      <c r="G904"/>
      <c r="H904"/>
    </row>
    <row r="905" spans="1:8" x14ac:dyDescent="0.45">
      <c r="A905"/>
      <c r="B905"/>
      <c r="C905"/>
      <c r="D905"/>
      <c r="E905"/>
      <c r="F905"/>
      <c r="G905"/>
      <c r="H905"/>
    </row>
    <row r="906" spans="1:8" x14ac:dyDescent="0.45">
      <c r="A906"/>
      <c r="B906"/>
      <c r="C906"/>
      <c r="D906"/>
      <c r="E906"/>
      <c r="F906"/>
      <c r="G906"/>
      <c r="H906"/>
    </row>
    <row r="907" spans="1:8" x14ac:dyDescent="0.45">
      <c r="A907"/>
      <c r="B907"/>
      <c r="C907"/>
      <c r="D907"/>
      <c r="E907"/>
      <c r="F907"/>
      <c r="G907"/>
      <c r="H907"/>
    </row>
    <row r="908" spans="1:8" x14ac:dyDescent="0.45">
      <c r="A908"/>
      <c r="B908"/>
      <c r="C908"/>
      <c r="D908"/>
      <c r="E908"/>
      <c r="F908"/>
      <c r="G908"/>
      <c r="H908"/>
    </row>
    <row r="909" spans="1:8" x14ac:dyDescent="0.45">
      <c r="A909"/>
      <c r="B909"/>
      <c r="C909"/>
      <c r="D909"/>
      <c r="E909"/>
      <c r="F909"/>
      <c r="G909"/>
      <c r="H909"/>
    </row>
    <row r="910" spans="1:8" x14ac:dyDescent="0.45">
      <c r="A910"/>
      <c r="B910"/>
      <c r="C910"/>
      <c r="D910"/>
      <c r="E910"/>
      <c r="F910"/>
      <c r="G910"/>
      <c r="H910"/>
    </row>
    <row r="911" spans="1:8" x14ac:dyDescent="0.45">
      <c r="A911"/>
      <c r="B911"/>
      <c r="C911"/>
      <c r="D911"/>
      <c r="E911"/>
      <c r="F911"/>
      <c r="G911"/>
      <c r="H911"/>
    </row>
    <row r="912" spans="1:8" x14ac:dyDescent="0.45">
      <c r="A912"/>
      <c r="B912"/>
      <c r="C912"/>
      <c r="D912"/>
      <c r="E912"/>
      <c r="F912"/>
      <c r="G912"/>
      <c r="H912"/>
    </row>
    <row r="913" spans="1:8" x14ac:dyDescent="0.45">
      <c r="A913"/>
      <c r="B913"/>
      <c r="C913"/>
      <c r="D913"/>
      <c r="E913"/>
      <c r="F913"/>
      <c r="G913"/>
      <c r="H913"/>
    </row>
    <row r="914" spans="1:8" x14ac:dyDescent="0.45">
      <c r="A914"/>
      <c r="B914"/>
      <c r="C914"/>
      <c r="D914"/>
      <c r="E914"/>
      <c r="F914"/>
      <c r="G914"/>
      <c r="H914"/>
    </row>
    <row r="915" spans="1:8" x14ac:dyDescent="0.45">
      <c r="A915"/>
      <c r="B915"/>
      <c r="C915"/>
      <c r="D915"/>
      <c r="E915"/>
      <c r="F915"/>
      <c r="G915"/>
      <c r="H915"/>
    </row>
    <row r="916" spans="1:8" x14ac:dyDescent="0.45">
      <c r="A916"/>
      <c r="B916"/>
      <c r="C916"/>
      <c r="D916"/>
      <c r="E916"/>
      <c r="F916"/>
      <c r="G916"/>
      <c r="H916"/>
    </row>
    <row r="917" spans="1:8" x14ac:dyDescent="0.45">
      <c r="A917"/>
      <c r="B917"/>
      <c r="C917"/>
      <c r="D917"/>
      <c r="E917"/>
      <c r="F917"/>
      <c r="G917"/>
      <c r="H917"/>
    </row>
    <row r="918" spans="1:8" x14ac:dyDescent="0.45">
      <c r="A918"/>
      <c r="B918"/>
      <c r="C918"/>
      <c r="D918"/>
      <c r="E918"/>
      <c r="F918"/>
      <c r="G918"/>
      <c r="H918"/>
    </row>
    <row r="919" spans="1:8" x14ac:dyDescent="0.45">
      <c r="A919"/>
      <c r="B919"/>
      <c r="C919"/>
      <c r="D919"/>
      <c r="E919"/>
      <c r="F919"/>
      <c r="G919"/>
      <c r="H919"/>
    </row>
    <row r="920" spans="1:8" x14ac:dyDescent="0.45">
      <c r="A920"/>
      <c r="B920"/>
      <c r="C920"/>
      <c r="D920"/>
      <c r="E920"/>
      <c r="F920"/>
      <c r="G920"/>
      <c r="H920"/>
    </row>
    <row r="921" spans="1:8" x14ac:dyDescent="0.45">
      <c r="A921"/>
      <c r="B921"/>
      <c r="C921"/>
      <c r="D921"/>
      <c r="E921"/>
      <c r="F921"/>
      <c r="G921"/>
      <c r="H921"/>
    </row>
    <row r="922" spans="1:8" x14ac:dyDescent="0.45">
      <c r="A922"/>
      <c r="B922"/>
      <c r="C922"/>
      <c r="D922"/>
      <c r="E922"/>
      <c r="F922"/>
      <c r="G922"/>
      <c r="H922"/>
    </row>
    <row r="923" spans="1:8" x14ac:dyDescent="0.45">
      <c r="A923"/>
      <c r="B923"/>
      <c r="C923"/>
      <c r="D923"/>
      <c r="E923"/>
      <c r="F923"/>
      <c r="G923"/>
      <c r="H923"/>
    </row>
    <row r="924" spans="1:8" x14ac:dyDescent="0.45">
      <c r="A924"/>
      <c r="B924"/>
      <c r="C924"/>
      <c r="D924"/>
      <c r="E924"/>
      <c r="F924"/>
      <c r="G924"/>
      <c r="H924"/>
    </row>
    <row r="925" spans="1:8" x14ac:dyDescent="0.45">
      <c r="A925"/>
      <c r="B925"/>
      <c r="C925"/>
      <c r="D925"/>
      <c r="E925"/>
      <c r="F925"/>
      <c r="G925"/>
      <c r="H925"/>
    </row>
    <row r="926" spans="1:8" x14ac:dyDescent="0.45">
      <c r="A926"/>
      <c r="B926"/>
      <c r="C926"/>
      <c r="D926"/>
      <c r="E926"/>
      <c r="F926"/>
      <c r="G926"/>
      <c r="H926"/>
    </row>
    <row r="927" spans="1:8" x14ac:dyDescent="0.45">
      <c r="A927"/>
      <c r="B927"/>
      <c r="C927"/>
      <c r="D927"/>
      <c r="E927"/>
      <c r="F927"/>
      <c r="G927"/>
      <c r="H927"/>
    </row>
    <row r="928" spans="1:8" x14ac:dyDescent="0.45">
      <c r="A928"/>
      <c r="B928"/>
      <c r="C928"/>
      <c r="D928"/>
      <c r="E928"/>
      <c r="F928"/>
      <c r="G928"/>
      <c r="H928"/>
    </row>
    <row r="929" spans="1:8" x14ac:dyDescent="0.45">
      <c r="A929"/>
      <c r="B929"/>
      <c r="C929"/>
      <c r="D929"/>
      <c r="E929"/>
      <c r="F929"/>
      <c r="G929"/>
      <c r="H929"/>
    </row>
    <row r="930" spans="1:8" x14ac:dyDescent="0.45">
      <c r="A930"/>
      <c r="B930"/>
      <c r="C930"/>
      <c r="D930"/>
      <c r="E930"/>
      <c r="F930"/>
      <c r="G930"/>
      <c r="H930"/>
    </row>
    <row r="931" spans="1:8" x14ac:dyDescent="0.45">
      <c r="A931"/>
      <c r="B931"/>
      <c r="C931"/>
      <c r="D931"/>
      <c r="E931"/>
      <c r="F931"/>
      <c r="G931"/>
      <c r="H931"/>
    </row>
    <row r="932" spans="1:8" x14ac:dyDescent="0.45">
      <c r="A932"/>
      <c r="B932"/>
      <c r="C932"/>
      <c r="D932"/>
      <c r="E932"/>
      <c r="F932"/>
      <c r="G932"/>
      <c r="H932"/>
    </row>
    <row r="933" spans="1:8" x14ac:dyDescent="0.45">
      <c r="A933"/>
      <c r="B933"/>
      <c r="C933"/>
      <c r="D933"/>
      <c r="E933"/>
      <c r="F933"/>
      <c r="G933"/>
      <c r="H933"/>
    </row>
    <row r="934" spans="1:8" x14ac:dyDescent="0.45">
      <c r="A934"/>
      <c r="B934"/>
      <c r="C934"/>
      <c r="D934"/>
      <c r="E934"/>
      <c r="F934"/>
      <c r="G934"/>
      <c r="H934"/>
    </row>
    <row r="935" spans="1:8" x14ac:dyDescent="0.45">
      <c r="A935"/>
      <c r="B935"/>
      <c r="C935"/>
      <c r="D935"/>
      <c r="E935"/>
      <c r="F935"/>
      <c r="G935"/>
      <c r="H935"/>
    </row>
    <row r="936" spans="1:8" x14ac:dyDescent="0.45">
      <c r="A936"/>
      <c r="B936"/>
      <c r="C936"/>
      <c r="D936"/>
      <c r="E936"/>
      <c r="F936"/>
      <c r="G936"/>
      <c r="H936"/>
    </row>
    <row r="937" spans="1:8" x14ac:dyDescent="0.45">
      <c r="A937"/>
      <c r="B937"/>
      <c r="C937"/>
      <c r="D937"/>
      <c r="E937"/>
      <c r="F937"/>
      <c r="G937"/>
      <c r="H937"/>
    </row>
    <row r="938" spans="1:8" x14ac:dyDescent="0.45">
      <c r="A938"/>
      <c r="B938"/>
      <c r="C938"/>
      <c r="D938"/>
      <c r="E938"/>
      <c r="F938"/>
      <c r="G938"/>
      <c r="H938"/>
    </row>
    <row r="939" spans="1:8" x14ac:dyDescent="0.45">
      <c r="A939"/>
      <c r="B939"/>
      <c r="C939"/>
      <c r="D939"/>
      <c r="E939"/>
      <c r="F939"/>
      <c r="G939"/>
      <c r="H939"/>
    </row>
    <row r="940" spans="1:8" x14ac:dyDescent="0.45">
      <c r="A940"/>
      <c r="B940"/>
      <c r="C940"/>
      <c r="D940"/>
      <c r="E940"/>
      <c r="F940"/>
      <c r="G940"/>
      <c r="H940"/>
    </row>
    <row r="941" spans="1:8" x14ac:dyDescent="0.45">
      <c r="A941"/>
      <c r="B941"/>
      <c r="C941"/>
      <c r="D941"/>
      <c r="E941"/>
      <c r="F941"/>
      <c r="G941"/>
      <c r="H941"/>
    </row>
    <row r="942" spans="1:8" x14ac:dyDescent="0.45">
      <c r="A942"/>
      <c r="B942"/>
      <c r="C942"/>
      <c r="D942"/>
      <c r="E942"/>
      <c r="F942"/>
      <c r="G942"/>
      <c r="H942"/>
    </row>
    <row r="943" spans="1:8" x14ac:dyDescent="0.45">
      <c r="A943"/>
      <c r="B943"/>
      <c r="C943"/>
      <c r="D943"/>
      <c r="E943"/>
      <c r="F943"/>
      <c r="G943"/>
      <c r="H943"/>
    </row>
    <row r="944" spans="1:8" x14ac:dyDescent="0.45">
      <c r="A944"/>
      <c r="B944"/>
      <c r="C944"/>
      <c r="D944"/>
      <c r="E944"/>
      <c r="F944"/>
      <c r="G944"/>
      <c r="H944"/>
    </row>
    <row r="945" spans="1:8" x14ac:dyDescent="0.45">
      <c r="A945"/>
      <c r="B945"/>
      <c r="C945"/>
      <c r="D945"/>
      <c r="E945"/>
      <c r="F945"/>
      <c r="G945"/>
      <c r="H945"/>
    </row>
    <row r="946" spans="1:8" x14ac:dyDescent="0.45">
      <c r="A946"/>
      <c r="B946"/>
      <c r="C946"/>
      <c r="D946"/>
      <c r="E946"/>
      <c r="F946"/>
      <c r="G946"/>
      <c r="H946"/>
    </row>
    <row r="947" spans="1:8" x14ac:dyDescent="0.45">
      <c r="A947"/>
      <c r="B947"/>
      <c r="C947"/>
      <c r="D947"/>
      <c r="E947"/>
      <c r="F947"/>
      <c r="G947"/>
      <c r="H947"/>
    </row>
    <row r="948" spans="1:8" x14ac:dyDescent="0.45">
      <c r="A948"/>
      <c r="B948"/>
      <c r="C948"/>
      <c r="D948"/>
      <c r="E948"/>
      <c r="F948"/>
      <c r="G948"/>
      <c r="H948"/>
    </row>
    <row r="949" spans="1:8" x14ac:dyDescent="0.45">
      <c r="A949"/>
      <c r="B949"/>
      <c r="C949"/>
      <c r="D949"/>
      <c r="E949"/>
      <c r="F949"/>
      <c r="G949"/>
      <c r="H949"/>
    </row>
    <row r="950" spans="1:8" x14ac:dyDescent="0.45">
      <c r="A950"/>
      <c r="B950"/>
      <c r="C950"/>
      <c r="D950"/>
      <c r="E950"/>
      <c r="F950"/>
      <c r="G950"/>
      <c r="H950"/>
    </row>
    <row r="951" spans="1:8" x14ac:dyDescent="0.45">
      <c r="A951"/>
      <c r="B951"/>
      <c r="C951"/>
      <c r="D951"/>
      <c r="E951"/>
      <c r="F951"/>
      <c r="G951"/>
      <c r="H951"/>
    </row>
    <row r="952" spans="1:8" x14ac:dyDescent="0.45">
      <c r="A952"/>
      <c r="B952"/>
      <c r="C952"/>
      <c r="D952"/>
      <c r="E952"/>
      <c r="F952"/>
      <c r="G952"/>
      <c r="H952"/>
    </row>
    <row r="953" spans="1:8" x14ac:dyDescent="0.45">
      <c r="A953"/>
      <c r="B953"/>
      <c r="C953"/>
      <c r="D953"/>
      <c r="E953"/>
      <c r="F953"/>
      <c r="G953"/>
      <c r="H953"/>
    </row>
    <row r="954" spans="1:8" x14ac:dyDescent="0.45">
      <c r="A954"/>
      <c r="B954"/>
      <c r="C954"/>
      <c r="D954"/>
      <c r="E954"/>
      <c r="F954"/>
      <c r="G954"/>
      <c r="H954"/>
    </row>
    <row r="955" spans="1:8" x14ac:dyDescent="0.45">
      <c r="A955"/>
      <c r="B955"/>
      <c r="C955"/>
      <c r="D955"/>
      <c r="E955"/>
      <c r="F955"/>
      <c r="G955"/>
      <c r="H955"/>
    </row>
    <row r="956" spans="1:8" x14ac:dyDescent="0.45">
      <c r="A956"/>
      <c r="B956"/>
      <c r="C956"/>
      <c r="D956"/>
      <c r="E956"/>
      <c r="F956"/>
      <c r="G956"/>
      <c r="H956"/>
    </row>
    <row r="957" spans="1:8" x14ac:dyDescent="0.45">
      <c r="A957"/>
      <c r="B957"/>
      <c r="C957"/>
      <c r="D957"/>
      <c r="E957"/>
      <c r="F957"/>
      <c r="G957"/>
      <c r="H957"/>
    </row>
    <row r="958" spans="1:8" x14ac:dyDescent="0.45">
      <c r="A958"/>
      <c r="B958"/>
      <c r="C958"/>
      <c r="D958"/>
      <c r="E958"/>
      <c r="F958"/>
      <c r="G958"/>
      <c r="H958"/>
    </row>
    <row r="959" spans="1:8" x14ac:dyDescent="0.45">
      <c r="A959"/>
      <c r="B959"/>
      <c r="C959"/>
      <c r="D959"/>
      <c r="E959"/>
      <c r="F959"/>
      <c r="G959"/>
      <c r="H959"/>
    </row>
    <row r="960" spans="1:8" x14ac:dyDescent="0.45">
      <c r="A960"/>
      <c r="B960"/>
      <c r="C960"/>
      <c r="D960"/>
      <c r="E960"/>
      <c r="F960"/>
      <c r="G960"/>
      <c r="H960"/>
    </row>
    <row r="961" spans="1:8" x14ac:dyDescent="0.45">
      <c r="A961"/>
      <c r="B961"/>
      <c r="C961"/>
      <c r="D961"/>
      <c r="E961"/>
      <c r="F961"/>
      <c r="G961"/>
      <c r="H961"/>
    </row>
    <row r="962" spans="1:8" x14ac:dyDescent="0.45">
      <c r="A962"/>
      <c r="B962"/>
      <c r="C962"/>
      <c r="D962"/>
      <c r="E962"/>
      <c r="F962"/>
      <c r="G962"/>
      <c r="H962"/>
    </row>
    <row r="963" spans="1:8" x14ac:dyDescent="0.45">
      <c r="A963"/>
      <c r="B963"/>
      <c r="C963"/>
      <c r="D963"/>
      <c r="E963"/>
      <c r="F963"/>
      <c r="G963"/>
      <c r="H963"/>
    </row>
    <row r="964" spans="1:8" x14ac:dyDescent="0.45">
      <c r="A964"/>
      <c r="B964"/>
      <c r="C964"/>
      <c r="D964"/>
      <c r="E964"/>
      <c r="F964"/>
      <c r="G964"/>
      <c r="H964"/>
    </row>
    <row r="965" spans="1:8" x14ac:dyDescent="0.45">
      <c r="A965"/>
      <c r="B965"/>
      <c r="C965"/>
      <c r="D965"/>
      <c r="E965"/>
      <c r="F965"/>
      <c r="G965"/>
      <c r="H965"/>
    </row>
    <row r="966" spans="1:8" x14ac:dyDescent="0.45">
      <c r="A966"/>
      <c r="B966"/>
      <c r="C966"/>
      <c r="D966"/>
      <c r="E966"/>
      <c r="F966"/>
      <c r="G966"/>
      <c r="H966"/>
    </row>
    <row r="967" spans="1:8" x14ac:dyDescent="0.45">
      <c r="A967"/>
      <c r="B967"/>
      <c r="C967"/>
      <c r="D967"/>
      <c r="E967"/>
      <c r="F967"/>
      <c r="G967"/>
      <c r="H967"/>
    </row>
    <row r="968" spans="1:8" x14ac:dyDescent="0.45">
      <c r="A968"/>
      <c r="B968"/>
      <c r="C968"/>
      <c r="D968"/>
      <c r="E968"/>
      <c r="F968"/>
      <c r="G968"/>
      <c r="H968"/>
    </row>
    <row r="969" spans="1:8" x14ac:dyDescent="0.45">
      <c r="A969"/>
      <c r="B969"/>
      <c r="C969"/>
      <c r="D969"/>
      <c r="E969"/>
      <c r="F969"/>
      <c r="G969"/>
      <c r="H969"/>
    </row>
    <row r="970" spans="1:8" x14ac:dyDescent="0.45">
      <c r="A970"/>
      <c r="B970"/>
      <c r="C970"/>
      <c r="D970"/>
      <c r="E970"/>
      <c r="F970"/>
      <c r="G970"/>
      <c r="H970"/>
    </row>
    <row r="971" spans="1:8" x14ac:dyDescent="0.45">
      <c r="A971"/>
      <c r="B971"/>
      <c r="C971"/>
      <c r="D971"/>
      <c r="E971"/>
      <c r="F971"/>
      <c r="G971"/>
      <c r="H971"/>
    </row>
    <row r="972" spans="1:8" x14ac:dyDescent="0.45">
      <c r="A972"/>
      <c r="B972"/>
      <c r="C972"/>
      <c r="D972"/>
      <c r="E972"/>
      <c r="F972"/>
      <c r="G972"/>
      <c r="H972"/>
    </row>
    <row r="973" spans="1:8" x14ac:dyDescent="0.45">
      <c r="A973"/>
      <c r="B973"/>
      <c r="C973"/>
      <c r="D973"/>
      <c r="E973"/>
      <c r="F973"/>
      <c r="G973"/>
      <c r="H973"/>
    </row>
    <row r="974" spans="1:8" x14ac:dyDescent="0.45">
      <c r="A974"/>
      <c r="B974"/>
      <c r="C974"/>
      <c r="D974"/>
      <c r="E974"/>
      <c r="F974"/>
      <c r="G974"/>
      <c r="H974"/>
    </row>
    <row r="975" spans="1:8" x14ac:dyDescent="0.45">
      <c r="A975"/>
      <c r="B975"/>
      <c r="C975"/>
      <c r="D975"/>
      <c r="E975"/>
      <c r="F975"/>
      <c r="G975"/>
      <c r="H975"/>
    </row>
    <row r="976" spans="1:8" x14ac:dyDescent="0.45">
      <c r="A976"/>
      <c r="B976"/>
      <c r="C976"/>
      <c r="D976"/>
      <c r="E976"/>
      <c r="F976"/>
      <c r="G976"/>
      <c r="H976"/>
    </row>
    <row r="977" spans="1:8" x14ac:dyDescent="0.45">
      <c r="A977"/>
      <c r="B977"/>
      <c r="C977"/>
      <c r="D977"/>
      <c r="E977"/>
      <c r="F977"/>
      <c r="G977"/>
      <c r="H977"/>
    </row>
    <row r="978" spans="1:8" x14ac:dyDescent="0.45">
      <c r="A978"/>
      <c r="B978"/>
      <c r="C978"/>
      <c r="D978"/>
      <c r="E978"/>
      <c r="F978"/>
      <c r="G978"/>
      <c r="H978"/>
    </row>
    <row r="979" spans="1:8" x14ac:dyDescent="0.45">
      <c r="A979"/>
      <c r="B979"/>
      <c r="C979"/>
      <c r="D979"/>
      <c r="E979"/>
      <c r="F979"/>
      <c r="G979"/>
      <c r="H979"/>
    </row>
    <row r="980" spans="1:8" x14ac:dyDescent="0.45">
      <c r="A980"/>
      <c r="B980"/>
      <c r="C980"/>
      <c r="D980"/>
      <c r="E980"/>
      <c r="F980"/>
      <c r="G980"/>
      <c r="H980"/>
    </row>
    <row r="981" spans="1:8" x14ac:dyDescent="0.45">
      <c r="A981"/>
      <c r="B981"/>
      <c r="C981"/>
      <c r="D981"/>
      <c r="E981"/>
      <c r="F981"/>
      <c r="G981"/>
      <c r="H981"/>
    </row>
    <row r="982" spans="1:8" x14ac:dyDescent="0.45">
      <c r="A982"/>
      <c r="B982"/>
      <c r="C982"/>
      <c r="D982"/>
      <c r="E982"/>
      <c r="F982"/>
      <c r="G982"/>
      <c r="H982"/>
    </row>
    <row r="983" spans="1:8" x14ac:dyDescent="0.45">
      <c r="A983"/>
      <c r="B983"/>
      <c r="C983"/>
      <c r="D983"/>
      <c r="E983"/>
      <c r="F983"/>
      <c r="G983"/>
      <c r="H983"/>
    </row>
    <row r="984" spans="1:8" x14ac:dyDescent="0.45">
      <c r="A984"/>
      <c r="B984"/>
      <c r="C984"/>
      <c r="D984"/>
      <c r="E984"/>
      <c r="F984"/>
      <c r="G984"/>
      <c r="H984"/>
    </row>
    <row r="985" spans="1:8" x14ac:dyDescent="0.45">
      <c r="A985"/>
      <c r="B985"/>
      <c r="C985"/>
      <c r="D985"/>
      <c r="E985"/>
      <c r="F985"/>
      <c r="G985"/>
      <c r="H985"/>
    </row>
    <row r="986" spans="1:8" x14ac:dyDescent="0.45">
      <c r="A986"/>
      <c r="B986"/>
      <c r="C986"/>
      <c r="D986"/>
      <c r="E986"/>
      <c r="F986"/>
      <c r="G986"/>
      <c r="H986"/>
    </row>
    <row r="987" spans="1:8" x14ac:dyDescent="0.45">
      <c r="A987"/>
      <c r="B987"/>
      <c r="C987"/>
      <c r="D987"/>
      <c r="E987"/>
      <c r="F987"/>
      <c r="G987"/>
      <c r="H987"/>
    </row>
    <row r="988" spans="1:8" x14ac:dyDescent="0.45">
      <c r="A988"/>
      <c r="B988"/>
      <c r="C988"/>
      <c r="D988"/>
      <c r="E988"/>
      <c r="F988"/>
      <c r="G988"/>
      <c r="H988"/>
    </row>
    <row r="989" spans="1:8" x14ac:dyDescent="0.45">
      <c r="A989"/>
      <c r="B989"/>
      <c r="C989"/>
      <c r="D989"/>
      <c r="E989"/>
      <c r="F989"/>
      <c r="G989"/>
      <c r="H989"/>
    </row>
    <row r="990" spans="1:8" x14ac:dyDescent="0.45">
      <c r="A990"/>
      <c r="B990"/>
      <c r="C990"/>
      <c r="D990"/>
      <c r="E990"/>
      <c r="F990"/>
      <c r="G990"/>
      <c r="H990"/>
    </row>
    <row r="991" spans="1:8" x14ac:dyDescent="0.45">
      <c r="A991"/>
      <c r="B991"/>
      <c r="C991"/>
      <c r="D991"/>
      <c r="E991"/>
      <c r="F991"/>
      <c r="G991"/>
      <c r="H991"/>
    </row>
    <row r="992" spans="1:8" x14ac:dyDescent="0.45">
      <c r="A992"/>
      <c r="B992"/>
      <c r="C992"/>
      <c r="D992"/>
      <c r="E992"/>
      <c r="F992"/>
      <c r="G992"/>
      <c r="H992"/>
    </row>
    <row r="993" spans="1:8" x14ac:dyDescent="0.45">
      <c r="A993"/>
      <c r="B993"/>
      <c r="C993"/>
      <c r="D993"/>
      <c r="E993"/>
      <c r="F993"/>
      <c r="G993"/>
      <c r="H993"/>
    </row>
    <row r="994" spans="1:8" x14ac:dyDescent="0.45">
      <c r="A994"/>
      <c r="B994"/>
      <c r="C994"/>
      <c r="D994"/>
      <c r="E994"/>
      <c r="F994"/>
      <c r="G994"/>
      <c r="H994"/>
    </row>
    <row r="995" spans="1:8" x14ac:dyDescent="0.45">
      <c r="A995"/>
      <c r="B995"/>
      <c r="C995"/>
      <c r="D995"/>
      <c r="E995"/>
      <c r="F995"/>
      <c r="G995"/>
      <c r="H995"/>
    </row>
    <row r="996" spans="1:8" x14ac:dyDescent="0.45">
      <c r="A996"/>
      <c r="B996"/>
      <c r="C996"/>
      <c r="D996"/>
      <c r="E996"/>
      <c r="F996"/>
      <c r="G996"/>
      <c r="H996"/>
    </row>
    <row r="997" spans="1:8" x14ac:dyDescent="0.45">
      <c r="A997"/>
      <c r="B997"/>
      <c r="C997"/>
      <c r="D997"/>
      <c r="E997"/>
      <c r="F997"/>
      <c r="G997"/>
      <c r="H997"/>
    </row>
    <row r="998" spans="1:8" x14ac:dyDescent="0.45">
      <c r="A998"/>
      <c r="B998"/>
      <c r="C998"/>
      <c r="D998"/>
      <c r="E998"/>
      <c r="F998"/>
      <c r="G998"/>
      <c r="H998"/>
    </row>
    <row r="999" spans="1:8" x14ac:dyDescent="0.45">
      <c r="A999"/>
      <c r="B999"/>
      <c r="C999"/>
      <c r="D999"/>
      <c r="E999"/>
      <c r="F999"/>
      <c r="G999"/>
      <c r="H999"/>
    </row>
    <row r="1000" spans="1:8" x14ac:dyDescent="0.45">
      <c r="A1000"/>
      <c r="B1000"/>
      <c r="C1000"/>
      <c r="D1000"/>
      <c r="E1000"/>
      <c r="F1000"/>
      <c r="G1000"/>
      <c r="H1000"/>
    </row>
    <row r="1001" spans="1:8" x14ac:dyDescent="0.45">
      <c r="A1001"/>
      <c r="B1001"/>
      <c r="C1001"/>
      <c r="D1001"/>
      <c r="E1001"/>
      <c r="F1001"/>
      <c r="G1001"/>
      <c r="H1001"/>
    </row>
    <row r="1002" spans="1:8" x14ac:dyDescent="0.45">
      <c r="A1002"/>
      <c r="B1002"/>
      <c r="C1002"/>
      <c r="D1002"/>
      <c r="E1002"/>
      <c r="F1002"/>
      <c r="G1002"/>
      <c r="H1002"/>
    </row>
    <row r="1003" spans="1:8" x14ac:dyDescent="0.45">
      <c r="A1003"/>
      <c r="B1003"/>
      <c r="C1003"/>
      <c r="D1003"/>
      <c r="E1003"/>
      <c r="F1003"/>
      <c r="G1003"/>
      <c r="H1003"/>
    </row>
    <row r="1004" spans="1:8" x14ac:dyDescent="0.45">
      <c r="A1004"/>
      <c r="B1004"/>
      <c r="C1004"/>
      <c r="D1004"/>
      <c r="E1004"/>
      <c r="F1004"/>
      <c r="G1004"/>
      <c r="H1004"/>
    </row>
    <row r="1005" spans="1:8" x14ac:dyDescent="0.45">
      <c r="A1005"/>
      <c r="B1005"/>
      <c r="C1005"/>
      <c r="D1005"/>
      <c r="E1005"/>
      <c r="F1005"/>
      <c r="G1005"/>
      <c r="H1005"/>
    </row>
    <row r="1006" spans="1:8" x14ac:dyDescent="0.45">
      <c r="A1006"/>
      <c r="B1006"/>
      <c r="C1006"/>
      <c r="D1006"/>
      <c r="E1006"/>
      <c r="F1006"/>
      <c r="G1006"/>
      <c r="H1006"/>
    </row>
    <row r="1007" spans="1:8" x14ac:dyDescent="0.45">
      <c r="A1007"/>
      <c r="B1007"/>
      <c r="C1007"/>
      <c r="D1007"/>
      <c r="E1007"/>
      <c r="F1007"/>
      <c r="G1007"/>
      <c r="H1007"/>
    </row>
    <row r="1008" spans="1:8" x14ac:dyDescent="0.45">
      <c r="A1008"/>
      <c r="B1008"/>
      <c r="C1008"/>
      <c r="D1008"/>
      <c r="E1008"/>
      <c r="F1008"/>
      <c r="G1008"/>
      <c r="H1008"/>
    </row>
    <row r="1009" spans="1:8" x14ac:dyDescent="0.45">
      <c r="A1009"/>
      <c r="B1009"/>
      <c r="C1009"/>
      <c r="D1009"/>
      <c r="E1009"/>
      <c r="F1009"/>
      <c r="G1009"/>
      <c r="H1009"/>
    </row>
    <row r="1010" spans="1:8" x14ac:dyDescent="0.45">
      <c r="A1010"/>
      <c r="B1010"/>
      <c r="C1010"/>
      <c r="D1010"/>
      <c r="E1010"/>
      <c r="F1010"/>
      <c r="G1010"/>
      <c r="H1010"/>
    </row>
    <row r="1011" spans="1:8" x14ac:dyDescent="0.45">
      <c r="A1011"/>
      <c r="B1011"/>
      <c r="C1011"/>
      <c r="D1011"/>
      <c r="E1011"/>
      <c r="F1011"/>
      <c r="G1011"/>
      <c r="H1011"/>
    </row>
    <row r="1012" spans="1:8" x14ac:dyDescent="0.45">
      <c r="A1012"/>
      <c r="B1012"/>
      <c r="C1012"/>
      <c r="D1012"/>
      <c r="E1012"/>
      <c r="F1012"/>
      <c r="G1012"/>
      <c r="H1012"/>
    </row>
    <row r="1013" spans="1:8" x14ac:dyDescent="0.45">
      <c r="A1013"/>
      <c r="B1013"/>
      <c r="C1013"/>
      <c r="D1013"/>
      <c r="E1013"/>
      <c r="F1013"/>
      <c r="G1013"/>
      <c r="H1013"/>
    </row>
    <row r="1014" spans="1:8" x14ac:dyDescent="0.45">
      <c r="A1014"/>
      <c r="B1014"/>
      <c r="C1014"/>
      <c r="D1014"/>
      <c r="E1014"/>
      <c r="F1014"/>
      <c r="G1014"/>
      <c r="H1014"/>
    </row>
    <row r="1015" spans="1:8" x14ac:dyDescent="0.45">
      <c r="A1015"/>
      <c r="B1015"/>
      <c r="C1015"/>
      <c r="D1015"/>
      <c r="E1015"/>
      <c r="F1015"/>
      <c r="G1015"/>
      <c r="H1015"/>
    </row>
    <row r="1016" spans="1:8" x14ac:dyDescent="0.45">
      <c r="A1016"/>
      <c r="B1016"/>
      <c r="C1016"/>
      <c r="D1016"/>
      <c r="E1016"/>
      <c r="F1016"/>
      <c r="G1016"/>
      <c r="H1016"/>
    </row>
    <row r="1017" spans="1:8" x14ac:dyDescent="0.45">
      <c r="A1017"/>
      <c r="B1017"/>
      <c r="C1017"/>
      <c r="D1017"/>
      <c r="E1017"/>
      <c r="F1017"/>
      <c r="G1017"/>
      <c r="H1017"/>
    </row>
    <row r="1018" spans="1:8" x14ac:dyDescent="0.45">
      <c r="A1018"/>
      <c r="B1018"/>
      <c r="C1018"/>
      <c r="D1018"/>
      <c r="E1018"/>
      <c r="F1018"/>
      <c r="G1018"/>
      <c r="H1018"/>
    </row>
    <row r="1019" spans="1:8" x14ac:dyDescent="0.45">
      <c r="A1019"/>
      <c r="B1019"/>
      <c r="C1019"/>
      <c r="D1019"/>
      <c r="E1019"/>
      <c r="F1019"/>
      <c r="G1019"/>
      <c r="H1019"/>
    </row>
    <row r="1020" spans="1:8" x14ac:dyDescent="0.45">
      <c r="A1020"/>
      <c r="B1020"/>
      <c r="C1020"/>
      <c r="D1020"/>
      <c r="E1020"/>
      <c r="F1020"/>
      <c r="G1020"/>
      <c r="H1020"/>
    </row>
    <row r="1021" spans="1:8" x14ac:dyDescent="0.45">
      <c r="A1021"/>
      <c r="B1021"/>
      <c r="C1021"/>
      <c r="D1021"/>
      <c r="E1021"/>
      <c r="F1021"/>
      <c r="G1021"/>
      <c r="H1021"/>
    </row>
    <row r="1022" spans="1:8" x14ac:dyDescent="0.45">
      <c r="A1022"/>
      <c r="B1022"/>
      <c r="C1022"/>
      <c r="D1022"/>
      <c r="E1022"/>
      <c r="F1022"/>
      <c r="G1022"/>
      <c r="H1022"/>
    </row>
    <row r="1023" spans="1:8" x14ac:dyDescent="0.45">
      <c r="A1023"/>
      <c r="B1023"/>
      <c r="C1023"/>
      <c r="D1023"/>
      <c r="E1023"/>
      <c r="F1023"/>
      <c r="G1023"/>
      <c r="H1023"/>
    </row>
    <row r="1024" spans="1:8" x14ac:dyDescent="0.45">
      <c r="A1024"/>
      <c r="B1024"/>
      <c r="C1024"/>
      <c r="D1024"/>
      <c r="E1024"/>
      <c r="F1024"/>
      <c r="G1024"/>
      <c r="H1024"/>
    </row>
    <row r="1025" spans="1:8" x14ac:dyDescent="0.45">
      <c r="A1025"/>
      <c r="B1025"/>
      <c r="C1025"/>
      <c r="D1025"/>
      <c r="E1025"/>
      <c r="F1025"/>
      <c r="G1025"/>
      <c r="H1025"/>
    </row>
    <row r="1026" spans="1:8" x14ac:dyDescent="0.45">
      <c r="A1026"/>
      <c r="B1026"/>
      <c r="C1026"/>
      <c r="D1026"/>
      <c r="E1026"/>
      <c r="F1026"/>
      <c r="G1026"/>
      <c r="H1026"/>
    </row>
    <row r="1027" spans="1:8" x14ac:dyDescent="0.45">
      <c r="A1027"/>
      <c r="B1027"/>
      <c r="C1027"/>
      <c r="D1027"/>
      <c r="E1027"/>
      <c r="F1027"/>
      <c r="G1027"/>
      <c r="H1027"/>
    </row>
    <row r="1028" spans="1:8" x14ac:dyDescent="0.45">
      <c r="A1028"/>
      <c r="B1028"/>
      <c r="C1028"/>
      <c r="D1028"/>
      <c r="E1028"/>
      <c r="F1028"/>
      <c r="G1028"/>
      <c r="H1028"/>
    </row>
    <row r="1029" spans="1:8" x14ac:dyDescent="0.45">
      <c r="A1029"/>
      <c r="B1029"/>
      <c r="C1029"/>
      <c r="D1029"/>
      <c r="E1029"/>
      <c r="F1029"/>
      <c r="G1029"/>
      <c r="H1029"/>
    </row>
    <row r="1030" spans="1:8" x14ac:dyDescent="0.45">
      <c r="A1030"/>
      <c r="B1030"/>
      <c r="C1030"/>
      <c r="D1030"/>
      <c r="E1030"/>
      <c r="F1030"/>
      <c r="G1030"/>
      <c r="H1030"/>
    </row>
    <row r="1031" spans="1:8" x14ac:dyDescent="0.45">
      <c r="A1031"/>
      <c r="B1031"/>
      <c r="C1031"/>
      <c r="D1031"/>
      <c r="E1031"/>
      <c r="F1031"/>
      <c r="G1031"/>
      <c r="H1031"/>
    </row>
    <row r="1032" spans="1:8" x14ac:dyDescent="0.45">
      <c r="A1032"/>
      <c r="B1032"/>
      <c r="C1032"/>
      <c r="D1032"/>
      <c r="E1032"/>
      <c r="F1032"/>
      <c r="G1032"/>
      <c r="H1032"/>
    </row>
    <row r="1033" spans="1:8" x14ac:dyDescent="0.45">
      <c r="A1033"/>
      <c r="B1033"/>
      <c r="C1033"/>
      <c r="D1033"/>
      <c r="E1033"/>
      <c r="F1033"/>
      <c r="G1033"/>
      <c r="H1033"/>
    </row>
    <row r="1034" spans="1:8" x14ac:dyDescent="0.45">
      <c r="A1034"/>
      <c r="B1034"/>
      <c r="C1034"/>
      <c r="D1034"/>
      <c r="E1034"/>
      <c r="F1034"/>
      <c r="G1034"/>
      <c r="H1034"/>
    </row>
    <row r="1035" spans="1:8" x14ac:dyDescent="0.45">
      <c r="A1035"/>
      <c r="B1035"/>
      <c r="C1035"/>
      <c r="D1035"/>
      <c r="E1035"/>
      <c r="F1035"/>
      <c r="G1035"/>
      <c r="H1035"/>
    </row>
    <row r="1036" spans="1:8" x14ac:dyDescent="0.45">
      <c r="A1036"/>
      <c r="B1036"/>
      <c r="C1036"/>
      <c r="D1036"/>
      <c r="E1036"/>
      <c r="F1036"/>
      <c r="G1036"/>
      <c r="H1036"/>
    </row>
    <row r="1037" spans="1:8" x14ac:dyDescent="0.45">
      <c r="A1037"/>
      <c r="B1037"/>
      <c r="C1037"/>
      <c r="D1037"/>
      <c r="E1037"/>
      <c r="F1037"/>
      <c r="G1037"/>
      <c r="H1037"/>
    </row>
    <row r="1038" spans="1:8" x14ac:dyDescent="0.45">
      <c r="A1038"/>
      <c r="B1038"/>
      <c r="C1038"/>
      <c r="D1038"/>
      <c r="E1038"/>
      <c r="F1038"/>
      <c r="G1038"/>
      <c r="H1038"/>
    </row>
    <row r="1039" spans="1:8" x14ac:dyDescent="0.45">
      <c r="A1039"/>
      <c r="B1039"/>
      <c r="C1039"/>
      <c r="D1039"/>
      <c r="E1039"/>
      <c r="F1039"/>
      <c r="G1039"/>
      <c r="H1039"/>
    </row>
    <row r="1040" spans="1:8" x14ac:dyDescent="0.45">
      <c r="A1040"/>
      <c r="B1040"/>
      <c r="C1040"/>
      <c r="D1040"/>
      <c r="E1040"/>
      <c r="F1040"/>
      <c r="G1040"/>
      <c r="H1040"/>
    </row>
    <row r="1041" spans="1:8" x14ac:dyDescent="0.45">
      <c r="A1041"/>
      <c r="B1041"/>
      <c r="C1041"/>
      <c r="D1041"/>
      <c r="E1041"/>
      <c r="F1041"/>
      <c r="G1041"/>
      <c r="H1041"/>
    </row>
    <row r="1042" spans="1:8" x14ac:dyDescent="0.45">
      <c r="A1042"/>
      <c r="B1042"/>
      <c r="C1042"/>
      <c r="D1042"/>
      <c r="E1042"/>
      <c r="F1042"/>
      <c r="G1042"/>
      <c r="H1042"/>
    </row>
    <row r="1043" spans="1:8" x14ac:dyDescent="0.45">
      <c r="A1043"/>
      <c r="B1043"/>
      <c r="C1043"/>
      <c r="D1043"/>
      <c r="E1043"/>
      <c r="F1043"/>
      <c r="G1043"/>
      <c r="H1043"/>
    </row>
    <row r="1044" spans="1:8" x14ac:dyDescent="0.45">
      <c r="A1044"/>
      <c r="B1044"/>
      <c r="C1044"/>
      <c r="D1044"/>
      <c r="E1044"/>
      <c r="F1044"/>
      <c r="G1044"/>
      <c r="H1044"/>
    </row>
    <row r="1045" spans="1:8" x14ac:dyDescent="0.45">
      <c r="A1045"/>
      <c r="B1045"/>
      <c r="C1045"/>
      <c r="D1045"/>
      <c r="E1045"/>
      <c r="F1045"/>
      <c r="G1045"/>
      <c r="H1045"/>
    </row>
    <row r="1046" spans="1:8" x14ac:dyDescent="0.45">
      <c r="A1046"/>
      <c r="B1046"/>
      <c r="C1046"/>
      <c r="D1046"/>
      <c r="E1046"/>
      <c r="F1046"/>
      <c r="G1046"/>
      <c r="H1046"/>
    </row>
    <row r="1047" spans="1:8" x14ac:dyDescent="0.45">
      <c r="A1047"/>
      <c r="B1047"/>
      <c r="C1047"/>
      <c r="D1047"/>
      <c r="E1047"/>
      <c r="F1047"/>
      <c r="G1047"/>
      <c r="H1047"/>
    </row>
    <row r="1048" spans="1:8" x14ac:dyDescent="0.45">
      <c r="A1048"/>
      <c r="B1048"/>
      <c r="C1048"/>
      <c r="D1048"/>
      <c r="E1048"/>
      <c r="F1048"/>
      <c r="G1048"/>
      <c r="H1048"/>
    </row>
    <row r="1049" spans="1:8" x14ac:dyDescent="0.45">
      <c r="A1049"/>
      <c r="B1049"/>
      <c r="C1049"/>
      <c r="D1049"/>
      <c r="E1049"/>
      <c r="F1049"/>
      <c r="G1049"/>
      <c r="H1049"/>
    </row>
    <row r="1050" spans="1:8" x14ac:dyDescent="0.45">
      <c r="A1050"/>
      <c r="B1050"/>
      <c r="C1050"/>
      <c r="D1050"/>
      <c r="E1050"/>
      <c r="F1050"/>
      <c r="G1050"/>
      <c r="H1050"/>
    </row>
    <row r="1051" spans="1:8" x14ac:dyDescent="0.45">
      <c r="A1051"/>
      <c r="B1051"/>
      <c r="C1051"/>
      <c r="D1051"/>
      <c r="E1051"/>
      <c r="F1051"/>
      <c r="G1051"/>
      <c r="H1051"/>
    </row>
    <row r="1052" spans="1:8" x14ac:dyDescent="0.45">
      <c r="A1052"/>
      <c r="B1052"/>
      <c r="C1052"/>
      <c r="D1052"/>
      <c r="E1052"/>
      <c r="F1052"/>
      <c r="G1052"/>
      <c r="H1052"/>
    </row>
    <row r="1053" spans="1:8" x14ac:dyDescent="0.45">
      <c r="A1053"/>
      <c r="B1053"/>
      <c r="C1053"/>
      <c r="D1053"/>
      <c r="E1053"/>
      <c r="F1053"/>
      <c r="G1053"/>
      <c r="H1053"/>
    </row>
    <row r="1054" spans="1:8" x14ac:dyDescent="0.45">
      <c r="A1054"/>
      <c r="B1054"/>
      <c r="C1054"/>
      <c r="D1054"/>
      <c r="E1054"/>
      <c r="F1054"/>
      <c r="G1054"/>
      <c r="H1054"/>
    </row>
    <row r="1055" spans="1:8" x14ac:dyDescent="0.45">
      <c r="A1055"/>
      <c r="B1055"/>
      <c r="C1055"/>
      <c r="D1055"/>
      <c r="E1055"/>
      <c r="F1055"/>
      <c r="G1055"/>
      <c r="H1055"/>
    </row>
    <row r="1056" spans="1:8" x14ac:dyDescent="0.45">
      <c r="A1056"/>
      <c r="B1056"/>
      <c r="C1056"/>
      <c r="D1056"/>
      <c r="E1056"/>
      <c r="F1056"/>
      <c r="G1056"/>
      <c r="H1056"/>
    </row>
    <row r="1057" spans="1:8" x14ac:dyDescent="0.45">
      <c r="A1057"/>
      <c r="B1057"/>
      <c r="C1057"/>
      <c r="D1057"/>
      <c r="E1057"/>
      <c r="F1057"/>
      <c r="G1057"/>
      <c r="H1057"/>
    </row>
    <row r="1058" spans="1:8" x14ac:dyDescent="0.45">
      <c r="A1058"/>
      <c r="B1058"/>
      <c r="C1058"/>
      <c r="D1058"/>
      <c r="E1058"/>
      <c r="F1058"/>
      <c r="G1058"/>
      <c r="H1058"/>
    </row>
    <row r="1059" spans="1:8" x14ac:dyDescent="0.45">
      <c r="A1059"/>
      <c r="B1059"/>
      <c r="C1059"/>
      <c r="D1059"/>
      <c r="E1059"/>
      <c r="F1059"/>
      <c r="G1059"/>
      <c r="H1059"/>
    </row>
    <row r="1060" spans="1:8" x14ac:dyDescent="0.45">
      <c r="A1060"/>
      <c r="B1060"/>
      <c r="C1060"/>
      <c r="D1060"/>
      <c r="E1060"/>
      <c r="F1060"/>
      <c r="G1060"/>
      <c r="H1060"/>
    </row>
    <row r="1061" spans="1:8" x14ac:dyDescent="0.45">
      <c r="A1061"/>
      <c r="B1061"/>
      <c r="C1061"/>
      <c r="D1061"/>
      <c r="E1061"/>
      <c r="F1061"/>
      <c r="G1061"/>
      <c r="H1061"/>
    </row>
    <row r="1062" spans="1:8" x14ac:dyDescent="0.45">
      <c r="A1062"/>
      <c r="B1062"/>
      <c r="C1062"/>
      <c r="D1062"/>
      <c r="E1062"/>
      <c r="F1062"/>
      <c r="G1062"/>
      <c r="H1062"/>
    </row>
    <row r="1063" spans="1:8" x14ac:dyDescent="0.45">
      <c r="A1063"/>
      <c r="B1063"/>
      <c r="C1063"/>
      <c r="D1063"/>
      <c r="E1063"/>
      <c r="F1063"/>
      <c r="G1063"/>
      <c r="H1063"/>
    </row>
    <row r="1064" spans="1:8" x14ac:dyDescent="0.45">
      <c r="A1064"/>
      <c r="B1064"/>
      <c r="C1064"/>
      <c r="D1064"/>
      <c r="E1064"/>
      <c r="F1064"/>
      <c r="G1064"/>
      <c r="H1064"/>
    </row>
    <row r="1065" spans="1:8" x14ac:dyDescent="0.45">
      <c r="A1065"/>
      <c r="B1065"/>
      <c r="C1065"/>
      <c r="D1065"/>
      <c r="E1065"/>
      <c r="F1065"/>
      <c r="G1065"/>
      <c r="H1065"/>
    </row>
    <row r="1066" spans="1:8" x14ac:dyDescent="0.45">
      <c r="A1066"/>
      <c r="B1066"/>
      <c r="C1066"/>
      <c r="D1066"/>
      <c r="E1066"/>
      <c r="F1066"/>
      <c r="G1066"/>
      <c r="H1066"/>
    </row>
    <row r="1067" spans="1:8" x14ac:dyDescent="0.45">
      <c r="A1067"/>
      <c r="B1067"/>
      <c r="C1067"/>
      <c r="D1067"/>
      <c r="E1067"/>
      <c r="F1067"/>
      <c r="G1067"/>
      <c r="H1067"/>
    </row>
    <row r="1068" spans="1:8" x14ac:dyDescent="0.45">
      <c r="A1068"/>
      <c r="B1068"/>
      <c r="C1068"/>
      <c r="D1068"/>
      <c r="E1068"/>
      <c r="F1068"/>
      <c r="G1068"/>
      <c r="H1068"/>
    </row>
    <row r="1069" spans="1:8" x14ac:dyDescent="0.45">
      <c r="A1069"/>
      <c r="B1069"/>
      <c r="C1069"/>
      <c r="D1069"/>
      <c r="E1069"/>
      <c r="F1069"/>
      <c r="G1069"/>
      <c r="H1069"/>
    </row>
    <row r="1070" spans="1:8" x14ac:dyDescent="0.45">
      <c r="A1070"/>
      <c r="B1070"/>
      <c r="C1070"/>
      <c r="D1070"/>
      <c r="E1070"/>
      <c r="F1070"/>
      <c r="G1070"/>
      <c r="H1070"/>
    </row>
    <row r="1071" spans="1:8" x14ac:dyDescent="0.45">
      <c r="A1071"/>
      <c r="B1071"/>
      <c r="C1071"/>
      <c r="D1071"/>
      <c r="E1071"/>
      <c r="F1071"/>
      <c r="G1071"/>
      <c r="H1071"/>
    </row>
    <row r="1072" spans="1:8" x14ac:dyDescent="0.45">
      <c r="A1072"/>
      <c r="B1072"/>
      <c r="C1072"/>
      <c r="D1072"/>
      <c r="E1072"/>
      <c r="F1072"/>
      <c r="G1072"/>
      <c r="H1072"/>
    </row>
    <row r="1073" spans="1:8" x14ac:dyDescent="0.45">
      <c r="A1073"/>
      <c r="B1073"/>
      <c r="C1073"/>
      <c r="D1073"/>
      <c r="E1073"/>
      <c r="F1073"/>
      <c r="G1073"/>
      <c r="H1073"/>
    </row>
    <row r="1074" spans="1:8" x14ac:dyDescent="0.45">
      <c r="A1074"/>
      <c r="B1074"/>
      <c r="C1074"/>
      <c r="D1074"/>
      <c r="E1074"/>
      <c r="F1074"/>
      <c r="G1074"/>
      <c r="H1074"/>
    </row>
    <row r="1075" spans="1:8" x14ac:dyDescent="0.45">
      <c r="A1075"/>
      <c r="B1075"/>
      <c r="C1075"/>
      <c r="D1075"/>
      <c r="E1075"/>
      <c r="F1075"/>
      <c r="G1075"/>
      <c r="H1075"/>
    </row>
    <row r="1076" spans="1:8" x14ac:dyDescent="0.45">
      <c r="A1076"/>
      <c r="B1076"/>
      <c r="C1076"/>
      <c r="D1076"/>
      <c r="E1076"/>
      <c r="F1076"/>
      <c r="G1076"/>
      <c r="H1076"/>
    </row>
    <row r="1077" spans="1:8" x14ac:dyDescent="0.45">
      <c r="A1077"/>
      <c r="B1077"/>
      <c r="C1077"/>
      <c r="D1077"/>
      <c r="E1077"/>
      <c r="F1077"/>
      <c r="G1077"/>
      <c r="H1077"/>
    </row>
    <row r="1078" spans="1:8" x14ac:dyDescent="0.45">
      <c r="A1078"/>
      <c r="B1078"/>
      <c r="C1078"/>
      <c r="D1078"/>
      <c r="E1078"/>
      <c r="F1078"/>
      <c r="G1078"/>
      <c r="H1078"/>
    </row>
    <row r="1079" spans="1:8" x14ac:dyDescent="0.45">
      <c r="A1079"/>
      <c r="B1079"/>
      <c r="C1079"/>
      <c r="D1079"/>
      <c r="E1079"/>
      <c r="F1079"/>
      <c r="G1079"/>
      <c r="H1079"/>
    </row>
    <row r="1080" spans="1:8" x14ac:dyDescent="0.45">
      <c r="A1080"/>
      <c r="B1080"/>
      <c r="C1080"/>
      <c r="D1080"/>
      <c r="E1080"/>
      <c r="F1080"/>
      <c r="G1080"/>
      <c r="H1080"/>
    </row>
    <row r="1081" spans="1:8" x14ac:dyDescent="0.45">
      <c r="A1081"/>
      <c r="B1081"/>
      <c r="C1081"/>
      <c r="D1081"/>
      <c r="E1081"/>
      <c r="F1081"/>
      <c r="G1081"/>
      <c r="H1081"/>
    </row>
    <row r="1082" spans="1:8" x14ac:dyDescent="0.45">
      <c r="A1082"/>
      <c r="B1082"/>
      <c r="C1082"/>
      <c r="D1082"/>
      <c r="E1082"/>
      <c r="F1082"/>
      <c r="G1082"/>
      <c r="H1082"/>
    </row>
    <row r="1083" spans="1:8" x14ac:dyDescent="0.45">
      <c r="A1083"/>
      <c r="B1083"/>
      <c r="C1083"/>
      <c r="D1083"/>
      <c r="E1083"/>
      <c r="F1083"/>
      <c r="G1083"/>
      <c r="H1083"/>
    </row>
    <row r="1084" spans="1:8" x14ac:dyDescent="0.45">
      <c r="A1084"/>
      <c r="B1084"/>
      <c r="C1084"/>
      <c r="D1084"/>
      <c r="E1084"/>
      <c r="F1084"/>
      <c r="G1084"/>
      <c r="H1084"/>
    </row>
    <row r="1085" spans="1:8" x14ac:dyDescent="0.45">
      <c r="A1085"/>
      <c r="B1085"/>
      <c r="C1085"/>
      <c r="D1085"/>
      <c r="E1085"/>
      <c r="F1085"/>
      <c r="G1085"/>
      <c r="H1085"/>
    </row>
    <row r="1086" spans="1:8" x14ac:dyDescent="0.45">
      <c r="A1086"/>
      <c r="B1086"/>
      <c r="C1086"/>
      <c r="D1086"/>
      <c r="E1086"/>
      <c r="F1086"/>
      <c r="G1086"/>
      <c r="H1086"/>
    </row>
    <row r="1087" spans="1:8" x14ac:dyDescent="0.45">
      <c r="A1087"/>
      <c r="B1087"/>
      <c r="C1087"/>
      <c r="D1087"/>
      <c r="E1087"/>
      <c r="F1087"/>
      <c r="G1087"/>
      <c r="H1087"/>
    </row>
    <row r="1088" spans="1:8" x14ac:dyDescent="0.45">
      <c r="A1088"/>
      <c r="B1088"/>
      <c r="C1088"/>
      <c r="D1088"/>
      <c r="E1088"/>
      <c r="F1088"/>
      <c r="G1088"/>
      <c r="H1088"/>
    </row>
    <row r="1089" spans="1:8" x14ac:dyDescent="0.45">
      <c r="A1089"/>
      <c r="B1089"/>
      <c r="C1089"/>
      <c r="D1089"/>
      <c r="E1089"/>
      <c r="F1089"/>
      <c r="G1089"/>
      <c r="H1089"/>
    </row>
    <row r="1090" spans="1:8" x14ac:dyDescent="0.45">
      <c r="A1090"/>
      <c r="B1090"/>
      <c r="C1090"/>
      <c r="D1090"/>
      <c r="E1090"/>
      <c r="F1090"/>
      <c r="G1090"/>
      <c r="H1090"/>
    </row>
    <row r="1091" spans="1:8" x14ac:dyDescent="0.45">
      <c r="A1091"/>
      <c r="B1091"/>
      <c r="C1091"/>
      <c r="D1091"/>
      <c r="E1091"/>
      <c r="F1091"/>
      <c r="G1091"/>
      <c r="H1091"/>
    </row>
    <row r="1092" spans="1:8" x14ac:dyDescent="0.45">
      <c r="A1092"/>
      <c r="B1092"/>
      <c r="C1092"/>
      <c r="D1092"/>
      <c r="E1092"/>
      <c r="F1092"/>
      <c r="G1092"/>
      <c r="H1092"/>
    </row>
    <row r="1093" spans="1:8" x14ac:dyDescent="0.45">
      <c r="A1093"/>
      <c r="B1093"/>
      <c r="C1093"/>
      <c r="D1093"/>
      <c r="E1093"/>
      <c r="F1093"/>
      <c r="G1093"/>
      <c r="H1093"/>
    </row>
    <row r="1094" spans="1:8" x14ac:dyDescent="0.45">
      <c r="A1094"/>
      <c r="B1094"/>
      <c r="C1094"/>
      <c r="D1094"/>
      <c r="E1094"/>
      <c r="F1094"/>
      <c r="G1094"/>
      <c r="H1094"/>
    </row>
    <row r="1095" spans="1:8" x14ac:dyDescent="0.45">
      <c r="A1095"/>
      <c r="B1095"/>
      <c r="C1095"/>
      <c r="D1095"/>
      <c r="E1095"/>
      <c r="F1095"/>
      <c r="G1095"/>
      <c r="H1095"/>
    </row>
    <row r="1096" spans="1:8" x14ac:dyDescent="0.45">
      <c r="A1096"/>
      <c r="B1096"/>
      <c r="C1096"/>
      <c r="D1096"/>
      <c r="E1096"/>
      <c r="F1096"/>
      <c r="G1096"/>
      <c r="H1096"/>
    </row>
    <row r="1097" spans="1:8" x14ac:dyDescent="0.45">
      <c r="A1097"/>
      <c r="B1097"/>
      <c r="C1097"/>
      <c r="D1097"/>
      <c r="E1097"/>
      <c r="F1097"/>
      <c r="G1097"/>
      <c r="H1097"/>
    </row>
    <row r="1098" spans="1:8" x14ac:dyDescent="0.45">
      <c r="A1098"/>
      <c r="B1098"/>
      <c r="C1098"/>
      <c r="D1098"/>
      <c r="E1098"/>
      <c r="F1098"/>
      <c r="G1098"/>
      <c r="H1098"/>
    </row>
    <row r="1099" spans="1:8" x14ac:dyDescent="0.45">
      <c r="A1099"/>
      <c r="B1099"/>
      <c r="C1099"/>
      <c r="D1099"/>
      <c r="E1099"/>
      <c r="F1099"/>
      <c r="G1099"/>
      <c r="H1099"/>
    </row>
    <row r="1100" spans="1:8" x14ac:dyDescent="0.45">
      <c r="A1100"/>
      <c r="B1100"/>
      <c r="C1100"/>
      <c r="D1100"/>
      <c r="E1100"/>
      <c r="F1100"/>
      <c r="G1100"/>
      <c r="H1100"/>
    </row>
    <row r="1101" spans="1:8" x14ac:dyDescent="0.45">
      <c r="A1101"/>
      <c r="B1101"/>
      <c r="C1101"/>
      <c r="D1101"/>
      <c r="E1101"/>
      <c r="F1101"/>
      <c r="G1101"/>
      <c r="H1101"/>
    </row>
    <row r="1102" spans="1:8" x14ac:dyDescent="0.45">
      <c r="A1102"/>
      <c r="B1102"/>
      <c r="C1102"/>
      <c r="D1102"/>
      <c r="E1102"/>
      <c r="F1102"/>
      <c r="G1102"/>
      <c r="H1102"/>
    </row>
    <row r="1103" spans="1:8" x14ac:dyDescent="0.45">
      <c r="A1103"/>
      <c r="B1103"/>
      <c r="C1103"/>
      <c r="D1103"/>
      <c r="E1103"/>
      <c r="F1103"/>
      <c r="G1103"/>
      <c r="H1103"/>
    </row>
    <row r="1104" spans="1:8" x14ac:dyDescent="0.45">
      <c r="A1104"/>
      <c r="B1104"/>
      <c r="C1104"/>
      <c r="D1104"/>
      <c r="E1104"/>
      <c r="F1104"/>
      <c r="G1104"/>
      <c r="H1104"/>
    </row>
    <row r="1105" spans="1:8" x14ac:dyDescent="0.45">
      <c r="A1105"/>
      <c r="B1105"/>
      <c r="C1105"/>
      <c r="D1105"/>
      <c r="E1105"/>
      <c r="F1105"/>
      <c r="G1105"/>
      <c r="H1105"/>
    </row>
    <row r="1106" spans="1:8" x14ac:dyDescent="0.45">
      <c r="A1106"/>
      <c r="B1106"/>
      <c r="C1106"/>
      <c r="D1106"/>
      <c r="E1106"/>
      <c r="F1106"/>
      <c r="G1106"/>
      <c r="H1106"/>
    </row>
    <row r="1107" spans="1:8" x14ac:dyDescent="0.45">
      <c r="A1107"/>
      <c r="B1107"/>
      <c r="C1107"/>
      <c r="D1107"/>
      <c r="E1107"/>
      <c r="F1107"/>
      <c r="G1107"/>
      <c r="H1107"/>
    </row>
    <row r="1108" spans="1:8" x14ac:dyDescent="0.45">
      <c r="A1108"/>
      <c r="B1108"/>
      <c r="C1108"/>
      <c r="D1108"/>
      <c r="E1108"/>
      <c r="F1108"/>
      <c r="G1108"/>
      <c r="H1108"/>
    </row>
    <row r="1109" spans="1:8" x14ac:dyDescent="0.45">
      <c r="A1109"/>
      <c r="B1109"/>
      <c r="C1109"/>
      <c r="D1109"/>
      <c r="E1109"/>
      <c r="F1109"/>
      <c r="G1109"/>
      <c r="H1109"/>
    </row>
    <row r="1110" spans="1:8" x14ac:dyDescent="0.45">
      <c r="A1110"/>
      <c r="B1110"/>
      <c r="C1110"/>
      <c r="D1110"/>
      <c r="E1110"/>
      <c r="F1110"/>
      <c r="G1110"/>
      <c r="H1110"/>
    </row>
    <row r="1111" spans="1:8" x14ac:dyDescent="0.45">
      <c r="A1111"/>
      <c r="B1111"/>
      <c r="C1111"/>
      <c r="D1111"/>
      <c r="E1111"/>
      <c r="F1111"/>
      <c r="G1111"/>
      <c r="H1111"/>
    </row>
    <row r="1112" spans="1:8" x14ac:dyDescent="0.45">
      <c r="A1112"/>
      <c r="B1112"/>
      <c r="C1112"/>
      <c r="D1112"/>
      <c r="E1112"/>
      <c r="F1112"/>
      <c r="G1112"/>
      <c r="H1112"/>
    </row>
    <row r="1113" spans="1:8" x14ac:dyDescent="0.45">
      <c r="A1113"/>
      <c r="B1113"/>
      <c r="C1113"/>
      <c r="D1113"/>
      <c r="E1113"/>
      <c r="F1113"/>
      <c r="G1113"/>
      <c r="H1113"/>
    </row>
    <row r="1114" spans="1:8" x14ac:dyDescent="0.45">
      <c r="A1114"/>
      <c r="B1114"/>
      <c r="C1114"/>
      <c r="D1114"/>
      <c r="E1114"/>
      <c r="F1114"/>
      <c r="G1114"/>
      <c r="H1114"/>
    </row>
    <row r="1115" spans="1:8" x14ac:dyDescent="0.45">
      <c r="A1115"/>
      <c r="B1115"/>
      <c r="C1115"/>
      <c r="D1115"/>
      <c r="E1115"/>
      <c r="F1115"/>
      <c r="G1115"/>
      <c r="H1115"/>
    </row>
    <row r="1116" spans="1:8" x14ac:dyDescent="0.45">
      <c r="A1116"/>
      <c r="B1116"/>
      <c r="C1116"/>
      <c r="D1116"/>
      <c r="E1116"/>
      <c r="F1116"/>
      <c r="G1116"/>
      <c r="H1116"/>
    </row>
    <row r="1117" spans="1:8" x14ac:dyDescent="0.45">
      <c r="A1117"/>
      <c r="B1117"/>
      <c r="C1117"/>
      <c r="D1117"/>
      <c r="E1117"/>
      <c r="F1117"/>
      <c r="G1117"/>
      <c r="H1117"/>
    </row>
    <row r="1118" spans="1:8" x14ac:dyDescent="0.45">
      <c r="A1118"/>
      <c r="B1118"/>
      <c r="C1118"/>
      <c r="D1118"/>
      <c r="E1118"/>
      <c r="F1118"/>
      <c r="G1118"/>
      <c r="H1118"/>
    </row>
    <row r="1119" spans="1:8" x14ac:dyDescent="0.45">
      <c r="A1119"/>
      <c r="B1119"/>
      <c r="C1119"/>
      <c r="D1119"/>
      <c r="E1119"/>
      <c r="F1119"/>
      <c r="G1119"/>
      <c r="H1119"/>
    </row>
    <row r="1120" spans="1:8" x14ac:dyDescent="0.45">
      <c r="A1120"/>
      <c r="B1120"/>
      <c r="C1120"/>
      <c r="D1120"/>
      <c r="E1120"/>
      <c r="F1120"/>
      <c r="G1120"/>
      <c r="H1120"/>
    </row>
    <row r="1121" spans="1:8" x14ac:dyDescent="0.45">
      <c r="A1121"/>
      <c r="B1121"/>
      <c r="C1121"/>
      <c r="D1121"/>
      <c r="E1121"/>
      <c r="F1121"/>
      <c r="G1121"/>
      <c r="H1121"/>
    </row>
    <row r="1122" spans="1:8" x14ac:dyDescent="0.45">
      <c r="A1122"/>
      <c r="B1122"/>
      <c r="C1122"/>
      <c r="D1122"/>
      <c r="E1122"/>
      <c r="F1122"/>
      <c r="G1122"/>
      <c r="H1122"/>
    </row>
    <row r="1123" spans="1:8" x14ac:dyDescent="0.45">
      <c r="A1123"/>
      <c r="B1123"/>
      <c r="C1123"/>
      <c r="D1123"/>
      <c r="E1123"/>
      <c r="F1123"/>
      <c r="G1123"/>
      <c r="H1123"/>
    </row>
    <row r="1124" spans="1:8" x14ac:dyDescent="0.45">
      <c r="A1124"/>
      <c r="B1124"/>
      <c r="C1124"/>
      <c r="D1124"/>
      <c r="E1124"/>
      <c r="F1124"/>
      <c r="G1124"/>
      <c r="H1124"/>
    </row>
    <row r="1125" spans="1:8" x14ac:dyDescent="0.45">
      <c r="A1125"/>
      <c r="B1125"/>
      <c r="C1125"/>
      <c r="D1125"/>
      <c r="E1125"/>
      <c r="F1125"/>
      <c r="G1125"/>
      <c r="H1125"/>
    </row>
    <row r="1126" spans="1:8" x14ac:dyDescent="0.45">
      <c r="A1126"/>
      <c r="B1126"/>
      <c r="C1126"/>
      <c r="D1126"/>
      <c r="E1126"/>
      <c r="F1126"/>
      <c r="G1126"/>
      <c r="H1126"/>
    </row>
    <row r="1127" spans="1:8" x14ac:dyDescent="0.45">
      <c r="A1127"/>
      <c r="B1127"/>
      <c r="C1127"/>
      <c r="D1127"/>
      <c r="E1127"/>
      <c r="F1127"/>
      <c r="G1127"/>
      <c r="H1127"/>
    </row>
    <row r="1128" spans="1:8" x14ac:dyDescent="0.45">
      <c r="A1128"/>
      <c r="B1128"/>
      <c r="C1128"/>
      <c r="D1128"/>
      <c r="E1128"/>
      <c r="F1128"/>
      <c r="G1128"/>
      <c r="H1128"/>
    </row>
    <row r="1129" spans="1:8" x14ac:dyDescent="0.45">
      <c r="A1129"/>
      <c r="B1129"/>
      <c r="C1129"/>
      <c r="D1129"/>
      <c r="E1129"/>
      <c r="F1129"/>
      <c r="G1129"/>
      <c r="H1129"/>
    </row>
    <row r="1130" spans="1:8" x14ac:dyDescent="0.45">
      <c r="A1130"/>
      <c r="B1130"/>
      <c r="C1130"/>
      <c r="D1130"/>
      <c r="E1130"/>
      <c r="F1130"/>
      <c r="G1130"/>
      <c r="H1130"/>
    </row>
    <row r="1131" spans="1:8" x14ac:dyDescent="0.45">
      <c r="A1131"/>
      <c r="B1131"/>
      <c r="C1131"/>
      <c r="D1131"/>
      <c r="E1131"/>
      <c r="F1131"/>
      <c r="G1131"/>
      <c r="H1131"/>
    </row>
    <row r="1132" spans="1:8" x14ac:dyDescent="0.45">
      <c r="A1132"/>
      <c r="B1132"/>
      <c r="C1132"/>
      <c r="D1132"/>
      <c r="E1132"/>
      <c r="F1132"/>
      <c r="G1132"/>
      <c r="H1132"/>
    </row>
    <row r="1133" spans="1:8" x14ac:dyDescent="0.45">
      <c r="A1133"/>
      <c r="B1133"/>
      <c r="C1133"/>
      <c r="D1133"/>
      <c r="E1133"/>
      <c r="F1133"/>
      <c r="G1133"/>
      <c r="H1133"/>
    </row>
    <row r="1134" spans="1:8" x14ac:dyDescent="0.45">
      <c r="A1134"/>
      <c r="B1134"/>
      <c r="C1134"/>
      <c r="D1134"/>
      <c r="E1134"/>
      <c r="F1134"/>
      <c r="G1134"/>
      <c r="H1134"/>
    </row>
    <row r="1135" spans="1:8" x14ac:dyDescent="0.45">
      <c r="A1135"/>
      <c r="B1135"/>
      <c r="C1135"/>
      <c r="D1135"/>
      <c r="E1135"/>
      <c r="F1135"/>
      <c r="G1135"/>
      <c r="H1135"/>
    </row>
    <row r="1136" spans="1:8" x14ac:dyDescent="0.45">
      <c r="A1136"/>
      <c r="B1136"/>
      <c r="C1136"/>
      <c r="D1136"/>
      <c r="E1136"/>
      <c r="F1136"/>
      <c r="G1136"/>
      <c r="H1136"/>
    </row>
    <row r="1137" spans="1:8" x14ac:dyDescent="0.45">
      <c r="A1137"/>
      <c r="B1137"/>
      <c r="C1137"/>
      <c r="D1137"/>
      <c r="E1137"/>
      <c r="F1137"/>
      <c r="G1137"/>
      <c r="H1137"/>
    </row>
    <row r="1138" spans="1:8" x14ac:dyDescent="0.45">
      <c r="A1138"/>
      <c r="B1138"/>
      <c r="C1138"/>
      <c r="D1138"/>
      <c r="E1138"/>
      <c r="F1138"/>
      <c r="G1138"/>
      <c r="H1138"/>
    </row>
    <row r="1139" spans="1:8" x14ac:dyDescent="0.45">
      <c r="A1139"/>
      <c r="B1139"/>
      <c r="C1139"/>
      <c r="D1139"/>
      <c r="E1139"/>
      <c r="F1139"/>
      <c r="G1139"/>
      <c r="H1139"/>
    </row>
    <row r="1140" spans="1:8" x14ac:dyDescent="0.45">
      <c r="A1140"/>
      <c r="B1140"/>
      <c r="C1140"/>
      <c r="D1140"/>
      <c r="E1140"/>
      <c r="F1140"/>
      <c r="G1140"/>
      <c r="H1140"/>
    </row>
    <row r="1141" spans="1:8" x14ac:dyDescent="0.45">
      <c r="A1141"/>
      <c r="B1141"/>
      <c r="C1141"/>
      <c r="D1141"/>
      <c r="E1141"/>
      <c r="F1141"/>
      <c r="G1141"/>
      <c r="H1141"/>
    </row>
    <row r="1142" spans="1:8" x14ac:dyDescent="0.45">
      <c r="A1142"/>
      <c r="B1142"/>
      <c r="C1142"/>
      <c r="D1142"/>
      <c r="E1142"/>
      <c r="F1142"/>
      <c r="G1142"/>
      <c r="H1142"/>
    </row>
    <row r="1143" spans="1:8" x14ac:dyDescent="0.45">
      <c r="A1143"/>
      <c r="B1143"/>
      <c r="C1143"/>
      <c r="D1143"/>
      <c r="E1143"/>
      <c r="F1143"/>
      <c r="G1143"/>
      <c r="H1143"/>
    </row>
    <row r="1144" spans="1:8" x14ac:dyDescent="0.45">
      <c r="A1144"/>
      <c r="B1144"/>
      <c r="C1144"/>
      <c r="D1144"/>
      <c r="E1144"/>
      <c r="F1144"/>
      <c r="G1144"/>
      <c r="H1144"/>
    </row>
    <row r="1145" spans="1:8" x14ac:dyDescent="0.45">
      <c r="A1145"/>
      <c r="B1145"/>
      <c r="C1145"/>
      <c r="D1145"/>
      <c r="E1145"/>
      <c r="F1145"/>
      <c r="G1145"/>
      <c r="H1145"/>
    </row>
    <row r="1146" spans="1:8" x14ac:dyDescent="0.45">
      <c r="A1146"/>
      <c r="B1146"/>
      <c r="C1146"/>
      <c r="D1146"/>
      <c r="E1146"/>
      <c r="F1146"/>
      <c r="G1146"/>
      <c r="H1146"/>
    </row>
    <row r="1147" spans="1:8" x14ac:dyDescent="0.45">
      <c r="A1147"/>
      <c r="B1147"/>
      <c r="C1147"/>
      <c r="D1147"/>
      <c r="E1147"/>
      <c r="F1147"/>
      <c r="G1147"/>
      <c r="H1147"/>
    </row>
    <row r="1148" spans="1:8" x14ac:dyDescent="0.45">
      <c r="A1148"/>
      <c r="B1148"/>
      <c r="C1148"/>
      <c r="D1148"/>
      <c r="E1148"/>
      <c r="F1148"/>
      <c r="G1148"/>
      <c r="H1148"/>
    </row>
    <row r="1149" spans="1:8" x14ac:dyDescent="0.45">
      <c r="A1149"/>
      <c r="B1149"/>
      <c r="C1149"/>
      <c r="D1149"/>
      <c r="E1149"/>
      <c r="F1149"/>
      <c r="G1149"/>
      <c r="H1149"/>
    </row>
    <row r="1150" spans="1:8" x14ac:dyDescent="0.45">
      <c r="A1150"/>
      <c r="B1150"/>
      <c r="C1150"/>
      <c r="D1150"/>
      <c r="E1150"/>
      <c r="F1150"/>
      <c r="G1150"/>
      <c r="H1150"/>
    </row>
    <row r="1151" spans="1:8" x14ac:dyDescent="0.45">
      <c r="A1151"/>
      <c r="B1151"/>
      <c r="C1151"/>
      <c r="D1151"/>
      <c r="E1151"/>
      <c r="F1151"/>
      <c r="G1151"/>
      <c r="H1151"/>
    </row>
    <row r="1152" spans="1:8" x14ac:dyDescent="0.45">
      <c r="A1152"/>
      <c r="B1152"/>
      <c r="C1152"/>
      <c r="D1152"/>
      <c r="E1152"/>
      <c r="F1152"/>
      <c r="G1152"/>
      <c r="H1152"/>
    </row>
    <row r="1153" spans="1:8" x14ac:dyDescent="0.45">
      <c r="A1153"/>
      <c r="B1153"/>
      <c r="C1153"/>
      <c r="D1153"/>
      <c r="E1153"/>
      <c r="F1153"/>
      <c r="G1153"/>
      <c r="H1153"/>
    </row>
    <row r="1154" spans="1:8" x14ac:dyDescent="0.45">
      <c r="A1154"/>
      <c r="B1154"/>
      <c r="C1154"/>
      <c r="D1154"/>
      <c r="E1154"/>
      <c r="F1154"/>
      <c r="G1154"/>
      <c r="H1154"/>
    </row>
    <row r="1155" spans="1:8" x14ac:dyDescent="0.45">
      <c r="A1155"/>
      <c r="B1155"/>
      <c r="C1155"/>
      <c r="D1155"/>
      <c r="E1155"/>
      <c r="F1155"/>
      <c r="G1155"/>
      <c r="H1155"/>
    </row>
    <row r="1156" spans="1:8" x14ac:dyDescent="0.45">
      <c r="A1156"/>
      <c r="B1156"/>
      <c r="C1156"/>
      <c r="D1156"/>
      <c r="E1156"/>
      <c r="F1156"/>
      <c r="G1156"/>
      <c r="H1156"/>
    </row>
    <row r="1157" spans="1:8" x14ac:dyDescent="0.45">
      <c r="A1157"/>
      <c r="B1157"/>
      <c r="C1157"/>
      <c r="D1157"/>
      <c r="E1157"/>
      <c r="F1157"/>
      <c r="G1157"/>
      <c r="H1157"/>
    </row>
    <row r="1158" spans="1:8" x14ac:dyDescent="0.45">
      <c r="A1158"/>
      <c r="B1158"/>
      <c r="C1158"/>
      <c r="D1158"/>
      <c r="E1158"/>
      <c r="F1158"/>
      <c r="G1158"/>
      <c r="H1158"/>
    </row>
    <row r="1159" spans="1:8" x14ac:dyDescent="0.45">
      <c r="A1159"/>
      <c r="B1159"/>
      <c r="C1159"/>
      <c r="D1159"/>
      <c r="E1159"/>
      <c r="F1159"/>
      <c r="G1159"/>
      <c r="H1159"/>
    </row>
    <row r="1160" spans="1:8" x14ac:dyDescent="0.45">
      <c r="A1160"/>
      <c r="B1160"/>
      <c r="C1160"/>
      <c r="D1160"/>
      <c r="E1160"/>
      <c r="F1160"/>
      <c r="G1160"/>
      <c r="H1160"/>
    </row>
    <row r="1161" spans="1:8" x14ac:dyDescent="0.45">
      <c r="A1161"/>
      <c r="B1161"/>
      <c r="C1161"/>
      <c r="D1161"/>
      <c r="E1161"/>
      <c r="F1161"/>
      <c r="G1161"/>
      <c r="H1161"/>
    </row>
    <row r="1162" spans="1:8" x14ac:dyDescent="0.45">
      <c r="A1162"/>
      <c r="B1162"/>
      <c r="C1162"/>
      <c r="D1162"/>
      <c r="E1162"/>
      <c r="F1162"/>
      <c r="G1162"/>
      <c r="H1162"/>
    </row>
    <row r="1163" spans="1:8" x14ac:dyDescent="0.45">
      <c r="A1163"/>
      <c r="B1163"/>
      <c r="C1163"/>
      <c r="D1163"/>
      <c r="E1163"/>
      <c r="F1163"/>
      <c r="G1163"/>
      <c r="H1163"/>
    </row>
    <row r="1164" spans="1:8" x14ac:dyDescent="0.45">
      <c r="A1164"/>
      <c r="B1164"/>
      <c r="C1164"/>
      <c r="D1164"/>
      <c r="E1164"/>
      <c r="F1164"/>
      <c r="G1164"/>
      <c r="H1164"/>
    </row>
    <row r="1165" spans="1:8" x14ac:dyDescent="0.45">
      <c r="A1165"/>
      <c r="B1165"/>
      <c r="C1165"/>
      <c r="D1165"/>
      <c r="E1165"/>
      <c r="F1165"/>
      <c r="G1165"/>
      <c r="H1165"/>
    </row>
    <row r="1166" spans="1:8" x14ac:dyDescent="0.45">
      <c r="A1166"/>
      <c r="B1166"/>
      <c r="C1166"/>
      <c r="D1166"/>
      <c r="E1166"/>
      <c r="F1166"/>
      <c r="G1166"/>
      <c r="H1166"/>
    </row>
    <row r="1167" spans="1:8" x14ac:dyDescent="0.45">
      <c r="A1167"/>
      <c r="B1167"/>
      <c r="C1167"/>
      <c r="D1167"/>
      <c r="E1167"/>
      <c r="F1167"/>
      <c r="G1167"/>
      <c r="H1167"/>
    </row>
    <row r="1168" spans="1:8" x14ac:dyDescent="0.45">
      <c r="A1168"/>
      <c r="B1168"/>
      <c r="C1168"/>
      <c r="D1168"/>
      <c r="E1168"/>
      <c r="F1168"/>
      <c r="G1168"/>
      <c r="H1168"/>
    </row>
    <row r="1169" spans="1:8" x14ac:dyDescent="0.45">
      <c r="A1169"/>
      <c r="B1169"/>
      <c r="C1169"/>
      <c r="D1169"/>
      <c r="E1169"/>
      <c r="F1169"/>
      <c r="G1169"/>
      <c r="H1169"/>
    </row>
    <row r="1170" spans="1:8" x14ac:dyDescent="0.45">
      <c r="A1170"/>
      <c r="B1170"/>
      <c r="C1170"/>
      <c r="D1170"/>
      <c r="E1170"/>
      <c r="F1170"/>
      <c r="G1170"/>
      <c r="H1170"/>
    </row>
    <row r="1171" spans="1:8" x14ac:dyDescent="0.45">
      <c r="A1171"/>
      <c r="B1171"/>
      <c r="C1171"/>
      <c r="D1171"/>
      <c r="E1171"/>
      <c r="F1171"/>
      <c r="G1171"/>
      <c r="H1171"/>
    </row>
    <row r="1172" spans="1:8" x14ac:dyDescent="0.45">
      <c r="A1172"/>
      <c r="B1172"/>
      <c r="C1172"/>
      <c r="D1172"/>
      <c r="E1172"/>
      <c r="F1172"/>
      <c r="G1172"/>
      <c r="H1172"/>
    </row>
    <row r="1173" spans="1:8" x14ac:dyDescent="0.45">
      <c r="A1173"/>
      <c r="B1173"/>
      <c r="C1173"/>
      <c r="D1173"/>
      <c r="E1173"/>
      <c r="F1173"/>
      <c r="G1173"/>
      <c r="H1173"/>
    </row>
    <row r="1174" spans="1:8" x14ac:dyDescent="0.45">
      <c r="A1174"/>
      <c r="B1174"/>
      <c r="C1174"/>
      <c r="D1174"/>
      <c r="E1174"/>
      <c r="F1174"/>
      <c r="G1174"/>
      <c r="H1174"/>
    </row>
    <row r="1175" spans="1:8" x14ac:dyDescent="0.45">
      <c r="A1175"/>
      <c r="B1175"/>
      <c r="C1175"/>
      <c r="D1175"/>
      <c r="E1175"/>
      <c r="F1175"/>
      <c r="G1175"/>
      <c r="H1175"/>
    </row>
    <row r="1176" spans="1:8" x14ac:dyDescent="0.45">
      <c r="A1176"/>
      <c r="B1176"/>
      <c r="C1176"/>
      <c r="D1176"/>
      <c r="E1176"/>
      <c r="F1176"/>
      <c r="G1176"/>
      <c r="H1176"/>
    </row>
    <row r="1177" spans="1:8" x14ac:dyDescent="0.45">
      <c r="A1177"/>
      <c r="B1177"/>
      <c r="C1177"/>
      <c r="D1177"/>
      <c r="E1177"/>
      <c r="F1177"/>
      <c r="G1177"/>
      <c r="H1177"/>
    </row>
    <row r="1178" spans="1:8" x14ac:dyDescent="0.45">
      <c r="A1178"/>
      <c r="B1178"/>
      <c r="C1178"/>
      <c r="D1178"/>
      <c r="E1178"/>
      <c r="F1178"/>
      <c r="G1178"/>
      <c r="H1178"/>
    </row>
    <row r="1179" spans="1:8" x14ac:dyDescent="0.45">
      <c r="A1179"/>
      <c r="B1179"/>
      <c r="C1179"/>
      <c r="D1179"/>
      <c r="E1179"/>
      <c r="F1179"/>
      <c r="G1179"/>
      <c r="H1179"/>
    </row>
    <row r="1180" spans="1:8" x14ac:dyDescent="0.45">
      <c r="A1180"/>
      <c r="B1180"/>
      <c r="C1180"/>
      <c r="D1180"/>
      <c r="E1180"/>
      <c r="F1180"/>
      <c r="G1180"/>
      <c r="H1180"/>
    </row>
    <row r="1181" spans="1:8" x14ac:dyDescent="0.45">
      <c r="A1181"/>
      <c r="B1181"/>
      <c r="C1181"/>
      <c r="D1181"/>
      <c r="E1181"/>
      <c r="F1181"/>
      <c r="G1181"/>
      <c r="H1181"/>
    </row>
    <row r="1182" spans="1:8" x14ac:dyDescent="0.45">
      <c r="A1182"/>
      <c r="B1182"/>
      <c r="C1182"/>
      <c r="D1182"/>
      <c r="E1182"/>
      <c r="F1182"/>
      <c r="G1182"/>
      <c r="H1182"/>
    </row>
    <row r="1183" spans="1:8" x14ac:dyDescent="0.45">
      <c r="A1183"/>
      <c r="B1183"/>
      <c r="C1183"/>
      <c r="D1183"/>
      <c r="E1183"/>
      <c r="F1183"/>
      <c r="G1183"/>
      <c r="H1183"/>
    </row>
    <row r="1184" spans="1:8" x14ac:dyDescent="0.45">
      <c r="A1184"/>
      <c r="B1184"/>
      <c r="C1184"/>
      <c r="D1184"/>
      <c r="E1184"/>
      <c r="F1184"/>
      <c r="G1184"/>
      <c r="H1184"/>
    </row>
    <row r="1185" spans="1:8" x14ac:dyDescent="0.45">
      <c r="A1185"/>
      <c r="B1185"/>
      <c r="C1185"/>
      <c r="D1185"/>
      <c r="E1185"/>
      <c r="F1185"/>
      <c r="G1185"/>
      <c r="H1185"/>
    </row>
    <row r="1186" spans="1:8" x14ac:dyDescent="0.45">
      <c r="A1186"/>
      <c r="B1186"/>
      <c r="C1186"/>
      <c r="D1186"/>
      <c r="E1186"/>
      <c r="F1186"/>
      <c r="G1186"/>
      <c r="H1186"/>
    </row>
    <row r="1187" spans="1:8" x14ac:dyDescent="0.45">
      <c r="A1187"/>
      <c r="B1187"/>
      <c r="C1187"/>
      <c r="D1187"/>
      <c r="E1187"/>
      <c r="F1187"/>
      <c r="G1187"/>
      <c r="H1187"/>
    </row>
    <row r="1188" spans="1:8" x14ac:dyDescent="0.45">
      <c r="A1188"/>
      <c r="B1188"/>
      <c r="C1188"/>
      <c r="D1188"/>
      <c r="E1188"/>
      <c r="F1188"/>
      <c r="G1188"/>
      <c r="H1188"/>
    </row>
    <row r="1189" spans="1:8" x14ac:dyDescent="0.45">
      <c r="A1189"/>
      <c r="B1189"/>
      <c r="C1189"/>
      <c r="D1189"/>
      <c r="E1189"/>
      <c r="F1189"/>
      <c r="G1189"/>
      <c r="H1189"/>
    </row>
    <row r="1190" spans="1:8" x14ac:dyDescent="0.45">
      <c r="A1190"/>
      <c r="B1190"/>
      <c r="C1190"/>
      <c r="D1190"/>
      <c r="E1190"/>
      <c r="F1190"/>
      <c r="G1190"/>
      <c r="H1190"/>
    </row>
    <row r="1191" spans="1:8" x14ac:dyDescent="0.45">
      <c r="A1191"/>
      <c r="B1191"/>
      <c r="C1191"/>
      <c r="D1191"/>
      <c r="E1191"/>
      <c r="F1191"/>
      <c r="G1191"/>
      <c r="H1191"/>
    </row>
    <row r="1192" spans="1:8" x14ac:dyDescent="0.45">
      <c r="A1192"/>
      <c r="B1192"/>
      <c r="C1192"/>
      <c r="D1192"/>
      <c r="E1192"/>
      <c r="F1192"/>
      <c r="G1192"/>
      <c r="H1192"/>
    </row>
    <row r="1193" spans="1:8" x14ac:dyDescent="0.45">
      <c r="A1193"/>
      <c r="B1193"/>
      <c r="C1193"/>
      <c r="D1193"/>
      <c r="E1193"/>
      <c r="F1193"/>
      <c r="G1193"/>
      <c r="H1193"/>
    </row>
    <row r="1194" spans="1:8" x14ac:dyDescent="0.45">
      <c r="A1194"/>
      <c r="B1194"/>
      <c r="C1194"/>
      <c r="D1194"/>
      <c r="E1194"/>
      <c r="F1194"/>
      <c r="G1194"/>
      <c r="H1194"/>
    </row>
    <row r="1195" spans="1:8" x14ac:dyDescent="0.45">
      <c r="A1195"/>
      <c r="B1195"/>
      <c r="C1195"/>
      <c r="D1195"/>
      <c r="E1195"/>
      <c r="F1195"/>
      <c r="G1195"/>
      <c r="H1195"/>
    </row>
    <row r="1196" spans="1:8" x14ac:dyDescent="0.45">
      <c r="A1196"/>
      <c r="B1196"/>
      <c r="C1196"/>
      <c r="D1196"/>
      <c r="E1196"/>
      <c r="F1196"/>
      <c r="G1196"/>
      <c r="H1196"/>
    </row>
    <row r="1197" spans="1:8" x14ac:dyDescent="0.45">
      <c r="A1197"/>
      <c r="B1197"/>
      <c r="C1197"/>
      <c r="D1197"/>
      <c r="E1197"/>
      <c r="F1197"/>
      <c r="G1197"/>
      <c r="H1197"/>
    </row>
    <row r="1198" spans="1:8" x14ac:dyDescent="0.45">
      <c r="A1198"/>
      <c r="B1198"/>
      <c r="C1198"/>
      <c r="D1198"/>
      <c r="E1198"/>
      <c r="F1198"/>
      <c r="G1198"/>
      <c r="H1198"/>
    </row>
    <row r="1199" spans="1:8" x14ac:dyDescent="0.45">
      <c r="A1199"/>
      <c r="B1199"/>
      <c r="C1199"/>
      <c r="D1199"/>
      <c r="E1199"/>
      <c r="F1199"/>
      <c r="G1199"/>
      <c r="H1199"/>
    </row>
    <row r="1200" spans="1:8" x14ac:dyDescent="0.45">
      <c r="A1200"/>
      <c r="B1200"/>
      <c r="C1200"/>
      <c r="D1200"/>
      <c r="E1200"/>
      <c r="F1200"/>
      <c r="G1200"/>
      <c r="H1200"/>
    </row>
    <row r="1201" spans="1:8" x14ac:dyDescent="0.45">
      <c r="A1201"/>
      <c r="B1201"/>
      <c r="C1201"/>
      <c r="D1201"/>
      <c r="E1201"/>
      <c r="F1201"/>
      <c r="G1201"/>
      <c r="H1201"/>
    </row>
    <row r="1202" spans="1:8" x14ac:dyDescent="0.45">
      <c r="A1202"/>
      <c r="B1202"/>
      <c r="C1202"/>
      <c r="D1202"/>
      <c r="E1202"/>
      <c r="F1202"/>
      <c r="G1202"/>
      <c r="H1202"/>
    </row>
    <row r="1203" spans="1:8" x14ac:dyDescent="0.45">
      <c r="A1203"/>
      <c r="B1203"/>
      <c r="C1203"/>
      <c r="D1203"/>
      <c r="E1203"/>
      <c r="F1203"/>
      <c r="G1203"/>
      <c r="H1203"/>
    </row>
    <row r="1204" spans="1:8" x14ac:dyDescent="0.45">
      <c r="A1204"/>
      <c r="B1204"/>
      <c r="C1204"/>
      <c r="D1204"/>
      <c r="E1204"/>
      <c r="F1204"/>
      <c r="G1204"/>
      <c r="H1204"/>
    </row>
    <row r="1205" spans="1:8" x14ac:dyDescent="0.45">
      <c r="A1205"/>
      <c r="B1205"/>
      <c r="C1205"/>
      <c r="D1205"/>
      <c r="E1205"/>
      <c r="F1205"/>
      <c r="G1205"/>
      <c r="H1205"/>
    </row>
    <row r="1206" spans="1:8" x14ac:dyDescent="0.45">
      <c r="A1206"/>
      <c r="B1206"/>
      <c r="C1206"/>
      <c r="D1206"/>
      <c r="E1206"/>
      <c r="F1206"/>
      <c r="G1206"/>
      <c r="H1206"/>
    </row>
    <row r="1207" spans="1:8" x14ac:dyDescent="0.45">
      <c r="A1207"/>
      <c r="B1207"/>
      <c r="C1207"/>
      <c r="D1207"/>
      <c r="E1207"/>
      <c r="F1207"/>
      <c r="G1207"/>
      <c r="H1207"/>
    </row>
    <row r="1208" spans="1:8" x14ac:dyDescent="0.45">
      <c r="A1208"/>
      <c r="B1208"/>
      <c r="C1208"/>
      <c r="D1208"/>
      <c r="E1208"/>
      <c r="F1208"/>
      <c r="G1208"/>
      <c r="H1208"/>
    </row>
    <row r="1209" spans="1:8" x14ac:dyDescent="0.45">
      <c r="A1209"/>
      <c r="B1209"/>
      <c r="C1209"/>
      <c r="D1209"/>
      <c r="E1209"/>
      <c r="F1209"/>
      <c r="G1209"/>
      <c r="H1209"/>
    </row>
    <row r="1210" spans="1:8" x14ac:dyDescent="0.45">
      <c r="A1210"/>
      <c r="B1210"/>
      <c r="C1210"/>
      <c r="D1210"/>
      <c r="E1210"/>
      <c r="F1210"/>
      <c r="G1210"/>
      <c r="H1210"/>
    </row>
    <row r="1211" spans="1:8" x14ac:dyDescent="0.45">
      <c r="A1211"/>
      <c r="B1211"/>
      <c r="C1211"/>
      <c r="D1211"/>
      <c r="E1211"/>
      <c r="F1211"/>
      <c r="G1211"/>
      <c r="H1211"/>
    </row>
    <row r="1212" spans="1:8" x14ac:dyDescent="0.45">
      <c r="A1212"/>
      <c r="B1212"/>
      <c r="C1212"/>
      <c r="D1212"/>
      <c r="E1212"/>
      <c r="F1212"/>
      <c r="G1212"/>
      <c r="H1212"/>
    </row>
    <row r="1213" spans="1:8" x14ac:dyDescent="0.45">
      <c r="A1213"/>
      <c r="B1213"/>
      <c r="C1213"/>
      <c r="D1213"/>
      <c r="E1213"/>
      <c r="F1213"/>
      <c r="G1213"/>
      <c r="H1213"/>
    </row>
    <row r="1214" spans="1:8" x14ac:dyDescent="0.45">
      <c r="A1214"/>
      <c r="B1214"/>
      <c r="C1214"/>
      <c r="D1214"/>
      <c r="E1214"/>
      <c r="F1214"/>
      <c r="G1214"/>
      <c r="H1214"/>
    </row>
    <row r="1215" spans="1:8" x14ac:dyDescent="0.45">
      <c r="A1215"/>
      <c r="B1215"/>
      <c r="C1215"/>
      <c r="D1215"/>
      <c r="E1215"/>
      <c r="F1215"/>
      <c r="G1215"/>
      <c r="H1215"/>
    </row>
    <row r="1216" spans="1:8" x14ac:dyDescent="0.45">
      <c r="A1216"/>
      <c r="B1216"/>
      <c r="C1216"/>
      <c r="D1216"/>
      <c r="E1216"/>
      <c r="F1216"/>
      <c r="G1216"/>
      <c r="H1216"/>
    </row>
    <row r="1217" spans="1:8" x14ac:dyDescent="0.45">
      <c r="A1217"/>
      <c r="B1217"/>
      <c r="C1217"/>
      <c r="D1217"/>
      <c r="E1217"/>
      <c r="F1217"/>
      <c r="G1217"/>
      <c r="H1217"/>
    </row>
    <row r="1218" spans="1:8" x14ac:dyDescent="0.45">
      <c r="A1218"/>
      <c r="B1218"/>
      <c r="C1218"/>
      <c r="D1218"/>
      <c r="E1218"/>
      <c r="F1218"/>
      <c r="G1218"/>
      <c r="H1218"/>
    </row>
    <row r="1219" spans="1:8" x14ac:dyDescent="0.45">
      <c r="A1219"/>
      <c r="B1219"/>
      <c r="C1219"/>
      <c r="D1219"/>
      <c r="E1219"/>
      <c r="F1219"/>
      <c r="G1219"/>
      <c r="H1219"/>
    </row>
    <row r="1220" spans="1:8" x14ac:dyDescent="0.45">
      <c r="A1220"/>
      <c r="B1220"/>
      <c r="C1220"/>
      <c r="D1220"/>
      <c r="E1220"/>
      <c r="F1220"/>
      <c r="G1220"/>
      <c r="H1220"/>
    </row>
    <row r="1221" spans="1:8" x14ac:dyDescent="0.45">
      <c r="A1221"/>
      <c r="B1221"/>
      <c r="C1221"/>
      <c r="D1221"/>
      <c r="E1221"/>
      <c r="F1221"/>
      <c r="G1221"/>
      <c r="H1221"/>
    </row>
    <row r="1222" spans="1:8" x14ac:dyDescent="0.45">
      <c r="A1222"/>
      <c r="B1222"/>
      <c r="C1222"/>
      <c r="D1222"/>
      <c r="E1222"/>
      <c r="F1222"/>
      <c r="G1222"/>
      <c r="H1222"/>
    </row>
    <row r="1223" spans="1:8" x14ac:dyDescent="0.45">
      <c r="A1223"/>
      <c r="B1223"/>
      <c r="C1223"/>
      <c r="D1223"/>
      <c r="E1223"/>
      <c r="F1223"/>
      <c r="G1223"/>
      <c r="H1223"/>
    </row>
    <row r="1224" spans="1:8" x14ac:dyDescent="0.45">
      <c r="A1224"/>
      <c r="B1224"/>
      <c r="C1224"/>
      <c r="D1224"/>
      <c r="E1224"/>
      <c r="F1224"/>
      <c r="G1224"/>
      <c r="H1224"/>
    </row>
    <row r="1225" spans="1:8" x14ac:dyDescent="0.45">
      <c r="A1225"/>
      <c r="B1225"/>
      <c r="C1225"/>
      <c r="D1225"/>
      <c r="E1225"/>
      <c r="F1225"/>
      <c r="G1225"/>
      <c r="H1225"/>
    </row>
    <row r="1226" spans="1:8" x14ac:dyDescent="0.45">
      <c r="A1226"/>
      <c r="B1226"/>
      <c r="C1226"/>
      <c r="D1226"/>
      <c r="E1226"/>
      <c r="F1226"/>
      <c r="G1226"/>
      <c r="H1226"/>
    </row>
    <row r="1227" spans="1:8" x14ac:dyDescent="0.45">
      <c r="A1227"/>
      <c r="B1227"/>
      <c r="C1227"/>
      <c r="D1227"/>
      <c r="E1227"/>
      <c r="F1227"/>
      <c r="G1227"/>
      <c r="H1227"/>
    </row>
    <row r="1228" spans="1:8" x14ac:dyDescent="0.45">
      <c r="A1228"/>
      <c r="B1228"/>
      <c r="C1228"/>
      <c r="D1228"/>
      <c r="E1228"/>
      <c r="F1228"/>
      <c r="G1228"/>
      <c r="H1228"/>
    </row>
    <row r="1229" spans="1:8" x14ac:dyDescent="0.45">
      <c r="A1229"/>
      <c r="B1229"/>
      <c r="C1229"/>
      <c r="D1229"/>
      <c r="E1229"/>
      <c r="F1229"/>
      <c r="G1229"/>
      <c r="H1229"/>
    </row>
    <row r="1230" spans="1:8" x14ac:dyDescent="0.45">
      <c r="A1230"/>
      <c r="B1230"/>
      <c r="C1230"/>
      <c r="D1230"/>
      <c r="E1230"/>
      <c r="F1230"/>
      <c r="G1230"/>
      <c r="H1230"/>
    </row>
    <row r="1231" spans="1:8" x14ac:dyDescent="0.45">
      <c r="A1231"/>
      <c r="B1231"/>
      <c r="C1231"/>
      <c r="D1231"/>
      <c r="E1231"/>
      <c r="F1231"/>
      <c r="G1231"/>
      <c r="H1231"/>
    </row>
    <row r="1232" spans="1:8" x14ac:dyDescent="0.45">
      <c r="A1232"/>
      <c r="B1232"/>
      <c r="C1232"/>
      <c r="D1232"/>
      <c r="E1232"/>
      <c r="F1232"/>
      <c r="G1232"/>
      <c r="H1232"/>
    </row>
    <row r="1233" spans="1:8" x14ac:dyDescent="0.45">
      <c r="A1233"/>
      <c r="B1233"/>
      <c r="C1233"/>
      <c r="D1233"/>
      <c r="E1233"/>
      <c r="F1233"/>
      <c r="G1233"/>
      <c r="H1233"/>
    </row>
    <row r="1234" spans="1:8" x14ac:dyDescent="0.45">
      <c r="A1234"/>
      <c r="B1234"/>
      <c r="C1234"/>
      <c r="D1234"/>
      <c r="E1234"/>
      <c r="F1234"/>
      <c r="G1234"/>
      <c r="H1234"/>
    </row>
    <row r="1235" spans="1:8" x14ac:dyDescent="0.45">
      <c r="A1235"/>
      <c r="B1235"/>
      <c r="C1235"/>
      <c r="D1235"/>
      <c r="E1235"/>
      <c r="F1235"/>
      <c r="G1235"/>
      <c r="H1235"/>
    </row>
    <row r="1236" spans="1:8" x14ac:dyDescent="0.45">
      <c r="A1236"/>
      <c r="B1236"/>
      <c r="C1236"/>
      <c r="D1236"/>
      <c r="E1236"/>
      <c r="F1236"/>
      <c r="G1236"/>
      <c r="H1236"/>
    </row>
    <row r="1237" spans="1:8" x14ac:dyDescent="0.45">
      <c r="A1237"/>
      <c r="B1237"/>
      <c r="C1237"/>
      <c r="D1237"/>
      <c r="E1237"/>
      <c r="F1237"/>
      <c r="G1237"/>
      <c r="H1237"/>
    </row>
    <row r="1238" spans="1:8" x14ac:dyDescent="0.45">
      <c r="A1238"/>
      <c r="B1238"/>
      <c r="C1238"/>
      <c r="D1238"/>
      <c r="E1238"/>
      <c r="F1238"/>
      <c r="G1238"/>
      <c r="H1238"/>
    </row>
    <row r="1239" spans="1:8" x14ac:dyDescent="0.45">
      <c r="A1239"/>
      <c r="B1239"/>
      <c r="C1239"/>
      <c r="D1239"/>
      <c r="E1239"/>
      <c r="F1239"/>
      <c r="G1239"/>
      <c r="H1239"/>
    </row>
    <row r="1240" spans="1:8" x14ac:dyDescent="0.45">
      <c r="A1240"/>
      <c r="B1240"/>
      <c r="C1240"/>
      <c r="D1240"/>
      <c r="E1240"/>
      <c r="F1240"/>
      <c r="G1240"/>
      <c r="H1240"/>
    </row>
    <row r="1241" spans="1:8" x14ac:dyDescent="0.45">
      <c r="A1241"/>
      <c r="B1241"/>
      <c r="C1241"/>
      <c r="D1241"/>
      <c r="E1241"/>
      <c r="F1241"/>
      <c r="G1241"/>
      <c r="H1241"/>
    </row>
    <row r="1242" spans="1:8" x14ac:dyDescent="0.45">
      <c r="A1242"/>
      <c r="B1242"/>
      <c r="C1242"/>
      <c r="D1242"/>
      <c r="E1242"/>
      <c r="F1242"/>
      <c r="G1242"/>
      <c r="H1242"/>
    </row>
    <row r="1243" spans="1:8" x14ac:dyDescent="0.45">
      <c r="A1243"/>
      <c r="B1243"/>
      <c r="C1243"/>
      <c r="D1243"/>
      <c r="E1243"/>
      <c r="F1243"/>
      <c r="G1243"/>
      <c r="H1243"/>
    </row>
    <row r="1244" spans="1:8" x14ac:dyDescent="0.45">
      <c r="A1244"/>
      <c r="B1244"/>
      <c r="C1244"/>
      <c r="D1244"/>
      <c r="E1244"/>
      <c r="F1244"/>
      <c r="G1244"/>
      <c r="H1244"/>
    </row>
    <row r="1245" spans="1:8" x14ac:dyDescent="0.45">
      <c r="A1245"/>
      <c r="B1245"/>
      <c r="C1245"/>
      <c r="D1245"/>
      <c r="E1245"/>
      <c r="F1245"/>
      <c r="G1245"/>
      <c r="H1245"/>
    </row>
    <row r="1246" spans="1:8" x14ac:dyDescent="0.45">
      <c r="A1246"/>
      <c r="B1246"/>
      <c r="C1246"/>
      <c r="D1246"/>
      <c r="E1246"/>
      <c r="F1246"/>
      <c r="G1246"/>
      <c r="H1246"/>
    </row>
    <row r="1247" spans="1:8" x14ac:dyDescent="0.45">
      <c r="A1247"/>
      <c r="B1247"/>
      <c r="C1247"/>
      <c r="D1247"/>
      <c r="E1247"/>
      <c r="F1247"/>
      <c r="G1247"/>
      <c r="H1247"/>
    </row>
    <row r="1248" spans="1:8" x14ac:dyDescent="0.45">
      <c r="A1248"/>
      <c r="B1248"/>
      <c r="C1248"/>
      <c r="D1248"/>
      <c r="E1248"/>
      <c r="F1248"/>
      <c r="G1248"/>
      <c r="H1248"/>
    </row>
    <row r="1249" spans="1:8" x14ac:dyDescent="0.45">
      <c r="A1249"/>
      <c r="B1249"/>
      <c r="C1249"/>
      <c r="D1249"/>
      <c r="E1249"/>
      <c r="F1249"/>
      <c r="G1249"/>
      <c r="H1249"/>
    </row>
    <row r="1250" spans="1:8" x14ac:dyDescent="0.45">
      <c r="A1250"/>
      <c r="B1250"/>
      <c r="C1250"/>
      <c r="D1250"/>
      <c r="E1250"/>
      <c r="F1250"/>
      <c r="G1250"/>
      <c r="H1250"/>
    </row>
    <row r="1251" spans="1:8" x14ac:dyDescent="0.45">
      <c r="A1251"/>
      <c r="B1251"/>
      <c r="C1251"/>
      <c r="D1251"/>
      <c r="E1251"/>
      <c r="F1251"/>
      <c r="G1251"/>
      <c r="H1251"/>
    </row>
    <row r="1252" spans="1:8" x14ac:dyDescent="0.45">
      <c r="A1252"/>
      <c r="B1252"/>
      <c r="C1252"/>
      <c r="D1252"/>
      <c r="E1252"/>
      <c r="F1252"/>
      <c r="G1252"/>
      <c r="H1252"/>
    </row>
    <row r="1253" spans="1:8" x14ac:dyDescent="0.45">
      <c r="A1253"/>
      <c r="B1253"/>
      <c r="C1253"/>
      <c r="D1253"/>
      <c r="E1253"/>
      <c r="F1253"/>
      <c r="G1253"/>
      <c r="H1253"/>
    </row>
    <row r="1254" spans="1:8" x14ac:dyDescent="0.45">
      <c r="A1254"/>
      <c r="B1254"/>
      <c r="C1254"/>
      <c r="D1254"/>
      <c r="E1254"/>
      <c r="F1254"/>
      <c r="G1254"/>
      <c r="H1254"/>
    </row>
    <row r="1255" spans="1:8" x14ac:dyDescent="0.45">
      <c r="A1255"/>
      <c r="B1255"/>
      <c r="C1255"/>
      <c r="D1255"/>
      <c r="E1255"/>
      <c r="F1255"/>
      <c r="G1255"/>
    </row>
    <row r="1256" spans="1:8" x14ac:dyDescent="0.45">
      <c r="A1256"/>
      <c r="B1256"/>
      <c r="C1256"/>
      <c r="D1256"/>
      <c r="E1256"/>
      <c r="F1256"/>
      <c r="G1256"/>
    </row>
    <row r="1257" spans="1:8" x14ac:dyDescent="0.45">
      <c r="A1257"/>
      <c r="B1257"/>
      <c r="C1257"/>
      <c r="D1257"/>
      <c r="E1257"/>
      <c r="F1257"/>
      <c r="G1257"/>
    </row>
    <row r="1258" spans="1:8" x14ac:dyDescent="0.45">
      <c r="A1258"/>
      <c r="B1258"/>
      <c r="C1258"/>
      <c r="D1258"/>
      <c r="E1258"/>
      <c r="F1258"/>
      <c r="G1258"/>
    </row>
    <row r="1259" spans="1:8" x14ac:dyDescent="0.45">
      <c r="A1259"/>
      <c r="B1259"/>
      <c r="C1259"/>
      <c r="D1259"/>
      <c r="E1259"/>
      <c r="F1259"/>
      <c r="G1259"/>
    </row>
    <row r="1260" spans="1:8" x14ac:dyDescent="0.45">
      <c r="A1260"/>
      <c r="B1260"/>
      <c r="C1260"/>
      <c r="D1260"/>
      <c r="E1260"/>
      <c r="F1260"/>
      <c r="G1260"/>
    </row>
    <row r="1261" spans="1:8" x14ac:dyDescent="0.45">
      <c r="A1261"/>
      <c r="B1261"/>
      <c r="C1261"/>
      <c r="D1261"/>
      <c r="E1261"/>
      <c r="F1261"/>
      <c r="G1261"/>
    </row>
    <row r="1262" spans="1:8" x14ac:dyDescent="0.45">
      <c r="A1262"/>
      <c r="B1262"/>
      <c r="C1262"/>
      <c r="D1262"/>
      <c r="E1262"/>
      <c r="F1262"/>
      <c r="G1262"/>
    </row>
    <row r="1263" spans="1:8" x14ac:dyDescent="0.45">
      <c r="A1263"/>
      <c r="B1263"/>
      <c r="C1263"/>
      <c r="D1263"/>
      <c r="E1263"/>
      <c r="F1263"/>
      <c r="G1263"/>
    </row>
    <row r="1264" spans="1:8" x14ac:dyDescent="0.45">
      <c r="A1264"/>
      <c r="B1264"/>
      <c r="C1264"/>
      <c r="D1264"/>
      <c r="E1264"/>
      <c r="F1264"/>
      <c r="G1264"/>
    </row>
    <row r="1265" spans="1:7" x14ac:dyDescent="0.45">
      <c r="A1265"/>
      <c r="B1265"/>
      <c r="C1265"/>
      <c r="D1265"/>
      <c r="E1265"/>
      <c r="F1265"/>
      <c r="G1265"/>
    </row>
    <row r="1266" spans="1:7" x14ac:dyDescent="0.45">
      <c r="A1266"/>
      <c r="B1266"/>
      <c r="C1266"/>
      <c r="D1266"/>
      <c r="E1266"/>
      <c r="F1266"/>
      <c r="G1266"/>
    </row>
    <row r="1267" spans="1:7" x14ac:dyDescent="0.45">
      <c r="A1267"/>
      <c r="B1267"/>
      <c r="C1267"/>
      <c r="D1267"/>
      <c r="E1267"/>
      <c r="F1267"/>
      <c r="G1267"/>
    </row>
    <row r="1268" spans="1:7" x14ac:dyDescent="0.45">
      <c r="A1268"/>
      <c r="B1268"/>
      <c r="C1268"/>
      <c r="D1268"/>
      <c r="E1268"/>
      <c r="F1268"/>
      <c r="G1268"/>
    </row>
    <row r="1269" spans="1:7" x14ac:dyDescent="0.45">
      <c r="A1269"/>
      <c r="B1269"/>
      <c r="C1269"/>
      <c r="D1269"/>
      <c r="E1269"/>
      <c r="F1269"/>
      <c r="G1269"/>
    </row>
    <row r="1270" spans="1:7" x14ac:dyDescent="0.45">
      <c r="A1270"/>
      <c r="B1270"/>
      <c r="C1270"/>
      <c r="D1270"/>
      <c r="E1270"/>
      <c r="F1270"/>
      <c r="G1270"/>
    </row>
    <row r="1271" spans="1:7" x14ac:dyDescent="0.45">
      <c r="A1271"/>
      <c r="B1271"/>
      <c r="C1271"/>
      <c r="D1271"/>
      <c r="E1271"/>
      <c r="F1271"/>
      <c r="G1271"/>
    </row>
    <row r="1272" spans="1:7" x14ac:dyDescent="0.45">
      <c r="A1272"/>
      <c r="B1272"/>
      <c r="C1272"/>
      <c r="D1272"/>
      <c r="E1272"/>
      <c r="F1272"/>
      <c r="G1272"/>
    </row>
    <row r="1273" spans="1:7" x14ac:dyDescent="0.45">
      <c r="A1273"/>
      <c r="B1273"/>
      <c r="C1273"/>
      <c r="D1273"/>
      <c r="E1273"/>
      <c r="F1273"/>
      <c r="G1273"/>
    </row>
    <row r="1274" spans="1:7" x14ac:dyDescent="0.45">
      <c r="A1274"/>
      <c r="B1274"/>
      <c r="C1274"/>
      <c r="D1274"/>
      <c r="E1274"/>
      <c r="F1274"/>
      <c r="G1274"/>
    </row>
    <row r="1275" spans="1:7" x14ac:dyDescent="0.45">
      <c r="A1275"/>
      <c r="B1275"/>
      <c r="C1275"/>
      <c r="D1275"/>
      <c r="E1275"/>
      <c r="F1275"/>
      <c r="G1275"/>
    </row>
    <row r="1276" spans="1:7" x14ac:dyDescent="0.45">
      <c r="A1276"/>
      <c r="B1276"/>
      <c r="C1276"/>
      <c r="D1276"/>
      <c r="E1276"/>
      <c r="F1276"/>
      <c r="G1276"/>
    </row>
    <row r="1277" spans="1:7" x14ac:dyDescent="0.45">
      <c r="A1277"/>
      <c r="B1277"/>
      <c r="C1277"/>
      <c r="D1277"/>
      <c r="E1277"/>
      <c r="F1277"/>
      <c r="G1277"/>
    </row>
    <row r="1278" spans="1:7" x14ac:dyDescent="0.45">
      <c r="A1278"/>
      <c r="B1278"/>
      <c r="C1278"/>
      <c r="D1278"/>
      <c r="E1278"/>
      <c r="F1278"/>
      <c r="G1278"/>
    </row>
    <row r="1279" spans="1:7" x14ac:dyDescent="0.45">
      <c r="A1279"/>
      <c r="B1279"/>
      <c r="C1279"/>
      <c r="D1279"/>
      <c r="E1279"/>
      <c r="F1279"/>
      <c r="G1279"/>
    </row>
    <row r="1280" spans="1:7" x14ac:dyDescent="0.45">
      <c r="A1280"/>
      <c r="B1280"/>
      <c r="C1280"/>
      <c r="D1280"/>
      <c r="E1280"/>
      <c r="F1280"/>
      <c r="G1280"/>
    </row>
    <row r="1281" spans="1:7" x14ac:dyDescent="0.45">
      <c r="A1281"/>
      <c r="B1281"/>
      <c r="C1281"/>
      <c r="D1281"/>
      <c r="E1281"/>
      <c r="F1281"/>
      <c r="G1281"/>
    </row>
    <row r="1282" spans="1:7" x14ac:dyDescent="0.45">
      <c r="A1282"/>
      <c r="B1282"/>
      <c r="C1282"/>
      <c r="D1282"/>
      <c r="E1282"/>
      <c r="F1282"/>
      <c r="G1282"/>
    </row>
    <row r="1283" spans="1:7" x14ac:dyDescent="0.45">
      <c r="A1283"/>
      <c r="B1283"/>
      <c r="C1283"/>
      <c r="D1283"/>
      <c r="E1283"/>
      <c r="F1283"/>
      <c r="G1283"/>
    </row>
    <row r="1284" spans="1:7" x14ac:dyDescent="0.45">
      <c r="A1284"/>
      <c r="B1284"/>
      <c r="C1284"/>
      <c r="D1284"/>
      <c r="E1284"/>
      <c r="F1284"/>
      <c r="G1284"/>
    </row>
    <row r="1285" spans="1:7" x14ac:dyDescent="0.45">
      <c r="A1285"/>
      <c r="B1285"/>
      <c r="C1285"/>
      <c r="D1285"/>
      <c r="E1285"/>
      <c r="F1285"/>
      <c r="G1285"/>
    </row>
    <row r="1286" spans="1:7" x14ac:dyDescent="0.45">
      <c r="A1286"/>
      <c r="B1286"/>
      <c r="C1286"/>
      <c r="D1286"/>
      <c r="E1286"/>
      <c r="F1286"/>
      <c r="G1286"/>
    </row>
    <row r="1287" spans="1:7" x14ac:dyDescent="0.45">
      <c r="A1287"/>
      <c r="B1287"/>
      <c r="C1287"/>
      <c r="D1287"/>
      <c r="E1287"/>
      <c r="F1287"/>
      <c r="G1287"/>
    </row>
    <row r="1288" spans="1:7" x14ac:dyDescent="0.45">
      <c r="A1288"/>
      <c r="B1288"/>
      <c r="C1288"/>
      <c r="D1288"/>
      <c r="E1288"/>
      <c r="F1288"/>
      <c r="G1288"/>
    </row>
    <row r="1289" spans="1:7" x14ac:dyDescent="0.45">
      <c r="A1289"/>
      <c r="B1289"/>
      <c r="C1289"/>
      <c r="D1289"/>
      <c r="E1289"/>
      <c r="F1289"/>
      <c r="G1289"/>
    </row>
    <row r="1290" spans="1:7" x14ac:dyDescent="0.45">
      <c r="A1290"/>
      <c r="B1290"/>
      <c r="C1290"/>
      <c r="D1290"/>
      <c r="E1290"/>
      <c r="F1290"/>
      <c r="G1290"/>
    </row>
    <row r="1291" spans="1:7" x14ac:dyDescent="0.45">
      <c r="A1291"/>
      <c r="B1291"/>
      <c r="C1291"/>
      <c r="D1291"/>
      <c r="E1291"/>
      <c r="F1291"/>
      <c r="G1291"/>
    </row>
    <row r="1292" spans="1:7" x14ac:dyDescent="0.45">
      <c r="A1292"/>
      <c r="B1292"/>
      <c r="C1292"/>
      <c r="D1292"/>
      <c r="E1292"/>
      <c r="F1292"/>
      <c r="G1292"/>
    </row>
    <row r="1293" spans="1:7" x14ac:dyDescent="0.45">
      <c r="A1293"/>
      <c r="B1293"/>
      <c r="C1293"/>
      <c r="D1293"/>
      <c r="E1293"/>
      <c r="F1293"/>
      <c r="G1293"/>
    </row>
    <row r="1294" spans="1:7" x14ac:dyDescent="0.45">
      <c r="A1294"/>
      <c r="B1294"/>
      <c r="C1294"/>
      <c r="D1294"/>
      <c r="E1294"/>
      <c r="F1294"/>
      <c r="G1294"/>
    </row>
    <row r="1295" spans="1:7" x14ac:dyDescent="0.45">
      <c r="A1295"/>
      <c r="B1295"/>
      <c r="C1295"/>
      <c r="D1295"/>
      <c r="E1295"/>
      <c r="F1295"/>
      <c r="G1295"/>
    </row>
    <row r="1296" spans="1:7" x14ac:dyDescent="0.45">
      <c r="A1296"/>
      <c r="B1296"/>
      <c r="C1296"/>
      <c r="D1296"/>
      <c r="E1296"/>
      <c r="F1296"/>
      <c r="G1296"/>
    </row>
    <row r="1297" spans="1:7" x14ac:dyDescent="0.45">
      <c r="A1297"/>
      <c r="B1297"/>
      <c r="C1297"/>
      <c r="D1297"/>
      <c r="E1297"/>
      <c r="F1297"/>
      <c r="G1297"/>
    </row>
    <row r="1298" spans="1:7" x14ac:dyDescent="0.45">
      <c r="A1298"/>
      <c r="B1298"/>
      <c r="C1298"/>
      <c r="D1298"/>
      <c r="E1298"/>
      <c r="F1298"/>
      <c r="G1298"/>
    </row>
    <row r="1299" spans="1:7" x14ac:dyDescent="0.45">
      <c r="A1299"/>
      <c r="B1299"/>
      <c r="C1299"/>
      <c r="D1299"/>
      <c r="E1299"/>
      <c r="F1299"/>
      <c r="G1299"/>
    </row>
    <row r="1300" spans="1:7" x14ac:dyDescent="0.45">
      <c r="A1300"/>
      <c r="B1300"/>
      <c r="C1300"/>
      <c r="D1300"/>
      <c r="E1300"/>
      <c r="F1300"/>
      <c r="G1300"/>
    </row>
    <row r="1301" spans="1:7" x14ac:dyDescent="0.45">
      <c r="A1301"/>
      <c r="B1301"/>
      <c r="C1301"/>
      <c r="D1301"/>
      <c r="E1301"/>
      <c r="F1301"/>
      <c r="G1301"/>
    </row>
    <row r="1302" spans="1:7" x14ac:dyDescent="0.45">
      <c r="A1302"/>
      <c r="B1302"/>
      <c r="C1302"/>
      <c r="D1302"/>
      <c r="E1302"/>
      <c r="F1302"/>
      <c r="G1302"/>
    </row>
    <row r="1303" spans="1:7" x14ac:dyDescent="0.45">
      <c r="A1303"/>
      <c r="B1303"/>
      <c r="C1303"/>
      <c r="D1303"/>
      <c r="E1303"/>
      <c r="F1303"/>
      <c r="G1303"/>
    </row>
    <row r="1304" spans="1:7" x14ac:dyDescent="0.45">
      <c r="A1304"/>
      <c r="B1304"/>
      <c r="C1304"/>
      <c r="D1304"/>
      <c r="E1304"/>
      <c r="F1304"/>
      <c r="G1304"/>
    </row>
    <row r="1305" spans="1:7" x14ac:dyDescent="0.45">
      <c r="A1305"/>
      <c r="B1305"/>
      <c r="C1305"/>
      <c r="D1305"/>
      <c r="E1305"/>
      <c r="F1305"/>
      <c r="G1305"/>
    </row>
    <row r="1306" spans="1:7" x14ac:dyDescent="0.45">
      <c r="A1306"/>
      <c r="B1306"/>
      <c r="C1306"/>
      <c r="D1306"/>
      <c r="E1306"/>
      <c r="F1306"/>
      <c r="G1306"/>
    </row>
    <row r="1307" spans="1:7" x14ac:dyDescent="0.45">
      <c r="A1307"/>
      <c r="B1307"/>
      <c r="C1307"/>
      <c r="D1307"/>
      <c r="E1307"/>
      <c r="F1307"/>
      <c r="G1307"/>
    </row>
    <row r="1308" spans="1:7" x14ac:dyDescent="0.45">
      <c r="A1308"/>
      <c r="B1308"/>
      <c r="C1308"/>
      <c r="D1308"/>
      <c r="E1308"/>
      <c r="F1308"/>
      <c r="G1308"/>
    </row>
    <row r="1309" spans="1:7" x14ac:dyDescent="0.45">
      <c r="A1309"/>
      <c r="B1309"/>
      <c r="C1309"/>
      <c r="D1309"/>
      <c r="E1309"/>
      <c r="F1309"/>
      <c r="G1309"/>
    </row>
    <row r="1310" spans="1:7" x14ac:dyDescent="0.45">
      <c r="A1310"/>
      <c r="B1310"/>
      <c r="C1310"/>
      <c r="D1310"/>
      <c r="E1310"/>
      <c r="F1310"/>
      <c r="G1310"/>
    </row>
    <row r="1311" spans="1:7" x14ac:dyDescent="0.45">
      <c r="A1311"/>
      <c r="B1311"/>
      <c r="C1311"/>
      <c r="D1311"/>
      <c r="E1311"/>
      <c r="F1311"/>
      <c r="G1311"/>
    </row>
    <row r="1312" spans="1:7" x14ac:dyDescent="0.45">
      <c r="A1312"/>
      <c r="B1312"/>
      <c r="C1312"/>
      <c r="D1312"/>
      <c r="E1312"/>
      <c r="F1312"/>
      <c r="G1312"/>
    </row>
    <row r="1313" spans="1:7" x14ac:dyDescent="0.45">
      <c r="A1313"/>
      <c r="B1313"/>
      <c r="C1313"/>
      <c r="D1313"/>
      <c r="E1313"/>
      <c r="F1313"/>
      <c r="G1313"/>
    </row>
    <row r="1314" spans="1:7" x14ac:dyDescent="0.45">
      <c r="A1314"/>
      <c r="B1314"/>
      <c r="C1314"/>
      <c r="D1314"/>
      <c r="E1314"/>
      <c r="F1314"/>
      <c r="G1314"/>
    </row>
    <row r="1315" spans="1:7" x14ac:dyDescent="0.45">
      <c r="A1315"/>
      <c r="B1315"/>
      <c r="C1315"/>
      <c r="D1315"/>
      <c r="E1315"/>
      <c r="F1315"/>
      <c r="G1315"/>
    </row>
    <row r="1316" spans="1:7" x14ac:dyDescent="0.45">
      <c r="A1316"/>
      <c r="B1316"/>
      <c r="C1316"/>
      <c r="D1316"/>
      <c r="E1316"/>
      <c r="F1316"/>
      <c r="G1316"/>
    </row>
    <row r="1317" spans="1:7" x14ac:dyDescent="0.45">
      <c r="A1317"/>
      <c r="B1317"/>
      <c r="C1317"/>
      <c r="D1317"/>
      <c r="E1317"/>
      <c r="F1317"/>
      <c r="G1317"/>
    </row>
    <row r="1318" spans="1:7" x14ac:dyDescent="0.45">
      <c r="A1318"/>
      <c r="B1318"/>
      <c r="C1318"/>
      <c r="D1318"/>
      <c r="E1318"/>
      <c r="F1318"/>
      <c r="G1318"/>
    </row>
    <row r="1319" spans="1:7" x14ac:dyDescent="0.45">
      <c r="A1319"/>
      <c r="B1319"/>
      <c r="C1319"/>
      <c r="D1319"/>
      <c r="E1319"/>
      <c r="F1319"/>
      <c r="G1319"/>
    </row>
    <row r="1320" spans="1:7" x14ac:dyDescent="0.45">
      <c r="A1320"/>
      <c r="B1320"/>
      <c r="C1320"/>
      <c r="D1320"/>
      <c r="E1320"/>
      <c r="F1320"/>
      <c r="G1320"/>
    </row>
    <row r="1321" spans="1:7" x14ac:dyDescent="0.45">
      <c r="A1321"/>
      <c r="B1321"/>
      <c r="C1321"/>
      <c r="D1321"/>
      <c r="E1321"/>
      <c r="F1321"/>
      <c r="G1321"/>
    </row>
    <row r="1322" spans="1:7" x14ac:dyDescent="0.45">
      <c r="A1322"/>
      <c r="B1322"/>
      <c r="C1322"/>
      <c r="D1322"/>
      <c r="E1322"/>
      <c r="F1322"/>
      <c r="G1322"/>
    </row>
    <row r="1323" spans="1:7" x14ac:dyDescent="0.45">
      <c r="A1323"/>
      <c r="B1323"/>
      <c r="C1323"/>
      <c r="D1323"/>
      <c r="E1323"/>
      <c r="F1323"/>
      <c r="G1323"/>
    </row>
    <row r="1324" spans="1:7" x14ac:dyDescent="0.45">
      <c r="A1324"/>
      <c r="B1324"/>
      <c r="C1324"/>
      <c r="D1324"/>
      <c r="E1324"/>
      <c r="F1324"/>
      <c r="G1324"/>
    </row>
    <row r="1325" spans="1:7" x14ac:dyDescent="0.45">
      <c r="A1325"/>
      <c r="B1325"/>
      <c r="C1325"/>
      <c r="D1325"/>
      <c r="E1325"/>
      <c r="F1325"/>
      <c r="G1325"/>
    </row>
    <row r="1326" spans="1:7" x14ac:dyDescent="0.45">
      <c r="A1326"/>
      <c r="B1326"/>
      <c r="C1326"/>
      <c r="D1326"/>
      <c r="E1326"/>
      <c r="F1326"/>
      <c r="G1326"/>
    </row>
    <row r="1327" spans="1:7" x14ac:dyDescent="0.45">
      <c r="A1327"/>
      <c r="B1327"/>
      <c r="C1327"/>
      <c r="D1327"/>
      <c r="E1327"/>
      <c r="F1327"/>
      <c r="G1327"/>
    </row>
    <row r="1328" spans="1:7" x14ac:dyDescent="0.45">
      <c r="A1328"/>
      <c r="B1328"/>
      <c r="C1328"/>
      <c r="D1328"/>
      <c r="E1328"/>
      <c r="F1328"/>
      <c r="G1328"/>
    </row>
    <row r="1329" spans="1:7" x14ac:dyDescent="0.45">
      <c r="A1329"/>
      <c r="B1329"/>
      <c r="C1329"/>
      <c r="D1329"/>
      <c r="E1329"/>
      <c r="F1329"/>
      <c r="G1329"/>
    </row>
    <row r="1330" spans="1:7" x14ac:dyDescent="0.45">
      <c r="A1330"/>
      <c r="B1330"/>
      <c r="C1330"/>
      <c r="D1330"/>
      <c r="E1330"/>
      <c r="F1330"/>
      <c r="G1330"/>
    </row>
    <row r="1331" spans="1:7" x14ac:dyDescent="0.45">
      <c r="A1331"/>
      <c r="B1331"/>
      <c r="C1331"/>
      <c r="D1331"/>
      <c r="E1331"/>
      <c r="F1331"/>
      <c r="G1331"/>
    </row>
    <row r="1332" spans="1:7" x14ac:dyDescent="0.45">
      <c r="A1332"/>
      <c r="B1332"/>
      <c r="C1332"/>
      <c r="D1332"/>
      <c r="E1332"/>
      <c r="F1332"/>
      <c r="G1332"/>
    </row>
    <row r="1333" spans="1:7" x14ac:dyDescent="0.45">
      <c r="A1333"/>
      <c r="B1333"/>
      <c r="C1333"/>
      <c r="D1333"/>
      <c r="E1333"/>
      <c r="F1333"/>
      <c r="G1333"/>
    </row>
    <row r="1334" spans="1:7" x14ac:dyDescent="0.45">
      <c r="A1334"/>
      <c r="B1334"/>
      <c r="C1334"/>
      <c r="D1334"/>
      <c r="E1334"/>
      <c r="F1334"/>
      <c r="G1334"/>
    </row>
    <row r="1335" spans="1:7" x14ac:dyDescent="0.45">
      <c r="A1335"/>
      <c r="B1335"/>
      <c r="C1335"/>
      <c r="D1335"/>
      <c r="E1335"/>
      <c r="F1335"/>
      <c r="G1335"/>
    </row>
    <row r="1336" spans="1:7" x14ac:dyDescent="0.45">
      <c r="A1336"/>
      <c r="B1336"/>
      <c r="C1336"/>
      <c r="D1336"/>
      <c r="E1336"/>
      <c r="F1336"/>
      <c r="G1336"/>
    </row>
    <row r="1337" spans="1:7" x14ac:dyDescent="0.45">
      <c r="A1337"/>
      <c r="B1337"/>
      <c r="C1337"/>
      <c r="D1337"/>
      <c r="E1337"/>
      <c r="F1337"/>
      <c r="G1337"/>
    </row>
    <row r="1338" spans="1:7" x14ac:dyDescent="0.45">
      <c r="A1338"/>
      <c r="B1338"/>
      <c r="C1338"/>
      <c r="D1338"/>
      <c r="E1338"/>
      <c r="F1338"/>
      <c r="G1338"/>
    </row>
    <row r="1339" spans="1:7" x14ac:dyDescent="0.45">
      <c r="A1339"/>
      <c r="B1339"/>
      <c r="C1339"/>
      <c r="D1339"/>
      <c r="E1339"/>
      <c r="F1339"/>
      <c r="G1339"/>
    </row>
    <row r="1340" spans="1:7" x14ac:dyDescent="0.45">
      <c r="A1340"/>
      <c r="B1340"/>
      <c r="C1340"/>
      <c r="D1340"/>
      <c r="E1340"/>
      <c r="F1340"/>
      <c r="G1340"/>
    </row>
    <row r="1341" spans="1:7" x14ac:dyDescent="0.45">
      <c r="A1341"/>
      <c r="B1341"/>
      <c r="C1341"/>
      <c r="D1341"/>
      <c r="E1341"/>
      <c r="F1341"/>
      <c r="G1341"/>
    </row>
    <row r="1342" spans="1:7" x14ac:dyDescent="0.45">
      <c r="A1342"/>
      <c r="B1342"/>
      <c r="C1342"/>
      <c r="D1342"/>
      <c r="E1342"/>
      <c r="F1342"/>
      <c r="G1342"/>
    </row>
    <row r="1343" spans="1:7" x14ac:dyDescent="0.45">
      <c r="A1343"/>
      <c r="B1343"/>
      <c r="C1343"/>
      <c r="D1343"/>
      <c r="E1343"/>
      <c r="F1343"/>
      <c r="G1343"/>
    </row>
    <row r="1344" spans="1:7" x14ac:dyDescent="0.45">
      <c r="A1344"/>
      <c r="B1344"/>
      <c r="C1344"/>
      <c r="D1344"/>
      <c r="E1344"/>
      <c r="F1344"/>
      <c r="G1344"/>
    </row>
    <row r="1345" spans="1:7" x14ac:dyDescent="0.45">
      <c r="A1345"/>
      <c r="B1345"/>
      <c r="C1345"/>
      <c r="D1345"/>
      <c r="E1345"/>
      <c r="F1345"/>
      <c r="G1345"/>
    </row>
    <row r="1346" spans="1:7" x14ac:dyDescent="0.45">
      <c r="A1346"/>
      <c r="B1346"/>
      <c r="C1346"/>
      <c r="D1346"/>
      <c r="E1346"/>
      <c r="F1346"/>
      <c r="G1346"/>
    </row>
    <row r="1347" spans="1:7" x14ac:dyDescent="0.45">
      <c r="A1347"/>
      <c r="B1347"/>
      <c r="C1347"/>
      <c r="D1347"/>
      <c r="E1347"/>
      <c r="F1347"/>
      <c r="G1347"/>
    </row>
    <row r="1348" spans="1:7" x14ac:dyDescent="0.45">
      <c r="A1348"/>
      <c r="B1348"/>
      <c r="C1348"/>
      <c r="D1348"/>
      <c r="E1348"/>
      <c r="F1348"/>
      <c r="G1348"/>
    </row>
    <row r="1349" spans="1:7" x14ac:dyDescent="0.45">
      <c r="A1349"/>
      <c r="B1349"/>
      <c r="C1349"/>
      <c r="D1349"/>
      <c r="E1349"/>
      <c r="F1349"/>
      <c r="G1349"/>
    </row>
    <row r="1350" spans="1:7" x14ac:dyDescent="0.45">
      <c r="A1350"/>
      <c r="B1350"/>
      <c r="C1350"/>
      <c r="D1350"/>
      <c r="E1350"/>
      <c r="F1350"/>
      <c r="G1350"/>
    </row>
    <row r="1351" spans="1:7" x14ac:dyDescent="0.45">
      <c r="A1351"/>
      <c r="B1351"/>
      <c r="C1351"/>
      <c r="D1351"/>
      <c r="E1351"/>
      <c r="F1351"/>
      <c r="G1351"/>
    </row>
    <row r="1352" spans="1:7" x14ac:dyDescent="0.45">
      <c r="A1352"/>
      <c r="B1352"/>
      <c r="C1352"/>
      <c r="D1352"/>
      <c r="E1352"/>
      <c r="F1352"/>
      <c r="G1352"/>
    </row>
    <row r="1353" spans="1:7" x14ac:dyDescent="0.45">
      <c r="A1353"/>
      <c r="B1353"/>
      <c r="C1353"/>
      <c r="D1353"/>
      <c r="E1353"/>
      <c r="F1353"/>
      <c r="G1353"/>
    </row>
    <row r="1354" spans="1:7" x14ac:dyDescent="0.45">
      <c r="A1354"/>
      <c r="B1354"/>
      <c r="C1354"/>
      <c r="D1354"/>
      <c r="E1354"/>
      <c r="F1354"/>
      <c r="G1354"/>
    </row>
    <row r="1355" spans="1:7" x14ac:dyDescent="0.45">
      <c r="A1355"/>
      <c r="B1355"/>
      <c r="C1355"/>
      <c r="D1355"/>
      <c r="E1355"/>
      <c r="F1355"/>
      <c r="G1355"/>
    </row>
    <row r="1356" spans="1:7" x14ac:dyDescent="0.45">
      <c r="A1356"/>
      <c r="B1356"/>
      <c r="C1356"/>
      <c r="D1356"/>
      <c r="E1356"/>
      <c r="F1356"/>
      <c r="G1356"/>
    </row>
    <row r="1357" spans="1:7" x14ac:dyDescent="0.45">
      <c r="A1357"/>
      <c r="B1357"/>
      <c r="C1357"/>
      <c r="D1357"/>
      <c r="E1357"/>
      <c r="F1357"/>
      <c r="G1357"/>
    </row>
    <row r="1358" spans="1:7" x14ac:dyDescent="0.45">
      <c r="A1358"/>
      <c r="B1358"/>
      <c r="C1358"/>
      <c r="D1358"/>
      <c r="E1358"/>
      <c r="F1358"/>
      <c r="G1358"/>
    </row>
    <row r="1359" spans="1:7" x14ac:dyDescent="0.45">
      <c r="A1359"/>
      <c r="B1359"/>
      <c r="C1359"/>
      <c r="D1359"/>
      <c r="E1359"/>
      <c r="F1359"/>
      <c r="G1359"/>
    </row>
    <row r="1360" spans="1:7" x14ac:dyDescent="0.45">
      <c r="A1360"/>
      <c r="B1360"/>
      <c r="C1360"/>
      <c r="D1360"/>
      <c r="E1360"/>
      <c r="F1360"/>
      <c r="G1360"/>
    </row>
    <row r="1361" spans="1:7" x14ac:dyDescent="0.45">
      <c r="A1361"/>
      <c r="B1361"/>
      <c r="C1361"/>
      <c r="D1361"/>
      <c r="E1361"/>
      <c r="F1361"/>
      <c r="G1361"/>
    </row>
    <row r="1362" spans="1:7" x14ac:dyDescent="0.45">
      <c r="A1362"/>
      <c r="B1362"/>
      <c r="C1362"/>
      <c r="D1362"/>
      <c r="E1362"/>
      <c r="F1362"/>
      <c r="G1362"/>
    </row>
    <row r="1363" spans="1:7" x14ac:dyDescent="0.45">
      <c r="A1363"/>
      <c r="B1363"/>
      <c r="C1363"/>
      <c r="D1363"/>
      <c r="E1363"/>
      <c r="F1363"/>
      <c r="G1363"/>
    </row>
    <row r="1364" spans="1:7" x14ac:dyDescent="0.45">
      <c r="A1364"/>
      <c r="B1364"/>
      <c r="C1364"/>
      <c r="D1364"/>
      <c r="E1364"/>
      <c r="F1364"/>
      <c r="G1364"/>
    </row>
    <row r="1365" spans="1:7" x14ac:dyDescent="0.45">
      <c r="A1365"/>
      <c r="B1365"/>
      <c r="C1365"/>
      <c r="D1365"/>
      <c r="E1365"/>
      <c r="F1365"/>
      <c r="G1365"/>
    </row>
    <row r="1366" spans="1:7" x14ac:dyDescent="0.45">
      <c r="A1366"/>
      <c r="B1366"/>
      <c r="C1366"/>
      <c r="D1366"/>
      <c r="E1366"/>
      <c r="F1366"/>
      <c r="G1366"/>
    </row>
    <row r="1367" spans="1:7" x14ac:dyDescent="0.45">
      <c r="A1367"/>
      <c r="B1367"/>
      <c r="C1367"/>
      <c r="D1367"/>
      <c r="E1367"/>
      <c r="F1367"/>
      <c r="G1367"/>
    </row>
    <row r="1368" spans="1:7" x14ac:dyDescent="0.45">
      <c r="A1368"/>
      <c r="B1368"/>
      <c r="C1368"/>
      <c r="D1368"/>
      <c r="E1368"/>
      <c r="F1368"/>
      <c r="G1368"/>
    </row>
    <row r="1369" spans="1:7" x14ac:dyDescent="0.45">
      <c r="A1369"/>
      <c r="B1369"/>
      <c r="C1369"/>
      <c r="D1369"/>
      <c r="E1369"/>
      <c r="F1369"/>
      <c r="G1369"/>
    </row>
    <row r="1370" spans="1:7" x14ac:dyDescent="0.45">
      <c r="A1370"/>
      <c r="B1370"/>
      <c r="C1370"/>
      <c r="D1370"/>
      <c r="E1370"/>
      <c r="F1370"/>
      <c r="G1370"/>
    </row>
    <row r="1371" spans="1:7" x14ac:dyDescent="0.45">
      <c r="A1371"/>
      <c r="B1371"/>
      <c r="C1371"/>
      <c r="D1371"/>
      <c r="E1371"/>
      <c r="F1371"/>
      <c r="G1371"/>
    </row>
    <row r="1372" spans="1:7" x14ac:dyDescent="0.45">
      <c r="A1372"/>
      <c r="B1372"/>
      <c r="C1372"/>
      <c r="D1372"/>
      <c r="E1372"/>
      <c r="F1372"/>
      <c r="G1372"/>
    </row>
    <row r="1373" spans="1:7" x14ac:dyDescent="0.45">
      <c r="A1373"/>
      <c r="B1373"/>
      <c r="C1373"/>
      <c r="D1373"/>
      <c r="E1373"/>
      <c r="F1373"/>
      <c r="G1373"/>
    </row>
    <row r="1374" spans="1:7" x14ac:dyDescent="0.45">
      <c r="A1374"/>
      <c r="B1374"/>
      <c r="C1374"/>
      <c r="D1374"/>
      <c r="E1374"/>
      <c r="F1374"/>
      <c r="G1374"/>
    </row>
    <row r="1375" spans="1:7" x14ac:dyDescent="0.45">
      <c r="A1375"/>
      <c r="B1375"/>
      <c r="C1375"/>
      <c r="D1375"/>
      <c r="E1375"/>
      <c r="F1375"/>
      <c r="G1375"/>
    </row>
    <row r="1376" spans="1:7" x14ac:dyDescent="0.45">
      <c r="A1376"/>
      <c r="B1376"/>
      <c r="C1376"/>
      <c r="D1376"/>
      <c r="E1376"/>
      <c r="F1376"/>
      <c r="G1376"/>
    </row>
    <row r="1377" spans="1:7" x14ac:dyDescent="0.45">
      <c r="A1377"/>
      <c r="B1377"/>
      <c r="C1377"/>
      <c r="D1377"/>
      <c r="E1377"/>
      <c r="F1377"/>
      <c r="G1377"/>
    </row>
    <row r="1378" spans="1:7" x14ac:dyDescent="0.45">
      <c r="A1378"/>
      <c r="B1378"/>
      <c r="C1378"/>
      <c r="D1378"/>
      <c r="E1378"/>
      <c r="F1378"/>
      <c r="G1378"/>
    </row>
    <row r="1379" spans="1:7" x14ac:dyDescent="0.45">
      <c r="A1379"/>
      <c r="B1379"/>
      <c r="C1379"/>
      <c r="D1379"/>
      <c r="E1379"/>
      <c r="F1379"/>
      <c r="G1379"/>
    </row>
    <row r="1380" spans="1:7" x14ac:dyDescent="0.45">
      <c r="A1380"/>
      <c r="B1380"/>
      <c r="C1380"/>
      <c r="D1380"/>
      <c r="E1380"/>
      <c r="F1380"/>
      <c r="G1380"/>
    </row>
    <row r="1381" spans="1:7" x14ac:dyDescent="0.45">
      <c r="A1381"/>
      <c r="B1381"/>
      <c r="C1381"/>
      <c r="D1381"/>
      <c r="E1381"/>
      <c r="F1381"/>
      <c r="G1381"/>
    </row>
    <row r="1382" spans="1:7" x14ac:dyDescent="0.45">
      <c r="A1382"/>
      <c r="B1382"/>
      <c r="C1382"/>
      <c r="D1382"/>
      <c r="E1382"/>
      <c r="F1382"/>
      <c r="G1382"/>
    </row>
    <row r="1383" spans="1:7" x14ac:dyDescent="0.45">
      <c r="A1383"/>
      <c r="B1383"/>
      <c r="C1383"/>
      <c r="D1383"/>
      <c r="E1383"/>
      <c r="F1383"/>
      <c r="G1383"/>
    </row>
    <row r="1384" spans="1:7" x14ac:dyDescent="0.45">
      <c r="A1384"/>
      <c r="B1384"/>
      <c r="C1384"/>
      <c r="D1384"/>
      <c r="E1384"/>
      <c r="F1384"/>
      <c r="G1384"/>
    </row>
    <row r="1385" spans="1:7" x14ac:dyDescent="0.45">
      <c r="A1385"/>
      <c r="B1385"/>
      <c r="C1385"/>
      <c r="D1385"/>
      <c r="E1385"/>
      <c r="F1385"/>
      <c r="G1385"/>
    </row>
    <row r="1386" spans="1:7" x14ac:dyDescent="0.45">
      <c r="A1386"/>
      <c r="B1386"/>
      <c r="C1386"/>
      <c r="D1386"/>
      <c r="E1386"/>
      <c r="F1386"/>
      <c r="G1386"/>
    </row>
    <row r="1387" spans="1:7" x14ac:dyDescent="0.45">
      <c r="A1387"/>
      <c r="B1387"/>
      <c r="C1387"/>
      <c r="D1387"/>
      <c r="E1387"/>
      <c r="F1387"/>
      <c r="G1387"/>
    </row>
    <row r="1388" spans="1:7" x14ac:dyDescent="0.45">
      <c r="A1388"/>
      <c r="B1388"/>
      <c r="C1388"/>
      <c r="D1388"/>
      <c r="E1388"/>
      <c r="F1388"/>
      <c r="G1388"/>
    </row>
    <row r="1389" spans="1:7" x14ac:dyDescent="0.45">
      <c r="A1389"/>
      <c r="B1389"/>
      <c r="C1389"/>
      <c r="D1389"/>
      <c r="E1389"/>
      <c r="F1389"/>
      <c r="G1389"/>
    </row>
    <row r="1390" spans="1:7" x14ac:dyDescent="0.45">
      <c r="A1390"/>
      <c r="B1390"/>
      <c r="C1390"/>
      <c r="D1390"/>
      <c r="E1390"/>
      <c r="F1390"/>
      <c r="G1390"/>
    </row>
  </sheetData>
  <pageMargins left="0.7" right="0.7" top="0.75" bottom="0.75" header="0.3" footer="0.3"/>
  <pageSetup orientation="portrait" horizontalDpi="4294967292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3:AC69"/>
  <sheetViews>
    <sheetView topLeftCell="A5" zoomScaleNormal="100" workbookViewId="0">
      <selection activeCell="D18" sqref="D18"/>
    </sheetView>
  </sheetViews>
  <sheetFormatPr defaultRowHeight="14.25" x14ac:dyDescent="0.45"/>
  <cols>
    <col min="1" max="1" width="12.33203125" style="9" bestFit="1" customWidth="1"/>
    <col min="2" max="2" width="13.53125" bestFit="1" customWidth="1"/>
    <col min="3" max="3" width="17" bestFit="1" customWidth="1"/>
    <col min="4" max="4" width="11.9296875" bestFit="1" customWidth="1"/>
    <col min="5" max="5" width="11.796875" style="34" bestFit="1" customWidth="1"/>
    <col min="6" max="6" width="10.19921875" bestFit="1" customWidth="1"/>
    <col min="9" max="9" width="10.59765625" bestFit="1" customWidth="1"/>
    <col min="11" max="11" width="14.265625" bestFit="1" customWidth="1"/>
    <col min="12" max="12" width="10.59765625" bestFit="1" customWidth="1"/>
    <col min="13" max="13" width="14.265625" bestFit="1" customWidth="1"/>
    <col min="25" max="25" width="12.59765625" bestFit="1" customWidth="1"/>
  </cols>
  <sheetData>
    <row r="3" spans="1:29" ht="57" x14ac:dyDescent="0.45">
      <c r="A3" s="3" t="s">
        <v>20</v>
      </c>
      <c r="B3" t="s">
        <v>15</v>
      </c>
      <c r="C3" t="s">
        <v>16</v>
      </c>
      <c r="D3" t="s">
        <v>17</v>
      </c>
      <c r="E3" s="34" t="s">
        <v>184</v>
      </c>
      <c r="F3" s="11" t="s">
        <v>272</v>
      </c>
    </row>
    <row r="4" spans="1:29" x14ac:dyDescent="0.45">
      <c r="A4" s="51">
        <v>45963</v>
      </c>
      <c r="B4" s="5">
        <v>27955.349999999995</v>
      </c>
      <c r="C4" s="5">
        <v>16473.890000000003</v>
      </c>
      <c r="D4" s="5">
        <v>11481.459999999997</v>
      </c>
      <c r="E4" s="34">
        <v>405.25</v>
      </c>
      <c r="F4" s="5">
        <v>287.03649999999993</v>
      </c>
      <c r="X4" s="34"/>
    </row>
    <row r="5" spans="1:29" x14ac:dyDescent="0.45">
      <c r="A5" s="51">
        <v>45970</v>
      </c>
      <c r="B5" s="5">
        <v>33071.399999999994</v>
      </c>
      <c r="C5" s="5">
        <v>19581.230000000003</v>
      </c>
      <c r="D5" s="5">
        <v>13490.169999999998</v>
      </c>
      <c r="E5" s="34">
        <v>459.5</v>
      </c>
      <c r="F5" s="5">
        <v>337.25424999999996</v>
      </c>
      <c r="X5" s="34"/>
    </row>
    <row r="6" spans="1:29" x14ac:dyDescent="0.45">
      <c r="A6" s="51">
        <v>45977</v>
      </c>
      <c r="B6" s="5">
        <v>29042.649999999998</v>
      </c>
      <c r="C6" s="5">
        <v>16889.349999999999</v>
      </c>
      <c r="D6" s="5">
        <v>12153.300000000001</v>
      </c>
      <c r="E6" s="34">
        <v>409.75</v>
      </c>
      <c r="F6" s="5">
        <v>303.83250000000004</v>
      </c>
      <c r="V6" s="34"/>
      <c r="X6" s="34"/>
    </row>
    <row r="7" spans="1:29" x14ac:dyDescent="0.45">
      <c r="A7" s="51">
        <v>45984</v>
      </c>
      <c r="B7" s="5">
        <v>28922.350000000002</v>
      </c>
      <c r="C7" s="5">
        <v>16711.68</v>
      </c>
      <c r="D7" s="5">
        <v>12210.67</v>
      </c>
      <c r="E7" s="34">
        <v>413</v>
      </c>
      <c r="F7" s="5">
        <v>305.26675</v>
      </c>
      <c r="V7" s="34"/>
    </row>
    <row r="8" spans="1:29" x14ac:dyDescent="0.45">
      <c r="A8" s="51">
        <v>45991</v>
      </c>
      <c r="B8" s="5">
        <v>31561.199999999997</v>
      </c>
      <c r="C8" s="5">
        <v>18335.34</v>
      </c>
      <c r="D8" s="5">
        <v>13225.86</v>
      </c>
      <c r="E8" s="34">
        <v>441</v>
      </c>
      <c r="F8" s="5">
        <v>330.6465</v>
      </c>
      <c r="V8" s="34"/>
    </row>
    <row r="9" spans="1:29" x14ac:dyDescent="0.45">
      <c r="A9" s="51">
        <v>45998</v>
      </c>
      <c r="B9" s="5">
        <v>29978.7</v>
      </c>
      <c r="C9" s="5">
        <v>17513.88</v>
      </c>
      <c r="D9" s="5">
        <v>12464.82</v>
      </c>
      <c r="E9" s="34">
        <v>418.75</v>
      </c>
      <c r="F9" s="5">
        <v>311.62049999999999</v>
      </c>
      <c r="V9" s="34"/>
    </row>
    <row r="10" spans="1:29" x14ac:dyDescent="0.45">
      <c r="A10" s="51">
        <v>46005</v>
      </c>
      <c r="B10" s="5">
        <v>35291.599999999999</v>
      </c>
      <c r="C10" s="5">
        <v>20472.690000000002</v>
      </c>
      <c r="D10" s="5">
        <v>14818.91</v>
      </c>
      <c r="E10" s="34">
        <v>491.75</v>
      </c>
      <c r="F10" s="5">
        <v>370.47275000000002</v>
      </c>
      <c r="V10" s="34"/>
    </row>
    <row r="11" spans="1:29" x14ac:dyDescent="0.45">
      <c r="A11" s="51">
        <v>46012</v>
      </c>
      <c r="B11" s="5">
        <v>40716.6</v>
      </c>
      <c r="C11" s="5">
        <v>25142.400000000001</v>
      </c>
      <c r="D11" s="5">
        <v>15574.199999999999</v>
      </c>
      <c r="E11" s="34">
        <v>545.75</v>
      </c>
      <c r="F11" s="5">
        <v>389.35499999999996</v>
      </c>
      <c r="V11" s="34"/>
      <c r="Y11">
        <v>655612.99000000011</v>
      </c>
      <c r="Z11">
        <v>434656.41</v>
      </c>
      <c r="AA11">
        <v>220956.57999999993</v>
      </c>
      <c r="AB11">
        <v>11545.25</v>
      </c>
      <c r="AC11">
        <v>5523.914499999998</v>
      </c>
    </row>
    <row r="12" spans="1:29" x14ac:dyDescent="0.45">
      <c r="A12" s="51">
        <v>46019</v>
      </c>
      <c r="B12" s="5">
        <v>5939</v>
      </c>
      <c r="C12" s="5">
        <v>3631.5</v>
      </c>
      <c r="D12" s="5">
        <v>2307.5</v>
      </c>
      <c r="E12" s="34">
        <v>88</v>
      </c>
      <c r="F12" s="5">
        <v>57.6875</v>
      </c>
      <c r="V12" s="34"/>
    </row>
    <row r="13" spans="1:29" x14ac:dyDescent="0.45">
      <c r="A13" s="51">
        <v>46026</v>
      </c>
      <c r="B13" s="5">
        <v>1531.7</v>
      </c>
      <c r="C13" s="5">
        <v>812.76</v>
      </c>
      <c r="D13" s="5">
        <v>718.94</v>
      </c>
      <c r="E13" s="34">
        <v>13.25</v>
      </c>
      <c r="F13" s="5">
        <v>17.973500000000001</v>
      </c>
      <c r="V13" s="34"/>
    </row>
    <row r="14" spans="1:29" x14ac:dyDescent="0.45">
      <c r="A14" s="51">
        <v>46033</v>
      </c>
      <c r="B14" s="5">
        <v>43057.200000000004</v>
      </c>
      <c r="C14" s="5">
        <v>26006.48</v>
      </c>
      <c r="D14" s="5">
        <v>17050.72</v>
      </c>
      <c r="E14" s="34">
        <v>570.25</v>
      </c>
      <c r="F14" s="5">
        <v>426.26800000000003</v>
      </c>
      <c r="V14" s="34"/>
      <c r="Y14" s="40">
        <v>122327.03</v>
      </c>
    </row>
    <row r="15" spans="1:29" x14ac:dyDescent="0.45">
      <c r="A15" s="51">
        <v>46040</v>
      </c>
      <c r="B15" s="5">
        <v>30933.499999999996</v>
      </c>
      <c r="C15" s="5">
        <v>18657.330000000002</v>
      </c>
      <c r="D15" s="5">
        <v>12276.170000000002</v>
      </c>
      <c r="E15" s="34">
        <v>436</v>
      </c>
      <c r="F15" s="5">
        <v>306.90425000000005</v>
      </c>
      <c r="V15" s="34"/>
      <c r="Y15" s="40">
        <v>-12422.43</v>
      </c>
    </row>
    <row r="16" spans="1:29" x14ac:dyDescent="0.45">
      <c r="A16" s="51">
        <v>46047</v>
      </c>
      <c r="B16" s="5">
        <v>36943.949999999997</v>
      </c>
      <c r="C16" s="5">
        <v>23139.510000000002</v>
      </c>
      <c r="D16" s="5">
        <v>13804.439999999999</v>
      </c>
      <c r="E16" s="34">
        <v>497.5</v>
      </c>
      <c r="F16" s="5">
        <v>345.11099999999999</v>
      </c>
      <c r="V16" s="34"/>
      <c r="Y16" s="40">
        <v>-27262.68</v>
      </c>
    </row>
    <row r="17" spans="1:25" x14ac:dyDescent="0.45">
      <c r="A17" s="51">
        <v>46054</v>
      </c>
      <c r="B17" s="5">
        <v>28970.3</v>
      </c>
      <c r="C17" s="5">
        <v>17045.580000000002</v>
      </c>
      <c r="D17" s="5">
        <v>11924.72</v>
      </c>
      <c r="E17" s="34">
        <v>420.25</v>
      </c>
      <c r="F17" s="5">
        <v>298.11799999999999</v>
      </c>
      <c r="V17" s="34"/>
      <c r="Y17" s="40">
        <v>-10605.21</v>
      </c>
    </row>
    <row r="18" spans="1:25" x14ac:dyDescent="0.45">
      <c r="A18" s="51">
        <v>46061</v>
      </c>
      <c r="B18" s="5">
        <v>33400.25</v>
      </c>
      <c r="C18" s="5">
        <v>19735.59</v>
      </c>
      <c r="D18" s="5">
        <v>13664.66</v>
      </c>
      <c r="E18" s="34">
        <v>465.75</v>
      </c>
      <c r="F18" s="5">
        <v>341.61649999999997</v>
      </c>
      <c r="V18" s="34"/>
      <c r="Y18" s="5">
        <f>SUM(Y14:Y17)</f>
        <v>72036.710000000021</v>
      </c>
    </row>
    <row r="19" spans="1:25" x14ac:dyDescent="0.45">
      <c r="A19" s="51">
        <v>46068</v>
      </c>
      <c r="B19" s="5">
        <v>36109.800000000003</v>
      </c>
      <c r="C19" s="5">
        <v>19881.190000000002</v>
      </c>
      <c r="D19" s="5">
        <v>16228.61</v>
      </c>
      <c r="E19" s="34">
        <v>473.25</v>
      </c>
      <c r="F19" s="5">
        <v>405.71525000000003</v>
      </c>
      <c r="V19" s="34"/>
    </row>
    <row r="20" spans="1:25" x14ac:dyDescent="0.45">
      <c r="A20" s="51">
        <v>46075</v>
      </c>
      <c r="B20" s="5">
        <v>25886.249999999996</v>
      </c>
      <c r="C20" s="5">
        <v>14074.61</v>
      </c>
      <c r="D20" s="5">
        <v>11811.64</v>
      </c>
      <c r="E20" s="34">
        <v>356</v>
      </c>
      <c r="F20" s="5">
        <v>295.291</v>
      </c>
      <c r="V20" s="34"/>
    </row>
    <row r="21" spans="1:25" x14ac:dyDescent="0.45">
      <c r="A21" s="51">
        <v>46082</v>
      </c>
      <c r="B21" s="5">
        <v>24008.400000000001</v>
      </c>
      <c r="C21" s="5">
        <v>13203.94</v>
      </c>
      <c r="D21" s="5">
        <v>10804.46</v>
      </c>
      <c r="E21" s="34">
        <v>322.25</v>
      </c>
      <c r="F21" s="5">
        <v>270.11149999999998</v>
      </c>
      <c r="V21" s="34"/>
    </row>
    <row r="22" spans="1:25" x14ac:dyDescent="0.45">
      <c r="A22" s="51">
        <v>46089</v>
      </c>
      <c r="B22" s="5">
        <v>25088.399999999998</v>
      </c>
      <c r="C22" s="5">
        <v>13733.57</v>
      </c>
      <c r="D22" s="5">
        <v>11354.830000000002</v>
      </c>
      <c r="E22" s="34">
        <v>343.25</v>
      </c>
      <c r="F22" s="5">
        <v>283.87075000000004</v>
      </c>
      <c r="V22" s="34"/>
    </row>
    <row r="23" spans="1:25" x14ac:dyDescent="0.45">
      <c r="A23" s="51">
        <v>46096</v>
      </c>
      <c r="B23" s="5">
        <v>39074.400000000001</v>
      </c>
      <c r="C23" s="5">
        <v>22476.33</v>
      </c>
      <c r="D23" s="5">
        <v>16598.07</v>
      </c>
      <c r="E23" s="34">
        <v>494.5</v>
      </c>
      <c r="F23" s="5">
        <v>414.95175</v>
      </c>
      <c r="V23" s="34"/>
    </row>
    <row r="24" spans="1:25" x14ac:dyDescent="0.45">
      <c r="A24" s="51">
        <v>46103</v>
      </c>
      <c r="B24" s="5">
        <v>30135.599999999999</v>
      </c>
      <c r="C24" s="5">
        <v>16244.43</v>
      </c>
      <c r="D24" s="5">
        <v>13891.17</v>
      </c>
      <c r="E24" s="34">
        <v>393.5</v>
      </c>
      <c r="F24" s="5">
        <v>347.27924999999999</v>
      </c>
      <c r="V24" s="34"/>
    </row>
    <row r="25" spans="1:25" x14ac:dyDescent="0.45">
      <c r="A25" s="51">
        <v>46110</v>
      </c>
      <c r="B25" s="5">
        <v>30922.2</v>
      </c>
      <c r="C25" s="5">
        <v>17388.830000000002</v>
      </c>
      <c r="D25" s="5">
        <v>13533.369999999999</v>
      </c>
      <c r="E25" s="34">
        <v>392.5</v>
      </c>
      <c r="F25" s="5">
        <v>338.33425</v>
      </c>
      <c r="V25" s="34"/>
    </row>
    <row r="26" spans="1:25" x14ac:dyDescent="0.45">
      <c r="A26" s="4" t="s">
        <v>22</v>
      </c>
      <c r="B26" s="5"/>
      <c r="C26" s="5"/>
      <c r="D26" s="5"/>
      <c r="F26" s="5">
        <v>0</v>
      </c>
      <c r="V26" s="34"/>
    </row>
    <row r="27" spans="1:25" x14ac:dyDescent="0.45">
      <c r="A27" s="8" t="s">
        <v>14</v>
      </c>
      <c r="B27" s="5">
        <v>648540.80000000028</v>
      </c>
      <c r="C27" s="5">
        <v>377152.11000000004</v>
      </c>
      <c r="D27" s="5">
        <v>271388.69</v>
      </c>
      <c r="E27" s="34">
        <v>8851</v>
      </c>
      <c r="F27" s="5">
        <v>6784.7172499999997</v>
      </c>
      <c r="V27" s="34"/>
    </row>
    <row r="28" spans="1:25" x14ac:dyDescent="0.45">
      <c r="A28"/>
      <c r="E28"/>
      <c r="V28" s="34"/>
    </row>
    <row r="29" spans="1:25" x14ac:dyDescent="0.45">
      <c r="A29"/>
      <c r="E29"/>
      <c r="V29" s="34"/>
    </row>
    <row r="30" spans="1:25" x14ac:dyDescent="0.45">
      <c r="A30"/>
      <c r="E30"/>
    </row>
    <row r="31" spans="1:25" x14ac:dyDescent="0.45">
      <c r="A31"/>
      <c r="E31"/>
    </row>
    <row r="32" spans="1:25" x14ac:dyDescent="0.45">
      <c r="A32"/>
      <c r="E32"/>
    </row>
    <row r="33" spans="1:13" x14ac:dyDescent="0.45">
      <c r="A33"/>
      <c r="E33"/>
    </row>
    <row r="34" spans="1:13" x14ac:dyDescent="0.45">
      <c r="A34"/>
      <c r="E34"/>
    </row>
    <row r="35" spans="1:13" x14ac:dyDescent="0.45">
      <c r="A35"/>
      <c r="E35"/>
    </row>
    <row r="36" spans="1:13" x14ac:dyDescent="0.45">
      <c r="A36"/>
      <c r="E36"/>
      <c r="H36" s="5"/>
      <c r="I36" s="35"/>
      <c r="J36" s="35"/>
      <c r="K36" s="35"/>
      <c r="L36" s="35"/>
      <c r="M36" s="5"/>
    </row>
    <row r="37" spans="1:13" x14ac:dyDescent="0.45">
      <c r="A37"/>
      <c r="E37"/>
    </row>
    <row r="38" spans="1:13" x14ac:dyDescent="0.45">
      <c r="A38"/>
      <c r="E38"/>
    </row>
    <row r="39" spans="1:13" x14ac:dyDescent="0.45">
      <c r="A39"/>
      <c r="E39"/>
      <c r="I39" s="36"/>
    </row>
    <row r="40" spans="1:13" x14ac:dyDescent="0.45">
      <c r="A40"/>
      <c r="E40"/>
    </row>
    <row r="41" spans="1:13" x14ac:dyDescent="0.45">
      <c r="A41"/>
      <c r="E41"/>
    </row>
    <row r="42" spans="1:13" x14ac:dyDescent="0.45">
      <c r="A42"/>
      <c r="E42"/>
    </row>
    <row r="43" spans="1:13" x14ac:dyDescent="0.45">
      <c r="A43"/>
      <c r="E43"/>
    </row>
    <row r="44" spans="1:13" x14ac:dyDescent="0.45">
      <c r="A44"/>
      <c r="E44"/>
    </row>
    <row r="45" spans="1:13" x14ac:dyDescent="0.45">
      <c r="A45"/>
      <c r="E45"/>
    </row>
    <row r="46" spans="1:13" x14ac:dyDescent="0.45">
      <c r="A46"/>
      <c r="E46"/>
    </row>
    <row r="47" spans="1:13" x14ac:dyDescent="0.45">
      <c r="A47"/>
      <c r="E47"/>
    </row>
    <row r="48" spans="1:13" x14ac:dyDescent="0.45">
      <c r="A48"/>
      <c r="E48"/>
    </row>
    <row r="49" spans="1:5" x14ac:dyDescent="0.45">
      <c r="A49"/>
      <c r="E49"/>
    </row>
    <row r="50" spans="1:5" x14ac:dyDescent="0.45">
      <c r="A50"/>
      <c r="E50"/>
    </row>
    <row r="51" spans="1:5" x14ac:dyDescent="0.45">
      <c r="A51"/>
      <c r="E51"/>
    </row>
    <row r="52" spans="1:5" x14ac:dyDescent="0.45">
      <c r="A52"/>
      <c r="E52"/>
    </row>
    <row r="53" spans="1:5" x14ac:dyDescent="0.45">
      <c r="A53"/>
      <c r="E53"/>
    </row>
    <row r="54" spans="1:5" x14ac:dyDescent="0.45">
      <c r="A54"/>
      <c r="E54"/>
    </row>
    <row r="55" spans="1:5" x14ac:dyDescent="0.45">
      <c r="A55"/>
      <c r="E55"/>
    </row>
    <row r="56" spans="1:5" x14ac:dyDescent="0.45">
      <c r="A56"/>
      <c r="E56"/>
    </row>
    <row r="57" spans="1:5" x14ac:dyDescent="0.45">
      <c r="A57"/>
      <c r="E57"/>
    </row>
    <row r="58" spans="1:5" x14ac:dyDescent="0.45">
      <c r="A58"/>
      <c r="E58"/>
    </row>
    <row r="59" spans="1:5" x14ac:dyDescent="0.45">
      <c r="A59"/>
      <c r="E59"/>
    </row>
    <row r="60" spans="1:5" x14ac:dyDescent="0.45">
      <c r="A60"/>
      <c r="E60"/>
    </row>
    <row r="61" spans="1:5" x14ac:dyDescent="0.45">
      <c r="A61"/>
      <c r="E61"/>
    </row>
    <row r="62" spans="1:5" x14ac:dyDescent="0.45">
      <c r="A62"/>
      <c r="E62"/>
    </row>
    <row r="63" spans="1:5" x14ac:dyDescent="0.45">
      <c r="A63"/>
      <c r="E63"/>
    </row>
    <row r="64" spans="1:5" x14ac:dyDescent="0.45">
      <c r="A64"/>
      <c r="E64"/>
    </row>
    <row r="65" spans="1:5" x14ac:dyDescent="0.45">
      <c r="A65"/>
      <c r="E65"/>
    </row>
    <row r="66" spans="1:5" x14ac:dyDescent="0.45">
      <c r="A66"/>
      <c r="E66"/>
    </row>
    <row r="67" spans="1:5" x14ac:dyDescent="0.45">
      <c r="A67"/>
      <c r="E67"/>
    </row>
    <row r="68" spans="1:5" x14ac:dyDescent="0.45">
      <c r="A68"/>
      <c r="E68"/>
    </row>
    <row r="69" spans="1:5" x14ac:dyDescent="0.45">
      <c r="A69"/>
    </row>
  </sheetData>
  <pageMargins left="0.7" right="0.7" top="0.75" bottom="0.75" header="0.3" footer="0.3"/>
  <pageSetup scale="40" orientation="landscape" horizontalDpi="4294967292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pageSetUpPr fitToPage="1"/>
  </sheetPr>
  <dimension ref="A3:L28"/>
  <sheetViews>
    <sheetView workbookViewId="0">
      <selection activeCell="D19" sqref="D19"/>
    </sheetView>
  </sheetViews>
  <sheetFormatPr defaultRowHeight="14.25" x14ac:dyDescent="0.45"/>
  <cols>
    <col min="1" max="1" width="18.73046875" bestFit="1" customWidth="1"/>
    <col min="2" max="2" width="13.53125" bestFit="1" customWidth="1"/>
    <col min="3" max="3" width="17" bestFit="1" customWidth="1"/>
    <col min="4" max="4" width="11.9296875" bestFit="1" customWidth="1"/>
    <col min="5" max="5" width="7.1328125" bestFit="1" customWidth="1"/>
    <col min="6" max="6" width="9.73046875" bestFit="1" customWidth="1"/>
    <col min="11" max="11" width="10.73046875" bestFit="1" customWidth="1"/>
    <col min="12" max="12" width="9.73046875" bestFit="1" customWidth="1"/>
  </cols>
  <sheetData>
    <row r="3" spans="1:6" ht="42.75" x14ac:dyDescent="0.45">
      <c r="A3" s="3" t="s">
        <v>19</v>
      </c>
      <c r="B3" t="s">
        <v>15</v>
      </c>
      <c r="C3" t="s">
        <v>16</v>
      </c>
      <c r="D3" t="s">
        <v>17</v>
      </c>
      <c r="E3" s="11" t="s">
        <v>56</v>
      </c>
    </row>
    <row r="4" spans="1:6" x14ac:dyDescent="0.45">
      <c r="A4" s="4" t="s">
        <v>92</v>
      </c>
      <c r="B4" s="5">
        <v>82607.399999999994</v>
      </c>
      <c r="C4" s="5">
        <v>68839.5</v>
      </c>
      <c r="D4" s="5">
        <v>13767.9</v>
      </c>
      <c r="E4" s="10">
        <v>0.16666666666666669</v>
      </c>
    </row>
    <row r="5" spans="1:6" x14ac:dyDescent="0.45">
      <c r="A5" s="4" t="s">
        <v>37</v>
      </c>
      <c r="B5" s="5">
        <v>79342.3</v>
      </c>
      <c r="C5" s="5">
        <v>43132.5</v>
      </c>
      <c r="D5" s="5">
        <v>36209.800000000003</v>
      </c>
      <c r="E5" s="10">
        <v>0.4563744685999776</v>
      </c>
    </row>
    <row r="6" spans="1:6" x14ac:dyDescent="0.45">
      <c r="A6" s="4" t="s">
        <v>2</v>
      </c>
      <c r="B6" s="5">
        <v>69580.3</v>
      </c>
      <c r="C6" s="5">
        <v>36325.630000000005</v>
      </c>
      <c r="D6" s="5">
        <v>33254.67</v>
      </c>
      <c r="E6" s="10">
        <v>0.47793225956197366</v>
      </c>
    </row>
    <row r="7" spans="1:6" x14ac:dyDescent="0.45">
      <c r="A7" s="4" t="s">
        <v>190</v>
      </c>
      <c r="B7" s="5">
        <v>77747.199999999997</v>
      </c>
      <c r="C7" s="5">
        <v>34845</v>
      </c>
      <c r="D7" s="5">
        <v>42902.2</v>
      </c>
      <c r="E7" s="10">
        <v>0.55181665706289096</v>
      </c>
      <c r="F7" s="5"/>
    </row>
    <row r="8" spans="1:6" x14ac:dyDescent="0.45">
      <c r="A8" s="4" t="s">
        <v>39</v>
      </c>
      <c r="B8" s="5">
        <v>2873</v>
      </c>
      <c r="C8" s="5">
        <v>2323.75</v>
      </c>
      <c r="D8" s="5">
        <v>549.25</v>
      </c>
      <c r="E8" s="10">
        <v>0.19117647058823528</v>
      </c>
    </row>
    <row r="9" spans="1:6" x14ac:dyDescent="0.45">
      <c r="A9" s="4" t="s">
        <v>58</v>
      </c>
      <c r="B9" s="5">
        <v>38138.200000000004</v>
      </c>
      <c r="C9" s="5">
        <v>20556</v>
      </c>
      <c r="D9" s="5">
        <v>17582.2</v>
      </c>
      <c r="E9" s="10">
        <v>0.46101284276656995</v>
      </c>
    </row>
    <row r="10" spans="1:6" x14ac:dyDescent="0.45">
      <c r="A10" s="4" t="s">
        <v>189</v>
      </c>
      <c r="B10" s="5">
        <v>65787.299999999988</v>
      </c>
      <c r="C10" s="5">
        <v>33453.03</v>
      </c>
      <c r="D10" s="5">
        <v>32334.269999999997</v>
      </c>
      <c r="E10" s="10">
        <v>0.49149714306560693</v>
      </c>
    </row>
    <row r="11" spans="1:6" x14ac:dyDescent="0.45">
      <c r="A11" s="4" t="s">
        <v>21</v>
      </c>
      <c r="B11" s="5">
        <v>80773.500000000015</v>
      </c>
      <c r="C11" s="5">
        <v>47297.280000000006</v>
      </c>
      <c r="D11" s="5">
        <v>33476.22</v>
      </c>
      <c r="E11" s="10">
        <v>0.41444557930509379</v>
      </c>
    </row>
    <row r="12" spans="1:6" x14ac:dyDescent="0.45">
      <c r="A12" s="4" t="s">
        <v>3</v>
      </c>
      <c r="B12" s="5">
        <v>60633</v>
      </c>
      <c r="C12" s="5">
        <v>48001.14</v>
      </c>
      <c r="D12" s="5">
        <v>12631.86</v>
      </c>
      <c r="E12" s="10">
        <v>0.20833308594329822</v>
      </c>
    </row>
    <row r="13" spans="1:6" x14ac:dyDescent="0.45">
      <c r="A13" s="4" t="s">
        <v>94</v>
      </c>
      <c r="B13" s="5">
        <v>91058.6</v>
      </c>
      <c r="C13" s="5">
        <v>42378.280000000006</v>
      </c>
      <c r="D13" s="5">
        <v>48680.320000000007</v>
      </c>
      <c r="E13" s="10">
        <v>0.53460430975218165</v>
      </c>
    </row>
    <row r="14" spans="1:6" x14ac:dyDescent="0.45">
      <c r="A14" s="4" t="s">
        <v>22</v>
      </c>
      <c r="B14" s="5">
        <v>0</v>
      </c>
      <c r="C14" s="5">
        <v>0</v>
      </c>
      <c r="D14" s="5">
        <v>0</v>
      </c>
      <c r="E14" s="10" t="e">
        <v>#DIV/0!</v>
      </c>
    </row>
    <row r="15" spans="1:6" x14ac:dyDescent="0.45">
      <c r="A15" s="4" t="s">
        <v>14</v>
      </c>
      <c r="B15" s="5">
        <v>648540.79999999993</v>
      </c>
      <c r="C15" s="5">
        <v>377152.11000000004</v>
      </c>
      <c r="D15" s="5">
        <v>271388.69</v>
      </c>
      <c r="E15" s="10">
        <v>0.41846047311132928</v>
      </c>
    </row>
    <row r="28" spans="11:12" x14ac:dyDescent="0.45">
      <c r="K28" s="37"/>
      <c r="L28" s="37"/>
    </row>
  </sheetData>
  <pageMargins left="0.7" right="0.7" top="0.75" bottom="0.75" header="0.3" footer="0.3"/>
  <pageSetup scale="54" orientation="landscape" horizontalDpi="4294967293" verticalDpi="4294967295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0D088-6673-4043-9D6B-2195B4ED87B2}">
  <sheetPr codeName="Sheet5"/>
  <dimension ref="A3:Y835"/>
  <sheetViews>
    <sheetView zoomScale="110" zoomScaleNormal="110" workbookViewId="0">
      <selection activeCell="B12" sqref="B12"/>
    </sheetView>
  </sheetViews>
  <sheetFormatPr defaultColWidth="9.1328125" defaultRowHeight="14.25" x14ac:dyDescent="0.45"/>
  <cols>
    <col min="1" max="1" width="23.73046875" style="17" bestFit="1" customWidth="1"/>
    <col min="2" max="4" width="13.73046875" style="17" bestFit="1" customWidth="1"/>
    <col min="5" max="5" width="13.6640625" style="17" bestFit="1" customWidth="1"/>
    <col min="6" max="6" width="13.3984375" style="17" bestFit="1" customWidth="1"/>
    <col min="7" max="7" width="15.46484375" style="17" bestFit="1" customWidth="1"/>
    <col min="8" max="8" width="14.46484375" style="17" bestFit="1" customWidth="1"/>
    <col min="9" max="9" width="13" style="17" bestFit="1" customWidth="1"/>
    <col min="10" max="10" width="7.265625" style="17" bestFit="1" customWidth="1"/>
    <col min="11" max="11" width="14.73046875" style="17" bestFit="1" customWidth="1"/>
    <col min="12" max="12" width="4" style="17" bestFit="1" customWidth="1"/>
    <col min="13" max="13" width="7.265625" style="17" customWidth="1"/>
    <col min="14" max="14" width="16.86328125" style="17" bestFit="1" customWidth="1"/>
    <col min="15" max="15" width="4" style="17" bestFit="1" customWidth="1"/>
    <col min="16" max="16" width="7.73046875" style="17" bestFit="1" customWidth="1"/>
    <col min="17" max="17" width="14.265625" style="17" bestFit="1" customWidth="1"/>
    <col min="18" max="18" width="4" style="17" bestFit="1" customWidth="1"/>
    <col min="19" max="19" width="7.265625" style="17" bestFit="1" customWidth="1"/>
    <col min="20" max="22" width="19.86328125" style="17" bestFit="1" customWidth="1"/>
    <col min="23" max="23" width="19.73046875" style="17" bestFit="1" customWidth="1"/>
    <col min="24" max="24" width="22" style="17" bestFit="1" customWidth="1"/>
    <col min="25" max="25" width="19.265625" style="17" bestFit="1" customWidth="1"/>
    <col min="26" max="26" width="8.86328125" style="17" customWidth="1"/>
    <col min="27" max="29" width="3" style="17" customWidth="1"/>
    <col min="30" max="30" width="8.86328125" style="17" customWidth="1"/>
    <col min="31" max="32" width="3" style="17" customWidth="1"/>
    <col min="33" max="33" width="5" style="17" customWidth="1"/>
    <col min="34" max="34" width="3" style="17" customWidth="1"/>
    <col min="35" max="35" width="8.86328125" style="17" customWidth="1"/>
    <col min="36" max="37" width="3" style="17" customWidth="1"/>
    <col min="38" max="38" width="8.1328125" style="17" customWidth="1"/>
    <col min="39" max="40" width="3" style="17" customWidth="1"/>
    <col min="41" max="41" width="9.1328125" style="17"/>
    <col min="42" max="43" width="3" style="17" customWidth="1"/>
    <col min="44" max="44" width="9.1328125" style="17"/>
    <col min="45" max="45" width="5" style="17" customWidth="1"/>
    <col min="46" max="46" width="3" style="17" customWidth="1"/>
    <col min="47" max="47" width="9.1328125" style="17"/>
    <col min="48" max="48" width="3" style="17" customWidth="1"/>
    <col min="49" max="49" width="11.265625" style="17" bestFit="1" customWidth="1"/>
    <col min="50" max="16384" width="9.1328125" style="17"/>
  </cols>
  <sheetData>
    <row r="3" spans="1:25" x14ac:dyDescent="0.45">
      <c r="A3" s="3" t="s">
        <v>20</v>
      </c>
      <c r="B3" t="s">
        <v>34</v>
      </c>
      <c r="C3" t="s">
        <v>35</v>
      </c>
      <c r="D3" t="s">
        <v>36</v>
      </c>
      <c r="E3" t="s">
        <v>182</v>
      </c>
      <c r="F3" t="s">
        <v>75</v>
      </c>
      <c r="G3" t="s">
        <v>74</v>
      </c>
      <c r="H3" t="s">
        <v>80</v>
      </c>
      <c r="I3" t="s">
        <v>76</v>
      </c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</row>
    <row r="4" spans="1:25" hidden="1" x14ac:dyDescent="0.45">
      <c r="A4" s="4" t="s">
        <v>22</v>
      </c>
      <c r="B4" s="90"/>
      <c r="C4" s="90"/>
      <c r="D4" s="90"/>
      <c r="E4" s="90"/>
      <c r="F4" s="90"/>
      <c r="G4" s="90"/>
      <c r="H4" s="90"/>
      <c r="I4" s="90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</row>
    <row r="5" spans="1:25" hidden="1" x14ac:dyDescent="0.45">
      <c r="A5" s="7" t="s">
        <v>22</v>
      </c>
      <c r="B5" s="90"/>
      <c r="C5" s="90"/>
      <c r="D5" s="90"/>
      <c r="E5" s="90"/>
      <c r="F5" s="90"/>
      <c r="G5" s="90"/>
      <c r="H5" s="90"/>
      <c r="I5" s="90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</row>
    <row r="6" spans="1:25" x14ac:dyDescent="0.45">
      <c r="A6" s="91" t="s">
        <v>22</v>
      </c>
      <c r="B6" s="90"/>
      <c r="C6" s="90"/>
      <c r="D6" s="90"/>
      <c r="E6" s="90"/>
      <c r="F6" s="90"/>
      <c r="G6" s="90"/>
      <c r="H6" s="90"/>
      <c r="I6" s="90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</row>
    <row r="7" spans="1:25" x14ac:dyDescent="0.45">
      <c r="A7" s="4" t="s">
        <v>285</v>
      </c>
      <c r="B7" s="90">
        <v>603.25</v>
      </c>
      <c r="C7" s="90">
        <v>70.25</v>
      </c>
      <c r="D7" s="90">
        <v>49.5</v>
      </c>
      <c r="E7" s="90">
        <v>63</v>
      </c>
      <c r="F7" s="90">
        <v>21</v>
      </c>
      <c r="G7" s="90"/>
      <c r="H7" s="90">
        <v>1</v>
      </c>
      <c r="I7" s="90">
        <v>1</v>
      </c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</row>
    <row r="8" spans="1:25" x14ac:dyDescent="0.45">
      <c r="A8" s="52">
        <v>46110</v>
      </c>
      <c r="B8" s="90"/>
      <c r="C8" s="90"/>
      <c r="D8" s="90"/>
      <c r="E8" s="90"/>
      <c r="F8" s="90"/>
      <c r="G8" s="90"/>
      <c r="H8" s="90"/>
      <c r="I8" s="90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</row>
    <row r="9" spans="1:25" x14ac:dyDescent="0.45">
      <c r="A9" s="91" t="s">
        <v>3</v>
      </c>
      <c r="B9" s="90">
        <v>40</v>
      </c>
      <c r="C9" s="90">
        <v>0</v>
      </c>
      <c r="D9" s="90">
        <v>0</v>
      </c>
      <c r="E9" s="90">
        <v>0</v>
      </c>
      <c r="F9" s="90"/>
      <c r="G9" s="90"/>
      <c r="H9" s="90"/>
      <c r="I9" s="90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</row>
    <row r="10" spans="1:25" x14ac:dyDescent="0.45">
      <c r="A10" s="91" t="s">
        <v>21</v>
      </c>
      <c r="B10" s="90">
        <v>40</v>
      </c>
      <c r="C10" s="90">
        <v>32</v>
      </c>
      <c r="D10" s="90">
        <v>12</v>
      </c>
      <c r="E10" s="90">
        <v>0</v>
      </c>
      <c r="F10" s="90"/>
      <c r="G10" s="90"/>
      <c r="H10" s="90"/>
      <c r="I10" s="9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</row>
    <row r="11" spans="1:25" x14ac:dyDescent="0.45">
      <c r="A11" s="91" t="s">
        <v>39</v>
      </c>
      <c r="B11" s="90">
        <v>0</v>
      </c>
      <c r="C11" s="90">
        <v>0</v>
      </c>
      <c r="D11" s="90">
        <v>0</v>
      </c>
      <c r="E11" s="90">
        <v>0</v>
      </c>
      <c r="F11" s="90"/>
      <c r="G11" s="90"/>
      <c r="H11" s="90"/>
      <c r="I11" s="90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</row>
    <row r="12" spans="1:25" x14ac:dyDescent="0.45">
      <c r="A12" s="91" t="s">
        <v>2</v>
      </c>
      <c r="B12" s="90">
        <v>33.75</v>
      </c>
      <c r="C12" s="90">
        <v>0</v>
      </c>
      <c r="D12" s="90">
        <v>0</v>
      </c>
      <c r="E12" s="90">
        <v>0</v>
      </c>
      <c r="F12" s="90"/>
      <c r="G12" s="90"/>
      <c r="H12" s="90"/>
      <c r="I12" s="90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</row>
    <row r="13" spans="1:25" x14ac:dyDescent="0.45">
      <c r="A13" s="91" t="s">
        <v>37</v>
      </c>
      <c r="B13" s="90">
        <v>30</v>
      </c>
      <c r="C13" s="90">
        <v>0</v>
      </c>
      <c r="D13" s="90">
        <v>0</v>
      </c>
      <c r="E13" s="90">
        <v>3.5</v>
      </c>
      <c r="F13" s="90"/>
      <c r="G13" s="90"/>
      <c r="H13" s="90"/>
      <c r="I13" s="90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</row>
    <row r="14" spans="1:25" x14ac:dyDescent="0.45">
      <c r="A14" s="91" t="s">
        <v>189</v>
      </c>
      <c r="B14" s="90">
        <v>34</v>
      </c>
      <c r="C14" s="90">
        <v>0</v>
      </c>
      <c r="D14" s="90">
        <v>0</v>
      </c>
      <c r="E14" s="90">
        <v>0</v>
      </c>
      <c r="F14" s="90"/>
      <c r="G14" s="90"/>
      <c r="H14" s="90"/>
      <c r="I14" s="90"/>
      <c r="J14"/>
      <c r="K14"/>
      <c r="L14"/>
      <c r="M14"/>
      <c r="O14"/>
      <c r="P14"/>
      <c r="Q14"/>
      <c r="R14"/>
      <c r="S14"/>
      <c r="T14"/>
      <c r="U14"/>
      <c r="V14"/>
      <c r="W14"/>
      <c r="X14"/>
      <c r="Y14"/>
    </row>
    <row r="15" spans="1:25" x14ac:dyDescent="0.45">
      <c r="A15" s="91" t="s">
        <v>94</v>
      </c>
      <c r="B15" s="90">
        <v>37.5</v>
      </c>
      <c r="C15" s="90">
        <v>0</v>
      </c>
      <c r="D15" s="90">
        <v>0</v>
      </c>
      <c r="E15" s="90">
        <v>8</v>
      </c>
      <c r="F15" s="90"/>
      <c r="G15" s="90"/>
      <c r="H15" s="90"/>
      <c r="I15" s="90"/>
      <c r="J15"/>
      <c r="K15"/>
      <c r="L15"/>
      <c r="M15"/>
      <c r="O15"/>
      <c r="P15"/>
      <c r="Q15"/>
      <c r="R15"/>
      <c r="S15"/>
      <c r="T15"/>
      <c r="U15"/>
      <c r="V15"/>
      <c r="W15"/>
      <c r="X15"/>
      <c r="Y15"/>
    </row>
    <row r="16" spans="1:25" x14ac:dyDescent="0.45">
      <c r="A16" s="91" t="s">
        <v>92</v>
      </c>
      <c r="B16" s="90">
        <v>40</v>
      </c>
      <c r="C16" s="90">
        <v>9</v>
      </c>
      <c r="D16" s="90">
        <v>0</v>
      </c>
      <c r="E16" s="90">
        <v>0</v>
      </c>
      <c r="F16" s="90"/>
      <c r="G16" s="90"/>
      <c r="H16" s="90"/>
      <c r="I16" s="90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</row>
    <row r="17" spans="1:25" x14ac:dyDescent="0.45">
      <c r="A17" s="91" t="s">
        <v>190</v>
      </c>
      <c r="B17" s="90">
        <v>40</v>
      </c>
      <c r="C17" s="90">
        <v>5.25</v>
      </c>
      <c r="D17" s="90">
        <v>12</v>
      </c>
      <c r="E17" s="90">
        <v>15.5</v>
      </c>
      <c r="F17" s="90"/>
      <c r="G17" s="90"/>
      <c r="H17" s="90"/>
      <c r="I17" s="90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</row>
    <row r="18" spans="1:25" x14ac:dyDescent="0.45">
      <c r="A18" s="52">
        <v>46103</v>
      </c>
      <c r="B18" s="90"/>
      <c r="C18" s="90"/>
      <c r="D18" s="90"/>
      <c r="E18" s="90"/>
      <c r="F18" s="90"/>
      <c r="G18" s="90"/>
      <c r="H18" s="90"/>
      <c r="I18" s="90"/>
      <c r="J18"/>
      <c r="K18"/>
      <c r="L18"/>
      <c r="M18"/>
      <c r="O18"/>
      <c r="P18"/>
      <c r="Q18"/>
      <c r="R18"/>
      <c r="S18"/>
      <c r="T18"/>
      <c r="U18"/>
      <c r="V18"/>
      <c r="W18"/>
      <c r="X18"/>
      <c r="Y18"/>
    </row>
    <row r="19" spans="1:25" x14ac:dyDescent="0.45">
      <c r="A19" s="91" t="s">
        <v>3</v>
      </c>
      <c r="B19" s="90">
        <v>40</v>
      </c>
      <c r="C19" s="90">
        <v>0</v>
      </c>
      <c r="D19" s="90">
        <v>0</v>
      </c>
      <c r="E19" s="90">
        <v>0</v>
      </c>
      <c r="F19" s="90"/>
      <c r="G19" s="90"/>
      <c r="H19" s="90"/>
      <c r="I19" s="90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</row>
    <row r="20" spans="1:25" x14ac:dyDescent="0.45">
      <c r="A20" s="91" t="s">
        <v>21</v>
      </c>
      <c r="B20" s="90">
        <v>38</v>
      </c>
      <c r="C20" s="90">
        <v>0</v>
      </c>
      <c r="D20" s="90">
        <v>12</v>
      </c>
      <c r="E20" s="90">
        <v>8</v>
      </c>
      <c r="F20" s="90">
        <v>5</v>
      </c>
      <c r="G20" s="90"/>
      <c r="H20" s="90"/>
      <c r="I20" s="9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</row>
    <row r="21" spans="1:25" x14ac:dyDescent="0.45">
      <c r="A21" s="91" t="s">
        <v>39</v>
      </c>
      <c r="B21" s="90">
        <v>0</v>
      </c>
      <c r="C21" s="90">
        <v>0</v>
      </c>
      <c r="D21" s="90">
        <v>0</v>
      </c>
      <c r="E21" s="90">
        <v>0</v>
      </c>
      <c r="F21" s="90"/>
      <c r="G21" s="90"/>
      <c r="H21" s="90"/>
      <c r="I21" s="90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</row>
    <row r="22" spans="1:25" x14ac:dyDescent="0.45">
      <c r="A22" s="91" t="s">
        <v>2</v>
      </c>
      <c r="B22" s="90">
        <v>40</v>
      </c>
      <c r="C22" s="90">
        <v>0</v>
      </c>
      <c r="D22" s="90">
        <v>0</v>
      </c>
      <c r="E22" s="90">
        <v>0</v>
      </c>
      <c r="F22" s="90"/>
      <c r="G22" s="90"/>
      <c r="H22" s="90"/>
      <c r="I22" s="90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</row>
    <row r="23" spans="1:25" x14ac:dyDescent="0.45">
      <c r="A23" s="91" t="s">
        <v>37</v>
      </c>
      <c r="B23" s="90">
        <v>37</v>
      </c>
      <c r="C23" s="90">
        <v>0</v>
      </c>
      <c r="D23" s="90">
        <v>12</v>
      </c>
      <c r="E23" s="90">
        <v>8</v>
      </c>
      <c r="F23" s="90">
        <v>5</v>
      </c>
      <c r="G23" s="90"/>
      <c r="H23" s="90"/>
      <c r="I23" s="90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</row>
    <row r="24" spans="1:25" x14ac:dyDescent="0.45">
      <c r="A24" s="91" t="s">
        <v>189</v>
      </c>
      <c r="B24" s="90">
        <v>40</v>
      </c>
      <c r="C24" s="90">
        <v>17.5</v>
      </c>
      <c r="D24" s="90">
        <v>1.5</v>
      </c>
      <c r="E24" s="90">
        <v>2.5</v>
      </c>
      <c r="F24" s="90">
        <v>5</v>
      </c>
      <c r="G24" s="90"/>
      <c r="H24" s="90"/>
      <c r="I24" s="90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</row>
    <row r="25" spans="1:25" x14ac:dyDescent="0.45">
      <c r="A25" s="91" t="s">
        <v>94</v>
      </c>
      <c r="B25" s="90">
        <v>40</v>
      </c>
      <c r="C25" s="90">
        <v>6.5</v>
      </c>
      <c r="D25" s="90">
        <v>0</v>
      </c>
      <c r="E25" s="90">
        <v>3.5</v>
      </c>
      <c r="F25" s="90">
        <v>3</v>
      </c>
      <c r="G25" s="90"/>
      <c r="H25" s="90"/>
      <c r="I25" s="90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</row>
    <row r="26" spans="1:25" x14ac:dyDescent="0.45">
      <c r="A26" s="91" t="s">
        <v>92</v>
      </c>
      <c r="B26" s="90">
        <v>39</v>
      </c>
      <c r="C26" s="90">
        <v>0</v>
      </c>
      <c r="D26" s="90">
        <v>0</v>
      </c>
      <c r="E26" s="90">
        <v>0</v>
      </c>
      <c r="F26" s="90"/>
      <c r="G26" s="90"/>
      <c r="H26" s="90"/>
      <c r="I26" s="90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</row>
    <row r="27" spans="1:25" x14ac:dyDescent="0.45">
      <c r="A27" s="91" t="s">
        <v>190</v>
      </c>
      <c r="B27" s="90">
        <v>34</v>
      </c>
      <c r="C27" s="90">
        <v>0</v>
      </c>
      <c r="D27" s="90">
        <v>0</v>
      </c>
      <c r="E27" s="90">
        <v>14</v>
      </c>
      <c r="F27" s="90">
        <v>3</v>
      </c>
      <c r="G27" s="90"/>
      <c r="H27" s="90">
        <v>1</v>
      </c>
      <c r="I27" s="90">
        <v>1</v>
      </c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</row>
    <row r="28" spans="1:25" x14ac:dyDescent="0.45">
      <c r="A28" s="51">
        <v>46096</v>
      </c>
      <c r="B28" s="90">
        <v>320</v>
      </c>
      <c r="C28" s="90">
        <v>110.5</v>
      </c>
      <c r="D28" s="90">
        <v>43.5</v>
      </c>
      <c r="E28" s="90">
        <v>20.5</v>
      </c>
      <c r="F28" s="90">
        <v>27</v>
      </c>
      <c r="G28" s="90"/>
      <c r="H28" s="90">
        <v>1</v>
      </c>
      <c r="I28" s="90">
        <v>1</v>
      </c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</row>
    <row r="29" spans="1:25" x14ac:dyDescent="0.45">
      <c r="A29" s="52">
        <v>46096</v>
      </c>
      <c r="B29" s="90"/>
      <c r="C29" s="90"/>
      <c r="D29" s="90"/>
      <c r="E29" s="90"/>
      <c r="F29" s="90"/>
      <c r="G29" s="90"/>
      <c r="H29" s="90"/>
      <c r="I29" s="90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</row>
    <row r="30" spans="1:25" x14ac:dyDescent="0.45">
      <c r="A30" s="91" t="s">
        <v>3</v>
      </c>
      <c r="B30" s="90">
        <v>40</v>
      </c>
      <c r="C30" s="90">
        <v>5</v>
      </c>
      <c r="D30" s="90">
        <v>0</v>
      </c>
      <c r="E30" s="90">
        <v>0</v>
      </c>
      <c r="F30" s="90"/>
      <c r="G30" s="90"/>
      <c r="H30" s="90"/>
      <c r="I30" s="9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</row>
    <row r="31" spans="1:25" x14ac:dyDescent="0.45">
      <c r="A31" s="91" t="s">
        <v>21</v>
      </c>
      <c r="B31" s="90">
        <v>40</v>
      </c>
      <c r="C31" s="90">
        <v>28.5</v>
      </c>
      <c r="D31" s="90">
        <v>12</v>
      </c>
      <c r="E31" s="90">
        <v>3.5</v>
      </c>
      <c r="F31" s="90">
        <v>7</v>
      </c>
      <c r="G31" s="90"/>
      <c r="H31" s="90"/>
      <c r="I31" s="90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</row>
    <row r="32" spans="1:25" x14ac:dyDescent="0.45">
      <c r="A32" s="91" t="s">
        <v>39</v>
      </c>
      <c r="B32" s="90">
        <v>0</v>
      </c>
      <c r="C32" s="90">
        <v>0</v>
      </c>
      <c r="D32" s="90">
        <v>0</v>
      </c>
      <c r="E32" s="90">
        <v>0</v>
      </c>
      <c r="F32" s="90"/>
      <c r="G32" s="90"/>
      <c r="H32" s="90"/>
      <c r="I32" s="90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</row>
    <row r="33" spans="1:25" x14ac:dyDescent="0.45">
      <c r="A33" s="91" t="s">
        <v>2</v>
      </c>
      <c r="B33" s="90">
        <v>40</v>
      </c>
      <c r="C33" s="90">
        <v>0</v>
      </c>
      <c r="D33" s="90">
        <v>0</v>
      </c>
      <c r="E33" s="90">
        <v>0</v>
      </c>
      <c r="F33" s="90"/>
      <c r="G33" s="90"/>
      <c r="H33" s="90"/>
      <c r="I33" s="90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</row>
    <row r="34" spans="1:25" x14ac:dyDescent="0.45">
      <c r="A34" s="91" t="s">
        <v>37</v>
      </c>
      <c r="B34" s="90">
        <v>40</v>
      </c>
      <c r="C34" s="90">
        <v>28.5</v>
      </c>
      <c r="D34" s="90">
        <v>12</v>
      </c>
      <c r="E34" s="90">
        <v>3.5</v>
      </c>
      <c r="F34" s="90">
        <v>7</v>
      </c>
      <c r="G34" s="90"/>
      <c r="H34" s="90"/>
      <c r="I34" s="90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</row>
    <row r="35" spans="1:25" x14ac:dyDescent="0.45">
      <c r="A35" s="91" t="s">
        <v>189</v>
      </c>
      <c r="B35" s="90">
        <v>40</v>
      </c>
      <c r="C35" s="90">
        <v>4.5</v>
      </c>
      <c r="D35" s="90">
        <v>7.5</v>
      </c>
      <c r="E35" s="90">
        <v>3</v>
      </c>
      <c r="F35" s="90">
        <v>3</v>
      </c>
      <c r="G35" s="90"/>
      <c r="H35" s="90"/>
      <c r="I35" s="90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</row>
    <row r="36" spans="1:25" x14ac:dyDescent="0.45">
      <c r="A36" s="91" t="s">
        <v>58</v>
      </c>
      <c r="B36" s="90">
        <v>0</v>
      </c>
      <c r="C36" s="90">
        <v>0</v>
      </c>
      <c r="D36" s="90">
        <v>0</v>
      </c>
      <c r="E36" s="90">
        <v>0</v>
      </c>
      <c r="F36" s="90"/>
      <c r="G36" s="90"/>
      <c r="H36" s="90"/>
      <c r="I36" s="90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</row>
    <row r="37" spans="1:25" x14ac:dyDescent="0.45">
      <c r="A37" s="91" t="s">
        <v>94</v>
      </c>
      <c r="B37" s="90">
        <v>40</v>
      </c>
      <c r="C37" s="90">
        <v>20.5</v>
      </c>
      <c r="D37" s="90">
        <v>12</v>
      </c>
      <c r="E37" s="90">
        <v>3.5</v>
      </c>
      <c r="F37" s="90">
        <v>5</v>
      </c>
      <c r="G37" s="90"/>
      <c r="H37" s="90"/>
      <c r="I37" s="90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</row>
    <row r="38" spans="1:25" x14ac:dyDescent="0.45">
      <c r="A38" s="91" t="s">
        <v>92</v>
      </c>
      <c r="B38" s="90">
        <v>40</v>
      </c>
      <c r="C38" s="90">
        <v>16</v>
      </c>
      <c r="D38" s="90">
        <v>0</v>
      </c>
      <c r="E38" s="90">
        <v>0</v>
      </c>
      <c r="F38" s="90"/>
      <c r="G38" s="90"/>
      <c r="H38" s="90"/>
      <c r="I38" s="90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</row>
    <row r="39" spans="1:25" x14ac:dyDescent="0.45">
      <c r="A39" s="91" t="s">
        <v>190</v>
      </c>
      <c r="B39" s="90">
        <v>40</v>
      </c>
      <c r="C39" s="90">
        <v>7.5</v>
      </c>
      <c r="D39" s="90">
        <v>0</v>
      </c>
      <c r="E39" s="90">
        <v>7</v>
      </c>
      <c r="F39" s="90">
        <v>5</v>
      </c>
      <c r="G39" s="90"/>
      <c r="H39" s="90">
        <v>1</v>
      </c>
      <c r="I39" s="90">
        <v>1</v>
      </c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</row>
    <row r="40" spans="1:25" x14ac:dyDescent="0.45">
      <c r="A40" s="51">
        <v>46089</v>
      </c>
      <c r="B40" s="90">
        <v>286.25</v>
      </c>
      <c r="C40" s="90">
        <v>27</v>
      </c>
      <c r="D40" s="90">
        <v>12</v>
      </c>
      <c r="E40" s="90">
        <v>18</v>
      </c>
      <c r="F40" s="90">
        <v>7</v>
      </c>
      <c r="G40" s="90"/>
      <c r="H40" s="90">
        <v>1</v>
      </c>
      <c r="I40" s="90">
        <v>2</v>
      </c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</row>
    <row r="41" spans="1:25" x14ac:dyDescent="0.45">
      <c r="A41" s="52">
        <v>46089</v>
      </c>
      <c r="B41" s="90"/>
      <c r="C41" s="90"/>
      <c r="D41" s="90"/>
      <c r="E41" s="90"/>
      <c r="F41" s="90"/>
      <c r="G41" s="90"/>
      <c r="H41" s="90"/>
      <c r="I41" s="90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</row>
    <row r="42" spans="1:25" x14ac:dyDescent="0.45">
      <c r="A42" s="91" t="s">
        <v>3</v>
      </c>
      <c r="B42" s="90">
        <v>24.75</v>
      </c>
      <c r="C42" s="90">
        <v>0</v>
      </c>
      <c r="D42" s="90">
        <v>0</v>
      </c>
      <c r="E42" s="90">
        <v>0</v>
      </c>
      <c r="F42" s="90"/>
      <c r="G42" s="90"/>
      <c r="H42" s="90"/>
      <c r="I42" s="90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</row>
    <row r="43" spans="1:25" x14ac:dyDescent="0.45">
      <c r="A43" s="91" t="s">
        <v>21</v>
      </c>
      <c r="B43" s="90">
        <v>32</v>
      </c>
      <c r="C43" s="90">
        <v>0</v>
      </c>
      <c r="D43" s="90">
        <v>0</v>
      </c>
      <c r="E43" s="90">
        <v>0</v>
      </c>
      <c r="F43" s="90"/>
      <c r="G43" s="90"/>
      <c r="H43" s="90"/>
      <c r="I43" s="90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</row>
    <row r="44" spans="1:25" x14ac:dyDescent="0.45">
      <c r="A44" s="91" t="s">
        <v>39</v>
      </c>
      <c r="B44" s="90">
        <v>0</v>
      </c>
      <c r="C44" s="90">
        <v>0</v>
      </c>
      <c r="D44" s="90">
        <v>0</v>
      </c>
      <c r="E44" s="90">
        <v>0</v>
      </c>
      <c r="F44" s="90"/>
      <c r="G44" s="90"/>
      <c r="H44" s="90"/>
      <c r="I44" s="90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</row>
    <row r="45" spans="1:25" x14ac:dyDescent="0.45">
      <c r="A45" s="91" t="s">
        <v>2</v>
      </c>
      <c r="B45" s="90">
        <v>40</v>
      </c>
      <c r="C45" s="90">
        <v>4</v>
      </c>
      <c r="D45" s="90">
        <v>0</v>
      </c>
      <c r="E45" s="90">
        <v>0</v>
      </c>
      <c r="F45" s="90"/>
      <c r="G45" s="90"/>
      <c r="H45" s="90"/>
      <c r="I45" s="90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</row>
    <row r="46" spans="1:25" x14ac:dyDescent="0.45">
      <c r="A46" s="91" t="s">
        <v>37</v>
      </c>
      <c r="B46" s="90">
        <v>30.5</v>
      </c>
      <c r="C46" s="90">
        <v>0</v>
      </c>
      <c r="D46" s="90">
        <v>0</v>
      </c>
      <c r="E46" s="90">
        <v>13</v>
      </c>
      <c r="F46" s="90">
        <v>4</v>
      </c>
      <c r="G46" s="90"/>
      <c r="H46" s="90">
        <v>1</v>
      </c>
      <c r="I46" s="90">
        <v>1</v>
      </c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</row>
    <row r="47" spans="1:25" x14ac:dyDescent="0.45">
      <c r="A47" s="91" t="s">
        <v>189</v>
      </c>
      <c r="B47" s="90">
        <v>40</v>
      </c>
      <c r="C47" s="90">
        <v>4</v>
      </c>
      <c r="D47" s="90">
        <v>0</v>
      </c>
      <c r="E47" s="90">
        <v>0</v>
      </c>
      <c r="F47" s="90"/>
      <c r="G47" s="90"/>
      <c r="H47" s="90"/>
      <c r="I47" s="90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</row>
    <row r="48" spans="1:25" x14ac:dyDescent="0.45">
      <c r="A48" s="91" t="s">
        <v>58</v>
      </c>
      <c r="B48" s="90">
        <v>0</v>
      </c>
      <c r="C48" s="90">
        <v>0</v>
      </c>
      <c r="D48" s="90">
        <v>0</v>
      </c>
      <c r="E48" s="90">
        <v>0</v>
      </c>
      <c r="F48" s="90"/>
      <c r="G48" s="90"/>
      <c r="H48" s="90"/>
      <c r="I48" s="90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</row>
    <row r="49" spans="1:25" x14ac:dyDescent="0.45">
      <c r="A49" s="91" t="s">
        <v>94</v>
      </c>
      <c r="B49" s="90">
        <v>40</v>
      </c>
      <c r="C49" s="90">
        <v>3</v>
      </c>
      <c r="D49" s="90">
        <v>0</v>
      </c>
      <c r="E49" s="90">
        <v>0</v>
      </c>
      <c r="F49" s="90"/>
      <c r="G49" s="90"/>
      <c r="H49" s="90"/>
      <c r="I49" s="90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</row>
    <row r="50" spans="1:25" x14ac:dyDescent="0.45">
      <c r="A50" s="91" t="s">
        <v>92</v>
      </c>
      <c r="B50" s="90">
        <v>40</v>
      </c>
      <c r="C50" s="90">
        <v>4</v>
      </c>
      <c r="D50" s="90">
        <v>0</v>
      </c>
      <c r="E50" s="90">
        <v>0</v>
      </c>
      <c r="F50" s="90"/>
      <c r="G50" s="90"/>
      <c r="H50" s="90"/>
      <c r="I50" s="9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</row>
    <row r="51" spans="1:25" x14ac:dyDescent="0.45">
      <c r="A51" s="91" t="s">
        <v>190</v>
      </c>
      <c r="B51" s="90">
        <v>39</v>
      </c>
      <c r="C51" s="90">
        <v>12</v>
      </c>
      <c r="D51" s="90">
        <v>12</v>
      </c>
      <c r="E51" s="90">
        <v>5</v>
      </c>
      <c r="F51" s="90">
        <v>3</v>
      </c>
      <c r="G51" s="90"/>
      <c r="H51" s="90"/>
      <c r="I51" s="90">
        <v>1</v>
      </c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</row>
    <row r="52" spans="1:25" x14ac:dyDescent="0.45">
      <c r="A52" s="51">
        <v>46082</v>
      </c>
      <c r="B52" s="90">
        <v>249</v>
      </c>
      <c r="C52" s="90">
        <v>33.75</v>
      </c>
      <c r="D52" s="90">
        <v>20</v>
      </c>
      <c r="E52" s="90">
        <v>19.5</v>
      </c>
      <c r="F52" s="90">
        <v>3</v>
      </c>
      <c r="G52" s="90"/>
      <c r="H52" s="90">
        <v>1</v>
      </c>
      <c r="I52" s="90">
        <v>1</v>
      </c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</row>
    <row r="53" spans="1:25" x14ac:dyDescent="0.45">
      <c r="A53" s="52">
        <v>46082</v>
      </c>
      <c r="B53" s="90"/>
      <c r="C53" s="90"/>
      <c r="D53" s="90"/>
      <c r="E53" s="90"/>
      <c r="F53" s="90"/>
      <c r="G53" s="90"/>
      <c r="H53" s="90"/>
      <c r="I53" s="90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</row>
    <row r="54" spans="1:25" x14ac:dyDescent="0.45">
      <c r="A54" s="91" t="s">
        <v>3</v>
      </c>
      <c r="B54" s="90">
        <v>0</v>
      </c>
      <c r="C54" s="90">
        <v>0</v>
      </c>
      <c r="D54" s="90">
        <v>0</v>
      </c>
      <c r="E54" s="90">
        <v>0</v>
      </c>
      <c r="F54" s="90"/>
      <c r="G54" s="90"/>
      <c r="H54" s="90"/>
      <c r="I54" s="90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</row>
    <row r="55" spans="1:25" x14ac:dyDescent="0.45">
      <c r="A55" s="91" t="s">
        <v>21</v>
      </c>
      <c r="B55" s="90">
        <v>40</v>
      </c>
      <c r="C55" s="90">
        <v>6.25</v>
      </c>
      <c r="D55" s="90">
        <v>0</v>
      </c>
      <c r="E55" s="90">
        <v>0</v>
      </c>
      <c r="F55" s="90"/>
      <c r="G55" s="90"/>
      <c r="H55" s="90"/>
      <c r="I55" s="90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</row>
    <row r="56" spans="1:25" x14ac:dyDescent="0.45">
      <c r="A56" s="91" t="s">
        <v>39</v>
      </c>
      <c r="B56" s="90">
        <v>0</v>
      </c>
      <c r="C56" s="90">
        <v>0</v>
      </c>
      <c r="D56" s="90">
        <v>0</v>
      </c>
      <c r="E56" s="90">
        <v>0</v>
      </c>
      <c r="F56" s="90"/>
      <c r="G56" s="90"/>
      <c r="H56" s="90"/>
      <c r="I56" s="90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</row>
    <row r="57" spans="1:25" x14ac:dyDescent="0.45">
      <c r="A57" s="91" t="s">
        <v>2</v>
      </c>
      <c r="B57" s="90">
        <v>40</v>
      </c>
      <c r="C57" s="90">
        <v>0</v>
      </c>
      <c r="D57" s="90">
        <v>0</v>
      </c>
      <c r="E57" s="90">
        <v>0</v>
      </c>
      <c r="F57" s="90"/>
      <c r="G57" s="90"/>
      <c r="H57" s="90"/>
      <c r="I57" s="90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</row>
    <row r="58" spans="1:25" x14ac:dyDescent="0.45">
      <c r="A58" s="91" t="s">
        <v>37</v>
      </c>
      <c r="B58" s="90">
        <v>28</v>
      </c>
      <c r="C58" s="90">
        <v>9</v>
      </c>
      <c r="D58" s="90">
        <v>12</v>
      </c>
      <c r="E58" s="90">
        <v>15.5</v>
      </c>
      <c r="F58" s="90">
        <v>3</v>
      </c>
      <c r="G58" s="90"/>
      <c r="H58" s="90">
        <v>1</v>
      </c>
      <c r="I58" s="90">
        <v>1</v>
      </c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</row>
    <row r="59" spans="1:25" x14ac:dyDescent="0.45">
      <c r="A59" s="91" t="s">
        <v>189</v>
      </c>
      <c r="B59" s="90">
        <v>40</v>
      </c>
      <c r="C59" s="90">
        <v>9</v>
      </c>
      <c r="D59" s="90">
        <v>0</v>
      </c>
      <c r="E59" s="90">
        <v>0</v>
      </c>
      <c r="F59" s="90"/>
      <c r="G59" s="90"/>
      <c r="H59" s="90"/>
      <c r="I59" s="90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</row>
    <row r="60" spans="1:25" x14ac:dyDescent="0.45">
      <c r="A60" s="91" t="s">
        <v>58</v>
      </c>
      <c r="B60" s="90">
        <v>0</v>
      </c>
      <c r="C60" s="90">
        <v>0</v>
      </c>
      <c r="D60" s="90">
        <v>0</v>
      </c>
      <c r="E60" s="90">
        <v>0</v>
      </c>
      <c r="F60" s="90"/>
      <c r="G60" s="90"/>
      <c r="H60" s="90"/>
      <c r="I60" s="9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</row>
    <row r="61" spans="1:25" x14ac:dyDescent="0.45">
      <c r="A61" s="91" t="s">
        <v>94</v>
      </c>
      <c r="B61" s="90">
        <v>40</v>
      </c>
      <c r="C61" s="90">
        <v>2.5</v>
      </c>
      <c r="D61" s="90">
        <v>0</v>
      </c>
      <c r="E61" s="90">
        <v>0</v>
      </c>
      <c r="F61" s="90"/>
      <c r="G61" s="90"/>
      <c r="H61" s="90"/>
      <c r="I61" s="90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</row>
    <row r="62" spans="1:25" x14ac:dyDescent="0.45">
      <c r="A62" s="91" t="s">
        <v>92</v>
      </c>
      <c r="B62" s="90">
        <v>40</v>
      </c>
      <c r="C62" s="90">
        <v>7</v>
      </c>
      <c r="D62" s="90">
        <v>0</v>
      </c>
      <c r="E62" s="90">
        <v>0</v>
      </c>
      <c r="F62" s="90"/>
      <c r="G62" s="90"/>
      <c r="H62" s="90"/>
      <c r="I62" s="90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</row>
    <row r="63" spans="1:25" x14ac:dyDescent="0.45">
      <c r="A63" s="91" t="s">
        <v>190</v>
      </c>
      <c r="B63" s="90">
        <v>21</v>
      </c>
      <c r="C63" s="90">
        <v>0</v>
      </c>
      <c r="D63" s="90">
        <v>8</v>
      </c>
      <c r="E63" s="90">
        <v>4</v>
      </c>
      <c r="F63" s="90"/>
      <c r="G63" s="90"/>
      <c r="H63" s="90"/>
      <c r="I63" s="90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</row>
    <row r="64" spans="1:25" x14ac:dyDescent="0.45">
      <c r="A64" s="51">
        <v>46075</v>
      </c>
      <c r="B64" s="90">
        <v>284</v>
      </c>
      <c r="C64" s="90">
        <v>60</v>
      </c>
      <c r="D64" s="90">
        <v>0</v>
      </c>
      <c r="E64" s="90">
        <v>12</v>
      </c>
      <c r="F64" s="90">
        <v>2</v>
      </c>
      <c r="G64" s="90"/>
      <c r="H64" s="90"/>
      <c r="I64" s="90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</row>
    <row r="65" spans="1:25" x14ac:dyDescent="0.45">
      <c r="A65" s="52">
        <v>46075</v>
      </c>
      <c r="B65" s="90"/>
      <c r="C65" s="90"/>
      <c r="D65" s="90"/>
      <c r="E65" s="90"/>
      <c r="F65" s="90"/>
      <c r="G65" s="90"/>
      <c r="H65" s="90"/>
      <c r="I65" s="90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</row>
    <row r="66" spans="1:25" x14ac:dyDescent="0.45">
      <c r="A66" s="91" t="s">
        <v>3</v>
      </c>
      <c r="B66" s="90">
        <v>0</v>
      </c>
      <c r="C66" s="90">
        <v>0</v>
      </c>
      <c r="D66" s="90">
        <v>0</v>
      </c>
      <c r="E66" s="90">
        <v>0</v>
      </c>
      <c r="F66" s="90"/>
      <c r="G66" s="90"/>
      <c r="H66" s="90"/>
      <c r="I66" s="90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</row>
    <row r="67" spans="1:25" x14ac:dyDescent="0.45">
      <c r="A67" s="91" t="s">
        <v>21</v>
      </c>
      <c r="B67" s="90">
        <v>40</v>
      </c>
      <c r="C67" s="90">
        <v>14.25</v>
      </c>
      <c r="D67" s="90">
        <v>0</v>
      </c>
      <c r="E67" s="90">
        <v>0</v>
      </c>
      <c r="F67" s="90"/>
      <c r="G67" s="90"/>
      <c r="H67" s="90"/>
      <c r="I67" s="90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</row>
    <row r="68" spans="1:25" x14ac:dyDescent="0.45">
      <c r="A68" s="91" t="s">
        <v>39</v>
      </c>
      <c r="B68" s="90">
        <v>0</v>
      </c>
      <c r="C68" s="90">
        <v>0</v>
      </c>
      <c r="D68" s="90">
        <v>0</v>
      </c>
      <c r="E68" s="90">
        <v>0</v>
      </c>
      <c r="F68" s="90"/>
      <c r="G68" s="90"/>
      <c r="H68" s="90"/>
      <c r="I68" s="90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</row>
    <row r="69" spans="1:25" x14ac:dyDescent="0.45">
      <c r="A69" s="91" t="s">
        <v>2</v>
      </c>
      <c r="B69" s="90">
        <v>35</v>
      </c>
      <c r="C69" s="90">
        <v>0</v>
      </c>
      <c r="D69" s="90">
        <v>0</v>
      </c>
      <c r="E69" s="90">
        <v>0</v>
      </c>
      <c r="F69" s="90"/>
      <c r="G69" s="90"/>
      <c r="H69" s="90"/>
      <c r="I69" s="90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</row>
    <row r="70" spans="1:25" x14ac:dyDescent="0.45">
      <c r="A70" s="91" t="s">
        <v>37</v>
      </c>
      <c r="B70" s="90">
        <v>40</v>
      </c>
      <c r="C70" s="90">
        <v>9.25</v>
      </c>
      <c r="D70" s="90">
        <v>0</v>
      </c>
      <c r="E70" s="90">
        <v>0</v>
      </c>
      <c r="F70" s="90"/>
      <c r="G70" s="90"/>
      <c r="H70" s="90"/>
      <c r="I70" s="9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</row>
    <row r="71" spans="1:25" x14ac:dyDescent="0.45">
      <c r="A71" s="91" t="s">
        <v>189</v>
      </c>
      <c r="B71" s="90">
        <v>40</v>
      </c>
      <c r="C71" s="90">
        <v>13.75</v>
      </c>
      <c r="D71" s="90">
        <v>0</v>
      </c>
      <c r="E71" s="90">
        <v>0</v>
      </c>
      <c r="F71" s="90"/>
      <c r="G71" s="90"/>
      <c r="H71" s="90"/>
      <c r="I71" s="90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</row>
    <row r="72" spans="1:25" x14ac:dyDescent="0.45">
      <c r="A72" s="91" t="s">
        <v>58</v>
      </c>
      <c r="B72" s="90">
        <v>11.5</v>
      </c>
      <c r="C72" s="90">
        <v>0</v>
      </c>
      <c r="D72" s="90">
        <v>0</v>
      </c>
      <c r="E72" s="90">
        <v>12</v>
      </c>
      <c r="F72" s="90">
        <v>2</v>
      </c>
      <c r="G72" s="90"/>
      <c r="H72" s="90"/>
      <c r="I72" s="90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</row>
    <row r="73" spans="1:25" x14ac:dyDescent="0.45">
      <c r="A73" s="91" t="s">
        <v>94</v>
      </c>
      <c r="B73" s="90">
        <v>40</v>
      </c>
      <c r="C73" s="90">
        <v>10.5</v>
      </c>
      <c r="D73" s="90">
        <v>0</v>
      </c>
      <c r="E73" s="90">
        <v>0</v>
      </c>
      <c r="F73" s="90"/>
      <c r="G73" s="90"/>
      <c r="H73" s="90"/>
      <c r="I73" s="90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</row>
    <row r="74" spans="1:25" x14ac:dyDescent="0.45">
      <c r="A74" s="91" t="s">
        <v>92</v>
      </c>
      <c r="B74" s="90">
        <v>40</v>
      </c>
      <c r="C74" s="90">
        <v>7.5</v>
      </c>
      <c r="D74" s="90">
        <v>0</v>
      </c>
      <c r="E74" s="90">
        <v>0</v>
      </c>
      <c r="F74" s="90"/>
      <c r="G74" s="90"/>
      <c r="H74" s="90"/>
      <c r="I74" s="90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</row>
    <row r="75" spans="1:25" x14ac:dyDescent="0.45">
      <c r="A75" s="91" t="s">
        <v>190</v>
      </c>
      <c r="B75" s="90">
        <v>37.5</v>
      </c>
      <c r="C75" s="90">
        <v>4.75</v>
      </c>
      <c r="D75" s="90">
        <v>0</v>
      </c>
      <c r="E75" s="90">
        <v>0</v>
      </c>
      <c r="F75" s="90"/>
      <c r="G75" s="90"/>
      <c r="H75" s="90"/>
      <c r="I75" s="90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</row>
    <row r="76" spans="1:25" x14ac:dyDescent="0.45">
      <c r="A76" s="51">
        <v>46068</v>
      </c>
      <c r="B76" s="90">
        <v>344</v>
      </c>
      <c r="C76" s="90">
        <v>83.75</v>
      </c>
      <c r="D76" s="90">
        <v>32</v>
      </c>
      <c r="E76" s="90">
        <v>13.5</v>
      </c>
      <c r="F76" s="90">
        <v>7</v>
      </c>
      <c r="G76" s="90"/>
      <c r="H76" s="90">
        <v>1</v>
      </c>
      <c r="I76" s="90">
        <v>1</v>
      </c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</row>
    <row r="77" spans="1:25" x14ac:dyDescent="0.45">
      <c r="A77" s="52">
        <v>46068</v>
      </c>
      <c r="B77" s="90"/>
      <c r="C77" s="90"/>
      <c r="D77" s="90"/>
      <c r="E77" s="90"/>
      <c r="F77" s="90"/>
      <c r="G77" s="90"/>
      <c r="H77" s="90"/>
      <c r="I77" s="90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</row>
    <row r="78" spans="1:25" x14ac:dyDescent="0.45">
      <c r="A78" s="91" t="s">
        <v>3</v>
      </c>
      <c r="B78" s="90">
        <v>24</v>
      </c>
      <c r="C78" s="90">
        <v>0</v>
      </c>
      <c r="D78" s="90">
        <v>0</v>
      </c>
      <c r="E78" s="90">
        <v>0</v>
      </c>
      <c r="F78" s="90"/>
      <c r="G78" s="90"/>
      <c r="H78" s="90"/>
      <c r="I78" s="90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</row>
    <row r="79" spans="1:25" x14ac:dyDescent="0.45">
      <c r="A79" s="91" t="s">
        <v>21</v>
      </c>
      <c r="B79" s="90">
        <v>40</v>
      </c>
      <c r="C79" s="90">
        <v>16.25</v>
      </c>
      <c r="D79" s="90">
        <v>0</v>
      </c>
      <c r="E79" s="90">
        <v>0</v>
      </c>
      <c r="F79" s="90"/>
      <c r="G79" s="90"/>
      <c r="H79" s="90"/>
      <c r="I79" s="90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</row>
    <row r="80" spans="1:25" x14ac:dyDescent="0.45">
      <c r="A80" s="91" t="s">
        <v>39</v>
      </c>
      <c r="B80" s="90">
        <v>0</v>
      </c>
      <c r="C80" s="90">
        <v>0</v>
      </c>
      <c r="D80" s="90">
        <v>0</v>
      </c>
      <c r="E80" s="90">
        <v>0</v>
      </c>
      <c r="F80" s="90"/>
      <c r="G80" s="90"/>
      <c r="H80" s="90"/>
      <c r="I80" s="9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</row>
    <row r="81" spans="1:25" x14ac:dyDescent="0.45">
      <c r="A81" s="91" t="s">
        <v>2</v>
      </c>
      <c r="B81" s="90">
        <v>40</v>
      </c>
      <c r="C81" s="90">
        <v>0</v>
      </c>
      <c r="D81" s="90">
        <v>0</v>
      </c>
      <c r="E81" s="90">
        <v>0</v>
      </c>
      <c r="F81" s="90"/>
      <c r="G81" s="90"/>
      <c r="H81" s="90"/>
      <c r="I81" s="90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</row>
    <row r="82" spans="1:25" x14ac:dyDescent="0.45">
      <c r="A82" s="91" t="s">
        <v>37</v>
      </c>
      <c r="B82" s="90">
        <v>40</v>
      </c>
      <c r="C82" s="90">
        <v>17.5</v>
      </c>
      <c r="D82" s="90">
        <v>8</v>
      </c>
      <c r="E82" s="90">
        <v>4</v>
      </c>
      <c r="F82" s="90">
        <v>2</v>
      </c>
      <c r="G82" s="90"/>
      <c r="H82" s="90"/>
      <c r="I82" s="90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</row>
    <row r="83" spans="1:25" x14ac:dyDescent="0.45">
      <c r="A83" s="91" t="s">
        <v>189</v>
      </c>
      <c r="B83" s="90">
        <v>40</v>
      </c>
      <c r="C83" s="90">
        <v>18</v>
      </c>
      <c r="D83" s="90">
        <v>8</v>
      </c>
      <c r="E83" s="90">
        <v>0</v>
      </c>
      <c r="F83" s="90"/>
      <c r="G83" s="90"/>
      <c r="H83" s="90"/>
      <c r="I83" s="90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</row>
    <row r="84" spans="1:25" x14ac:dyDescent="0.45">
      <c r="A84" s="91" t="s">
        <v>58</v>
      </c>
      <c r="B84" s="90">
        <v>40</v>
      </c>
      <c r="C84" s="90">
        <v>8</v>
      </c>
      <c r="D84" s="90">
        <v>0</v>
      </c>
      <c r="E84" s="90">
        <v>9.5</v>
      </c>
      <c r="F84" s="90">
        <v>5</v>
      </c>
      <c r="G84" s="90"/>
      <c r="H84" s="90">
        <v>1</v>
      </c>
      <c r="I84" s="90">
        <v>1</v>
      </c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</row>
    <row r="85" spans="1:25" x14ac:dyDescent="0.45">
      <c r="A85" s="91" t="s">
        <v>94</v>
      </c>
      <c r="B85" s="90">
        <v>40</v>
      </c>
      <c r="C85" s="90">
        <v>8.25</v>
      </c>
      <c r="D85" s="90">
        <v>8</v>
      </c>
      <c r="E85" s="90">
        <v>0</v>
      </c>
      <c r="F85" s="90"/>
      <c r="G85" s="90"/>
      <c r="H85" s="90"/>
      <c r="I85" s="90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</row>
    <row r="86" spans="1:25" x14ac:dyDescent="0.45">
      <c r="A86" s="91" t="s">
        <v>92</v>
      </c>
      <c r="B86" s="90">
        <v>40</v>
      </c>
      <c r="C86" s="90">
        <v>4.75</v>
      </c>
      <c r="D86" s="90">
        <v>0</v>
      </c>
      <c r="E86" s="90">
        <v>0</v>
      </c>
      <c r="F86" s="90"/>
      <c r="G86" s="90"/>
      <c r="H86" s="90"/>
      <c r="I86" s="90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</row>
    <row r="87" spans="1:25" x14ac:dyDescent="0.45">
      <c r="A87" s="91" t="s">
        <v>190</v>
      </c>
      <c r="B87" s="90">
        <v>40</v>
      </c>
      <c r="C87" s="90">
        <v>11</v>
      </c>
      <c r="D87" s="90">
        <v>8</v>
      </c>
      <c r="E87" s="90">
        <v>0</v>
      </c>
      <c r="F87" s="90"/>
      <c r="G87" s="90"/>
      <c r="H87" s="90"/>
      <c r="I87" s="90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</row>
    <row r="88" spans="1:25" x14ac:dyDescent="0.45">
      <c r="A88" s="51">
        <v>46061</v>
      </c>
      <c r="B88" s="90">
        <v>359</v>
      </c>
      <c r="C88" s="90">
        <v>68.75</v>
      </c>
      <c r="D88" s="90">
        <v>12</v>
      </c>
      <c r="E88" s="90">
        <v>26</v>
      </c>
      <c r="F88" s="90">
        <v>19</v>
      </c>
      <c r="G88" s="90"/>
      <c r="H88" s="90">
        <v>1</v>
      </c>
      <c r="I88" s="90">
        <v>1</v>
      </c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</row>
    <row r="89" spans="1:25" x14ac:dyDescent="0.45">
      <c r="A89" s="52">
        <v>46061</v>
      </c>
      <c r="B89" s="90"/>
      <c r="C89" s="90"/>
      <c r="D89" s="90"/>
      <c r="E89" s="90"/>
      <c r="F89" s="90"/>
      <c r="G89" s="90"/>
      <c r="H89" s="90"/>
      <c r="I89" s="90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</row>
    <row r="90" spans="1:25" x14ac:dyDescent="0.45">
      <c r="A90" s="91" t="s">
        <v>3</v>
      </c>
      <c r="B90" s="90">
        <v>39</v>
      </c>
      <c r="C90" s="90">
        <v>0</v>
      </c>
      <c r="D90" s="90">
        <v>0</v>
      </c>
      <c r="E90" s="90">
        <v>0</v>
      </c>
      <c r="F90" s="90"/>
      <c r="G90" s="90"/>
      <c r="H90" s="90"/>
      <c r="I90" s="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</row>
    <row r="91" spans="1:25" x14ac:dyDescent="0.45">
      <c r="A91" s="91" t="s">
        <v>21</v>
      </c>
      <c r="B91" s="90">
        <v>40</v>
      </c>
      <c r="C91" s="90">
        <v>13.25</v>
      </c>
      <c r="D91" s="90">
        <v>0</v>
      </c>
      <c r="E91" s="90">
        <v>0</v>
      </c>
      <c r="F91" s="90"/>
      <c r="G91" s="90"/>
      <c r="H91" s="90"/>
      <c r="I91" s="90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</row>
    <row r="92" spans="1:25" x14ac:dyDescent="0.45">
      <c r="A92" s="91" t="s">
        <v>39</v>
      </c>
      <c r="B92" s="90">
        <v>0</v>
      </c>
      <c r="C92" s="90">
        <v>0</v>
      </c>
      <c r="D92" s="90">
        <v>0</v>
      </c>
      <c r="E92" s="90">
        <v>0</v>
      </c>
      <c r="F92" s="90"/>
      <c r="G92" s="90"/>
      <c r="H92" s="90"/>
      <c r="I92" s="90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</row>
    <row r="93" spans="1:25" x14ac:dyDescent="0.45">
      <c r="A93" s="91" t="s">
        <v>2</v>
      </c>
      <c r="B93" s="90">
        <v>40</v>
      </c>
      <c r="C93" s="90">
        <v>0</v>
      </c>
      <c r="D93" s="90">
        <v>0</v>
      </c>
      <c r="E93" s="90">
        <v>0</v>
      </c>
      <c r="F93" s="90"/>
      <c r="G93" s="90"/>
      <c r="H93" s="90"/>
      <c r="I93" s="90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</row>
    <row r="94" spans="1:25" x14ac:dyDescent="0.45">
      <c r="A94" s="91" t="s">
        <v>37</v>
      </c>
      <c r="B94" s="90">
        <v>40</v>
      </c>
      <c r="C94" s="90">
        <v>5</v>
      </c>
      <c r="D94" s="90">
        <v>0</v>
      </c>
      <c r="E94" s="90">
        <v>0</v>
      </c>
      <c r="F94" s="90"/>
      <c r="G94" s="90"/>
      <c r="H94" s="90"/>
      <c r="I94" s="90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</row>
    <row r="95" spans="1:25" x14ac:dyDescent="0.45">
      <c r="A95" s="91" t="s">
        <v>189</v>
      </c>
      <c r="B95" s="90">
        <v>40</v>
      </c>
      <c r="C95" s="90">
        <v>4.75</v>
      </c>
      <c r="D95" s="90">
        <v>0</v>
      </c>
      <c r="E95" s="90">
        <v>0</v>
      </c>
      <c r="F95" s="90"/>
      <c r="G95" s="90"/>
      <c r="H95" s="90"/>
      <c r="I95" s="90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</row>
    <row r="96" spans="1:25" x14ac:dyDescent="0.45">
      <c r="A96" s="91" t="s">
        <v>58</v>
      </c>
      <c r="B96" s="90">
        <v>40</v>
      </c>
      <c r="C96" s="90">
        <v>20</v>
      </c>
      <c r="D96" s="90">
        <v>12</v>
      </c>
      <c r="E96" s="90">
        <v>9</v>
      </c>
      <c r="F96" s="90">
        <v>7</v>
      </c>
      <c r="G96" s="90"/>
      <c r="H96" s="90">
        <v>1</v>
      </c>
      <c r="I96" s="90">
        <v>1</v>
      </c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</row>
    <row r="97" spans="1:25" x14ac:dyDescent="0.45">
      <c r="A97" s="91" t="s">
        <v>94</v>
      </c>
      <c r="B97" s="90">
        <v>40</v>
      </c>
      <c r="C97" s="90">
        <v>6.5</v>
      </c>
      <c r="D97" s="90">
        <v>0</v>
      </c>
      <c r="E97" s="90">
        <v>0</v>
      </c>
      <c r="F97" s="90"/>
      <c r="G97" s="90"/>
      <c r="H97" s="90"/>
      <c r="I97" s="90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</row>
    <row r="98" spans="1:25" x14ac:dyDescent="0.45">
      <c r="A98" s="91" t="s">
        <v>92</v>
      </c>
      <c r="B98" s="90">
        <v>40</v>
      </c>
      <c r="C98" s="90">
        <v>10</v>
      </c>
      <c r="D98" s="90">
        <v>0</v>
      </c>
      <c r="E98" s="90">
        <v>8.5</v>
      </c>
      <c r="F98" s="90">
        <v>6</v>
      </c>
      <c r="G98" s="90"/>
      <c r="H98" s="90"/>
      <c r="I98" s="90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</row>
    <row r="99" spans="1:25" x14ac:dyDescent="0.45">
      <c r="A99" s="91" t="s">
        <v>190</v>
      </c>
      <c r="B99" s="90">
        <v>40</v>
      </c>
      <c r="C99" s="90">
        <v>9.25</v>
      </c>
      <c r="D99" s="90">
        <v>0</v>
      </c>
      <c r="E99" s="90">
        <v>8.5</v>
      </c>
      <c r="F99" s="90">
        <v>6</v>
      </c>
      <c r="G99" s="90"/>
      <c r="H99" s="90"/>
      <c r="I99" s="90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</row>
    <row r="100" spans="1:25" x14ac:dyDescent="0.45">
      <c r="A100" s="51">
        <v>46054</v>
      </c>
      <c r="B100" s="90">
        <v>349.25</v>
      </c>
      <c r="C100" s="90">
        <v>36.5</v>
      </c>
      <c r="D100" s="90">
        <v>0</v>
      </c>
      <c r="E100" s="90">
        <v>34.5</v>
      </c>
      <c r="F100" s="90">
        <v>11</v>
      </c>
      <c r="G100" s="90"/>
      <c r="H100" s="90">
        <v>1</v>
      </c>
      <c r="I100" s="90">
        <v>2</v>
      </c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</row>
    <row r="101" spans="1:25" x14ac:dyDescent="0.45">
      <c r="A101" s="52">
        <v>46054</v>
      </c>
      <c r="B101" s="90"/>
      <c r="C101" s="90"/>
      <c r="D101" s="90"/>
      <c r="E101" s="90"/>
      <c r="F101" s="90"/>
      <c r="G101" s="90"/>
      <c r="H101" s="90"/>
      <c r="I101" s="90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</row>
    <row r="102" spans="1:25" x14ac:dyDescent="0.45">
      <c r="A102" s="91" t="s">
        <v>3</v>
      </c>
      <c r="B102" s="90">
        <v>39</v>
      </c>
      <c r="C102" s="90">
        <v>0</v>
      </c>
      <c r="D102" s="90">
        <v>0</v>
      </c>
      <c r="E102" s="90">
        <v>4</v>
      </c>
      <c r="F102" s="90">
        <v>1</v>
      </c>
      <c r="G102" s="90"/>
      <c r="H102" s="90"/>
      <c r="I102" s="90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</row>
    <row r="103" spans="1:25" x14ac:dyDescent="0.45">
      <c r="A103" s="91" t="s">
        <v>21</v>
      </c>
      <c r="B103" s="90">
        <v>40</v>
      </c>
      <c r="C103" s="90">
        <v>2.25</v>
      </c>
      <c r="D103" s="90">
        <v>0</v>
      </c>
      <c r="E103" s="90">
        <v>4</v>
      </c>
      <c r="F103" s="90">
        <v>2</v>
      </c>
      <c r="G103" s="90"/>
      <c r="H103" s="90"/>
      <c r="I103" s="90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</row>
    <row r="104" spans="1:25" x14ac:dyDescent="0.45">
      <c r="A104" s="91" t="s">
        <v>39</v>
      </c>
      <c r="B104" s="90">
        <v>0</v>
      </c>
      <c r="C104" s="90">
        <v>0</v>
      </c>
      <c r="D104" s="90">
        <v>0</v>
      </c>
      <c r="E104" s="90">
        <v>0</v>
      </c>
      <c r="F104" s="90"/>
      <c r="G104" s="90"/>
      <c r="H104" s="90"/>
      <c r="I104" s="90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</row>
    <row r="105" spans="1:25" x14ac:dyDescent="0.45">
      <c r="A105" s="91" t="s">
        <v>2</v>
      </c>
      <c r="B105" s="90">
        <v>40</v>
      </c>
      <c r="C105" s="90">
        <v>0</v>
      </c>
      <c r="D105" s="90">
        <v>0</v>
      </c>
      <c r="E105" s="90">
        <v>0</v>
      </c>
      <c r="F105" s="90"/>
      <c r="G105" s="90"/>
      <c r="H105" s="90"/>
      <c r="I105" s="90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</row>
    <row r="106" spans="1:25" x14ac:dyDescent="0.45">
      <c r="A106" s="91" t="s">
        <v>37</v>
      </c>
      <c r="B106" s="90">
        <v>40</v>
      </c>
      <c r="C106" s="90">
        <v>11.75</v>
      </c>
      <c r="D106" s="90">
        <v>0</v>
      </c>
      <c r="E106" s="90">
        <v>0</v>
      </c>
      <c r="F106" s="90"/>
      <c r="G106" s="90"/>
      <c r="H106" s="90"/>
      <c r="I106" s="90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</row>
    <row r="107" spans="1:25" x14ac:dyDescent="0.45">
      <c r="A107" s="91" t="s">
        <v>189</v>
      </c>
      <c r="B107" s="90">
        <v>40</v>
      </c>
      <c r="C107" s="90">
        <v>10.5</v>
      </c>
      <c r="D107" s="90">
        <v>0</v>
      </c>
      <c r="E107" s="90">
        <v>0</v>
      </c>
      <c r="F107" s="90"/>
      <c r="G107" s="90"/>
      <c r="H107" s="90"/>
      <c r="I107" s="90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</row>
    <row r="108" spans="1:25" x14ac:dyDescent="0.45">
      <c r="A108" s="91" t="s">
        <v>58</v>
      </c>
      <c r="B108" s="90">
        <v>30.25</v>
      </c>
      <c r="C108" s="90">
        <v>0</v>
      </c>
      <c r="D108" s="90">
        <v>0</v>
      </c>
      <c r="E108" s="90">
        <v>3</v>
      </c>
      <c r="F108" s="90"/>
      <c r="G108" s="90"/>
      <c r="H108" s="90"/>
      <c r="I108" s="90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</row>
    <row r="109" spans="1:25" x14ac:dyDescent="0.45">
      <c r="A109" s="91" t="s">
        <v>94</v>
      </c>
      <c r="B109" s="90">
        <v>40</v>
      </c>
      <c r="C109" s="90">
        <v>6</v>
      </c>
      <c r="D109" s="90">
        <v>0</v>
      </c>
      <c r="E109" s="90">
        <v>11.75</v>
      </c>
      <c r="F109" s="90">
        <v>4</v>
      </c>
      <c r="G109" s="90"/>
      <c r="H109" s="90">
        <v>1</v>
      </c>
      <c r="I109" s="90">
        <v>1</v>
      </c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</row>
    <row r="110" spans="1:25" x14ac:dyDescent="0.45">
      <c r="A110" s="91" t="s">
        <v>92</v>
      </c>
      <c r="B110" s="90">
        <v>40</v>
      </c>
      <c r="C110" s="90">
        <v>4</v>
      </c>
      <c r="D110" s="90">
        <v>0</v>
      </c>
      <c r="E110" s="90">
        <v>11.75</v>
      </c>
      <c r="F110" s="90">
        <v>4</v>
      </c>
      <c r="G110" s="90"/>
      <c r="H110" s="90">
        <v>1</v>
      </c>
      <c r="I110" s="90">
        <v>1</v>
      </c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</row>
    <row r="111" spans="1:25" x14ac:dyDescent="0.45">
      <c r="A111" s="91" t="s">
        <v>190</v>
      </c>
      <c r="B111" s="90">
        <v>40</v>
      </c>
      <c r="C111" s="90">
        <v>2</v>
      </c>
      <c r="D111" s="90">
        <v>0</v>
      </c>
      <c r="E111" s="90">
        <v>0</v>
      </c>
      <c r="F111" s="90"/>
      <c r="G111" s="90"/>
      <c r="H111" s="90"/>
      <c r="I111" s="90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</row>
    <row r="112" spans="1:25" x14ac:dyDescent="0.45">
      <c r="A112" s="51">
        <v>46047</v>
      </c>
      <c r="B112" s="90">
        <v>336</v>
      </c>
      <c r="C112" s="90">
        <v>97.5</v>
      </c>
      <c r="D112" s="90">
        <v>24</v>
      </c>
      <c r="E112" s="90">
        <v>40</v>
      </c>
      <c r="F112" s="90">
        <v>27</v>
      </c>
      <c r="G112" s="90"/>
      <c r="H112" s="90">
        <v>1</v>
      </c>
      <c r="I112" s="90">
        <v>2</v>
      </c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</row>
    <row r="113" spans="1:25" x14ac:dyDescent="0.45">
      <c r="A113" s="52">
        <v>46047</v>
      </c>
      <c r="B113" s="90"/>
      <c r="C113" s="90"/>
      <c r="D113" s="90"/>
      <c r="E113" s="90"/>
      <c r="F113" s="90"/>
      <c r="G113" s="90"/>
      <c r="H113" s="90"/>
      <c r="I113" s="90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</row>
    <row r="114" spans="1:25" x14ac:dyDescent="0.45">
      <c r="A114" s="91" t="s">
        <v>3</v>
      </c>
      <c r="B114" s="90">
        <v>40</v>
      </c>
      <c r="C114" s="90">
        <v>22</v>
      </c>
      <c r="D114" s="90">
        <v>12</v>
      </c>
      <c r="E114" s="90">
        <v>6</v>
      </c>
      <c r="F114" s="90">
        <v>6</v>
      </c>
      <c r="G114" s="90"/>
      <c r="H114" s="90"/>
      <c r="I114" s="90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</row>
    <row r="115" spans="1:25" x14ac:dyDescent="0.45">
      <c r="A115" s="91" t="s">
        <v>21</v>
      </c>
      <c r="B115" s="90">
        <v>40</v>
      </c>
      <c r="C115" s="90">
        <v>14.5</v>
      </c>
      <c r="D115" s="90">
        <v>12</v>
      </c>
      <c r="E115" s="90">
        <v>4</v>
      </c>
      <c r="F115" s="90">
        <v>4</v>
      </c>
      <c r="G115" s="90"/>
      <c r="H115" s="90"/>
      <c r="I115" s="90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</row>
    <row r="116" spans="1:25" x14ac:dyDescent="0.45">
      <c r="A116" s="91" t="s">
        <v>39</v>
      </c>
      <c r="B116" s="90">
        <v>0</v>
      </c>
      <c r="C116" s="90">
        <v>0</v>
      </c>
      <c r="D116" s="90">
        <v>0</v>
      </c>
      <c r="E116" s="90">
        <v>0</v>
      </c>
      <c r="F116" s="90"/>
      <c r="G116" s="90"/>
      <c r="H116" s="90"/>
      <c r="I116" s="90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</row>
    <row r="117" spans="1:25" x14ac:dyDescent="0.45">
      <c r="A117" s="91" t="s">
        <v>2</v>
      </c>
      <c r="B117" s="90">
        <v>40</v>
      </c>
      <c r="C117" s="90">
        <v>0</v>
      </c>
      <c r="D117" s="90">
        <v>0</v>
      </c>
      <c r="E117" s="90">
        <v>0</v>
      </c>
      <c r="F117" s="90"/>
      <c r="G117" s="90"/>
      <c r="H117" s="90"/>
      <c r="I117" s="90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</row>
    <row r="118" spans="1:25" x14ac:dyDescent="0.45">
      <c r="A118" s="91" t="s">
        <v>37</v>
      </c>
      <c r="B118" s="90">
        <v>40</v>
      </c>
      <c r="C118" s="90">
        <v>9.5</v>
      </c>
      <c r="D118" s="90">
        <v>0</v>
      </c>
      <c r="E118" s="90">
        <v>8</v>
      </c>
      <c r="F118" s="90">
        <v>3</v>
      </c>
      <c r="G118" s="90"/>
      <c r="H118" s="90"/>
      <c r="I118" s="90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</row>
    <row r="119" spans="1:25" x14ac:dyDescent="0.45">
      <c r="A119" s="91" t="s">
        <v>189</v>
      </c>
      <c r="B119" s="90">
        <v>40</v>
      </c>
      <c r="C119" s="90">
        <v>9.75</v>
      </c>
      <c r="D119" s="90">
        <v>0</v>
      </c>
      <c r="E119" s="90">
        <v>0</v>
      </c>
      <c r="F119" s="90"/>
      <c r="G119" s="90"/>
      <c r="H119" s="90"/>
      <c r="I119" s="90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</row>
    <row r="120" spans="1:25" x14ac:dyDescent="0.45">
      <c r="A120" s="91" t="s">
        <v>58</v>
      </c>
      <c r="B120" s="90">
        <v>0</v>
      </c>
      <c r="C120" s="90">
        <v>0</v>
      </c>
      <c r="D120" s="90">
        <v>0</v>
      </c>
      <c r="E120" s="90">
        <v>0</v>
      </c>
      <c r="F120" s="90"/>
      <c r="G120" s="90"/>
      <c r="H120" s="90"/>
      <c r="I120" s="9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</row>
    <row r="121" spans="1:25" x14ac:dyDescent="0.45">
      <c r="A121" s="91" t="s">
        <v>94</v>
      </c>
      <c r="B121" s="90">
        <v>48</v>
      </c>
      <c r="C121" s="90">
        <v>20</v>
      </c>
      <c r="D121" s="90">
        <v>0</v>
      </c>
      <c r="E121" s="90">
        <v>11</v>
      </c>
      <c r="F121" s="90">
        <v>7</v>
      </c>
      <c r="G121" s="90"/>
      <c r="H121" s="90">
        <v>1</v>
      </c>
      <c r="I121" s="90">
        <v>1</v>
      </c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</row>
    <row r="122" spans="1:25" x14ac:dyDescent="0.45">
      <c r="A122" s="91" t="s">
        <v>92</v>
      </c>
      <c r="B122" s="90">
        <v>48</v>
      </c>
      <c r="C122" s="90">
        <v>20</v>
      </c>
      <c r="D122" s="90">
        <v>0</v>
      </c>
      <c r="E122" s="90">
        <v>11</v>
      </c>
      <c r="F122" s="90">
        <v>7</v>
      </c>
      <c r="G122" s="90"/>
      <c r="H122" s="90">
        <v>1</v>
      </c>
      <c r="I122" s="90">
        <v>1</v>
      </c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</row>
    <row r="123" spans="1:25" x14ac:dyDescent="0.45">
      <c r="A123" s="91" t="s">
        <v>190</v>
      </c>
      <c r="B123" s="90">
        <v>40</v>
      </c>
      <c r="C123" s="90">
        <v>1.75</v>
      </c>
      <c r="D123" s="90">
        <v>0</v>
      </c>
      <c r="E123" s="90">
        <v>0</v>
      </c>
      <c r="F123" s="90"/>
      <c r="G123" s="90"/>
      <c r="H123" s="90"/>
      <c r="I123" s="90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</row>
    <row r="124" spans="1:25" x14ac:dyDescent="0.45">
      <c r="A124" s="51">
        <v>46040</v>
      </c>
      <c r="B124" s="90">
        <v>330.25</v>
      </c>
      <c r="C124" s="90">
        <v>49.75</v>
      </c>
      <c r="D124" s="90">
        <v>12</v>
      </c>
      <c r="E124" s="90">
        <v>44</v>
      </c>
      <c r="F124" s="90">
        <v>23</v>
      </c>
      <c r="G124" s="90"/>
      <c r="H124" s="90">
        <v>1</v>
      </c>
      <c r="I124" s="90">
        <v>3</v>
      </c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</row>
    <row r="125" spans="1:25" x14ac:dyDescent="0.45">
      <c r="A125" s="52">
        <v>46040</v>
      </c>
      <c r="B125" s="90"/>
      <c r="C125" s="90"/>
      <c r="D125" s="90"/>
      <c r="E125" s="90"/>
      <c r="F125" s="90"/>
      <c r="G125" s="90"/>
      <c r="H125" s="90"/>
      <c r="I125" s="90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</row>
    <row r="126" spans="1:25" x14ac:dyDescent="0.45">
      <c r="A126" s="91" t="s">
        <v>3</v>
      </c>
      <c r="B126" s="90">
        <v>40</v>
      </c>
      <c r="C126" s="90">
        <v>4</v>
      </c>
      <c r="D126" s="90">
        <v>12</v>
      </c>
      <c r="E126" s="90">
        <v>3</v>
      </c>
      <c r="F126" s="90">
        <v>3</v>
      </c>
      <c r="G126" s="90"/>
      <c r="H126" s="90"/>
      <c r="I126" s="90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</row>
    <row r="127" spans="1:25" x14ac:dyDescent="0.45">
      <c r="A127" s="91" t="s">
        <v>21</v>
      </c>
      <c r="B127" s="90">
        <v>40</v>
      </c>
      <c r="C127" s="90">
        <v>6</v>
      </c>
      <c r="D127" s="90">
        <v>0</v>
      </c>
      <c r="E127" s="90">
        <v>0</v>
      </c>
      <c r="F127" s="90"/>
      <c r="G127" s="90"/>
      <c r="H127" s="90"/>
      <c r="I127" s="90"/>
    </row>
    <row r="128" spans="1:25" x14ac:dyDescent="0.45">
      <c r="A128" s="91" t="s">
        <v>39</v>
      </c>
      <c r="B128" s="90">
        <v>0</v>
      </c>
      <c r="C128" s="90">
        <v>0</v>
      </c>
      <c r="D128" s="90">
        <v>0</v>
      </c>
      <c r="E128" s="90">
        <v>0</v>
      </c>
      <c r="F128" s="90"/>
      <c r="G128" s="90"/>
      <c r="H128" s="90"/>
      <c r="I128" s="90"/>
    </row>
    <row r="129" spans="1:9" x14ac:dyDescent="0.45">
      <c r="A129" s="91" t="s">
        <v>2</v>
      </c>
      <c r="B129" s="90">
        <v>40</v>
      </c>
      <c r="C129" s="90">
        <v>0</v>
      </c>
      <c r="D129" s="90">
        <v>0</v>
      </c>
      <c r="E129" s="90">
        <v>0</v>
      </c>
      <c r="F129" s="90"/>
      <c r="G129" s="90"/>
      <c r="H129" s="90"/>
      <c r="I129" s="90"/>
    </row>
    <row r="130" spans="1:9" x14ac:dyDescent="0.45">
      <c r="A130" s="91" t="s">
        <v>37</v>
      </c>
      <c r="B130" s="90">
        <v>40</v>
      </c>
      <c r="C130" s="90">
        <v>8</v>
      </c>
      <c r="D130" s="90">
        <v>0</v>
      </c>
      <c r="E130" s="90">
        <v>8.5</v>
      </c>
      <c r="F130" s="90">
        <v>5</v>
      </c>
      <c r="G130" s="90"/>
      <c r="H130" s="90"/>
      <c r="I130" s="90"/>
    </row>
    <row r="131" spans="1:9" x14ac:dyDescent="0.45">
      <c r="A131" s="91" t="s">
        <v>189</v>
      </c>
      <c r="B131" s="90">
        <v>40</v>
      </c>
      <c r="C131" s="90">
        <v>8</v>
      </c>
      <c r="D131" s="90">
        <v>0</v>
      </c>
      <c r="E131" s="90">
        <v>8.5</v>
      </c>
      <c r="F131" s="90">
        <v>5</v>
      </c>
      <c r="G131" s="90"/>
      <c r="H131" s="90">
        <v>1</v>
      </c>
      <c r="I131" s="90">
        <v>1</v>
      </c>
    </row>
    <row r="132" spans="1:9" x14ac:dyDescent="0.45">
      <c r="A132" s="91" t="s">
        <v>58</v>
      </c>
      <c r="B132" s="90">
        <v>10.25</v>
      </c>
      <c r="C132" s="90">
        <v>0</v>
      </c>
      <c r="D132" s="90">
        <v>0</v>
      </c>
      <c r="E132" s="90">
        <v>0</v>
      </c>
      <c r="F132" s="90"/>
      <c r="G132" s="90"/>
      <c r="H132" s="90"/>
      <c r="I132" s="90"/>
    </row>
    <row r="133" spans="1:9" x14ac:dyDescent="0.45">
      <c r="A133" s="91" t="s">
        <v>94</v>
      </c>
      <c r="B133" s="90">
        <v>40</v>
      </c>
      <c r="C133" s="90">
        <v>8</v>
      </c>
      <c r="D133" s="90">
        <v>0</v>
      </c>
      <c r="E133" s="90">
        <v>12</v>
      </c>
      <c r="F133" s="90">
        <v>5</v>
      </c>
      <c r="G133" s="90"/>
      <c r="H133" s="90">
        <v>1</v>
      </c>
      <c r="I133" s="90">
        <v>1</v>
      </c>
    </row>
    <row r="134" spans="1:9" x14ac:dyDescent="0.45">
      <c r="A134" s="91" t="s">
        <v>92</v>
      </c>
      <c r="B134" s="90">
        <v>40</v>
      </c>
      <c r="C134" s="90">
        <v>8</v>
      </c>
      <c r="D134" s="90">
        <v>0</v>
      </c>
      <c r="E134" s="90">
        <v>12</v>
      </c>
      <c r="F134" s="90">
        <v>5</v>
      </c>
      <c r="G134" s="90"/>
      <c r="H134" s="90">
        <v>1</v>
      </c>
      <c r="I134" s="90">
        <v>1</v>
      </c>
    </row>
    <row r="135" spans="1:9" x14ac:dyDescent="0.45">
      <c r="A135" s="91" t="s">
        <v>190</v>
      </c>
      <c r="B135" s="90">
        <v>40</v>
      </c>
      <c r="C135" s="90">
        <v>7.75</v>
      </c>
      <c r="D135" s="90">
        <v>0</v>
      </c>
      <c r="E135" s="90">
        <v>0</v>
      </c>
      <c r="F135" s="90"/>
      <c r="G135" s="90"/>
      <c r="H135" s="90"/>
      <c r="I135" s="90"/>
    </row>
    <row r="136" spans="1:9" x14ac:dyDescent="0.45">
      <c r="A136" s="51">
        <v>46033</v>
      </c>
      <c r="B136" s="90">
        <v>339.5</v>
      </c>
      <c r="C136" s="90">
        <v>149.25</v>
      </c>
      <c r="D136" s="90">
        <v>41</v>
      </c>
      <c r="E136" s="90">
        <v>40.5</v>
      </c>
      <c r="F136" s="90">
        <v>34</v>
      </c>
      <c r="G136" s="90"/>
      <c r="H136" s="90">
        <v>1</v>
      </c>
      <c r="I136" s="90">
        <v>1</v>
      </c>
    </row>
    <row r="137" spans="1:9" x14ac:dyDescent="0.45">
      <c r="A137" s="52">
        <v>46033</v>
      </c>
      <c r="B137" s="90"/>
      <c r="C137" s="90"/>
      <c r="D137" s="90"/>
      <c r="E137" s="90"/>
      <c r="F137" s="90"/>
      <c r="G137" s="90"/>
      <c r="H137" s="90"/>
      <c r="I137" s="90"/>
    </row>
    <row r="138" spans="1:9" x14ac:dyDescent="0.45">
      <c r="A138" s="91" t="s">
        <v>3</v>
      </c>
      <c r="B138" s="90">
        <v>40</v>
      </c>
      <c r="C138" s="90">
        <v>15.5</v>
      </c>
      <c r="D138" s="90">
        <v>0</v>
      </c>
      <c r="E138" s="90">
        <v>4</v>
      </c>
      <c r="F138" s="90">
        <v>5</v>
      </c>
      <c r="G138" s="90"/>
      <c r="H138" s="90"/>
      <c r="I138" s="90"/>
    </row>
    <row r="139" spans="1:9" x14ac:dyDescent="0.45">
      <c r="A139" s="91" t="s">
        <v>21</v>
      </c>
      <c r="B139" s="90">
        <v>40</v>
      </c>
      <c r="C139" s="90">
        <v>2</v>
      </c>
      <c r="D139" s="90">
        <v>0</v>
      </c>
      <c r="E139" s="90">
        <v>4</v>
      </c>
      <c r="F139" s="90">
        <v>1</v>
      </c>
      <c r="G139" s="90"/>
      <c r="H139" s="90"/>
      <c r="I139" s="90"/>
    </row>
    <row r="140" spans="1:9" x14ac:dyDescent="0.45">
      <c r="A140" s="91" t="s">
        <v>39</v>
      </c>
      <c r="B140" s="90">
        <v>0</v>
      </c>
      <c r="C140" s="90">
        <v>0</v>
      </c>
      <c r="D140" s="90">
        <v>0</v>
      </c>
      <c r="E140" s="90">
        <v>0</v>
      </c>
      <c r="F140" s="90"/>
      <c r="G140" s="90"/>
      <c r="H140" s="90"/>
      <c r="I140" s="90"/>
    </row>
    <row r="141" spans="1:9" x14ac:dyDescent="0.45">
      <c r="A141" s="91" t="s">
        <v>2</v>
      </c>
      <c r="B141" s="90">
        <v>40</v>
      </c>
      <c r="C141" s="90">
        <v>12.5</v>
      </c>
      <c r="D141" s="90">
        <v>1</v>
      </c>
      <c r="E141" s="90">
        <v>0</v>
      </c>
      <c r="F141" s="90"/>
      <c r="G141" s="90"/>
      <c r="H141" s="90"/>
      <c r="I141" s="90"/>
    </row>
    <row r="142" spans="1:9" x14ac:dyDescent="0.45">
      <c r="A142" s="91" t="s">
        <v>37</v>
      </c>
      <c r="B142" s="90">
        <v>40</v>
      </c>
      <c r="C142" s="90">
        <v>20</v>
      </c>
      <c r="D142" s="90">
        <v>12</v>
      </c>
      <c r="E142" s="90">
        <v>9.25</v>
      </c>
      <c r="F142" s="90">
        <v>7</v>
      </c>
      <c r="G142" s="90"/>
      <c r="H142" s="90"/>
      <c r="I142" s="90"/>
    </row>
    <row r="143" spans="1:9" x14ac:dyDescent="0.45">
      <c r="A143" s="91" t="s">
        <v>189</v>
      </c>
      <c r="B143" s="90">
        <v>40</v>
      </c>
      <c r="C143" s="90">
        <v>20</v>
      </c>
      <c r="D143" s="90">
        <v>12</v>
      </c>
      <c r="E143" s="90">
        <v>9.25</v>
      </c>
      <c r="F143" s="90">
        <v>7</v>
      </c>
      <c r="G143" s="90"/>
      <c r="H143" s="90"/>
      <c r="I143" s="90"/>
    </row>
    <row r="144" spans="1:9" x14ac:dyDescent="0.45">
      <c r="A144" s="91" t="s">
        <v>58</v>
      </c>
      <c r="B144" s="90">
        <v>19.5</v>
      </c>
      <c r="C144" s="90">
        <v>0</v>
      </c>
      <c r="D144" s="90">
        <v>0</v>
      </c>
      <c r="E144" s="90">
        <v>2</v>
      </c>
      <c r="F144" s="90"/>
      <c r="G144" s="90"/>
      <c r="H144" s="90"/>
      <c r="I144" s="90"/>
    </row>
    <row r="145" spans="1:9" x14ac:dyDescent="0.45">
      <c r="A145" s="91" t="s">
        <v>94</v>
      </c>
      <c r="B145" s="90">
        <v>40</v>
      </c>
      <c r="C145" s="90">
        <v>32</v>
      </c>
      <c r="D145" s="90">
        <v>8</v>
      </c>
      <c r="E145" s="90">
        <v>0</v>
      </c>
      <c r="F145" s="90">
        <v>7</v>
      </c>
      <c r="G145" s="90"/>
      <c r="H145" s="90"/>
      <c r="I145" s="90"/>
    </row>
    <row r="146" spans="1:9" x14ac:dyDescent="0.45">
      <c r="A146" s="91" t="s">
        <v>92</v>
      </c>
      <c r="B146" s="90">
        <v>40</v>
      </c>
      <c r="C146" s="90">
        <v>20</v>
      </c>
      <c r="D146" s="90">
        <v>8</v>
      </c>
      <c r="E146" s="90">
        <v>12</v>
      </c>
      <c r="F146" s="90">
        <v>7</v>
      </c>
      <c r="G146" s="90"/>
      <c r="H146" s="90">
        <v>1</v>
      </c>
      <c r="I146" s="90">
        <v>1</v>
      </c>
    </row>
    <row r="147" spans="1:9" x14ac:dyDescent="0.45">
      <c r="A147" s="91" t="s">
        <v>190</v>
      </c>
      <c r="B147" s="90">
        <v>40</v>
      </c>
      <c r="C147" s="90">
        <v>27.25</v>
      </c>
      <c r="D147" s="90">
        <v>0</v>
      </c>
      <c r="E147" s="90">
        <v>0</v>
      </c>
      <c r="F147" s="90"/>
      <c r="G147" s="90"/>
      <c r="H147" s="90"/>
      <c r="I147" s="90"/>
    </row>
    <row r="148" spans="1:9" x14ac:dyDescent="0.45">
      <c r="A148" s="51">
        <v>46026</v>
      </c>
      <c r="B148" s="90">
        <v>0</v>
      </c>
      <c r="C148" s="90">
        <v>0</v>
      </c>
      <c r="D148" s="90">
        <v>13.25</v>
      </c>
      <c r="E148" s="90">
        <v>0</v>
      </c>
      <c r="F148" s="90">
        <v>1</v>
      </c>
      <c r="G148" s="90"/>
      <c r="H148" s="90"/>
      <c r="I148" s="90"/>
    </row>
    <row r="149" spans="1:9" x14ac:dyDescent="0.45">
      <c r="A149" s="52">
        <v>46026</v>
      </c>
      <c r="B149" s="90"/>
      <c r="C149" s="90"/>
      <c r="D149" s="90"/>
      <c r="E149" s="90"/>
      <c r="F149" s="90"/>
      <c r="G149" s="90"/>
      <c r="H149" s="90"/>
      <c r="I149" s="90"/>
    </row>
    <row r="150" spans="1:9" x14ac:dyDescent="0.45">
      <c r="A150" s="91" t="s">
        <v>3</v>
      </c>
      <c r="B150" s="90">
        <v>0</v>
      </c>
      <c r="C150" s="90">
        <v>0</v>
      </c>
      <c r="D150" s="90">
        <v>0</v>
      </c>
      <c r="E150" s="90">
        <v>0</v>
      </c>
      <c r="F150" s="90"/>
      <c r="G150" s="90"/>
      <c r="H150" s="90"/>
      <c r="I150" s="90"/>
    </row>
    <row r="151" spans="1:9" x14ac:dyDescent="0.45">
      <c r="A151" s="91" t="s">
        <v>21</v>
      </c>
      <c r="B151" s="90">
        <v>0</v>
      </c>
      <c r="C151" s="90">
        <v>0</v>
      </c>
      <c r="D151" s="90">
        <v>0</v>
      </c>
      <c r="E151" s="90">
        <v>0</v>
      </c>
      <c r="F151" s="90"/>
      <c r="G151" s="90"/>
      <c r="H151" s="90"/>
      <c r="I151" s="90"/>
    </row>
    <row r="152" spans="1:9" x14ac:dyDescent="0.45">
      <c r="A152" s="91" t="s">
        <v>39</v>
      </c>
      <c r="B152" s="90">
        <v>0</v>
      </c>
      <c r="C152" s="90">
        <v>0</v>
      </c>
      <c r="D152" s="90">
        <v>0</v>
      </c>
      <c r="E152" s="90">
        <v>0</v>
      </c>
      <c r="F152" s="90"/>
      <c r="G152" s="90"/>
      <c r="H152" s="90"/>
      <c r="I152" s="90"/>
    </row>
    <row r="153" spans="1:9" x14ac:dyDescent="0.45">
      <c r="A153" s="91" t="s">
        <v>2</v>
      </c>
      <c r="B153" s="90">
        <v>0</v>
      </c>
      <c r="C153" s="90">
        <v>0</v>
      </c>
      <c r="D153" s="90">
        <v>0</v>
      </c>
      <c r="E153" s="90">
        <v>0</v>
      </c>
      <c r="F153" s="90"/>
      <c r="G153" s="90"/>
      <c r="H153" s="90"/>
      <c r="I153" s="90"/>
    </row>
    <row r="154" spans="1:9" x14ac:dyDescent="0.45">
      <c r="A154" s="91" t="s">
        <v>37</v>
      </c>
      <c r="B154" s="90">
        <v>0</v>
      </c>
      <c r="C154" s="90">
        <v>0</v>
      </c>
      <c r="D154" s="90">
        <v>0</v>
      </c>
      <c r="E154" s="90">
        <v>0</v>
      </c>
      <c r="F154" s="90"/>
      <c r="G154" s="90"/>
      <c r="H154" s="90"/>
      <c r="I154" s="90"/>
    </row>
    <row r="155" spans="1:9" x14ac:dyDescent="0.45">
      <c r="A155" s="91" t="s">
        <v>189</v>
      </c>
      <c r="B155" s="90">
        <v>0</v>
      </c>
      <c r="C155" s="90">
        <v>0</v>
      </c>
      <c r="D155" s="90">
        <v>0</v>
      </c>
      <c r="E155" s="90">
        <v>0</v>
      </c>
      <c r="F155" s="90"/>
      <c r="G155" s="90"/>
      <c r="H155" s="90"/>
      <c r="I155" s="90"/>
    </row>
    <row r="156" spans="1:9" x14ac:dyDescent="0.45">
      <c r="A156" s="91" t="s">
        <v>58</v>
      </c>
      <c r="B156" s="90">
        <v>0</v>
      </c>
      <c r="C156" s="90">
        <v>0</v>
      </c>
      <c r="D156" s="90">
        <v>0</v>
      </c>
      <c r="E156" s="90">
        <v>0</v>
      </c>
      <c r="F156" s="90"/>
      <c r="G156" s="90"/>
      <c r="H156" s="90"/>
      <c r="I156" s="90"/>
    </row>
    <row r="157" spans="1:9" x14ac:dyDescent="0.45">
      <c r="A157" s="91" t="s">
        <v>94</v>
      </c>
      <c r="B157" s="90">
        <v>0</v>
      </c>
      <c r="C157" s="90">
        <v>0</v>
      </c>
      <c r="D157" s="90">
        <v>13.25</v>
      </c>
      <c r="E157" s="90">
        <v>0</v>
      </c>
      <c r="F157" s="90">
        <v>1</v>
      </c>
      <c r="G157" s="90"/>
      <c r="H157" s="90"/>
      <c r="I157" s="90"/>
    </row>
    <row r="158" spans="1:9" x14ac:dyDescent="0.45">
      <c r="A158" s="91" t="s">
        <v>92</v>
      </c>
      <c r="B158" s="90">
        <v>0</v>
      </c>
      <c r="C158" s="90">
        <v>0</v>
      </c>
      <c r="D158" s="90">
        <v>0</v>
      </c>
      <c r="E158" s="90">
        <v>0</v>
      </c>
      <c r="F158" s="90"/>
      <c r="G158" s="90"/>
      <c r="H158" s="90"/>
      <c r="I158" s="90"/>
    </row>
    <row r="159" spans="1:9" x14ac:dyDescent="0.45">
      <c r="A159" s="91" t="s">
        <v>190</v>
      </c>
      <c r="B159" s="90">
        <v>0</v>
      </c>
      <c r="C159" s="90">
        <v>0</v>
      </c>
      <c r="D159" s="90">
        <v>0</v>
      </c>
      <c r="E159" s="90">
        <v>0</v>
      </c>
      <c r="F159" s="90"/>
      <c r="G159" s="90"/>
      <c r="H159" s="90"/>
      <c r="I159" s="90"/>
    </row>
    <row r="160" spans="1:9" x14ac:dyDescent="0.45">
      <c r="A160" s="51">
        <v>46019</v>
      </c>
      <c r="B160" s="90">
        <v>67</v>
      </c>
      <c r="C160" s="90">
        <v>0</v>
      </c>
      <c r="D160" s="90">
        <v>0</v>
      </c>
      <c r="E160" s="90">
        <v>21</v>
      </c>
      <c r="F160" s="90">
        <v>4</v>
      </c>
      <c r="G160" s="90"/>
      <c r="H160" s="90">
        <v>1</v>
      </c>
      <c r="I160" s="90">
        <v>1</v>
      </c>
    </row>
    <row r="161" spans="1:9" x14ac:dyDescent="0.45">
      <c r="A161" s="52">
        <v>46019</v>
      </c>
      <c r="B161" s="90"/>
      <c r="C161" s="90"/>
      <c r="D161" s="90"/>
      <c r="E161" s="90"/>
      <c r="F161" s="90"/>
      <c r="G161" s="90"/>
      <c r="H161" s="90"/>
      <c r="I161" s="90"/>
    </row>
    <row r="162" spans="1:9" x14ac:dyDescent="0.45">
      <c r="A162" s="91" t="s">
        <v>3</v>
      </c>
      <c r="B162" s="90">
        <v>0</v>
      </c>
      <c r="C162" s="90">
        <v>0</v>
      </c>
      <c r="D162" s="90">
        <v>0</v>
      </c>
      <c r="E162" s="90">
        <v>4</v>
      </c>
      <c r="F162" s="90">
        <v>1</v>
      </c>
      <c r="G162" s="90"/>
      <c r="H162" s="90"/>
      <c r="I162" s="90"/>
    </row>
    <row r="163" spans="1:9" x14ac:dyDescent="0.45">
      <c r="A163" s="91" t="s">
        <v>21</v>
      </c>
      <c r="B163" s="90">
        <v>8</v>
      </c>
      <c r="C163" s="90">
        <v>0</v>
      </c>
      <c r="D163" s="90">
        <v>0</v>
      </c>
      <c r="E163" s="90">
        <v>4</v>
      </c>
      <c r="F163" s="90">
        <v>1</v>
      </c>
      <c r="G163" s="90"/>
      <c r="H163" s="90"/>
      <c r="I163" s="90"/>
    </row>
    <row r="164" spans="1:9" x14ac:dyDescent="0.45">
      <c r="A164" s="91" t="s">
        <v>39</v>
      </c>
      <c r="B164" s="90">
        <v>0</v>
      </c>
      <c r="C164" s="90">
        <v>0</v>
      </c>
      <c r="D164" s="90">
        <v>0</v>
      </c>
      <c r="E164" s="90">
        <v>0</v>
      </c>
      <c r="F164" s="90"/>
      <c r="G164" s="90"/>
      <c r="H164" s="90"/>
      <c r="I164" s="90"/>
    </row>
    <row r="165" spans="1:9" x14ac:dyDescent="0.45">
      <c r="A165" s="91" t="s">
        <v>2</v>
      </c>
      <c r="B165" s="90">
        <v>12</v>
      </c>
      <c r="C165" s="90">
        <v>0</v>
      </c>
      <c r="D165" s="90">
        <v>0</v>
      </c>
      <c r="E165" s="90">
        <v>0</v>
      </c>
      <c r="F165" s="90"/>
      <c r="G165" s="90"/>
      <c r="H165" s="90"/>
      <c r="I165" s="90"/>
    </row>
    <row r="166" spans="1:9" x14ac:dyDescent="0.45">
      <c r="A166" s="91" t="s">
        <v>37</v>
      </c>
      <c r="B166" s="90">
        <v>0</v>
      </c>
      <c r="C166" s="90">
        <v>0</v>
      </c>
      <c r="D166" s="90">
        <v>0</v>
      </c>
      <c r="E166" s="90">
        <v>0</v>
      </c>
      <c r="F166" s="90"/>
      <c r="G166" s="90"/>
      <c r="H166" s="90"/>
      <c r="I166" s="90"/>
    </row>
    <row r="167" spans="1:9" x14ac:dyDescent="0.45">
      <c r="A167" s="91" t="s">
        <v>189</v>
      </c>
      <c r="B167" s="90">
        <v>11.5</v>
      </c>
      <c r="C167" s="90">
        <v>0</v>
      </c>
      <c r="D167" s="90">
        <v>0</v>
      </c>
      <c r="E167" s="90">
        <v>0</v>
      </c>
      <c r="F167" s="90"/>
      <c r="G167" s="90"/>
      <c r="H167" s="90"/>
      <c r="I167" s="90"/>
    </row>
    <row r="168" spans="1:9" x14ac:dyDescent="0.45">
      <c r="A168" s="91" t="s">
        <v>58</v>
      </c>
      <c r="B168" s="90">
        <v>0</v>
      </c>
      <c r="C168" s="90">
        <v>0</v>
      </c>
      <c r="D168" s="90">
        <v>0</v>
      </c>
      <c r="E168" s="90">
        <v>0</v>
      </c>
      <c r="F168" s="90"/>
      <c r="G168" s="90"/>
      <c r="H168" s="90"/>
      <c r="I168" s="90"/>
    </row>
    <row r="169" spans="1:9" x14ac:dyDescent="0.45">
      <c r="A169" s="91" t="s">
        <v>94</v>
      </c>
      <c r="B169" s="90">
        <v>0</v>
      </c>
      <c r="C169" s="90">
        <v>0</v>
      </c>
      <c r="D169" s="90">
        <v>0</v>
      </c>
      <c r="E169" s="90">
        <v>0</v>
      </c>
      <c r="F169" s="90"/>
      <c r="G169" s="90"/>
      <c r="H169" s="90"/>
      <c r="I169" s="90"/>
    </row>
    <row r="170" spans="1:9" x14ac:dyDescent="0.45">
      <c r="A170" s="91" t="s">
        <v>92</v>
      </c>
      <c r="B170" s="90">
        <v>12</v>
      </c>
      <c r="C170" s="90">
        <v>0</v>
      </c>
      <c r="D170" s="90">
        <v>0</v>
      </c>
      <c r="E170" s="90">
        <v>13</v>
      </c>
      <c r="F170" s="90">
        <v>2</v>
      </c>
      <c r="G170" s="90"/>
      <c r="H170" s="90">
        <v>1</v>
      </c>
      <c r="I170" s="90">
        <v>1</v>
      </c>
    </row>
    <row r="171" spans="1:9" x14ac:dyDescent="0.45">
      <c r="A171" s="91" t="s">
        <v>190</v>
      </c>
      <c r="B171" s="90">
        <v>23.5</v>
      </c>
      <c r="C171" s="90">
        <v>0</v>
      </c>
      <c r="D171" s="90">
        <v>0</v>
      </c>
      <c r="E171" s="90">
        <v>0</v>
      </c>
      <c r="F171" s="90"/>
      <c r="G171" s="90"/>
      <c r="H171" s="90"/>
      <c r="I171" s="90"/>
    </row>
    <row r="172" spans="1:9" x14ac:dyDescent="0.45">
      <c r="A172" s="51">
        <v>46012</v>
      </c>
      <c r="B172" s="90">
        <v>352</v>
      </c>
      <c r="C172" s="90">
        <v>110.25</v>
      </c>
      <c r="D172" s="90">
        <v>28.5</v>
      </c>
      <c r="E172" s="90">
        <v>55</v>
      </c>
      <c r="F172" s="90">
        <v>34</v>
      </c>
      <c r="G172" s="90"/>
      <c r="H172" s="90">
        <v>1</v>
      </c>
      <c r="I172" s="90">
        <v>2</v>
      </c>
    </row>
    <row r="173" spans="1:9" x14ac:dyDescent="0.45">
      <c r="A173" s="52">
        <v>46012</v>
      </c>
      <c r="B173" s="90"/>
      <c r="C173" s="90"/>
      <c r="D173" s="90"/>
      <c r="E173" s="90"/>
      <c r="F173" s="90"/>
      <c r="G173" s="90"/>
      <c r="H173" s="90"/>
      <c r="I173" s="90"/>
    </row>
    <row r="174" spans="1:9" x14ac:dyDescent="0.45">
      <c r="A174" s="91" t="s">
        <v>3</v>
      </c>
      <c r="B174" s="90">
        <v>40</v>
      </c>
      <c r="C174" s="90">
        <v>10.75</v>
      </c>
      <c r="D174" s="90">
        <v>10</v>
      </c>
      <c r="E174" s="90">
        <v>0</v>
      </c>
      <c r="F174" s="90">
        <v>3</v>
      </c>
      <c r="G174" s="90"/>
      <c r="H174" s="90"/>
      <c r="I174" s="90"/>
    </row>
    <row r="175" spans="1:9" x14ac:dyDescent="0.45">
      <c r="A175" s="91" t="s">
        <v>21</v>
      </c>
      <c r="B175" s="90">
        <v>40</v>
      </c>
      <c r="C175" s="90">
        <v>15.5</v>
      </c>
      <c r="D175" s="90">
        <v>10</v>
      </c>
      <c r="E175" s="90">
        <v>0</v>
      </c>
      <c r="F175" s="90">
        <v>2</v>
      </c>
      <c r="G175" s="90"/>
      <c r="H175" s="90"/>
      <c r="I175" s="90"/>
    </row>
    <row r="176" spans="1:9" x14ac:dyDescent="0.45">
      <c r="A176" s="91" t="s">
        <v>39</v>
      </c>
      <c r="B176" s="90">
        <v>6.5</v>
      </c>
      <c r="C176" s="90">
        <v>0</v>
      </c>
      <c r="D176" s="90">
        <v>0</v>
      </c>
      <c r="E176" s="90">
        <v>2.5</v>
      </c>
      <c r="F176" s="90"/>
      <c r="G176" s="90"/>
      <c r="H176" s="90"/>
      <c r="I176" s="90"/>
    </row>
    <row r="177" spans="1:10" x14ac:dyDescent="0.45">
      <c r="A177" s="91" t="s">
        <v>2</v>
      </c>
      <c r="B177" s="90">
        <v>40</v>
      </c>
      <c r="C177" s="90">
        <v>17</v>
      </c>
      <c r="D177" s="90">
        <v>0</v>
      </c>
      <c r="E177" s="90">
        <v>0</v>
      </c>
      <c r="F177" s="90"/>
      <c r="G177" s="90"/>
      <c r="H177" s="90"/>
      <c r="I177" s="90"/>
    </row>
    <row r="178" spans="1:10" x14ac:dyDescent="0.45">
      <c r="A178" s="91" t="s">
        <v>37</v>
      </c>
      <c r="B178" s="90">
        <v>40</v>
      </c>
      <c r="C178" s="90">
        <v>20</v>
      </c>
      <c r="D178" s="90">
        <v>0</v>
      </c>
      <c r="E178" s="90">
        <v>11</v>
      </c>
      <c r="F178" s="90">
        <v>6</v>
      </c>
      <c r="G178" s="90"/>
      <c r="H178" s="90"/>
      <c r="I178" s="90"/>
    </row>
    <row r="179" spans="1:10" x14ac:dyDescent="0.45">
      <c r="A179" s="91" t="s">
        <v>189</v>
      </c>
      <c r="B179" s="90">
        <v>32.5</v>
      </c>
      <c r="C179" s="90">
        <v>0</v>
      </c>
      <c r="D179" s="90">
        <v>0</v>
      </c>
      <c r="E179" s="90">
        <v>14</v>
      </c>
      <c r="F179" s="90">
        <v>3</v>
      </c>
      <c r="G179" s="90"/>
      <c r="H179" s="90"/>
      <c r="I179" s="90"/>
    </row>
    <row r="180" spans="1:10" x14ac:dyDescent="0.45">
      <c r="A180" s="91" t="s">
        <v>58</v>
      </c>
      <c r="B180" s="90">
        <v>33</v>
      </c>
      <c r="C180" s="90">
        <v>0</v>
      </c>
      <c r="D180" s="90">
        <v>0</v>
      </c>
      <c r="E180" s="90">
        <v>8</v>
      </c>
      <c r="F180" s="90">
        <v>4</v>
      </c>
      <c r="G180" s="90"/>
      <c r="H180" s="90"/>
      <c r="I180" s="90"/>
    </row>
    <row r="181" spans="1:10" x14ac:dyDescent="0.45">
      <c r="A181" s="91" t="s">
        <v>94</v>
      </c>
      <c r="B181" s="90">
        <v>40</v>
      </c>
      <c r="C181" s="90">
        <v>20</v>
      </c>
      <c r="D181" s="90">
        <v>0.5</v>
      </c>
      <c r="E181" s="90">
        <v>0</v>
      </c>
      <c r="F181" s="90">
        <v>5</v>
      </c>
      <c r="G181" s="90"/>
      <c r="H181" s="90">
        <v>1</v>
      </c>
      <c r="I181" s="90">
        <v>1</v>
      </c>
    </row>
    <row r="182" spans="1:10" x14ac:dyDescent="0.45">
      <c r="A182" s="91" t="s">
        <v>92</v>
      </c>
      <c r="B182" s="90">
        <v>40</v>
      </c>
      <c r="C182" s="90">
        <v>20.5</v>
      </c>
      <c r="D182" s="90">
        <v>8</v>
      </c>
      <c r="E182" s="90">
        <v>11.5</v>
      </c>
      <c r="F182" s="90">
        <v>7</v>
      </c>
      <c r="G182" s="90"/>
      <c r="H182" s="90">
        <v>1</v>
      </c>
      <c r="I182" s="90">
        <v>1</v>
      </c>
    </row>
    <row r="183" spans="1:10" x14ac:dyDescent="0.45">
      <c r="A183" s="91" t="s">
        <v>190</v>
      </c>
      <c r="B183" s="90">
        <v>40</v>
      </c>
      <c r="C183" s="90">
        <v>6.5</v>
      </c>
      <c r="D183" s="90">
        <v>0</v>
      </c>
      <c r="E183" s="90">
        <v>8</v>
      </c>
      <c r="F183" s="90">
        <v>4</v>
      </c>
      <c r="G183" s="90"/>
      <c r="H183" s="90"/>
      <c r="I183" s="90"/>
      <c r="J183"/>
    </row>
    <row r="184" spans="1:10" x14ac:dyDescent="0.45">
      <c r="A184" s="51">
        <v>46005</v>
      </c>
      <c r="B184" s="90">
        <v>358</v>
      </c>
      <c r="C184" s="90">
        <v>63.5</v>
      </c>
      <c r="D184" s="90">
        <v>16</v>
      </c>
      <c r="E184" s="90">
        <v>54.25</v>
      </c>
      <c r="F184" s="90">
        <v>15</v>
      </c>
      <c r="G184" s="90"/>
      <c r="H184" s="90">
        <v>1</v>
      </c>
      <c r="I184" s="90">
        <v>1</v>
      </c>
    </row>
    <row r="185" spans="1:10" x14ac:dyDescent="0.45">
      <c r="A185" s="52">
        <v>46005</v>
      </c>
      <c r="B185" s="90"/>
      <c r="C185" s="90"/>
      <c r="D185" s="90"/>
      <c r="E185" s="90"/>
      <c r="F185" s="90"/>
      <c r="G185" s="90"/>
      <c r="H185" s="90"/>
      <c r="I185" s="90"/>
    </row>
    <row r="186" spans="1:10" x14ac:dyDescent="0.45">
      <c r="A186" s="91" t="s">
        <v>3</v>
      </c>
      <c r="B186" s="90">
        <v>40</v>
      </c>
      <c r="C186" s="90">
        <v>0.25</v>
      </c>
      <c r="D186" s="90">
        <v>3.5</v>
      </c>
      <c r="E186" s="90">
        <v>4</v>
      </c>
      <c r="F186" s="90">
        <v>1</v>
      </c>
      <c r="G186" s="90"/>
      <c r="H186" s="90"/>
      <c r="I186" s="90"/>
    </row>
    <row r="187" spans="1:10" x14ac:dyDescent="0.45">
      <c r="A187" s="91" t="s">
        <v>21</v>
      </c>
      <c r="B187" s="90">
        <v>40</v>
      </c>
      <c r="C187" s="90">
        <v>6.5</v>
      </c>
      <c r="D187" s="90">
        <v>0</v>
      </c>
      <c r="E187" s="90">
        <v>4</v>
      </c>
      <c r="F187" s="90"/>
      <c r="G187" s="90"/>
      <c r="H187" s="90"/>
      <c r="I187" s="90"/>
    </row>
    <row r="188" spans="1:10" x14ac:dyDescent="0.45">
      <c r="A188" s="91" t="s">
        <v>39</v>
      </c>
      <c r="B188" s="90">
        <v>0</v>
      </c>
      <c r="C188" s="90">
        <v>0</v>
      </c>
      <c r="D188" s="90">
        <v>0</v>
      </c>
      <c r="E188" s="90">
        <v>0</v>
      </c>
      <c r="F188" s="90"/>
      <c r="G188" s="90"/>
      <c r="H188" s="90"/>
      <c r="I188" s="90"/>
    </row>
    <row r="189" spans="1:10" x14ac:dyDescent="0.45">
      <c r="A189" s="91" t="s">
        <v>2</v>
      </c>
      <c r="B189" s="90">
        <v>40</v>
      </c>
      <c r="C189" s="90">
        <v>20</v>
      </c>
      <c r="D189" s="90">
        <v>0</v>
      </c>
      <c r="E189" s="90">
        <v>0</v>
      </c>
      <c r="F189" s="90"/>
      <c r="G189" s="90"/>
      <c r="H189" s="90"/>
      <c r="I189" s="90"/>
    </row>
    <row r="190" spans="1:10" x14ac:dyDescent="0.45">
      <c r="A190" s="91" t="s">
        <v>37</v>
      </c>
      <c r="B190" s="90">
        <v>40</v>
      </c>
      <c r="C190" s="90">
        <v>0</v>
      </c>
      <c r="D190" s="90">
        <v>0</v>
      </c>
      <c r="E190" s="90">
        <v>13.25</v>
      </c>
      <c r="F190" s="90">
        <v>2</v>
      </c>
      <c r="G190" s="90"/>
      <c r="H190" s="90"/>
      <c r="I190" s="90"/>
    </row>
    <row r="191" spans="1:10" x14ac:dyDescent="0.45">
      <c r="A191" s="91" t="s">
        <v>189</v>
      </c>
      <c r="B191" s="90">
        <v>40</v>
      </c>
      <c r="C191" s="90">
        <v>2.5</v>
      </c>
      <c r="D191" s="90">
        <v>0</v>
      </c>
      <c r="E191" s="90">
        <v>0</v>
      </c>
      <c r="F191" s="90"/>
      <c r="G191" s="90"/>
      <c r="H191" s="90"/>
      <c r="I191" s="90"/>
    </row>
    <row r="192" spans="1:10" x14ac:dyDescent="0.45">
      <c r="A192" s="91" t="s">
        <v>58</v>
      </c>
      <c r="B192" s="90">
        <v>40</v>
      </c>
      <c r="C192" s="90">
        <v>8</v>
      </c>
      <c r="D192" s="90">
        <v>0.5</v>
      </c>
      <c r="E192" s="90">
        <v>9</v>
      </c>
      <c r="F192" s="90">
        <v>5</v>
      </c>
      <c r="G192" s="90"/>
      <c r="H192" s="90"/>
      <c r="I192" s="90"/>
    </row>
    <row r="193" spans="1:9" x14ac:dyDescent="0.45">
      <c r="A193" s="91" t="s">
        <v>94</v>
      </c>
      <c r="B193" s="90">
        <v>40</v>
      </c>
      <c r="C193" s="90">
        <v>18.25</v>
      </c>
      <c r="D193" s="90">
        <v>12</v>
      </c>
      <c r="E193" s="90">
        <v>12</v>
      </c>
      <c r="F193" s="90">
        <v>7</v>
      </c>
      <c r="G193" s="90"/>
      <c r="H193" s="90">
        <v>1</v>
      </c>
      <c r="I193" s="90">
        <v>1</v>
      </c>
    </row>
    <row r="194" spans="1:9" x14ac:dyDescent="0.45">
      <c r="A194" s="91" t="s">
        <v>92</v>
      </c>
      <c r="B194" s="90">
        <v>38</v>
      </c>
      <c r="C194" s="90">
        <v>0</v>
      </c>
      <c r="D194" s="90">
        <v>0</v>
      </c>
      <c r="E194" s="90">
        <v>12</v>
      </c>
      <c r="F194" s="90"/>
      <c r="G194" s="90"/>
      <c r="H194" s="90"/>
      <c r="I194" s="90"/>
    </row>
    <row r="195" spans="1:9" x14ac:dyDescent="0.45">
      <c r="A195" s="91" t="s">
        <v>190</v>
      </c>
      <c r="B195" s="90">
        <v>40</v>
      </c>
      <c r="C195" s="90">
        <v>8</v>
      </c>
      <c r="D195" s="90">
        <v>0</v>
      </c>
      <c r="E195" s="90">
        <v>0</v>
      </c>
      <c r="F195" s="90"/>
      <c r="G195" s="90"/>
      <c r="H195" s="90"/>
      <c r="I195" s="90"/>
    </row>
    <row r="196" spans="1:9" x14ac:dyDescent="0.45">
      <c r="A196" s="51">
        <v>45998</v>
      </c>
      <c r="B196" s="90">
        <v>311</v>
      </c>
      <c r="C196" s="90">
        <v>35</v>
      </c>
      <c r="D196" s="90">
        <v>22</v>
      </c>
      <c r="E196" s="90">
        <v>50.75</v>
      </c>
      <c r="F196" s="90">
        <v>12</v>
      </c>
      <c r="G196" s="90"/>
      <c r="H196" s="90">
        <v>1</v>
      </c>
      <c r="I196" s="90">
        <v>1</v>
      </c>
    </row>
    <row r="197" spans="1:9" x14ac:dyDescent="0.45">
      <c r="A197" s="52">
        <v>45998</v>
      </c>
      <c r="B197" s="90"/>
      <c r="C197" s="90"/>
      <c r="D197" s="90"/>
      <c r="E197" s="90"/>
      <c r="F197" s="90"/>
      <c r="G197" s="90"/>
      <c r="H197" s="90"/>
      <c r="I197" s="90"/>
    </row>
    <row r="198" spans="1:9" x14ac:dyDescent="0.45">
      <c r="A198" s="91" t="s">
        <v>3</v>
      </c>
      <c r="B198" s="90">
        <v>30.5</v>
      </c>
      <c r="C198" s="90">
        <v>0</v>
      </c>
      <c r="D198" s="90">
        <v>0</v>
      </c>
      <c r="E198" s="90">
        <v>0</v>
      </c>
      <c r="F198" s="90"/>
      <c r="G198" s="90"/>
      <c r="H198" s="90"/>
      <c r="I198" s="90"/>
    </row>
    <row r="199" spans="1:9" x14ac:dyDescent="0.45">
      <c r="A199" s="91" t="s">
        <v>21</v>
      </c>
      <c r="B199" s="90">
        <v>32</v>
      </c>
      <c r="C199" s="90">
        <v>0</v>
      </c>
      <c r="D199" s="90">
        <v>0</v>
      </c>
      <c r="E199" s="90">
        <v>8</v>
      </c>
      <c r="F199" s="90"/>
      <c r="G199" s="90"/>
      <c r="H199" s="90"/>
      <c r="I199" s="90"/>
    </row>
    <row r="200" spans="1:9" x14ac:dyDescent="0.45">
      <c r="A200" s="91" t="s">
        <v>39</v>
      </c>
      <c r="B200" s="90">
        <v>6.75</v>
      </c>
      <c r="C200" s="90">
        <v>0</v>
      </c>
      <c r="D200" s="90">
        <v>0</v>
      </c>
      <c r="E200" s="90">
        <v>2.5</v>
      </c>
      <c r="F200" s="90"/>
      <c r="G200" s="90"/>
      <c r="H200" s="90"/>
      <c r="I200" s="90"/>
    </row>
    <row r="201" spans="1:9" x14ac:dyDescent="0.45">
      <c r="A201" s="91" t="s">
        <v>2</v>
      </c>
      <c r="B201" s="90">
        <v>40</v>
      </c>
      <c r="C201" s="90">
        <v>17</v>
      </c>
      <c r="D201" s="90">
        <v>0</v>
      </c>
      <c r="E201" s="90">
        <v>0</v>
      </c>
      <c r="F201" s="90"/>
      <c r="G201" s="90"/>
      <c r="H201" s="90"/>
      <c r="I201" s="90"/>
    </row>
    <row r="202" spans="1:9" x14ac:dyDescent="0.45">
      <c r="A202" s="91" t="s">
        <v>37</v>
      </c>
      <c r="B202" s="90">
        <v>12</v>
      </c>
      <c r="C202" s="90">
        <v>0</v>
      </c>
      <c r="D202" s="90">
        <v>9.5</v>
      </c>
      <c r="E202" s="90">
        <v>3.5</v>
      </c>
      <c r="F202" s="90">
        <v>3</v>
      </c>
      <c r="G202" s="90"/>
      <c r="H202" s="90"/>
      <c r="I202" s="90"/>
    </row>
    <row r="203" spans="1:9" x14ac:dyDescent="0.45">
      <c r="A203" s="91" t="s">
        <v>189</v>
      </c>
      <c r="B203" s="90">
        <v>37.25</v>
      </c>
      <c r="C203" s="90">
        <v>0</v>
      </c>
      <c r="D203" s="90">
        <v>0</v>
      </c>
      <c r="E203" s="90">
        <v>4</v>
      </c>
      <c r="F203" s="90">
        <v>2</v>
      </c>
      <c r="G203" s="90"/>
      <c r="H203" s="90">
        <v>1</v>
      </c>
      <c r="I203" s="90">
        <v>1</v>
      </c>
    </row>
    <row r="204" spans="1:9" x14ac:dyDescent="0.45">
      <c r="A204" s="91" t="s">
        <v>58</v>
      </c>
      <c r="B204" s="90">
        <v>32.5</v>
      </c>
      <c r="C204" s="90">
        <v>0</v>
      </c>
      <c r="D204" s="90">
        <v>12</v>
      </c>
      <c r="E204" s="90">
        <v>17.25</v>
      </c>
      <c r="F204" s="90">
        <v>2</v>
      </c>
      <c r="G204" s="90"/>
      <c r="H204" s="90"/>
      <c r="I204" s="90"/>
    </row>
    <row r="205" spans="1:9" x14ac:dyDescent="0.45">
      <c r="A205" s="91" t="s">
        <v>94</v>
      </c>
      <c r="B205" s="90">
        <v>40</v>
      </c>
      <c r="C205" s="90">
        <v>7.5</v>
      </c>
      <c r="D205" s="90">
        <v>0.5</v>
      </c>
      <c r="E205" s="90">
        <v>12.5</v>
      </c>
      <c r="F205" s="90">
        <v>5</v>
      </c>
      <c r="G205" s="90"/>
      <c r="H205" s="90"/>
      <c r="I205" s="90"/>
    </row>
    <row r="206" spans="1:9" x14ac:dyDescent="0.45">
      <c r="A206" s="91" t="s">
        <v>92</v>
      </c>
      <c r="B206" s="90">
        <v>40</v>
      </c>
      <c r="C206" s="90">
        <v>5</v>
      </c>
      <c r="D206" s="90">
        <v>0</v>
      </c>
      <c r="E206" s="90">
        <v>3</v>
      </c>
      <c r="F206" s="90"/>
      <c r="G206" s="90"/>
      <c r="H206" s="90"/>
      <c r="I206" s="90"/>
    </row>
    <row r="207" spans="1:9" x14ac:dyDescent="0.45">
      <c r="A207" s="91" t="s">
        <v>190</v>
      </c>
      <c r="B207" s="90">
        <v>40</v>
      </c>
      <c r="C207" s="90">
        <v>5.5</v>
      </c>
      <c r="D207" s="90">
        <v>0</v>
      </c>
      <c r="E207" s="90">
        <v>0</v>
      </c>
      <c r="F207" s="90"/>
      <c r="G207" s="90"/>
      <c r="H207" s="90"/>
      <c r="I207" s="90"/>
    </row>
    <row r="208" spans="1:9" x14ac:dyDescent="0.45">
      <c r="A208" s="51">
        <v>45991</v>
      </c>
      <c r="B208" s="90">
        <v>315.5</v>
      </c>
      <c r="C208" s="90">
        <v>72.5</v>
      </c>
      <c r="D208" s="90">
        <v>23.5</v>
      </c>
      <c r="E208" s="90">
        <v>29.5</v>
      </c>
      <c r="F208" s="90">
        <v>11</v>
      </c>
      <c r="G208" s="90"/>
      <c r="H208" s="90"/>
      <c r="I208" s="90"/>
    </row>
    <row r="209" spans="1:9" x14ac:dyDescent="0.45">
      <c r="A209" s="52">
        <v>45991</v>
      </c>
      <c r="B209" s="90"/>
      <c r="C209" s="90"/>
      <c r="D209" s="90"/>
      <c r="E209" s="90"/>
      <c r="F209" s="90"/>
      <c r="G209" s="90"/>
      <c r="H209" s="90"/>
      <c r="I209" s="90"/>
    </row>
    <row r="210" spans="1:9" x14ac:dyDescent="0.45">
      <c r="A210" s="91" t="s">
        <v>3</v>
      </c>
      <c r="B210" s="90">
        <v>40</v>
      </c>
      <c r="C210" s="90">
        <v>0</v>
      </c>
      <c r="D210" s="90">
        <v>0</v>
      </c>
      <c r="E210" s="90">
        <v>0</v>
      </c>
      <c r="F210" s="90"/>
      <c r="G210" s="90"/>
      <c r="H210" s="90"/>
      <c r="I210" s="90"/>
    </row>
    <row r="211" spans="1:9" x14ac:dyDescent="0.45">
      <c r="A211" s="91" t="s">
        <v>21</v>
      </c>
      <c r="B211" s="90">
        <v>40</v>
      </c>
      <c r="C211" s="90">
        <v>2.75</v>
      </c>
      <c r="D211" s="90">
        <v>0</v>
      </c>
      <c r="E211" s="90">
        <v>4</v>
      </c>
      <c r="F211" s="90"/>
      <c r="G211" s="90"/>
      <c r="H211" s="90"/>
      <c r="I211" s="90"/>
    </row>
    <row r="212" spans="1:9" x14ac:dyDescent="0.45">
      <c r="A212" s="91" t="s">
        <v>39</v>
      </c>
      <c r="B212" s="90">
        <v>2.5</v>
      </c>
      <c r="C212" s="90">
        <v>0</v>
      </c>
      <c r="D212" s="90">
        <v>0</v>
      </c>
      <c r="E212" s="90">
        <v>2.5</v>
      </c>
      <c r="F212" s="90"/>
      <c r="G212" s="90"/>
      <c r="H212" s="90"/>
      <c r="I212" s="90"/>
    </row>
    <row r="213" spans="1:9" x14ac:dyDescent="0.45">
      <c r="A213" s="91" t="s">
        <v>2</v>
      </c>
      <c r="B213" s="90">
        <v>40</v>
      </c>
      <c r="C213" s="90">
        <v>29.5</v>
      </c>
      <c r="D213" s="90">
        <v>0</v>
      </c>
      <c r="E213" s="90">
        <v>0</v>
      </c>
      <c r="F213" s="90"/>
      <c r="G213" s="90"/>
      <c r="H213" s="90"/>
      <c r="I213" s="90"/>
    </row>
    <row r="214" spans="1:9" x14ac:dyDescent="0.45">
      <c r="A214" s="91" t="s">
        <v>37</v>
      </c>
      <c r="B214" s="90">
        <v>0</v>
      </c>
      <c r="C214" s="90">
        <v>0</v>
      </c>
      <c r="D214" s="90">
        <v>0</v>
      </c>
      <c r="E214" s="90">
        <v>0</v>
      </c>
      <c r="F214" s="90"/>
      <c r="G214" s="90"/>
      <c r="H214" s="90"/>
      <c r="I214" s="90"/>
    </row>
    <row r="215" spans="1:9" x14ac:dyDescent="0.45">
      <c r="A215" s="91" t="s">
        <v>189</v>
      </c>
      <c r="B215" s="90">
        <v>40</v>
      </c>
      <c r="C215" s="90">
        <v>28.5</v>
      </c>
      <c r="D215" s="90">
        <v>11.5</v>
      </c>
      <c r="E215" s="90">
        <v>0</v>
      </c>
      <c r="F215" s="90">
        <v>7</v>
      </c>
      <c r="G215" s="90"/>
      <c r="H215" s="90"/>
      <c r="I215" s="90"/>
    </row>
    <row r="216" spans="1:9" x14ac:dyDescent="0.45">
      <c r="A216" s="91" t="s">
        <v>58</v>
      </c>
      <c r="B216" s="90">
        <v>36</v>
      </c>
      <c r="C216" s="90">
        <v>0</v>
      </c>
      <c r="D216" s="90">
        <v>0</v>
      </c>
      <c r="E216" s="90">
        <v>6</v>
      </c>
      <c r="F216" s="90"/>
      <c r="G216" s="90"/>
      <c r="H216" s="90"/>
      <c r="I216" s="90"/>
    </row>
    <row r="217" spans="1:9" x14ac:dyDescent="0.45">
      <c r="A217" s="91" t="s">
        <v>94</v>
      </c>
      <c r="B217" s="90">
        <v>40</v>
      </c>
      <c r="C217" s="90">
        <v>7.75</v>
      </c>
      <c r="D217" s="90">
        <v>12</v>
      </c>
      <c r="E217" s="90">
        <v>12</v>
      </c>
      <c r="F217" s="90">
        <v>4</v>
      </c>
      <c r="G217" s="90"/>
      <c r="H217" s="90"/>
      <c r="I217" s="90"/>
    </row>
    <row r="218" spans="1:9" x14ac:dyDescent="0.45">
      <c r="A218" s="91" t="s">
        <v>92</v>
      </c>
      <c r="B218" s="90">
        <v>37</v>
      </c>
      <c r="C218" s="90">
        <v>0</v>
      </c>
      <c r="D218" s="90">
        <v>0</v>
      </c>
      <c r="E218" s="90">
        <v>5</v>
      </c>
      <c r="F218" s="90"/>
      <c r="G218" s="90"/>
      <c r="H218" s="90"/>
      <c r="I218" s="90"/>
    </row>
    <row r="219" spans="1:9" x14ac:dyDescent="0.45">
      <c r="A219" s="91" t="s">
        <v>190</v>
      </c>
      <c r="B219" s="90">
        <v>40</v>
      </c>
      <c r="C219" s="90">
        <v>4</v>
      </c>
      <c r="D219" s="90">
        <v>0</v>
      </c>
      <c r="E219" s="90">
        <v>0</v>
      </c>
      <c r="F219" s="90"/>
      <c r="G219" s="90"/>
      <c r="H219" s="90"/>
      <c r="I219" s="90"/>
    </row>
    <row r="220" spans="1:9" x14ac:dyDescent="0.45">
      <c r="A220" s="51">
        <v>45984</v>
      </c>
      <c r="B220" s="90">
        <v>320</v>
      </c>
      <c r="C220" s="90">
        <v>46</v>
      </c>
      <c r="D220" s="90">
        <v>11</v>
      </c>
      <c r="E220" s="90">
        <v>36</v>
      </c>
      <c r="F220" s="90">
        <v>7</v>
      </c>
      <c r="G220" s="90"/>
      <c r="H220" s="90">
        <v>1</v>
      </c>
      <c r="I220" s="90">
        <v>1</v>
      </c>
    </row>
    <row r="221" spans="1:9" x14ac:dyDescent="0.45">
      <c r="A221" s="52">
        <v>45984</v>
      </c>
      <c r="B221" s="90"/>
      <c r="C221" s="90"/>
      <c r="D221" s="90"/>
      <c r="E221" s="90"/>
      <c r="F221" s="90"/>
      <c r="G221" s="90"/>
      <c r="H221" s="90"/>
      <c r="I221" s="90"/>
    </row>
    <row r="222" spans="1:9" x14ac:dyDescent="0.45">
      <c r="A222" s="91" t="s">
        <v>3</v>
      </c>
      <c r="B222" s="90">
        <v>40</v>
      </c>
      <c r="C222" s="90">
        <v>0</v>
      </c>
      <c r="D222" s="90">
        <v>0</v>
      </c>
      <c r="E222" s="90">
        <v>0</v>
      </c>
      <c r="F222" s="90"/>
      <c r="G222" s="90"/>
      <c r="H222" s="90"/>
      <c r="I222" s="90"/>
    </row>
    <row r="223" spans="1:9" x14ac:dyDescent="0.45">
      <c r="A223" s="91" t="s">
        <v>21</v>
      </c>
      <c r="B223" s="90">
        <v>40</v>
      </c>
      <c r="C223" s="90">
        <v>4</v>
      </c>
      <c r="D223" s="90">
        <v>0</v>
      </c>
      <c r="E223" s="90">
        <v>0</v>
      </c>
      <c r="F223" s="90"/>
      <c r="G223" s="90"/>
      <c r="H223" s="90"/>
      <c r="I223" s="90"/>
    </row>
    <row r="224" spans="1:9" x14ac:dyDescent="0.45">
      <c r="A224" s="91" t="s">
        <v>39</v>
      </c>
      <c r="B224" s="90">
        <v>0</v>
      </c>
      <c r="C224" s="90">
        <v>0</v>
      </c>
      <c r="D224" s="90">
        <v>0</v>
      </c>
      <c r="E224" s="90">
        <v>0</v>
      </c>
      <c r="F224" s="90"/>
      <c r="G224" s="90"/>
      <c r="H224" s="90"/>
      <c r="I224" s="90"/>
    </row>
    <row r="225" spans="1:9" x14ac:dyDescent="0.45">
      <c r="A225" s="91" t="s">
        <v>2</v>
      </c>
      <c r="B225" s="90">
        <v>40</v>
      </c>
      <c r="C225" s="90">
        <v>20</v>
      </c>
      <c r="D225" s="90">
        <v>0</v>
      </c>
      <c r="E225" s="90">
        <v>0</v>
      </c>
      <c r="F225" s="90"/>
      <c r="G225" s="90"/>
      <c r="H225" s="90"/>
      <c r="I225" s="90"/>
    </row>
    <row r="226" spans="1:9" x14ac:dyDescent="0.45">
      <c r="A226" s="91" t="s">
        <v>37</v>
      </c>
      <c r="B226" s="90">
        <v>0</v>
      </c>
      <c r="C226" s="90">
        <v>0</v>
      </c>
      <c r="D226" s="90">
        <v>0</v>
      </c>
      <c r="E226" s="90">
        <v>0</v>
      </c>
      <c r="F226" s="90"/>
      <c r="G226" s="90"/>
      <c r="H226" s="90"/>
      <c r="I226" s="90"/>
    </row>
    <row r="227" spans="1:9" x14ac:dyDescent="0.45">
      <c r="A227" s="91" t="s">
        <v>189</v>
      </c>
      <c r="B227" s="90">
        <v>40</v>
      </c>
      <c r="C227" s="90">
        <v>3.25</v>
      </c>
      <c r="D227" s="90">
        <v>11</v>
      </c>
      <c r="E227" s="90">
        <v>5.5</v>
      </c>
      <c r="F227" s="90">
        <v>3</v>
      </c>
      <c r="G227" s="90"/>
      <c r="H227" s="90">
        <v>1</v>
      </c>
      <c r="I227" s="90">
        <v>1</v>
      </c>
    </row>
    <row r="228" spans="1:9" x14ac:dyDescent="0.45">
      <c r="A228" s="91" t="s">
        <v>58</v>
      </c>
      <c r="B228" s="90">
        <v>40</v>
      </c>
      <c r="C228" s="90">
        <v>2.5</v>
      </c>
      <c r="D228" s="90">
        <v>0</v>
      </c>
      <c r="E228" s="90">
        <v>13</v>
      </c>
      <c r="F228" s="90">
        <v>4</v>
      </c>
      <c r="G228" s="90"/>
      <c r="H228" s="90"/>
      <c r="I228" s="90"/>
    </row>
    <row r="229" spans="1:9" x14ac:dyDescent="0.45">
      <c r="A229" s="91" t="s">
        <v>94</v>
      </c>
      <c r="B229" s="90">
        <v>40</v>
      </c>
      <c r="C229" s="90">
        <v>10</v>
      </c>
      <c r="D229" s="90">
        <v>0</v>
      </c>
      <c r="E229" s="90">
        <v>10</v>
      </c>
      <c r="F229" s="90"/>
      <c r="G229" s="90"/>
      <c r="H229" s="90"/>
      <c r="I229" s="90"/>
    </row>
    <row r="230" spans="1:9" x14ac:dyDescent="0.45">
      <c r="A230" s="91" t="s">
        <v>92</v>
      </c>
      <c r="B230" s="90">
        <v>40</v>
      </c>
      <c r="C230" s="90">
        <v>2.75</v>
      </c>
      <c r="D230" s="90">
        <v>0</v>
      </c>
      <c r="E230" s="90">
        <v>0</v>
      </c>
      <c r="F230" s="90"/>
      <c r="G230" s="90"/>
      <c r="H230" s="90"/>
      <c r="I230" s="90"/>
    </row>
    <row r="231" spans="1:9" x14ac:dyDescent="0.45">
      <c r="A231" s="91" t="s">
        <v>190</v>
      </c>
      <c r="B231" s="90">
        <v>40</v>
      </c>
      <c r="C231" s="90">
        <v>3.5</v>
      </c>
      <c r="D231" s="90">
        <v>0</v>
      </c>
      <c r="E231" s="90">
        <v>7.5</v>
      </c>
      <c r="F231" s="90"/>
      <c r="G231" s="90"/>
      <c r="H231" s="90"/>
      <c r="I231" s="90"/>
    </row>
    <row r="232" spans="1:9" x14ac:dyDescent="0.45">
      <c r="A232" s="51">
        <v>45977</v>
      </c>
      <c r="B232" s="90">
        <v>319.75</v>
      </c>
      <c r="C232" s="90">
        <v>73</v>
      </c>
      <c r="D232" s="90">
        <v>1.25</v>
      </c>
      <c r="E232" s="90">
        <v>15.75</v>
      </c>
      <c r="F232" s="90">
        <v>5</v>
      </c>
      <c r="G232" s="90"/>
      <c r="H232" s="90">
        <v>1</v>
      </c>
      <c r="I232" s="90">
        <v>1</v>
      </c>
    </row>
    <row r="233" spans="1:9" x14ac:dyDescent="0.45">
      <c r="A233" s="52">
        <v>45977</v>
      </c>
      <c r="B233" s="90"/>
      <c r="C233" s="90"/>
      <c r="D233" s="90"/>
      <c r="E233" s="90"/>
      <c r="F233" s="90"/>
      <c r="G233" s="90"/>
      <c r="H233" s="90"/>
      <c r="I233" s="90"/>
    </row>
    <row r="234" spans="1:9" x14ac:dyDescent="0.45">
      <c r="A234" s="91" t="s">
        <v>3</v>
      </c>
      <c r="B234" s="90">
        <v>39.75</v>
      </c>
      <c r="C234" s="90">
        <v>0</v>
      </c>
      <c r="D234" s="90">
        <v>0</v>
      </c>
      <c r="E234" s="90">
        <v>0</v>
      </c>
      <c r="F234" s="90"/>
      <c r="G234" s="90"/>
      <c r="H234" s="90"/>
      <c r="I234" s="90"/>
    </row>
    <row r="235" spans="1:9" x14ac:dyDescent="0.45">
      <c r="A235" s="91" t="s">
        <v>21</v>
      </c>
      <c r="B235" s="90">
        <v>40</v>
      </c>
      <c r="C235" s="90">
        <v>5</v>
      </c>
      <c r="D235" s="90">
        <v>0</v>
      </c>
      <c r="E235" s="90">
        <v>0</v>
      </c>
      <c r="F235" s="90"/>
      <c r="G235" s="90"/>
      <c r="H235" s="90"/>
      <c r="I235" s="90"/>
    </row>
    <row r="236" spans="1:9" x14ac:dyDescent="0.45">
      <c r="A236" s="91" t="s">
        <v>39</v>
      </c>
      <c r="B236" s="90">
        <v>0</v>
      </c>
      <c r="C236" s="90">
        <v>0</v>
      </c>
      <c r="D236" s="90">
        <v>0</v>
      </c>
      <c r="E236" s="90">
        <v>0</v>
      </c>
      <c r="F236" s="90"/>
      <c r="G236" s="90"/>
      <c r="H236" s="90"/>
      <c r="I236" s="90"/>
    </row>
    <row r="237" spans="1:9" x14ac:dyDescent="0.45">
      <c r="A237" s="91" t="s">
        <v>2</v>
      </c>
      <c r="B237" s="90">
        <v>40</v>
      </c>
      <c r="C237" s="90">
        <v>24</v>
      </c>
      <c r="D237" s="90">
        <v>0</v>
      </c>
      <c r="E237" s="90">
        <v>0</v>
      </c>
      <c r="F237" s="90"/>
      <c r="G237" s="90"/>
      <c r="H237" s="90"/>
      <c r="I237" s="90"/>
    </row>
    <row r="238" spans="1:9" x14ac:dyDescent="0.45">
      <c r="A238" s="91" t="s">
        <v>37</v>
      </c>
      <c r="B238" s="90">
        <v>40</v>
      </c>
      <c r="C238" s="90">
        <v>12.25</v>
      </c>
      <c r="D238" s="90">
        <v>1.25</v>
      </c>
      <c r="E238" s="90">
        <v>7.75</v>
      </c>
      <c r="F238" s="90">
        <v>5</v>
      </c>
      <c r="G238" s="90"/>
      <c r="H238" s="90">
        <v>1</v>
      </c>
      <c r="I238" s="90">
        <v>1</v>
      </c>
    </row>
    <row r="239" spans="1:9" x14ac:dyDescent="0.45">
      <c r="A239" s="91" t="s">
        <v>189</v>
      </c>
      <c r="B239" s="90">
        <v>40</v>
      </c>
      <c r="C239" s="90">
        <v>7.75</v>
      </c>
      <c r="D239" s="90">
        <v>0</v>
      </c>
      <c r="E239" s="90">
        <v>0</v>
      </c>
      <c r="F239" s="90"/>
      <c r="G239" s="90"/>
      <c r="H239" s="90"/>
      <c r="I239" s="90"/>
    </row>
    <row r="240" spans="1:9" x14ac:dyDescent="0.45">
      <c r="A240" s="91" t="s">
        <v>58</v>
      </c>
      <c r="B240" s="90">
        <v>0</v>
      </c>
      <c r="C240" s="90">
        <v>0</v>
      </c>
      <c r="D240" s="90">
        <v>0</v>
      </c>
      <c r="E240" s="90">
        <v>0</v>
      </c>
      <c r="F240" s="90"/>
      <c r="G240" s="90"/>
      <c r="H240" s="90"/>
      <c r="I240" s="90"/>
    </row>
    <row r="241" spans="1:9" x14ac:dyDescent="0.45">
      <c r="A241" s="91" t="s">
        <v>94</v>
      </c>
      <c r="B241" s="90">
        <v>40</v>
      </c>
      <c r="C241" s="90">
        <v>12</v>
      </c>
      <c r="D241" s="90">
        <v>0</v>
      </c>
      <c r="E241" s="90">
        <v>8</v>
      </c>
      <c r="F241" s="90"/>
      <c r="G241" s="90"/>
      <c r="H241" s="90"/>
      <c r="I241" s="90"/>
    </row>
    <row r="242" spans="1:9" x14ac:dyDescent="0.45">
      <c r="A242" s="91" t="s">
        <v>92</v>
      </c>
      <c r="B242" s="90">
        <v>40</v>
      </c>
      <c r="C242" s="90">
        <v>2.5</v>
      </c>
      <c r="D242" s="90">
        <v>0</v>
      </c>
      <c r="E242" s="90">
        <v>0</v>
      </c>
      <c r="F242" s="90"/>
      <c r="G242" s="90"/>
      <c r="H242" s="90"/>
      <c r="I242" s="90"/>
    </row>
    <row r="243" spans="1:9" x14ac:dyDescent="0.45">
      <c r="A243" s="91" t="s">
        <v>190</v>
      </c>
      <c r="B243" s="90">
        <v>40</v>
      </c>
      <c r="C243" s="90">
        <v>9.5</v>
      </c>
      <c r="D243" s="90">
        <v>0</v>
      </c>
      <c r="E243" s="90">
        <v>0</v>
      </c>
      <c r="F243" s="90"/>
      <c r="G243" s="90"/>
      <c r="H243" s="90"/>
      <c r="I243" s="90"/>
    </row>
    <row r="244" spans="1:9" x14ac:dyDescent="0.45">
      <c r="A244" s="51">
        <v>45970</v>
      </c>
      <c r="B244" s="90">
        <v>348.75</v>
      </c>
      <c r="C244" s="90">
        <v>76.25</v>
      </c>
      <c r="D244" s="90">
        <v>15</v>
      </c>
      <c r="E244" s="90">
        <v>19.5</v>
      </c>
      <c r="F244" s="90">
        <v>7</v>
      </c>
      <c r="G244" s="90"/>
      <c r="H244" s="90">
        <v>1</v>
      </c>
      <c r="I244" s="90">
        <v>1</v>
      </c>
    </row>
    <row r="245" spans="1:9" x14ac:dyDescent="0.45">
      <c r="A245" s="52">
        <v>45970</v>
      </c>
      <c r="B245" s="90"/>
      <c r="C245" s="90"/>
      <c r="D245" s="90"/>
      <c r="E245" s="90"/>
      <c r="F245" s="90"/>
      <c r="G245" s="90"/>
      <c r="H245" s="90"/>
      <c r="I245" s="90"/>
    </row>
    <row r="246" spans="1:9" x14ac:dyDescent="0.45">
      <c r="A246" s="91" t="s">
        <v>3</v>
      </c>
      <c r="B246" s="90">
        <v>40</v>
      </c>
      <c r="C246" s="90">
        <v>0</v>
      </c>
      <c r="D246" s="90">
        <v>0</v>
      </c>
      <c r="E246" s="90">
        <v>0</v>
      </c>
      <c r="F246" s="90"/>
      <c r="G246" s="90"/>
      <c r="H246" s="90"/>
      <c r="I246" s="90"/>
    </row>
    <row r="247" spans="1:9" x14ac:dyDescent="0.45">
      <c r="A247" s="91" t="s">
        <v>21</v>
      </c>
      <c r="B247" s="90">
        <v>40</v>
      </c>
      <c r="C247" s="90">
        <v>5.5</v>
      </c>
      <c r="D247" s="90">
        <v>0</v>
      </c>
      <c r="E247" s="90">
        <v>0</v>
      </c>
      <c r="F247" s="90"/>
      <c r="G247" s="90"/>
      <c r="H247" s="90"/>
      <c r="I247" s="90"/>
    </row>
    <row r="248" spans="1:9" x14ac:dyDescent="0.45">
      <c r="A248" s="91" t="s">
        <v>39</v>
      </c>
      <c r="B248" s="90">
        <v>4.75</v>
      </c>
      <c r="C248" s="90">
        <v>0</v>
      </c>
      <c r="D248" s="90">
        <v>0</v>
      </c>
      <c r="E248" s="90">
        <v>0</v>
      </c>
      <c r="F248" s="90"/>
      <c r="G248" s="90"/>
      <c r="H248" s="90"/>
      <c r="I248" s="90"/>
    </row>
    <row r="249" spans="1:9" x14ac:dyDescent="0.45">
      <c r="A249" s="91" t="s">
        <v>2</v>
      </c>
      <c r="B249" s="90">
        <v>40</v>
      </c>
      <c r="C249" s="90">
        <v>8.25</v>
      </c>
      <c r="D249" s="90">
        <v>0</v>
      </c>
      <c r="E249" s="90">
        <v>4</v>
      </c>
      <c r="F249" s="90"/>
      <c r="G249" s="90"/>
      <c r="H249" s="90"/>
      <c r="I249" s="90"/>
    </row>
    <row r="250" spans="1:9" x14ac:dyDescent="0.45">
      <c r="A250" s="91" t="s">
        <v>37</v>
      </c>
      <c r="B250" s="90">
        <v>40</v>
      </c>
      <c r="C250" s="90">
        <v>16</v>
      </c>
      <c r="D250" s="90">
        <v>15</v>
      </c>
      <c r="E250" s="90">
        <v>15.5</v>
      </c>
      <c r="F250" s="90">
        <v>7</v>
      </c>
      <c r="G250" s="90"/>
      <c r="H250" s="90">
        <v>1</v>
      </c>
      <c r="I250" s="90">
        <v>1</v>
      </c>
    </row>
    <row r="251" spans="1:9" x14ac:dyDescent="0.45">
      <c r="A251" s="91" t="s">
        <v>189</v>
      </c>
      <c r="B251" s="90">
        <v>40</v>
      </c>
      <c r="C251" s="90">
        <v>15</v>
      </c>
      <c r="D251" s="90">
        <v>0</v>
      </c>
      <c r="E251" s="90">
        <v>0</v>
      </c>
      <c r="F251" s="90"/>
      <c r="G251" s="90"/>
      <c r="H251" s="90"/>
      <c r="I251" s="90"/>
    </row>
    <row r="252" spans="1:9" x14ac:dyDescent="0.45">
      <c r="A252" s="91" t="s">
        <v>58</v>
      </c>
      <c r="B252" s="90">
        <v>24</v>
      </c>
      <c r="C252" s="90">
        <v>0</v>
      </c>
      <c r="D252" s="90">
        <v>0</v>
      </c>
      <c r="E252" s="90">
        <v>0</v>
      </c>
      <c r="F252" s="90"/>
      <c r="G252" s="90"/>
      <c r="H252" s="90"/>
      <c r="I252" s="90"/>
    </row>
    <row r="253" spans="1:9" x14ac:dyDescent="0.45">
      <c r="A253" s="91" t="s">
        <v>94</v>
      </c>
      <c r="B253" s="90">
        <v>40</v>
      </c>
      <c r="C253" s="90">
        <v>10</v>
      </c>
      <c r="D253" s="90">
        <v>0</v>
      </c>
      <c r="E253" s="90">
        <v>0</v>
      </c>
      <c r="F253" s="90"/>
      <c r="G253" s="90"/>
      <c r="H253" s="90"/>
      <c r="I253" s="90"/>
    </row>
    <row r="254" spans="1:9" x14ac:dyDescent="0.45">
      <c r="A254" s="91" t="s">
        <v>92</v>
      </c>
      <c r="B254" s="90">
        <v>40</v>
      </c>
      <c r="C254" s="90">
        <v>13.25</v>
      </c>
      <c r="D254" s="90">
        <v>0</v>
      </c>
      <c r="E254" s="90">
        <v>0</v>
      </c>
      <c r="F254" s="90"/>
      <c r="G254" s="90"/>
      <c r="H254" s="90"/>
      <c r="I254" s="90"/>
    </row>
    <row r="255" spans="1:9" x14ac:dyDescent="0.45">
      <c r="A255" s="91" t="s">
        <v>190</v>
      </c>
      <c r="B255" s="90">
        <v>40</v>
      </c>
      <c r="C255" s="90">
        <v>8.25</v>
      </c>
      <c r="D255" s="90">
        <v>0</v>
      </c>
      <c r="E255" s="90">
        <v>0</v>
      </c>
      <c r="F255" s="90"/>
      <c r="G255" s="90"/>
      <c r="H255" s="90"/>
      <c r="I255" s="90"/>
    </row>
    <row r="256" spans="1:9" x14ac:dyDescent="0.45">
      <c r="A256" s="51">
        <v>45963</v>
      </c>
      <c r="B256" s="90">
        <v>350.25</v>
      </c>
      <c r="C256" s="90">
        <v>47</v>
      </c>
      <c r="D256" s="90">
        <v>0</v>
      </c>
      <c r="E256" s="90">
        <v>8</v>
      </c>
      <c r="F256" s="90"/>
      <c r="G256" s="90"/>
      <c r="H256" s="90"/>
      <c r="I256" s="90"/>
    </row>
    <row r="257" spans="1:9" x14ac:dyDescent="0.45">
      <c r="A257" s="52">
        <v>45963</v>
      </c>
      <c r="B257" s="90"/>
      <c r="C257" s="90"/>
      <c r="D257" s="90"/>
      <c r="E257" s="90"/>
      <c r="F257" s="90"/>
      <c r="G257" s="90"/>
      <c r="H257" s="90"/>
      <c r="I257" s="90"/>
    </row>
    <row r="258" spans="1:9" x14ac:dyDescent="0.45">
      <c r="A258" s="91" t="s">
        <v>3</v>
      </c>
      <c r="B258" s="90">
        <v>40</v>
      </c>
      <c r="C258" s="90">
        <v>1.25</v>
      </c>
      <c r="D258" s="90">
        <v>0</v>
      </c>
      <c r="E258" s="90">
        <v>0</v>
      </c>
      <c r="F258" s="90"/>
      <c r="G258" s="90"/>
      <c r="H258" s="90"/>
      <c r="I258" s="90"/>
    </row>
    <row r="259" spans="1:9" x14ac:dyDescent="0.45">
      <c r="A259" s="91" t="s">
        <v>21</v>
      </c>
      <c r="B259" s="90">
        <v>40</v>
      </c>
      <c r="C259" s="90">
        <v>1</v>
      </c>
      <c r="D259" s="90">
        <v>0</v>
      </c>
      <c r="E259" s="90">
        <v>0</v>
      </c>
      <c r="F259" s="90"/>
      <c r="G259" s="90"/>
      <c r="H259" s="90"/>
      <c r="I259" s="90"/>
    </row>
    <row r="260" spans="1:9" x14ac:dyDescent="0.45">
      <c r="A260" s="91" t="s">
        <v>39</v>
      </c>
      <c r="B260" s="90">
        <v>14.25</v>
      </c>
      <c r="C260" s="90">
        <v>0</v>
      </c>
      <c r="D260" s="90">
        <v>0</v>
      </c>
      <c r="E260" s="90">
        <v>0</v>
      </c>
      <c r="F260" s="90"/>
      <c r="G260" s="90"/>
      <c r="H260" s="90"/>
      <c r="I260" s="90"/>
    </row>
    <row r="261" spans="1:9" x14ac:dyDescent="0.45">
      <c r="A261" s="91" t="s">
        <v>2</v>
      </c>
      <c r="B261" s="90">
        <v>38.75</v>
      </c>
      <c r="C261" s="90">
        <v>0</v>
      </c>
      <c r="D261" s="90">
        <v>0</v>
      </c>
      <c r="E261" s="90">
        <v>4</v>
      </c>
      <c r="F261" s="90"/>
      <c r="G261" s="90"/>
      <c r="H261" s="90"/>
      <c r="I261" s="90"/>
    </row>
    <row r="262" spans="1:9" x14ac:dyDescent="0.45">
      <c r="A262" s="91" t="s">
        <v>37</v>
      </c>
      <c r="B262" s="90">
        <v>38.75</v>
      </c>
      <c r="C262" s="90">
        <v>0</v>
      </c>
      <c r="D262" s="90">
        <v>0</v>
      </c>
      <c r="E262" s="90">
        <v>4</v>
      </c>
      <c r="F262" s="90"/>
      <c r="G262" s="90"/>
      <c r="H262" s="90"/>
      <c r="I262" s="90"/>
    </row>
    <row r="263" spans="1:9" x14ac:dyDescent="0.45">
      <c r="A263" s="91" t="s">
        <v>189</v>
      </c>
      <c r="B263" s="90">
        <v>40</v>
      </c>
      <c r="C263" s="90">
        <v>19.25</v>
      </c>
      <c r="D263" s="90">
        <v>0</v>
      </c>
      <c r="E263" s="90">
        <v>0</v>
      </c>
      <c r="F263" s="90"/>
      <c r="G263" s="90"/>
      <c r="H263" s="90"/>
      <c r="I263" s="90"/>
    </row>
    <row r="264" spans="1:9" x14ac:dyDescent="0.45">
      <c r="A264" s="91" t="s">
        <v>58</v>
      </c>
      <c r="B264" s="90">
        <v>18.5</v>
      </c>
      <c r="C264" s="90">
        <v>0</v>
      </c>
      <c r="D264" s="90">
        <v>0</v>
      </c>
      <c r="E264" s="90">
        <v>0</v>
      </c>
      <c r="F264" s="90"/>
      <c r="G264" s="90"/>
      <c r="H264" s="90"/>
      <c r="I264" s="90"/>
    </row>
    <row r="265" spans="1:9" x14ac:dyDescent="0.45">
      <c r="A265" s="91" t="s">
        <v>94</v>
      </c>
      <c r="B265" s="90">
        <v>40</v>
      </c>
      <c r="C265" s="90">
        <v>15.25</v>
      </c>
      <c r="D265" s="90">
        <v>0</v>
      </c>
      <c r="E265" s="90">
        <v>0</v>
      </c>
      <c r="F265" s="90"/>
      <c r="G265" s="90"/>
      <c r="H265" s="90"/>
      <c r="I265" s="90"/>
    </row>
    <row r="266" spans="1:9" x14ac:dyDescent="0.45">
      <c r="A266" s="91" t="s">
        <v>92</v>
      </c>
      <c r="B266" s="90">
        <v>40</v>
      </c>
      <c r="C266" s="90">
        <v>4.5</v>
      </c>
      <c r="D266" s="90">
        <v>0</v>
      </c>
      <c r="E266" s="90">
        <v>0</v>
      </c>
      <c r="F266" s="90"/>
      <c r="G266" s="90"/>
      <c r="H266" s="90"/>
      <c r="I266" s="90"/>
    </row>
    <row r="267" spans="1:9" x14ac:dyDescent="0.45">
      <c r="A267" s="91" t="s">
        <v>190</v>
      </c>
      <c r="B267" s="90">
        <v>40</v>
      </c>
      <c r="C267" s="90">
        <v>5.75</v>
      </c>
      <c r="D267" s="90">
        <v>0</v>
      </c>
      <c r="E267" s="90">
        <v>0</v>
      </c>
      <c r="F267" s="90"/>
      <c r="G267" s="90"/>
      <c r="H267" s="90"/>
      <c r="I267" s="90"/>
    </row>
    <row r="268" spans="1:9" x14ac:dyDescent="0.45">
      <c r="A268" s="4" t="s">
        <v>14</v>
      </c>
      <c r="B268" s="90">
        <v>6542.75</v>
      </c>
      <c r="C268" s="90">
        <v>1310.5</v>
      </c>
      <c r="D268" s="90">
        <v>376.5</v>
      </c>
      <c r="E268" s="90">
        <v>621.25</v>
      </c>
      <c r="F268" s="90">
        <v>277</v>
      </c>
      <c r="G268" s="90"/>
      <c r="H268" s="90">
        <v>1</v>
      </c>
      <c r="I268" s="90">
        <v>23</v>
      </c>
    </row>
    <row r="269" spans="1:9" x14ac:dyDescent="0.45">
      <c r="A269"/>
      <c r="B269"/>
      <c r="C269"/>
      <c r="D269"/>
      <c r="E269"/>
      <c r="F269"/>
      <c r="G269"/>
      <c r="H269"/>
      <c r="I269"/>
    </row>
    <row r="270" spans="1:9" x14ac:dyDescent="0.45">
      <c r="A270"/>
      <c r="B270"/>
      <c r="C270"/>
      <c r="D270"/>
      <c r="E270"/>
      <c r="F270"/>
      <c r="G270"/>
      <c r="H270"/>
      <c r="I270"/>
    </row>
    <row r="271" spans="1:9" x14ac:dyDescent="0.45">
      <c r="A271"/>
      <c r="B271"/>
      <c r="C271"/>
      <c r="D271"/>
      <c r="E271"/>
      <c r="F271"/>
      <c r="G271"/>
      <c r="H271"/>
      <c r="I271"/>
    </row>
    <row r="272" spans="1:9" x14ac:dyDescent="0.45">
      <c r="A272"/>
      <c r="B272"/>
      <c r="C272"/>
      <c r="D272"/>
      <c r="E272"/>
      <c r="F272"/>
      <c r="G272"/>
      <c r="H272"/>
      <c r="I272"/>
    </row>
    <row r="273" spans="1:9" x14ac:dyDescent="0.45">
      <c r="A273"/>
      <c r="B273"/>
      <c r="C273"/>
      <c r="D273"/>
      <c r="E273"/>
      <c r="F273"/>
      <c r="G273"/>
      <c r="H273"/>
      <c r="I273"/>
    </row>
    <row r="274" spans="1:9" x14ac:dyDescent="0.45">
      <c r="A274"/>
      <c r="B274"/>
      <c r="C274"/>
      <c r="D274"/>
      <c r="E274"/>
      <c r="F274"/>
      <c r="G274"/>
      <c r="H274"/>
      <c r="I274"/>
    </row>
    <row r="275" spans="1:9" x14ac:dyDescent="0.45">
      <c r="A275"/>
      <c r="B275"/>
      <c r="C275"/>
      <c r="D275"/>
      <c r="E275"/>
      <c r="F275"/>
      <c r="G275"/>
      <c r="H275"/>
      <c r="I275"/>
    </row>
    <row r="276" spans="1:9" x14ac:dyDescent="0.45">
      <c r="A276"/>
      <c r="B276"/>
      <c r="C276"/>
      <c r="D276"/>
      <c r="E276"/>
      <c r="F276"/>
      <c r="G276"/>
      <c r="H276"/>
      <c r="I276"/>
    </row>
    <row r="277" spans="1:9" x14ac:dyDescent="0.45">
      <c r="A277"/>
      <c r="B277"/>
      <c r="C277"/>
      <c r="D277"/>
      <c r="E277"/>
      <c r="F277"/>
      <c r="G277"/>
      <c r="H277"/>
      <c r="I277"/>
    </row>
    <row r="278" spans="1:9" x14ac:dyDescent="0.45">
      <c r="A278"/>
      <c r="B278"/>
      <c r="C278"/>
      <c r="D278"/>
      <c r="E278"/>
      <c r="F278"/>
      <c r="G278"/>
      <c r="H278"/>
      <c r="I278"/>
    </row>
    <row r="279" spans="1:9" x14ac:dyDescent="0.45">
      <c r="A279"/>
      <c r="B279"/>
      <c r="C279"/>
      <c r="D279"/>
      <c r="E279"/>
      <c r="F279"/>
      <c r="G279"/>
      <c r="H279"/>
      <c r="I279"/>
    </row>
    <row r="280" spans="1:9" x14ac:dyDescent="0.45">
      <c r="A280"/>
      <c r="B280"/>
      <c r="C280"/>
      <c r="D280"/>
      <c r="E280"/>
      <c r="F280"/>
      <c r="G280"/>
      <c r="H280"/>
      <c r="I280"/>
    </row>
    <row r="281" spans="1:9" x14ac:dyDescent="0.45">
      <c r="A281"/>
      <c r="B281"/>
      <c r="C281"/>
      <c r="D281"/>
      <c r="E281"/>
      <c r="F281"/>
      <c r="G281"/>
      <c r="H281"/>
      <c r="I281"/>
    </row>
    <row r="282" spans="1:9" x14ac:dyDescent="0.45">
      <c r="A282"/>
      <c r="B282"/>
      <c r="C282"/>
      <c r="D282"/>
      <c r="E282"/>
      <c r="F282"/>
      <c r="G282"/>
      <c r="H282"/>
      <c r="I282"/>
    </row>
    <row r="283" spans="1:9" x14ac:dyDescent="0.45">
      <c r="A283"/>
      <c r="B283"/>
      <c r="C283"/>
      <c r="D283"/>
      <c r="E283"/>
      <c r="F283"/>
      <c r="G283"/>
      <c r="H283"/>
      <c r="I283"/>
    </row>
    <row r="284" spans="1:9" x14ac:dyDescent="0.45">
      <c r="A284"/>
      <c r="B284"/>
      <c r="C284"/>
      <c r="D284"/>
      <c r="E284"/>
      <c r="F284"/>
      <c r="G284"/>
      <c r="H284"/>
      <c r="I284"/>
    </row>
    <row r="285" spans="1:9" x14ac:dyDescent="0.45">
      <c r="A285"/>
      <c r="B285"/>
      <c r="C285"/>
      <c r="D285"/>
      <c r="E285"/>
      <c r="F285"/>
      <c r="G285"/>
      <c r="H285"/>
      <c r="I285"/>
    </row>
    <row r="286" spans="1:9" x14ac:dyDescent="0.45">
      <c r="A286"/>
      <c r="B286"/>
      <c r="C286"/>
      <c r="D286"/>
      <c r="E286"/>
      <c r="F286"/>
      <c r="G286"/>
      <c r="H286"/>
      <c r="I286"/>
    </row>
    <row r="287" spans="1:9" x14ac:dyDescent="0.45">
      <c r="A287"/>
      <c r="B287"/>
      <c r="C287"/>
      <c r="D287"/>
      <c r="E287"/>
      <c r="F287"/>
      <c r="G287"/>
      <c r="H287"/>
      <c r="I287"/>
    </row>
    <row r="288" spans="1:9" x14ac:dyDescent="0.45">
      <c r="A288"/>
      <c r="B288"/>
      <c r="C288"/>
      <c r="D288"/>
      <c r="E288"/>
      <c r="F288"/>
      <c r="G288"/>
      <c r="H288"/>
      <c r="I288"/>
    </row>
    <row r="289" spans="1:9" x14ac:dyDescent="0.45">
      <c r="A289"/>
      <c r="B289"/>
      <c r="C289"/>
      <c r="D289"/>
      <c r="E289"/>
      <c r="F289"/>
      <c r="G289"/>
      <c r="H289"/>
      <c r="I289"/>
    </row>
    <row r="290" spans="1:9" x14ac:dyDescent="0.45">
      <c r="A290"/>
      <c r="B290"/>
      <c r="C290"/>
      <c r="D290"/>
      <c r="E290"/>
      <c r="F290"/>
      <c r="G290"/>
      <c r="H290"/>
      <c r="I290"/>
    </row>
    <row r="291" spans="1:9" x14ac:dyDescent="0.45">
      <c r="A291"/>
      <c r="B291"/>
      <c r="C291"/>
      <c r="D291"/>
      <c r="E291"/>
      <c r="F291"/>
      <c r="G291"/>
      <c r="H291"/>
      <c r="I291"/>
    </row>
    <row r="292" spans="1:9" x14ac:dyDescent="0.45">
      <c r="A292"/>
      <c r="B292"/>
      <c r="C292"/>
      <c r="D292"/>
      <c r="E292"/>
      <c r="F292"/>
      <c r="G292"/>
      <c r="H292"/>
      <c r="I292"/>
    </row>
    <row r="293" spans="1:9" x14ac:dyDescent="0.45">
      <c r="A293"/>
      <c r="B293"/>
      <c r="C293"/>
      <c r="D293"/>
      <c r="E293"/>
      <c r="F293"/>
      <c r="G293"/>
      <c r="H293"/>
      <c r="I293"/>
    </row>
    <row r="294" spans="1:9" x14ac:dyDescent="0.45">
      <c r="A294"/>
      <c r="B294"/>
      <c r="C294"/>
      <c r="D294"/>
      <c r="E294"/>
      <c r="F294"/>
      <c r="G294"/>
      <c r="H294"/>
      <c r="I294"/>
    </row>
    <row r="295" spans="1:9" x14ac:dyDescent="0.45">
      <c r="A295"/>
      <c r="B295"/>
      <c r="C295"/>
      <c r="D295"/>
      <c r="E295"/>
      <c r="F295"/>
      <c r="G295"/>
      <c r="H295"/>
      <c r="I295"/>
    </row>
    <row r="296" spans="1:9" x14ac:dyDescent="0.45">
      <c r="A296"/>
      <c r="B296"/>
      <c r="C296"/>
      <c r="D296"/>
      <c r="E296"/>
      <c r="F296"/>
      <c r="G296"/>
      <c r="H296"/>
      <c r="I296"/>
    </row>
    <row r="297" spans="1:9" x14ac:dyDescent="0.45">
      <c r="A297"/>
      <c r="B297"/>
      <c r="C297"/>
      <c r="D297"/>
      <c r="E297"/>
      <c r="F297"/>
      <c r="G297"/>
      <c r="H297"/>
      <c r="I297"/>
    </row>
    <row r="298" spans="1:9" x14ac:dyDescent="0.45">
      <c r="A298"/>
      <c r="B298"/>
      <c r="C298"/>
      <c r="D298"/>
      <c r="E298"/>
      <c r="F298"/>
      <c r="G298"/>
      <c r="H298"/>
      <c r="I298"/>
    </row>
    <row r="299" spans="1:9" x14ac:dyDescent="0.45">
      <c r="A299"/>
      <c r="B299"/>
      <c r="C299"/>
      <c r="D299"/>
      <c r="E299"/>
      <c r="F299"/>
      <c r="G299"/>
      <c r="H299"/>
      <c r="I299"/>
    </row>
    <row r="300" spans="1:9" x14ac:dyDescent="0.45">
      <c r="A300"/>
      <c r="B300"/>
      <c r="C300"/>
      <c r="D300"/>
      <c r="E300"/>
      <c r="F300"/>
      <c r="G300"/>
      <c r="H300"/>
      <c r="I300"/>
    </row>
    <row r="301" spans="1:9" x14ac:dyDescent="0.45">
      <c r="A301"/>
      <c r="B301"/>
      <c r="C301"/>
      <c r="D301"/>
      <c r="E301"/>
      <c r="F301"/>
      <c r="G301"/>
      <c r="H301"/>
      <c r="I301"/>
    </row>
    <row r="302" spans="1:9" x14ac:dyDescent="0.45">
      <c r="A302"/>
      <c r="B302"/>
      <c r="C302"/>
      <c r="D302"/>
      <c r="E302"/>
      <c r="F302"/>
      <c r="G302"/>
      <c r="H302"/>
      <c r="I302"/>
    </row>
    <row r="303" spans="1:9" x14ac:dyDescent="0.45">
      <c r="A303"/>
      <c r="B303"/>
      <c r="C303"/>
      <c r="D303"/>
      <c r="E303"/>
      <c r="F303"/>
      <c r="G303"/>
      <c r="H303"/>
      <c r="I303"/>
    </row>
    <row r="304" spans="1:9" x14ac:dyDescent="0.45">
      <c r="A304"/>
      <c r="B304"/>
      <c r="C304"/>
      <c r="D304"/>
      <c r="E304"/>
      <c r="F304"/>
      <c r="G304"/>
      <c r="H304"/>
      <c r="I304"/>
    </row>
    <row r="305" spans="1:9" x14ac:dyDescent="0.45">
      <c r="A305"/>
      <c r="B305"/>
      <c r="C305"/>
      <c r="D305"/>
      <c r="E305"/>
      <c r="F305"/>
      <c r="G305"/>
      <c r="H305"/>
      <c r="I305"/>
    </row>
    <row r="306" spans="1:9" x14ac:dyDescent="0.45">
      <c r="A306"/>
      <c r="B306"/>
      <c r="C306"/>
      <c r="D306"/>
      <c r="E306"/>
      <c r="F306"/>
      <c r="G306"/>
      <c r="H306"/>
      <c r="I306"/>
    </row>
    <row r="307" spans="1:9" x14ac:dyDescent="0.45">
      <c r="A307"/>
      <c r="B307"/>
      <c r="C307"/>
      <c r="D307"/>
      <c r="E307"/>
      <c r="F307"/>
      <c r="G307"/>
      <c r="H307"/>
      <c r="I307"/>
    </row>
    <row r="308" spans="1:9" x14ac:dyDescent="0.45">
      <c r="A308"/>
      <c r="B308"/>
      <c r="C308"/>
      <c r="D308"/>
      <c r="E308"/>
      <c r="F308"/>
      <c r="G308"/>
      <c r="H308"/>
      <c r="I308"/>
    </row>
    <row r="309" spans="1:9" x14ac:dyDescent="0.45">
      <c r="A309"/>
      <c r="B309"/>
      <c r="C309"/>
      <c r="D309"/>
      <c r="E309"/>
      <c r="F309"/>
      <c r="G309"/>
      <c r="H309"/>
      <c r="I309"/>
    </row>
    <row r="310" spans="1:9" x14ac:dyDescent="0.45">
      <c r="A310"/>
      <c r="B310"/>
      <c r="C310"/>
      <c r="D310"/>
      <c r="E310"/>
      <c r="F310"/>
      <c r="G310"/>
      <c r="H310"/>
      <c r="I310"/>
    </row>
    <row r="311" spans="1:9" x14ac:dyDescent="0.45">
      <c r="A311"/>
      <c r="B311"/>
      <c r="C311"/>
      <c r="D311"/>
      <c r="E311"/>
      <c r="F311"/>
      <c r="G311"/>
      <c r="H311"/>
      <c r="I311"/>
    </row>
    <row r="312" spans="1:9" x14ac:dyDescent="0.45">
      <c r="A312"/>
      <c r="B312"/>
      <c r="C312"/>
      <c r="D312"/>
      <c r="E312"/>
      <c r="F312"/>
      <c r="G312"/>
      <c r="H312"/>
      <c r="I312"/>
    </row>
    <row r="313" spans="1:9" x14ac:dyDescent="0.45">
      <c r="A313"/>
      <c r="B313"/>
      <c r="C313"/>
      <c r="D313"/>
      <c r="E313"/>
      <c r="F313"/>
      <c r="G313"/>
      <c r="H313"/>
      <c r="I313"/>
    </row>
    <row r="314" spans="1:9" x14ac:dyDescent="0.45">
      <c r="A314"/>
      <c r="B314"/>
      <c r="C314"/>
      <c r="D314"/>
      <c r="E314"/>
      <c r="F314"/>
      <c r="G314"/>
      <c r="H314"/>
      <c r="I314"/>
    </row>
    <row r="315" spans="1:9" x14ac:dyDescent="0.45">
      <c r="A315"/>
      <c r="B315"/>
      <c r="C315"/>
      <c r="D315"/>
      <c r="E315"/>
      <c r="F315"/>
      <c r="G315"/>
      <c r="H315"/>
      <c r="I315"/>
    </row>
    <row r="316" spans="1:9" x14ac:dyDescent="0.45">
      <c r="A316"/>
      <c r="B316"/>
      <c r="C316"/>
      <c r="D316"/>
      <c r="E316"/>
      <c r="F316"/>
      <c r="G316"/>
      <c r="H316"/>
      <c r="I316"/>
    </row>
    <row r="317" spans="1:9" x14ac:dyDescent="0.45">
      <c r="A317"/>
      <c r="B317"/>
      <c r="C317"/>
      <c r="D317"/>
      <c r="E317"/>
      <c r="F317"/>
      <c r="G317"/>
      <c r="H317"/>
      <c r="I317"/>
    </row>
    <row r="318" spans="1:9" x14ac:dyDescent="0.45">
      <c r="A318"/>
      <c r="B318"/>
      <c r="C318"/>
      <c r="D318"/>
      <c r="E318"/>
      <c r="F318"/>
      <c r="G318"/>
      <c r="H318"/>
      <c r="I318"/>
    </row>
    <row r="319" spans="1:9" x14ac:dyDescent="0.45">
      <c r="A319"/>
      <c r="B319"/>
      <c r="C319"/>
      <c r="D319"/>
      <c r="E319"/>
      <c r="F319"/>
      <c r="G319"/>
      <c r="H319"/>
      <c r="I319"/>
    </row>
    <row r="320" spans="1:9" x14ac:dyDescent="0.45">
      <c r="A320"/>
      <c r="B320"/>
      <c r="C320"/>
      <c r="D320"/>
      <c r="E320"/>
      <c r="F320"/>
      <c r="G320"/>
      <c r="H320"/>
      <c r="I320"/>
    </row>
    <row r="321" spans="1:9" x14ac:dyDescent="0.45">
      <c r="A321"/>
      <c r="B321"/>
      <c r="C321"/>
      <c r="D321"/>
      <c r="E321"/>
      <c r="F321"/>
      <c r="G321"/>
      <c r="H321"/>
      <c r="I321"/>
    </row>
    <row r="322" spans="1:9" x14ac:dyDescent="0.45">
      <c r="A322"/>
      <c r="B322"/>
      <c r="C322"/>
      <c r="D322"/>
      <c r="E322"/>
      <c r="F322"/>
      <c r="G322"/>
      <c r="H322"/>
      <c r="I322"/>
    </row>
    <row r="323" spans="1:9" x14ac:dyDescent="0.45">
      <c r="A323"/>
      <c r="B323"/>
      <c r="C323"/>
      <c r="D323"/>
      <c r="E323"/>
      <c r="F323"/>
      <c r="G323"/>
      <c r="H323"/>
      <c r="I323"/>
    </row>
    <row r="324" spans="1:9" x14ac:dyDescent="0.45">
      <c r="A324"/>
      <c r="B324"/>
      <c r="C324"/>
      <c r="D324"/>
      <c r="E324"/>
      <c r="F324"/>
      <c r="G324"/>
      <c r="H324"/>
      <c r="I324"/>
    </row>
    <row r="325" spans="1:9" x14ac:dyDescent="0.45">
      <c r="A325"/>
      <c r="B325"/>
      <c r="C325"/>
      <c r="D325"/>
      <c r="E325"/>
      <c r="F325"/>
      <c r="G325"/>
      <c r="H325"/>
      <c r="I325"/>
    </row>
    <row r="326" spans="1:9" x14ac:dyDescent="0.45">
      <c r="A326"/>
      <c r="B326"/>
      <c r="C326"/>
      <c r="D326"/>
      <c r="E326"/>
      <c r="F326"/>
      <c r="G326"/>
      <c r="H326"/>
      <c r="I326"/>
    </row>
    <row r="327" spans="1:9" x14ac:dyDescent="0.45">
      <c r="A327"/>
      <c r="B327"/>
      <c r="C327"/>
      <c r="D327"/>
      <c r="E327"/>
      <c r="F327"/>
      <c r="G327"/>
      <c r="H327"/>
      <c r="I327"/>
    </row>
    <row r="328" spans="1:9" x14ac:dyDescent="0.45">
      <c r="A328"/>
      <c r="B328"/>
      <c r="C328"/>
      <c r="D328"/>
      <c r="E328"/>
      <c r="F328"/>
      <c r="G328"/>
      <c r="H328"/>
      <c r="I328"/>
    </row>
    <row r="329" spans="1:9" x14ac:dyDescent="0.45">
      <c r="A329"/>
      <c r="B329"/>
      <c r="C329"/>
      <c r="D329"/>
      <c r="E329"/>
      <c r="F329"/>
      <c r="G329"/>
      <c r="H329"/>
      <c r="I329"/>
    </row>
    <row r="330" spans="1:9" x14ac:dyDescent="0.45">
      <c r="A330"/>
      <c r="B330"/>
      <c r="C330"/>
      <c r="D330"/>
      <c r="E330"/>
      <c r="F330"/>
      <c r="G330"/>
      <c r="H330"/>
      <c r="I330"/>
    </row>
    <row r="331" spans="1:9" x14ac:dyDescent="0.45">
      <c r="A331"/>
      <c r="B331"/>
      <c r="C331"/>
      <c r="D331"/>
      <c r="E331"/>
      <c r="F331"/>
      <c r="G331"/>
      <c r="H331"/>
      <c r="I331"/>
    </row>
    <row r="332" spans="1:9" x14ac:dyDescent="0.45">
      <c r="A332"/>
      <c r="B332"/>
      <c r="C332"/>
      <c r="D332"/>
      <c r="E332"/>
      <c r="F332"/>
      <c r="G332"/>
      <c r="H332"/>
      <c r="I332"/>
    </row>
    <row r="333" spans="1:9" x14ac:dyDescent="0.45">
      <c r="A333"/>
      <c r="B333"/>
      <c r="C333"/>
      <c r="D333"/>
      <c r="E333"/>
      <c r="F333"/>
      <c r="G333"/>
      <c r="H333"/>
      <c r="I333"/>
    </row>
    <row r="334" spans="1:9" x14ac:dyDescent="0.45">
      <c r="A334"/>
      <c r="B334"/>
      <c r="C334"/>
      <c r="D334"/>
      <c r="E334"/>
      <c r="F334"/>
      <c r="G334"/>
      <c r="H334"/>
      <c r="I334"/>
    </row>
    <row r="335" spans="1:9" x14ac:dyDescent="0.45">
      <c r="A335"/>
      <c r="B335"/>
      <c r="C335"/>
      <c r="D335"/>
      <c r="E335"/>
      <c r="F335"/>
      <c r="G335"/>
      <c r="H335"/>
      <c r="I335"/>
    </row>
    <row r="336" spans="1:9" x14ac:dyDescent="0.45">
      <c r="A336"/>
      <c r="B336"/>
      <c r="C336"/>
      <c r="D336"/>
      <c r="E336"/>
      <c r="F336"/>
      <c r="G336"/>
      <c r="H336"/>
      <c r="I336"/>
    </row>
    <row r="337" spans="1:9" x14ac:dyDescent="0.45">
      <c r="A337"/>
      <c r="B337"/>
      <c r="C337"/>
      <c r="D337"/>
      <c r="E337"/>
      <c r="F337"/>
      <c r="G337"/>
      <c r="H337"/>
      <c r="I337"/>
    </row>
    <row r="338" spans="1:9" x14ac:dyDescent="0.45">
      <c r="A338"/>
      <c r="B338"/>
      <c r="C338"/>
      <c r="D338"/>
      <c r="E338"/>
      <c r="F338"/>
      <c r="G338"/>
      <c r="H338"/>
      <c r="I338"/>
    </row>
    <row r="339" spans="1:9" x14ac:dyDescent="0.45">
      <c r="A339"/>
      <c r="B339"/>
      <c r="C339"/>
      <c r="D339"/>
      <c r="E339"/>
      <c r="F339"/>
      <c r="G339"/>
      <c r="H339"/>
      <c r="I339"/>
    </row>
    <row r="340" spans="1:9" x14ac:dyDescent="0.45">
      <c r="A340"/>
      <c r="B340"/>
      <c r="C340"/>
      <c r="D340"/>
      <c r="E340"/>
      <c r="F340"/>
      <c r="G340"/>
      <c r="H340"/>
      <c r="I340"/>
    </row>
    <row r="341" spans="1:9" x14ac:dyDescent="0.45">
      <c r="A341"/>
      <c r="B341"/>
      <c r="C341"/>
      <c r="D341"/>
      <c r="E341"/>
      <c r="F341"/>
      <c r="G341"/>
      <c r="H341"/>
      <c r="I341"/>
    </row>
    <row r="342" spans="1:9" x14ac:dyDescent="0.45">
      <c r="A342"/>
      <c r="B342"/>
      <c r="C342"/>
      <c r="D342"/>
      <c r="E342"/>
      <c r="F342"/>
      <c r="G342"/>
      <c r="H342"/>
      <c r="I342"/>
    </row>
    <row r="343" spans="1:9" x14ac:dyDescent="0.45">
      <c r="A343"/>
      <c r="B343"/>
      <c r="C343"/>
      <c r="D343"/>
      <c r="E343"/>
      <c r="F343"/>
      <c r="G343"/>
      <c r="H343"/>
      <c r="I343"/>
    </row>
    <row r="344" spans="1:9" x14ac:dyDescent="0.45">
      <c r="A344"/>
      <c r="B344"/>
      <c r="C344"/>
      <c r="D344"/>
      <c r="E344"/>
      <c r="F344"/>
      <c r="G344"/>
      <c r="H344"/>
      <c r="I344"/>
    </row>
    <row r="345" spans="1:9" x14ac:dyDescent="0.45">
      <c r="A345"/>
      <c r="B345"/>
      <c r="C345"/>
      <c r="D345"/>
      <c r="E345"/>
      <c r="F345"/>
      <c r="G345"/>
      <c r="H345"/>
      <c r="I345"/>
    </row>
    <row r="346" spans="1:9" x14ac:dyDescent="0.45">
      <c r="A346"/>
      <c r="B346"/>
      <c r="C346"/>
      <c r="D346"/>
      <c r="E346"/>
      <c r="F346"/>
      <c r="G346"/>
      <c r="H346"/>
      <c r="I346"/>
    </row>
    <row r="347" spans="1:9" x14ac:dyDescent="0.45">
      <c r="A347"/>
      <c r="B347"/>
      <c r="C347"/>
      <c r="D347"/>
      <c r="E347"/>
      <c r="F347"/>
      <c r="G347"/>
      <c r="H347"/>
      <c r="I347"/>
    </row>
    <row r="348" spans="1:9" x14ac:dyDescent="0.45">
      <c r="A348"/>
      <c r="B348"/>
      <c r="C348"/>
      <c r="D348"/>
      <c r="E348"/>
      <c r="F348"/>
      <c r="G348"/>
      <c r="H348"/>
      <c r="I348"/>
    </row>
    <row r="349" spans="1:9" x14ac:dyDescent="0.45">
      <c r="A349"/>
      <c r="B349"/>
      <c r="C349"/>
      <c r="D349"/>
      <c r="E349"/>
      <c r="F349"/>
      <c r="G349"/>
      <c r="H349"/>
      <c r="I349"/>
    </row>
    <row r="350" spans="1:9" x14ac:dyDescent="0.45">
      <c r="A350"/>
      <c r="B350"/>
      <c r="C350"/>
      <c r="D350"/>
      <c r="E350"/>
      <c r="F350"/>
      <c r="G350"/>
      <c r="H350"/>
      <c r="I350"/>
    </row>
    <row r="351" spans="1:9" x14ac:dyDescent="0.45">
      <c r="A351"/>
      <c r="B351"/>
      <c r="C351"/>
      <c r="D351"/>
      <c r="E351"/>
      <c r="F351"/>
      <c r="G351"/>
      <c r="H351"/>
      <c r="I351"/>
    </row>
    <row r="352" spans="1:9" x14ac:dyDescent="0.45">
      <c r="A352"/>
      <c r="B352"/>
      <c r="C352"/>
      <c r="D352"/>
      <c r="E352"/>
      <c r="F352"/>
      <c r="G352"/>
      <c r="H352"/>
      <c r="I352"/>
    </row>
    <row r="353" spans="1:9" x14ac:dyDescent="0.45">
      <c r="A353"/>
      <c r="B353"/>
      <c r="C353"/>
      <c r="D353"/>
      <c r="E353"/>
      <c r="F353"/>
      <c r="G353"/>
      <c r="H353"/>
      <c r="I353"/>
    </row>
    <row r="354" spans="1:9" x14ac:dyDescent="0.45">
      <c r="A354"/>
      <c r="B354"/>
      <c r="C354"/>
      <c r="D354"/>
      <c r="E354"/>
      <c r="F354"/>
      <c r="G354"/>
      <c r="H354"/>
      <c r="I354"/>
    </row>
    <row r="355" spans="1:9" x14ac:dyDescent="0.45">
      <c r="A355"/>
      <c r="B355"/>
      <c r="C355"/>
      <c r="D355"/>
      <c r="E355"/>
      <c r="F355"/>
      <c r="G355"/>
      <c r="H355"/>
      <c r="I355"/>
    </row>
    <row r="356" spans="1:9" x14ac:dyDescent="0.45">
      <c r="A356"/>
      <c r="B356"/>
      <c r="C356"/>
      <c r="D356"/>
      <c r="E356"/>
      <c r="F356"/>
      <c r="G356"/>
      <c r="H356"/>
      <c r="I356"/>
    </row>
    <row r="357" spans="1:9" x14ac:dyDescent="0.45">
      <c r="A357"/>
      <c r="B357"/>
      <c r="C357"/>
      <c r="D357"/>
      <c r="E357"/>
      <c r="F357"/>
      <c r="G357"/>
      <c r="H357"/>
      <c r="I357"/>
    </row>
    <row r="358" spans="1:9" x14ac:dyDescent="0.45">
      <c r="A358"/>
      <c r="B358"/>
      <c r="C358"/>
      <c r="D358"/>
      <c r="E358"/>
      <c r="F358"/>
      <c r="G358"/>
      <c r="H358"/>
      <c r="I358"/>
    </row>
    <row r="359" spans="1:9" x14ac:dyDescent="0.45">
      <c r="A359"/>
      <c r="B359"/>
      <c r="C359"/>
      <c r="D359"/>
      <c r="E359"/>
      <c r="F359"/>
      <c r="G359"/>
      <c r="H359"/>
      <c r="I359"/>
    </row>
    <row r="360" spans="1:9" x14ac:dyDescent="0.45">
      <c r="A360"/>
      <c r="B360"/>
      <c r="C360"/>
      <c r="D360"/>
      <c r="E360"/>
      <c r="F360"/>
      <c r="G360"/>
      <c r="H360"/>
      <c r="I360"/>
    </row>
    <row r="361" spans="1:9" x14ac:dyDescent="0.45">
      <c r="A361"/>
      <c r="B361"/>
      <c r="C361"/>
      <c r="D361"/>
      <c r="E361"/>
      <c r="F361"/>
      <c r="G361"/>
      <c r="H361"/>
      <c r="I361"/>
    </row>
    <row r="362" spans="1:9" x14ac:dyDescent="0.45">
      <c r="A362"/>
      <c r="B362"/>
      <c r="C362"/>
      <c r="D362"/>
      <c r="E362"/>
      <c r="F362"/>
      <c r="G362"/>
      <c r="H362"/>
      <c r="I362"/>
    </row>
    <row r="363" spans="1:9" x14ac:dyDescent="0.45">
      <c r="A363"/>
      <c r="B363"/>
      <c r="C363"/>
      <c r="D363"/>
      <c r="E363"/>
      <c r="F363"/>
      <c r="G363"/>
      <c r="H363"/>
      <c r="I363"/>
    </row>
    <row r="364" spans="1:9" x14ac:dyDescent="0.45">
      <c r="A364"/>
      <c r="B364"/>
      <c r="C364"/>
      <c r="D364"/>
      <c r="E364"/>
      <c r="F364"/>
      <c r="G364"/>
      <c r="H364"/>
      <c r="I364"/>
    </row>
    <row r="365" spans="1:9" x14ac:dyDescent="0.45">
      <c r="A365"/>
      <c r="B365"/>
      <c r="C365"/>
      <c r="D365"/>
      <c r="E365"/>
      <c r="F365"/>
      <c r="G365"/>
      <c r="H365"/>
      <c r="I365"/>
    </row>
    <row r="366" spans="1:9" x14ac:dyDescent="0.45">
      <c r="A366"/>
      <c r="B366"/>
      <c r="C366"/>
      <c r="D366"/>
      <c r="E366"/>
      <c r="F366"/>
      <c r="G366"/>
      <c r="H366"/>
      <c r="I366"/>
    </row>
    <row r="367" spans="1:9" x14ac:dyDescent="0.45">
      <c r="A367"/>
      <c r="B367"/>
      <c r="C367"/>
      <c r="D367"/>
      <c r="E367"/>
      <c r="F367"/>
      <c r="G367"/>
      <c r="H367"/>
      <c r="I367"/>
    </row>
    <row r="368" spans="1:9" x14ac:dyDescent="0.45">
      <c r="A368"/>
      <c r="B368"/>
      <c r="C368"/>
      <c r="D368"/>
      <c r="E368"/>
      <c r="F368"/>
      <c r="G368"/>
      <c r="H368"/>
      <c r="I368"/>
    </row>
    <row r="369" spans="1:9" x14ac:dyDescent="0.45">
      <c r="A369"/>
      <c r="B369"/>
      <c r="C369"/>
      <c r="D369"/>
      <c r="E369"/>
      <c r="F369"/>
      <c r="G369"/>
      <c r="H369"/>
      <c r="I369"/>
    </row>
    <row r="370" spans="1:9" x14ac:dyDescent="0.45">
      <c r="A370"/>
      <c r="B370"/>
      <c r="C370"/>
      <c r="D370"/>
      <c r="E370"/>
      <c r="F370"/>
      <c r="G370"/>
      <c r="H370"/>
      <c r="I370"/>
    </row>
    <row r="371" spans="1:9" x14ac:dyDescent="0.45">
      <c r="A371"/>
      <c r="B371"/>
      <c r="C371"/>
      <c r="D371"/>
      <c r="E371"/>
      <c r="F371"/>
      <c r="G371"/>
      <c r="H371"/>
      <c r="I371"/>
    </row>
    <row r="372" spans="1:9" x14ac:dyDescent="0.45">
      <c r="A372"/>
      <c r="B372"/>
      <c r="C372"/>
      <c r="D372"/>
      <c r="E372"/>
      <c r="F372"/>
      <c r="G372"/>
      <c r="H372"/>
      <c r="I372"/>
    </row>
    <row r="373" spans="1:9" x14ac:dyDescent="0.45">
      <c r="A373"/>
      <c r="B373"/>
      <c r="C373"/>
      <c r="D373"/>
      <c r="E373"/>
      <c r="F373"/>
      <c r="G373"/>
      <c r="H373"/>
      <c r="I373"/>
    </row>
    <row r="374" spans="1:9" x14ac:dyDescent="0.45">
      <c r="A374"/>
      <c r="B374"/>
      <c r="C374"/>
      <c r="D374"/>
      <c r="E374"/>
      <c r="F374"/>
      <c r="G374"/>
      <c r="H374"/>
      <c r="I374"/>
    </row>
    <row r="375" spans="1:9" x14ac:dyDescent="0.45">
      <c r="A375"/>
      <c r="B375"/>
      <c r="C375"/>
      <c r="D375"/>
      <c r="E375"/>
      <c r="F375"/>
      <c r="G375"/>
      <c r="H375"/>
      <c r="I375"/>
    </row>
    <row r="376" spans="1:9" x14ac:dyDescent="0.45">
      <c r="A376"/>
      <c r="B376"/>
      <c r="C376"/>
      <c r="D376"/>
      <c r="E376"/>
      <c r="F376"/>
      <c r="G376"/>
      <c r="H376"/>
      <c r="I376"/>
    </row>
    <row r="377" spans="1:9" x14ac:dyDescent="0.45">
      <c r="A377"/>
      <c r="B377"/>
      <c r="C377"/>
      <c r="D377"/>
      <c r="E377"/>
      <c r="F377"/>
      <c r="G377"/>
      <c r="H377"/>
      <c r="I377"/>
    </row>
    <row r="378" spans="1:9" x14ac:dyDescent="0.45">
      <c r="A378"/>
      <c r="B378"/>
      <c r="C378"/>
      <c r="D378"/>
      <c r="E378"/>
      <c r="F378"/>
      <c r="G378"/>
      <c r="H378"/>
      <c r="I378"/>
    </row>
    <row r="379" spans="1:9" x14ac:dyDescent="0.45">
      <c r="A379"/>
      <c r="B379"/>
      <c r="C379"/>
      <c r="D379"/>
      <c r="E379"/>
      <c r="F379"/>
      <c r="G379"/>
      <c r="H379"/>
      <c r="I379"/>
    </row>
    <row r="380" spans="1:9" x14ac:dyDescent="0.45">
      <c r="A380"/>
      <c r="B380"/>
      <c r="C380"/>
      <c r="D380"/>
      <c r="E380"/>
      <c r="F380"/>
      <c r="G380"/>
      <c r="H380"/>
      <c r="I380"/>
    </row>
    <row r="381" spans="1:9" x14ac:dyDescent="0.45">
      <c r="A381"/>
      <c r="B381"/>
      <c r="C381"/>
      <c r="D381"/>
      <c r="E381"/>
      <c r="F381"/>
      <c r="G381"/>
      <c r="H381"/>
      <c r="I381"/>
    </row>
    <row r="382" spans="1:9" x14ac:dyDescent="0.45">
      <c r="A382"/>
      <c r="B382"/>
      <c r="C382"/>
      <c r="D382"/>
      <c r="E382"/>
      <c r="F382"/>
      <c r="G382"/>
      <c r="H382"/>
      <c r="I382"/>
    </row>
    <row r="383" spans="1:9" x14ac:dyDescent="0.45">
      <c r="A383"/>
      <c r="B383"/>
      <c r="C383"/>
      <c r="D383"/>
      <c r="E383"/>
      <c r="F383"/>
      <c r="G383"/>
      <c r="H383"/>
      <c r="I383"/>
    </row>
    <row r="384" spans="1:9" x14ac:dyDescent="0.45">
      <c r="A384"/>
      <c r="B384"/>
      <c r="C384"/>
      <c r="D384"/>
      <c r="E384"/>
      <c r="F384"/>
      <c r="G384"/>
      <c r="H384"/>
      <c r="I384"/>
    </row>
    <row r="385" spans="1:9" x14ac:dyDescent="0.45">
      <c r="A385"/>
      <c r="B385"/>
      <c r="C385"/>
      <c r="D385"/>
      <c r="E385"/>
      <c r="F385"/>
      <c r="G385"/>
      <c r="H385"/>
      <c r="I385"/>
    </row>
    <row r="386" spans="1:9" x14ac:dyDescent="0.45">
      <c r="A386"/>
      <c r="B386"/>
      <c r="C386"/>
      <c r="D386"/>
      <c r="E386"/>
      <c r="F386"/>
      <c r="G386"/>
      <c r="H386"/>
      <c r="I386"/>
    </row>
    <row r="387" spans="1:9" x14ac:dyDescent="0.45">
      <c r="A387"/>
      <c r="B387"/>
      <c r="C387"/>
      <c r="D387"/>
      <c r="E387"/>
      <c r="F387"/>
      <c r="G387"/>
      <c r="H387"/>
      <c r="I387"/>
    </row>
    <row r="388" spans="1:9" x14ac:dyDescent="0.45">
      <c r="A388"/>
      <c r="B388"/>
      <c r="C388"/>
      <c r="D388"/>
      <c r="E388"/>
      <c r="F388"/>
      <c r="G388"/>
      <c r="H388"/>
      <c r="I388"/>
    </row>
    <row r="389" spans="1:9" x14ac:dyDescent="0.45">
      <c r="A389"/>
      <c r="B389"/>
      <c r="C389"/>
      <c r="D389"/>
      <c r="E389"/>
      <c r="F389"/>
      <c r="G389"/>
      <c r="H389"/>
      <c r="I389"/>
    </row>
    <row r="390" spans="1:9" x14ac:dyDescent="0.45">
      <c r="A390"/>
      <c r="B390"/>
      <c r="C390"/>
      <c r="D390"/>
      <c r="E390"/>
      <c r="F390"/>
      <c r="G390"/>
      <c r="H390"/>
      <c r="I390"/>
    </row>
    <row r="391" spans="1:9" x14ac:dyDescent="0.45">
      <c r="A391"/>
      <c r="B391"/>
      <c r="C391"/>
      <c r="D391"/>
      <c r="E391"/>
      <c r="F391"/>
      <c r="G391"/>
      <c r="H391"/>
      <c r="I391"/>
    </row>
    <row r="392" spans="1:9" x14ac:dyDescent="0.45">
      <c r="A392"/>
      <c r="B392"/>
      <c r="C392"/>
      <c r="D392"/>
      <c r="E392"/>
      <c r="F392"/>
      <c r="G392"/>
      <c r="H392"/>
      <c r="I392"/>
    </row>
    <row r="393" spans="1:9" x14ac:dyDescent="0.45">
      <c r="A393"/>
      <c r="B393"/>
      <c r="C393"/>
      <c r="D393"/>
      <c r="E393"/>
      <c r="F393"/>
      <c r="G393"/>
      <c r="H393"/>
      <c r="I393"/>
    </row>
    <row r="394" spans="1:9" x14ac:dyDescent="0.45">
      <c r="A394"/>
      <c r="B394"/>
      <c r="C394"/>
      <c r="D394"/>
      <c r="E394"/>
      <c r="F394"/>
      <c r="G394"/>
      <c r="H394"/>
      <c r="I394"/>
    </row>
    <row r="395" spans="1:9" x14ac:dyDescent="0.45">
      <c r="A395"/>
      <c r="B395"/>
      <c r="C395"/>
      <c r="D395"/>
      <c r="E395"/>
      <c r="F395"/>
      <c r="G395"/>
      <c r="H395"/>
      <c r="I395"/>
    </row>
    <row r="396" spans="1:9" x14ac:dyDescent="0.45">
      <c r="A396"/>
      <c r="B396"/>
      <c r="C396"/>
      <c r="D396"/>
      <c r="E396"/>
      <c r="F396"/>
      <c r="G396"/>
      <c r="H396"/>
      <c r="I396"/>
    </row>
    <row r="397" spans="1:9" x14ac:dyDescent="0.45">
      <c r="A397"/>
      <c r="B397"/>
      <c r="C397"/>
      <c r="D397"/>
      <c r="E397"/>
      <c r="F397"/>
      <c r="G397"/>
      <c r="H397"/>
      <c r="I397"/>
    </row>
    <row r="398" spans="1:9" x14ac:dyDescent="0.45">
      <c r="A398"/>
      <c r="B398"/>
      <c r="C398"/>
      <c r="D398"/>
      <c r="E398"/>
      <c r="F398"/>
      <c r="G398"/>
      <c r="H398"/>
      <c r="I398"/>
    </row>
    <row r="399" spans="1:9" x14ac:dyDescent="0.45">
      <c r="A399"/>
      <c r="B399"/>
      <c r="C399"/>
      <c r="D399"/>
      <c r="E399"/>
      <c r="F399"/>
      <c r="G399"/>
      <c r="H399"/>
      <c r="I399"/>
    </row>
    <row r="400" spans="1:9" x14ac:dyDescent="0.45">
      <c r="A400"/>
      <c r="B400"/>
      <c r="C400"/>
      <c r="D400"/>
      <c r="E400"/>
      <c r="F400"/>
      <c r="G400"/>
      <c r="H400"/>
      <c r="I400"/>
    </row>
    <row r="401" spans="1:9" x14ac:dyDescent="0.45">
      <c r="A401"/>
      <c r="B401"/>
      <c r="C401"/>
      <c r="D401"/>
      <c r="E401"/>
      <c r="F401"/>
      <c r="G401"/>
      <c r="H401"/>
      <c r="I401"/>
    </row>
    <row r="402" spans="1:9" x14ac:dyDescent="0.45">
      <c r="A402"/>
      <c r="B402"/>
      <c r="C402"/>
      <c r="D402"/>
      <c r="E402"/>
      <c r="F402"/>
      <c r="G402"/>
      <c r="H402"/>
      <c r="I402"/>
    </row>
    <row r="403" spans="1:9" x14ac:dyDescent="0.45">
      <c r="A403"/>
      <c r="B403"/>
      <c r="C403"/>
      <c r="D403"/>
      <c r="E403"/>
      <c r="F403"/>
      <c r="G403"/>
      <c r="H403"/>
      <c r="I403"/>
    </row>
    <row r="404" spans="1:9" x14ac:dyDescent="0.45">
      <c r="A404"/>
      <c r="B404"/>
      <c r="C404"/>
      <c r="D404"/>
      <c r="E404"/>
      <c r="F404"/>
      <c r="G404"/>
      <c r="H404"/>
      <c r="I404"/>
    </row>
    <row r="405" spans="1:9" x14ac:dyDescent="0.45">
      <c r="A405"/>
      <c r="B405"/>
      <c r="C405"/>
      <c r="D405"/>
      <c r="E405"/>
      <c r="F405"/>
      <c r="G405"/>
      <c r="H405"/>
      <c r="I405"/>
    </row>
    <row r="406" spans="1:9" x14ac:dyDescent="0.45">
      <c r="A406"/>
      <c r="B406"/>
      <c r="C406"/>
      <c r="D406"/>
      <c r="E406"/>
      <c r="F406"/>
      <c r="G406"/>
      <c r="H406"/>
      <c r="I406"/>
    </row>
    <row r="407" spans="1:9" x14ac:dyDescent="0.45">
      <c r="A407"/>
      <c r="B407"/>
      <c r="C407"/>
      <c r="D407"/>
      <c r="E407"/>
      <c r="F407"/>
      <c r="G407"/>
      <c r="H407"/>
      <c r="I407"/>
    </row>
    <row r="408" spans="1:9" x14ac:dyDescent="0.45">
      <c r="A408"/>
      <c r="B408"/>
      <c r="C408"/>
      <c r="D408"/>
      <c r="E408"/>
      <c r="F408"/>
      <c r="G408"/>
      <c r="H408"/>
      <c r="I408"/>
    </row>
    <row r="409" spans="1:9" x14ac:dyDescent="0.45">
      <c r="A409"/>
      <c r="B409"/>
      <c r="C409"/>
      <c r="D409"/>
      <c r="E409"/>
      <c r="F409"/>
      <c r="G409"/>
      <c r="H409"/>
      <c r="I409"/>
    </row>
    <row r="410" spans="1:9" x14ac:dyDescent="0.45">
      <c r="A410"/>
      <c r="B410"/>
      <c r="C410"/>
      <c r="D410"/>
      <c r="E410"/>
      <c r="F410"/>
      <c r="G410"/>
      <c r="H410"/>
      <c r="I410"/>
    </row>
    <row r="411" spans="1:9" x14ac:dyDescent="0.45">
      <c r="A411"/>
      <c r="B411"/>
      <c r="C411"/>
      <c r="D411"/>
      <c r="E411"/>
      <c r="F411"/>
      <c r="G411"/>
      <c r="H411"/>
      <c r="I411"/>
    </row>
    <row r="412" spans="1:9" x14ac:dyDescent="0.45">
      <c r="A412"/>
      <c r="B412"/>
      <c r="C412"/>
      <c r="D412"/>
      <c r="E412"/>
      <c r="F412"/>
      <c r="G412"/>
      <c r="H412"/>
      <c r="I412"/>
    </row>
    <row r="413" spans="1:9" x14ac:dyDescent="0.45">
      <c r="A413"/>
      <c r="B413"/>
      <c r="C413"/>
      <c r="D413"/>
      <c r="E413"/>
      <c r="F413"/>
      <c r="G413"/>
      <c r="H413"/>
      <c r="I413"/>
    </row>
    <row r="414" spans="1:9" x14ac:dyDescent="0.45">
      <c r="A414"/>
      <c r="B414"/>
      <c r="C414"/>
      <c r="D414"/>
      <c r="E414"/>
      <c r="F414"/>
      <c r="G414"/>
      <c r="H414"/>
      <c r="I414"/>
    </row>
    <row r="415" spans="1:9" x14ac:dyDescent="0.45">
      <c r="A415"/>
      <c r="B415"/>
      <c r="C415"/>
      <c r="D415"/>
      <c r="E415"/>
      <c r="F415"/>
      <c r="G415"/>
      <c r="H415"/>
      <c r="I415"/>
    </row>
    <row r="416" spans="1:9" x14ac:dyDescent="0.45">
      <c r="A416"/>
      <c r="B416"/>
      <c r="C416"/>
      <c r="D416"/>
      <c r="E416"/>
      <c r="F416"/>
      <c r="G416"/>
      <c r="H416"/>
      <c r="I416"/>
    </row>
    <row r="417" spans="1:9" x14ac:dyDescent="0.45">
      <c r="A417"/>
      <c r="B417"/>
      <c r="C417"/>
      <c r="D417"/>
      <c r="E417"/>
      <c r="F417"/>
      <c r="G417"/>
      <c r="H417"/>
      <c r="I417"/>
    </row>
    <row r="418" spans="1:9" x14ac:dyDescent="0.45">
      <c r="A418"/>
      <c r="B418"/>
      <c r="C418"/>
      <c r="D418"/>
      <c r="E418"/>
      <c r="F418"/>
      <c r="G418"/>
      <c r="H418"/>
      <c r="I418"/>
    </row>
    <row r="419" spans="1:9" x14ac:dyDescent="0.45">
      <c r="A419"/>
      <c r="B419"/>
      <c r="C419"/>
      <c r="D419"/>
      <c r="E419"/>
      <c r="F419"/>
      <c r="G419"/>
      <c r="H419"/>
      <c r="I419"/>
    </row>
    <row r="420" spans="1:9" x14ac:dyDescent="0.45">
      <c r="A420"/>
      <c r="B420"/>
      <c r="C420"/>
      <c r="D420"/>
      <c r="E420"/>
      <c r="F420"/>
      <c r="G420"/>
      <c r="H420"/>
      <c r="I420"/>
    </row>
    <row r="421" spans="1:9" x14ac:dyDescent="0.45">
      <c r="A421"/>
      <c r="B421"/>
      <c r="C421"/>
      <c r="D421"/>
      <c r="E421"/>
      <c r="F421"/>
      <c r="G421"/>
      <c r="H421"/>
      <c r="I421"/>
    </row>
    <row r="422" spans="1:9" x14ac:dyDescent="0.45">
      <c r="A422"/>
      <c r="B422"/>
      <c r="C422"/>
      <c r="D422"/>
      <c r="E422"/>
      <c r="F422"/>
      <c r="G422"/>
      <c r="H422"/>
      <c r="I422"/>
    </row>
    <row r="423" spans="1:9" x14ac:dyDescent="0.45">
      <c r="A423"/>
      <c r="B423"/>
      <c r="C423"/>
      <c r="D423"/>
      <c r="E423"/>
      <c r="F423"/>
      <c r="G423"/>
      <c r="H423"/>
      <c r="I423"/>
    </row>
    <row r="424" spans="1:9" x14ac:dyDescent="0.45">
      <c r="A424"/>
      <c r="B424"/>
      <c r="C424"/>
      <c r="D424"/>
      <c r="E424"/>
      <c r="F424"/>
      <c r="G424"/>
      <c r="H424"/>
      <c r="I424"/>
    </row>
    <row r="425" spans="1:9" x14ac:dyDescent="0.45">
      <c r="A425"/>
      <c r="B425"/>
      <c r="C425"/>
      <c r="D425"/>
      <c r="E425"/>
      <c r="F425"/>
      <c r="G425"/>
      <c r="H425"/>
      <c r="I425"/>
    </row>
    <row r="426" spans="1:9" x14ac:dyDescent="0.45">
      <c r="A426"/>
      <c r="B426"/>
      <c r="C426"/>
      <c r="D426"/>
      <c r="E426"/>
      <c r="F426"/>
      <c r="G426"/>
      <c r="H426"/>
      <c r="I426"/>
    </row>
    <row r="427" spans="1:9" x14ac:dyDescent="0.45">
      <c r="A427"/>
      <c r="B427"/>
      <c r="C427"/>
      <c r="D427"/>
      <c r="E427"/>
      <c r="F427"/>
      <c r="G427"/>
      <c r="H427"/>
      <c r="I427"/>
    </row>
    <row r="428" spans="1:9" x14ac:dyDescent="0.45">
      <c r="A428"/>
      <c r="B428"/>
      <c r="C428"/>
      <c r="D428"/>
      <c r="E428"/>
      <c r="F428"/>
      <c r="G428"/>
      <c r="H428"/>
      <c r="I428"/>
    </row>
    <row r="429" spans="1:9" x14ac:dyDescent="0.45">
      <c r="A429"/>
      <c r="B429"/>
      <c r="C429"/>
      <c r="D429"/>
      <c r="E429"/>
      <c r="F429"/>
      <c r="G429"/>
      <c r="H429"/>
      <c r="I429"/>
    </row>
    <row r="430" spans="1:9" x14ac:dyDescent="0.45">
      <c r="A430"/>
      <c r="B430"/>
      <c r="C430"/>
      <c r="D430"/>
      <c r="E430"/>
      <c r="F430"/>
      <c r="G430"/>
      <c r="H430"/>
      <c r="I430"/>
    </row>
    <row r="431" spans="1:9" x14ac:dyDescent="0.45">
      <c r="A431"/>
      <c r="B431"/>
      <c r="C431"/>
      <c r="D431"/>
      <c r="E431"/>
      <c r="F431"/>
      <c r="G431"/>
      <c r="H431"/>
      <c r="I431"/>
    </row>
    <row r="432" spans="1:9" x14ac:dyDescent="0.45">
      <c r="A432"/>
      <c r="B432"/>
      <c r="C432"/>
      <c r="D432"/>
      <c r="E432"/>
      <c r="F432"/>
      <c r="G432"/>
      <c r="H432"/>
      <c r="I432"/>
    </row>
    <row r="433" spans="1:9" x14ac:dyDescent="0.45">
      <c r="A433"/>
      <c r="B433"/>
      <c r="C433"/>
      <c r="D433"/>
      <c r="E433"/>
      <c r="F433"/>
      <c r="G433"/>
      <c r="H433"/>
      <c r="I433"/>
    </row>
    <row r="434" spans="1:9" x14ac:dyDescent="0.45">
      <c r="A434"/>
      <c r="B434"/>
      <c r="C434"/>
      <c r="D434"/>
      <c r="E434"/>
      <c r="F434"/>
      <c r="G434"/>
      <c r="H434"/>
      <c r="I434"/>
    </row>
    <row r="435" spans="1:9" x14ac:dyDescent="0.45">
      <c r="A435"/>
      <c r="B435"/>
      <c r="C435"/>
      <c r="D435"/>
      <c r="E435"/>
      <c r="F435"/>
      <c r="G435"/>
      <c r="H435"/>
      <c r="I435"/>
    </row>
    <row r="436" spans="1:9" x14ac:dyDescent="0.45">
      <c r="A436"/>
      <c r="B436"/>
      <c r="C436"/>
      <c r="D436"/>
      <c r="E436"/>
      <c r="F436"/>
      <c r="G436"/>
      <c r="H436"/>
      <c r="I436"/>
    </row>
    <row r="437" spans="1:9" x14ac:dyDescent="0.45">
      <c r="A437"/>
      <c r="B437"/>
      <c r="C437"/>
      <c r="D437"/>
      <c r="E437"/>
      <c r="F437"/>
      <c r="G437"/>
      <c r="H437"/>
      <c r="I437"/>
    </row>
    <row r="438" spans="1:9" x14ac:dyDescent="0.45">
      <c r="A438"/>
      <c r="B438"/>
      <c r="C438"/>
      <c r="D438"/>
      <c r="E438"/>
      <c r="F438"/>
      <c r="G438"/>
      <c r="H438"/>
      <c r="I438"/>
    </row>
    <row r="439" spans="1:9" x14ac:dyDescent="0.45">
      <c r="A439"/>
      <c r="B439"/>
      <c r="C439"/>
      <c r="D439"/>
      <c r="E439"/>
      <c r="F439"/>
      <c r="G439"/>
      <c r="H439"/>
      <c r="I439"/>
    </row>
    <row r="440" spans="1:9" x14ac:dyDescent="0.45">
      <c r="A440"/>
      <c r="B440"/>
      <c r="C440"/>
      <c r="D440"/>
      <c r="E440"/>
      <c r="F440"/>
      <c r="G440"/>
      <c r="H440"/>
      <c r="I440"/>
    </row>
    <row r="441" spans="1:9" x14ac:dyDescent="0.45">
      <c r="A441"/>
      <c r="B441"/>
      <c r="C441"/>
      <c r="D441"/>
      <c r="E441"/>
      <c r="F441"/>
      <c r="G441"/>
      <c r="H441"/>
      <c r="I441"/>
    </row>
    <row r="442" spans="1:9" x14ac:dyDescent="0.45">
      <c r="A442"/>
      <c r="B442"/>
      <c r="C442"/>
      <c r="D442"/>
      <c r="E442"/>
      <c r="F442"/>
      <c r="G442"/>
      <c r="H442"/>
      <c r="I442"/>
    </row>
    <row r="443" spans="1:9" x14ac:dyDescent="0.45">
      <c r="A443"/>
      <c r="B443"/>
      <c r="C443"/>
      <c r="D443"/>
      <c r="E443"/>
      <c r="F443"/>
      <c r="G443"/>
      <c r="H443"/>
      <c r="I443"/>
    </row>
    <row r="444" spans="1:9" x14ac:dyDescent="0.45">
      <c r="A444"/>
      <c r="B444"/>
      <c r="C444"/>
      <c r="D444"/>
      <c r="E444"/>
      <c r="F444"/>
      <c r="G444"/>
      <c r="H444"/>
      <c r="I444"/>
    </row>
    <row r="445" spans="1:9" x14ac:dyDescent="0.45">
      <c r="A445"/>
      <c r="B445"/>
      <c r="C445"/>
      <c r="D445"/>
      <c r="E445"/>
      <c r="F445"/>
      <c r="G445"/>
      <c r="H445"/>
      <c r="I445"/>
    </row>
    <row r="446" spans="1:9" x14ac:dyDescent="0.45">
      <c r="A446"/>
      <c r="B446"/>
      <c r="C446"/>
      <c r="D446"/>
      <c r="E446"/>
      <c r="F446"/>
      <c r="G446"/>
      <c r="H446"/>
      <c r="I446"/>
    </row>
    <row r="447" spans="1:9" x14ac:dyDescent="0.45">
      <c r="A447"/>
      <c r="B447"/>
      <c r="C447"/>
      <c r="D447"/>
      <c r="E447"/>
      <c r="F447"/>
      <c r="G447"/>
      <c r="H447"/>
      <c r="I447"/>
    </row>
    <row r="448" spans="1:9" x14ac:dyDescent="0.45">
      <c r="A448"/>
      <c r="B448"/>
      <c r="C448"/>
      <c r="D448"/>
      <c r="E448"/>
      <c r="F448"/>
      <c r="G448"/>
      <c r="H448"/>
      <c r="I448"/>
    </row>
    <row r="449" spans="1:9" x14ac:dyDescent="0.45">
      <c r="A449"/>
      <c r="B449"/>
      <c r="C449"/>
      <c r="D449"/>
      <c r="E449"/>
      <c r="F449"/>
      <c r="G449"/>
      <c r="H449"/>
      <c r="I449"/>
    </row>
    <row r="450" spans="1:9" x14ac:dyDescent="0.45">
      <c r="A450"/>
      <c r="B450"/>
      <c r="C450"/>
      <c r="D450"/>
      <c r="E450"/>
      <c r="F450"/>
      <c r="G450"/>
      <c r="H450"/>
      <c r="I450"/>
    </row>
    <row r="451" spans="1:9" x14ac:dyDescent="0.45">
      <c r="A451"/>
      <c r="B451"/>
      <c r="C451"/>
      <c r="D451"/>
      <c r="E451"/>
      <c r="F451"/>
      <c r="G451"/>
      <c r="H451"/>
      <c r="I451"/>
    </row>
    <row r="452" spans="1:9" x14ac:dyDescent="0.45">
      <c r="A452"/>
      <c r="B452"/>
      <c r="C452"/>
      <c r="D452"/>
      <c r="E452"/>
      <c r="F452"/>
      <c r="G452"/>
      <c r="H452"/>
      <c r="I452"/>
    </row>
    <row r="453" spans="1:9" x14ac:dyDescent="0.45">
      <c r="A453"/>
      <c r="B453"/>
      <c r="C453"/>
      <c r="D453"/>
      <c r="E453"/>
      <c r="F453"/>
      <c r="G453"/>
      <c r="H453"/>
      <c r="I453"/>
    </row>
    <row r="454" spans="1:9" x14ac:dyDescent="0.45">
      <c r="A454"/>
      <c r="B454"/>
      <c r="C454"/>
      <c r="D454"/>
      <c r="E454"/>
      <c r="F454"/>
      <c r="G454"/>
      <c r="H454"/>
      <c r="I454"/>
    </row>
    <row r="455" spans="1:9" x14ac:dyDescent="0.45">
      <c r="A455"/>
      <c r="B455"/>
      <c r="C455"/>
      <c r="D455"/>
      <c r="E455"/>
      <c r="F455"/>
      <c r="G455"/>
      <c r="H455"/>
      <c r="I455"/>
    </row>
    <row r="456" spans="1:9" x14ac:dyDescent="0.45">
      <c r="A456"/>
      <c r="B456"/>
      <c r="C456"/>
      <c r="D456"/>
      <c r="E456"/>
      <c r="F456"/>
      <c r="G456"/>
      <c r="H456"/>
      <c r="I456"/>
    </row>
    <row r="457" spans="1:9" x14ac:dyDescent="0.45">
      <c r="A457"/>
      <c r="B457"/>
      <c r="C457"/>
      <c r="D457"/>
      <c r="E457"/>
      <c r="F457"/>
      <c r="G457"/>
      <c r="H457"/>
      <c r="I457"/>
    </row>
    <row r="458" spans="1:9" x14ac:dyDescent="0.45">
      <c r="A458"/>
      <c r="B458"/>
      <c r="C458"/>
      <c r="D458"/>
      <c r="E458"/>
      <c r="F458"/>
      <c r="G458"/>
      <c r="H458"/>
      <c r="I458"/>
    </row>
    <row r="459" spans="1:9" x14ac:dyDescent="0.45">
      <c r="A459"/>
      <c r="B459"/>
      <c r="C459"/>
      <c r="D459"/>
      <c r="E459"/>
      <c r="F459"/>
      <c r="G459"/>
      <c r="H459"/>
      <c r="I459"/>
    </row>
    <row r="460" spans="1:9" x14ac:dyDescent="0.45">
      <c r="A460"/>
      <c r="B460"/>
      <c r="C460"/>
      <c r="D460"/>
      <c r="E460"/>
      <c r="F460"/>
      <c r="G460"/>
      <c r="H460"/>
      <c r="I460"/>
    </row>
    <row r="461" spans="1:9" x14ac:dyDescent="0.45">
      <c r="A461"/>
      <c r="B461"/>
      <c r="C461"/>
      <c r="D461"/>
      <c r="E461"/>
      <c r="F461"/>
      <c r="G461"/>
      <c r="H461"/>
      <c r="I461"/>
    </row>
    <row r="462" spans="1:9" x14ac:dyDescent="0.45">
      <c r="A462"/>
      <c r="B462"/>
      <c r="C462"/>
      <c r="D462"/>
      <c r="E462"/>
      <c r="F462"/>
      <c r="G462"/>
      <c r="H462"/>
      <c r="I462"/>
    </row>
    <row r="463" spans="1:9" x14ac:dyDescent="0.45">
      <c r="A463"/>
      <c r="B463"/>
      <c r="C463"/>
      <c r="D463"/>
      <c r="E463"/>
      <c r="F463"/>
      <c r="G463"/>
      <c r="H463"/>
      <c r="I463"/>
    </row>
    <row r="464" spans="1:9" x14ac:dyDescent="0.45">
      <c r="A464"/>
      <c r="B464"/>
      <c r="C464"/>
      <c r="D464"/>
      <c r="E464"/>
      <c r="F464"/>
      <c r="G464"/>
      <c r="H464"/>
      <c r="I464"/>
    </row>
    <row r="465" spans="1:9" x14ac:dyDescent="0.45">
      <c r="A465"/>
      <c r="B465"/>
      <c r="C465"/>
      <c r="D465"/>
      <c r="E465"/>
      <c r="F465"/>
      <c r="G465"/>
      <c r="H465"/>
      <c r="I465"/>
    </row>
    <row r="466" spans="1:9" x14ac:dyDescent="0.45">
      <c r="A466"/>
      <c r="B466"/>
      <c r="C466"/>
      <c r="D466"/>
      <c r="E466"/>
      <c r="F466"/>
      <c r="G466"/>
      <c r="H466"/>
      <c r="I466"/>
    </row>
    <row r="467" spans="1:9" x14ac:dyDescent="0.45">
      <c r="A467"/>
      <c r="B467"/>
      <c r="C467"/>
      <c r="D467"/>
      <c r="E467"/>
      <c r="F467"/>
      <c r="G467"/>
      <c r="H467"/>
      <c r="I467"/>
    </row>
    <row r="468" spans="1:9" x14ac:dyDescent="0.45">
      <c r="A468"/>
      <c r="B468"/>
      <c r="C468"/>
      <c r="D468"/>
      <c r="E468"/>
      <c r="F468"/>
      <c r="G468"/>
      <c r="H468"/>
      <c r="I468"/>
    </row>
    <row r="469" spans="1:9" x14ac:dyDescent="0.45">
      <c r="A469"/>
      <c r="B469"/>
      <c r="C469"/>
      <c r="D469"/>
      <c r="E469"/>
      <c r="F469"/>
      <c r="G469"/>
      <c r="H469"/>
      <c r="I469"/>
    </row>
    <row r="470" spans="1:9" x14ac:dyDescent="0.45">
      <c r="A470"/>
      <c r="B470"/>
      <c r="C470"/>
      <c r="D470"/>
      <c r="E470"/>
      <c r="F470"/>
      <c r="G470"/>
      <c r="H470"/>
      <c r="I470"/>
    </row>
    <row r="471" spans="1:9" x14ac:dyDescent="0.45">
      <c r="A471"/>
      <c r="B471"/>
      <c r="C471"/>
      <c r="D471"/>
      <c r="E471"/>
      <c r="F471"/>
      <c r="G471"/>
      <c r="H471"/>
      <c r="I471"/>
    </row>
    <row r="472" spans="1:9" x14ac:dyDescent="0.45">
      <c r="A472"/>
      <c r="B472"/>
      <c r="C472"/>
      <c r="D472"/>
      <c r="E472"/>
      <c r="F472"/>
      <c r="G472"/>
      <c r="H472"/>
      <c r="I472"/>
    </row>
    <row r="473" spans="1:9" x14ac:dyDescent="0.45">
      <c r="A473"/>
      <c r="B473"/>
      <c r="C473"/>
      <c r="D473"/>
      <c r="E473"/>
      <c r="F473"/>
      <c r="G473"/>
      <c r="H473"/>
      <c r="I473"/>
    </row>
    <row r="474" spans="1:9" x14ac:dyDescent="0.45">
      <c r="A474"/>
      <c r="B474"/>
      <c r="C474"/>
      <c r="D474"/>
      <c r="E474"/>
      <c r="F474"/>
      <c r="G474"/>
      <c r="H474"/>
      <c r="I474"/>
    </row>
    <row r="475" spans="1:9" x14ac:dyDescent="0.45">
      <c r="A475"/>
      <c r="B475"/>
      <c r="C475"/>
      <c r="D475"/>
      <c r="E475"/>
      <c r="F475"/>
      <c r="G475"/>
      <c r="H475"/>
      <c r="I475"/>
    </row>
    <row r="476" spans="1:9" x14ac:dyDescent="0.45">
      <c r="A476"/>
      <c r="B476"/>
      <c r="C476"/>
      <c r="D476"/>
      <c r="E476"/>
      <c r="F476"/>
      <c r="G476"/>
      <c r="H476"/>
      <c r="I476"/>
    </row>
    <row r="477" spans="1:9" x14ac:dyDescent="0.45">
      <c r="A477"/>
      <c r="B477"/>
      <c r="C477"/>
      <c r="D477"/>
      <c r="E477"/>
      <c r="F477"/>
      <c r="G477"/>
      <c r="H477"/>
      <c r="I477"/>
    </row>
    <row r="478" spans="1:9" x14ac:dyDescent="0.45">
      <c r="A478"/>
      <c r="B478"/>
      <c r="C478"/>
      <c r="D478"/>
      <c r="E478"/>
      <c r="F478"/>
      <c r="G478"/>
      <c r="H478"/>
      <c r="I478"/>
    </row>
    <row r="479" spans="1:9" x14ac:dyDescent="0.45">
      <c r="A479"/>
      <c r="B479"/>
      <c r="C479"/>
      <c r="D479"/>
      <c r="E479"/>
      <c r="F479"/>
      <c r="G479"/>
      <c r="H479"/>
      <c r="I479"/>
    </row>
    <row r="480" spans="1:9" x14ac:dyDescent="0.45">
      <c r="A480"/>
      <c r="B480"/>
      <c r="C480"/>
      <c r="D480"/>
      <c r="E480"/>
      <c r="F480"/>
      <c r="G480"/>
      <c r="H480"/>
      <c r="I480"/>
    </row>
    <row r="481" spans="1:9" x14ac:dyDescent="0.45">
      <c r="A481"/>
      <c r="B481"/>
      <c r="C481"/>
      <c r="D481"/>
      <c r="E481"/>
      <c r="F481"/>
      <c r="G481"/>
      <c r="H481"/>
      <c r="I481"/>
    </row>
    <row r="482" spans="1:9" x14ac:dyDescent="0.45">
      <c r="A482"/>
      <c r="B482"/>
      <c r="C482"/>
      <c r="D482"/>
      <c r="E482"/>
      <c r="F482"/>
      <c r="G482"/>
      <c r="H482"/>
      <c r="I482"/>
    </row>
    <row r="483" spans="1:9" x14ac:dyDescent="0.45">
      <c r="A483"/>
      <c r="B483"/>
      <c r="C483"/>
      <c r="D483"/>
      <c r="E483"/>
      <c r="F483"/>
      <c r="G483"/>
      <c r="H483"/>
      <c r="I483"/>
    </row>
    <row r="484" spans="1:9" x14ac:dyDescent="0.45">
      <c r="A484"/>
      <c r="B484"/>
      <c r="C484"/>
      <c r="D484"/>
      <c r="E484"/>
      <c r="F484"/>
      <c r="G484"/>
      <c r="H484"/>
      <c r="I484"/>
    </row>
    <row r="485" spans="1:9" x14ac:dyDescent="0.45">
      <c r="A485"/>
      <c r="B485"/>
      <c r="C485"/>
      <c r="D485"/>
      <c r="E485"/>
      <c r="F485"/>
      <c r="G485"/>
      <c r="H485"/>
      <c r="I485"/>
    </row>
    <row r="486" spans="1:9" x14ac:dyDescent="0.45">
      <c r="A486"/>
      <c r="B486"/>
      <c r="C486"/>
      <c r="D486"/>
      <c r="E486"/>
      <c r="F486"/>
      <c r="G486"/>
      <c r="H486"/>
      <c r="I486"/>
    </row>
    <row r="487" spans="1:9" x14ac:dyDescent="0.45">
      <c r="A487"/>
      <c r="B487"/>
      <c r="C487"/>
      <c r="D487"/>
      <c r="E487"/>
      <c r="F487"/>
      <c r="G487"/>
      <c r="H487"/>
      <c r="I487"/>
    </row>
    <row r="488" spans="1:9" x14ac:dyDescent="0.45">
      <c r="A488"/>
      <c r="B488"/>
      <c r="C488"/>
      <c r="D488"/>
      <c r="E488"/>
      <c r="F488"/>
      <c r="G488"/>
      <c r="H488"/>
      <c r="I488"/>
    </row>
    <row r="489" spans="1:9" x14ac:dyDescent="0.45">
      <c r="A489"/>
      <c r="B489"/>
      <c r="C489"/>
      <c r="D489"/>
      <c r="E489"/>
      <c r="F489"/>
      <c r="G489"/>
      <c r="H489"/>
      <c r="I489"/>
    </row>
    <row r="490" spans="1:9" x14ac:dyDescent="0.45">
      <c r="A490"/>
      <c r="B490"/>
      <c r="C490"/>
      <c r="D490"/>
      <c r="E490"/>
      <c r="F490"/>
      <c r="G490"/>
      <c r="H490"/>
      <c r="I490"/>
    </row>
    <row r="491" spans="1:9" x14ac:dyDescent="0.45">
      <c r="A491"/>
      <c r="B491"/>
      <c r="C491"/>
      <c r="D491"/>
      <c r="E491"/>
      <c r="F491"/>
      <c r="G491"/>
      <c r="H491"/>
      <c r="I491"/>
    </row>
    <row r="492" spans="1:9" x14ac:dyDescent="0.45">
      <c r="A492"/>
      <c r="B492"/>
      <c r="C492"/>
      <c r="D492"/>
      <c r="E492"/>
      <c r="F492"/>
      <c r="G492"/>
      <c r="H492"/>
      <c r="I492"/>
    </row>
    <row r="493" spans="1:9" x14ac:dyDescent="0.45">
      <c r="A493"/>
      <c r="B493"/>
      <c r="C493"/>
      <c r="D493"/>
      <c r="E493"/>
      <c r="F493"/>
      <c r="G493"/>
      <c r="H493"/>
      <c r="I493"/>
    </row>
    <row r="494" spans="1:9" x14ac:dyDescent="0.45">
      <c r="A494"/>
      <c r="B494"/>
      <c r="C494"/>
      <c r="D494"/>
      <c r="E494"/>
      <c r="F494"/>
      <c r="G494"/>
      <c r="H494"/>
      <c r="I494"/>
    </row>
    <row r="495" spans="1:9" x14ac:dyDescent="0.45">
      <c r="A495"/>
      <c r="B495"/>
      <c r="C495"/>
      <c r="D495"/>
      <c r="E495"/>
      <c r="F495"/>
      <c r="G495"/>
      <c r="H495"/>
      <c r="I495"/>
    </row>
    <row r="496" spans="1:9" x14ac:dyDescent="0.45">
      <c r="A496"/>
      <c r="B496"/>
      <c r="C496"/>
      <c r="D496"/>
      <c r="E496"/>
      <c r="F496"/>
      <c r="G496"/>
      <c r="H496"/>
      <c r="I496"/>
    </row>
    <row r="497" spans="1:9" x14ac:dyDescent="0.45">
      <c r="A497"/>
      <c r="B497"/>
      <c r="C497"/>
      <c r="D497"/>
      <c r="E497"/>
      <c r="F497"/>
      <c r="G497"/>
      <c r="H497"/>
      <c r="I497"/>
    </row>
    <row r="498" spans="1:9" x14ac:dyDescent="0.45">
      <c r="A498"/>
      <c r="B498"/>
      <c r="C498"/>
      <c r="D498"/>
      <c r="E498"/>
      <c r="F498"/>
      <c r="G498"/>
      <c r="H498"/>
      <c r="I498"/>
    </row>
    <row r="499" spans="1:9" x14ac:dyDescent="0.45">
      <c r="A499"/>
      <c r="B499"/>
      <c r="C499"/>
      <c r="D499"/>
      <c r="E499"/>
      <c r="F499"/>
      <c r="G499"/>
      <c r="H499"/>
      <c r="I499"/>
    </row>
    <row r="500" spans="1:9" x14ac:dyDescent="0.45">
      <c r="A500"/>
      <c r="B500"/>
      <c r="C500"/>
      <c r="D500"/>
      <c r="E500"/>
      <c r="F500"/>
      <c r="G500"/>
      <c r="H500"/>
      <c r="I500"/>
    </row>
    <row r="501" spans="1:9" x14ac:dyDescent="0.45">
      <c r="A501"/>
      <c r="B501"/>
      <c r="C501"/>
      <c r="D501"/>
      <c r="E501"/>
      <c r="F501"/>
      <c r="G501"/>
      <c r="H501"/>
      <c r="I501"/>
    </row>
    <row r="502" spans="1:9" x14ac:dyDescent="0.45">
      <c r="A502"/>
      <c r="B502"/>
      <c r="C502"/>
      <c r="D502"/>
      <c r="E502"/>
      <c r="F502"/>
      <c r="G502"/>
      <c r="H502"/>
      <c r="I502"/>
    </row>
    <row r="503" spans="1:9" x14ac:dyDescent="0.45">
      <c r="A503"/>
      <c r="B503"/>
      <c r="C503"/>
      <c r="D503"/>
      <c r="E503"/>
      <c r="F503"/>
      <c r="G503"/>
      <c r="H503"/>
      <c r="I503"/>
    </row>
    <row r="504" spans="1:9" x14ac:dyDescent="0.45">
      <c r="A504"/>
      <c r="B504"/>
      <c r="C504"/>
      <c r="D504"/>
      <c r="E504"/>
      <c r="F504"/>
      <c r="G504"/>
      <c r="H504"/>
      <c r="I504"/>
    </row>
    <row r="505" spans="1:9" x14ac:dyDescent="0.45">
      <c r="A505"/>
      <c r="B505"/>
      <c r="C505"/>
      <c r="D505"/>
      <c r="E505"/>
      <c r="F505"/>
      <c r="G505"/>
      <c r="H505"/>
      <c r="I505"/>
    </row>
    <row r="506" spans="1:9" x14ac:dyDescent="0.45">
      <c r="A506"/>
      <c r="B506"/>
      <c r="C506"/>
      <c r="D506"/>
      <c r="E506"/>
      <c r="F506"/>
      <c r="G506"/>
      <c r="H506"/>
      <c r="I506"/>
    </row>
    <row r="507" spans="1:9" x14ac:dyDescent="0.45">
      <c r="A507"/>
      <c r="B507"/>
      <c r="C507"/>
      <c r="D507"/>
      <c r="E507"/>
      <c r="F507"/>
      <c r="G507"/>
      <c r="H507"/>
      <c r="I507"/>
    </row>
    <row r="508" spans="1:9" x14ac:dyDescent="0.45">
      <c r="A508"/>
      <c r="B508"/>
      <c r="C508"/>
      <c r="D508"/>
      <c r="E508"/>
      <c r="F508"/>
      <c r="G508"/>
      <c r="H508"/>
      <c r="I508"/>
    </row>
    <row r="509" spans="1:9" x14ac:dyDescent="0.45">
      <c r="A509"/>
      <c r="B509"/>
      <c r="C509"/>
      <c r="D509"/>
      <c r="E509"/>
      <c r="F509"/>
      <c r="G509"/>
      <c r="H509"/>
      <c r="I509"/>
    </row>
    <row r="510" spans="1:9" x14ac:dyDescent="0.45">
      <c r="A510"/>
      <c r="B510"/>
      <c r="C510"/>
      <c r="D510"/>
      <c r="E510"/>
      <c r="F510"/>
      <c r="G510"/>
      <c r="H510"/>
      <c r="I510"/>
    </row>
    <row r="511" spans="1:9" x14ac:dyDescent="0.45">
      <c r="A511"/>
      <c r="B511"/>
      <c r="C511"/>
      <c r="D511"/>
      <c r="E511"/>
      <c r="F511"/>
      <c r="G511"/>
      <c r="H511"/>
      <c r="I511"/>
    </row>
    <row r="512" spans="1:9" x14ac:dyDescent="0.45">
      <c r="A512"/>
      <c r="B512"/>
      <c r="C512"/>
      <c r="D512"/>
      <c r="E512"/>
      <c r="F512"/>
      <c r="G512"/>
      <c r="H512"/>
      <c r="I512"/>
    </row>
    <row r="513" spans="1:9" x14ac:dyDescent="0.45">
      <c r="A513"/>
      <c r="B513"/>
      <c r="C513"/>
      <c r="D513"/>
      <c r="E513"/>
      <c r="F513"/>
      <c r="G513"/>
      <c r="H513"/>
      <c r="I513"/>
    </row>
    <row r="514" spans="1:9" x14ac:dyDescent="0.45">
      <c r="A514"/>
      <c r="B514"/>
      <c r="C514"/>
      <c r="D514"/>
      <c r="E514"/>
      <c r="F514"/>
      <c r="G514"/>
      <c r="H514"/>
      <c r="I514"/>
    </row>
    <row r="515" spans="1:9" x14ac:dyDescent="0.45">
      <c r="A515"/>
      <c r="B515"/>
      <c r="C515"/>
      <c r="D515"/>
      <c r="E515"/>
      <c r="F515"/>
      <c r="G515"/>
      <c r="H515"/>
      <c r="I515"/>
    </row>
    <row r="516" spans="1:9" x14ac:dyDescent="0.45">
      <c r="A516"/>
      <c r="B516"/>
      <c r="C516"/>
      <c r="D516"/>
      <c r="E516"/>
      <c r="F516"/>
      <c r="G516"/>
      <c r="H516"/>
      <c r="I516"/>
    </row>
    <row r="517" spans="1:9" x14ac:dyDescent="0.45">
      <c r="A517"/>
      <c r="B517"/>
      <c r="C517"/>
      <c r="D517"/>
      <c r="E517"/>
      <c r="F517"/>
      <c r="G517"/>
      <c r="H517"/>
      <c r="I517"/>
    </row>
    <row r="518" spans="1:9" x14ac:dyDescent="0.45">
      <c r="A518"/>
      <c r="B518"/>
      <c r="C518"/>
      <c r="D518"/>
      <c r="E518"/>
      <c r="F518"/>
      <c r="G518"/>
      <c r="H518"/>
      <c r="I518"/>
    </row>
    <row r="519" spans="1:9" x14ac:dyDescent="0.45">
      <c r="A519"/>
      <c r="B519"/>
      <c r="C519"/>
      <c r="D519"/>
      <c r="E519"/>
      <c r="F519"/>
      <c r="G519"/>
      <c r="H519"/>
      <c r="I519"/>
    </row>
    <row r="520" spans="1:9" x14ac:dyDescent="0.45">
      <c r="A520"/>
      <c r="B520"/>
      <c r="C520"/>
      <c r="D520"/>
      <c r="E520"/>
      <c r="F520"/>
      <c r="G520"/>
      <c r="H520"/>
      <c r="I520"/>
    </row>
    <row r="521" spans="1:9" x14ac:dyDescent="0.45">
      <c r="A521"/>
      <c r="B521"/>
      <c r="C521"/>
      <c r="D521"/>
      <c r="E521"/>
      <c r="F521"/>
      <c r="G521"/>
      <c r="H521"/>
      <c r="I521"/>
    </row>
    <row r="522" spans="1:9" x14ac:dyDescent="0.45">
      <c r="A522"/>
      <c r="B522"/>
      <c r="C522"/>
      <c r="D522"/>
      <c r="E522"/>
      <c r="F522"/>
      <c r="G522"/>
      <c r="H522"/>
      <c r="I522"/>
    </row>
    <row r="523" spans="1:9" x14ac:dyDescent="0.45">
      <c r="A523"/>
      <c r="B523"/>
      <c r="C523"/>
      <c r="D523"/>
      <c r="E523"/>
      <c r="F523"/>
      <c r="G523"/>
      <c r="H523"/>
      <c r="I523"/>
    </row>
    <row r="524" spans="1:9" x14ac:dyDescent="0.45">
      <c r="A524"/>
      <c r="B524"/>
      <c r="C524"/>
      <c r="D524"/>
      <c r="E524"/>
      <c r="F524"/>
      <c r="G524"/>
      <c r="H524"/>
      <c r="I524"/>
    </row>
    <row r="525" spans="1:9" x14ac:dyDescent="0.45">
      <c r="A525"/>
      <c r="B525"/>
      <c r="C525"/>
      <c r="D525"/>
      <c r="E525"/>
      <c r="F525"/>
      <c r="G525"/>
      <c r="H525"/>
      <c r="I525"/>
    </row>
    <row r="526" spans="1:9" x14ac:dyDescent="0.45">
      <c r="A526"/>
      <c r="B526"/>
      <c r="C526"/>
      <c r="D526"/>
      <c r="E526"/>
      <c r="F526"/>
      <c r="G526"/>
      <c r="H526"/>
      <c r="I526"/>
    </row>
    <row r="527" spans="1:9" x14ac:dyDescent="0.45">
      <c r="A527"/>
      <c r="B527"/>
      <c r="C527"/>
      <c r="D527"/>
      <c r="E527"/>
      <c r="F527"/>
      <c r="G527"/>
      <c r="H527"/>
      <c r="I527"/>
    </row>
    <row r="528" spans="1:9" x14ac:dyDescent="0.45">
      <c r="A528"/>
      <c r="B528"/>
      <c r="C528"/>
      <c r="D528"/>
      <c r="E528"/>
      <c r="F528"/>
      <c r="G528"/>
      <c r="H528"/>
      <c r="I528"/>
    </row>
    <row r="529" spans="1:9" x14ac:dyDescent="0.45">
      <c r="A529"/>
      <c r="B529"/>
      <c r="C529"/>
      <c r="D529"/>
      <c r="E529"/>
      <c r="F529"/>
      <c r="G529"/>
      <c r="H529"/>
      <c r="I529"/>
    </row>
    <row r="530" spans="1:9" x14ac:dyDescent="0.45">
      <c r="A530"/>
      <c r="B530"/>
      <c r="C530"/>
      <c r="D530"/>
      <c r="E530"/>
      <c r="F530"/>
      <c r="G530"/>
      <c r="H530"/>
      <c r="I530"/>
    </row>
    <row r="531" spans="1:9" x14ac:dyDescent="0.45">
      <c r="A531"/>
      <c r="B531"/>
      <c r="C531"/>
      <c r="D531"/>
      <c r="E531"/>
      <c r="F531"/>
      <c r="G531"/>
      <c r="H531"/>
      <c r="I531"/>
    </row>
    <row r="532" spans="1:9" x14ac:dyDescent="0.45">
      <c r="A532"/>
      <c r="B532"/>
      <c r="C532"/>
      <c r="D532"/>
      <c r="E532"/>
      <c r="F532"/>
      <c r="G532"/>
      <c r="H532"/>
      <c r="I532"/>
    </row>
    <row r="533" spans="1:9" x14ac:dyDescent="0.45">
      <c r="A533"/>
      <c r="B533"/>
      <c r="C533"/>
      <c r="D533"/>
      <c r="E533"/>
      <c r="F533"/>
      <c r="G533"/>
      <c r="H533"/>
      <c r="I533"/>
    </row>
    <row r="534" spans="1:9" x14ac:dyDescent="0.45">
      <c r="A534"/>
      <c r="B534"/>
      <c r="C534"/>
      <c r="D534"/>
      <c r="E534"/>
      <c r="F534"/>
      <c r="G534"/>
      <c r="H534"/>
      <c r="I534"/>
    </row>
    <row r="535" spans="1:9" x14ac:dyDescent="0.45">
      <c r="A535"/>
      <c r="B535"/>
      <c r="C535"/>
      <c r="D535"/>
      <c r="E535"/>
      <c r="F535"/>
      <c r="G535"/>
      <c r="H535"/>
      <c r="I535"/>
    </row>
    <row r="536" spans="1:9" x14ac:dyDescent="0.45">
      <c r="A536"/>
      <c r="B536"/>
      <c r="C536"/>
      <c r="D536"/>
      <c r="E536"/>
      <c r="F536"/>
      <c r="G536"/>
      <c r="H536"/>
      <c r="I536"/>
    </row>
    <row r="537" spans="1:9" x14ac:dyDescent="0.45">
      <c r="A537"/>
      <c r="B537"/>
      <c r="C537"/>
      <c r="D537"/>
      <c r="E537"/>
      <c r="F537"/>
      <c r="G537"/>
      <c r="H537"/>
      <c r="I537"/>
    </row>
    <row r="538" spans="1:9" x14ac:dyDescent="0.45">
      <c r="A538"/>
      <c r="B538"/>
      <c r="C538"/>
      <c r="D538"/>
      <c r="E538"/>
      <c r="F538"/>
      <c r="G538"/>
      <c r="H538"/>
      <c r="I538"/>
    </row>
    <row r="539" spans="1:9" x14ac:dyDescent="0.45">
      <c r="A539"/>
      <c r="B539"/>
      <c r="C539"/>
      <c r="D539"/>
      <c r="E539"/>
      <c r="F539"/>
      <c r="G539"/>
      <c r="H539"/>
      <c r="I539"/>
    </row>
    <row r="540" spans="1:9" x14ac:dyDescent="0.45">
      <c r="A540"/>
      <c r="B540"/>
      <c r="C540"/>
      <c r="D540"/>
      <c r="E540"/>
      <c r="F540"/>
      <c r="G540"/>
      <c r="H540"/>
      <c r="I540"/>
    </row>
    <row r="541" spans="1:9" x14ac:dyDescent="0.45">
      <c r="A541"/>
      <c r="B541"/>
      <c r="C541"/>
      <c r="D541"/>
      <c r="E541"/>
      <c r="F541"/>
      <c r="G541"/>
      <c r="H541"/>
      <c r="I541"/>
    </row>
    <row r="542" spans="1:9" x14ac:dyDescent="0.45">
      <c r="A542"/>
      <c r="B542"/>
      <c r="C542"/>
      <c r="D542"/>
      <c r="E542"/>
      <c r="F542"/>
      <c r="G542"/>
      <c r="H542"/>
      <c r="I542"/>
    </row>
    <row r="543" spans="1:9" x14ac:dyDescent="0.45">
      <c r="A543"/>
      <c r="B543"/>
      <c r="C543"/>
      <c r="D543"/>
      <c r="E543"/>
      <c r="F543"/>
      <c r="G543"/>
      <c r="H543"/>
      <c r="I543"/>
    </row>
    <row r="544" spans="1:9" x14ac:dyDescent="0.45">
      <c r="A544"/>
      <c r="B544"/>
      <c r="C544"/>
      <c r="D544"/>
      <c r="E544"/>
      <c r="F544"/>
      <c r="G544"/>
      <c r="H544"/>
      <c r="I544"/>
    </row>
    <row r="545" spans="1:9" x14ac:dyDescent="0.45">
      <c r="A545"/>
      <c r="B545"/>
      <c r="C545"/>
      <c r="D545"/>
      <c r="E545"/>
      <c r="F545"/>
      <c r="G545"/>
      <c r="H545"/>
      <c r="I545"/>
    </row>
    <row r="546" spans="1:9" x14ac:dyDescent="0.45">
      <c r="A546"/>
      <c r="B546"/>
      <c r="C546"/>
      <c r="D546"/>
      <c r="E546"/>
      <c r="F546"/>
      <c r="G546"/>
      <c r="H546"/>
      <c r="I546"/>
    </row>
    <row r="547" spans="1:9" x14ac:dyDescent="0.45">
      <c r="A547"/>
      <c r="B547"/>
      <c r="C547"/>
      <c r="D547"/>
      <c r="E547"/>
      <c r="F547"/>
      <c r="G547"/>
      <c r="H547"/>
      <c r="I547"/>
    </row>
    <row r="548" spans="1:9" x14ac:dyDescent="0.45">
      <c r="A548"/>
      <c r="B548"/>
      <c r="C548"/>
      <c r="D548"/>
      <c r="E548"/>
      <c r="F548"/>
      <c r="G548"/>
      <c r="H548"/>
      <c r="I548"/>
    </row>
    <row r="549" spans="1:9" x14ac:dyDescent="0.45">
      <c r="A549"/>
      <c r="B549"/>
      <c r="C549"/>
      <c r="D549"/>
      <c r="E549"/>
      <c r="F549"/>
      <c r="G549"/>
      <c r="H549"/>
      <c r="I549"/>
    </row>
    <row r="550" spans="1:9" x14ac:dyDescent="0.45">
      <c r="A550"/>
      <c r="B550"/>
      <c r="C550"/>
      <c r="D550"/>
      <c r="E550"/>
      <c r="F550"/>
      <c r="G550"/>
      <c r="H550"/>
      <c r="I550"/>
    </row>
    <row r="551" spans="1:9" x14ac:dyDescent="0.45">
      <c r="A551"/>
      <c r="B551"/>
      <c r="C551"/>
      <c r="D551"/>
      <c r="E551"/>
      <c r="F551"/>
      <c r="G551"/>
      <c r="H551"/>
      <c r="I551"/>
    </row>
    <row r="552" spans="1:9" x14ac:dyDescent="0.45">
      <c r="A552"/>
      <c r="B552"/>
      <c r="C552"/>
      <c r="D552"/>
      <c r="E552"/>
      <c r="F552"/>
      <c r="G552"/>
      <c r="H552"/>
      <c r="I552"/>
    </row>
    <row r="553" spans="1:9" x14ac:dyDescent="0.45">
      <c r="A553"/>
      <c r="B553"/>
      <c r="C553"/>
      <c r="D553"/>
      <c r="E553"/>
      <c r="F553"/>
      <c r="G553"/>
      <c r="H553"/>
      <c r="I553"/>
    </row>
    <row r="554" spans="1:9" x14ac:dyDescent="0.45">
      <c r="A554"/>
      <c r="B554"/>
      <c r="C554"/>
      <c r="D554"/>
      <c r="E554"/>
      <c r="F554"/>
      <c r="G554"/>
      <c r="H554"/>
      <c r="I554"/>
    </row>
    <row r="555" spans="1:9" x14ac:dyDescent="0.45">
      <c r="A555"/>
      <c r="B555"/>
      <c r="C555"/>
      <c r="D555"/>
      <c r="E555"/>
      <c r="F555"/>
      <c r="G555"/>
      <c r="H555"/>
      <c r="I555"/>
    </row>
    <row r="556" spans="1:9" x14ac:dyDescent="0.45">
      <c r="A556"/>
      <c r="B556"/>
      <c r="C556"/>
      <c r="D556"/>
      <c r="E556"/>
      <c r="F556"/>
      <c r="G556"/>
      <c r="H556"/>
      <c r="I556"/>
    </row>
    <row r="557" spans="1:9" x14ac:dyDescent="0.45">
      <c r="A557"/>
      <c r="B557"/>
      <c r="C557"/>
      <c r="D557"/>
      <c r="E557"/>
      <c r="F557"/>
      <c r="G557"/>
      <c r="H557"/>
      <c r="I557"/>
    </row>
    <row r="558" spans="1:9" x14ac:dyDescent="0.45">
      <c r="A558"/>
      <c r="B558"/>
      <c r="C558"/>
      <c r="D558"/>
      <c r="E558"/>
      <c r="F558"/>
      <c r="G558"/>
      <c r="H558"/>
      <c r="I558"/>
    </row>
    <row r="559" spans="1:9" x14ac:dyDescent="0.45">
      <c r="A559"/>
      <c r="B559"/>
      <c r="C559"/>
      <c r="D559"/>
      <c r="E559"/>
      <c r="F559"/>
      <c r="G559"/>
      <c r="H559"/>
      <c r="I559"/>
    </row>
    <row r="560" spans="1:9" x14ac:dyDescent="0.45">
      <c r="A560"/>
      <c r="B560"/>
      <c r="C560"/>
      <c r="D560"/>
      <c r="E560"/>
      <c r="F560"/>
      <c r="G560"/>
      <c r="H560"/>
      <c r="I560"/>
    </row>
    <row r="561" spans="1:9" x14ac:dyDescent="0.45">
      <c r="A561"/>
      <c r="B561"/>
      <c r="C561"/>
      <c r="D561"/>
      <c r="E561"/>
      <c r="F561"/>
      <c r="G561"/>
      <c r="H561"/>
      <c r="I561"/>
    </row>
    <row r="562" spans="1:9" x14ac:dyDescent="0.45">
      <c r="A562"/>
      <c r="B562"/>
      <c r="C562"/>
      <c r="D562"/>
      <c r="E562"/>
      <c r="F562"/>
      <c r="G562"/>
      <c r="H562"/>
      <c r="I562"/>
    </row>
    <row r="563" spans="1:9" x14ac:dyDescent="0.45">
      <c r="A563"/>
      <c r="B563"/>
      <c r="C563"/>
      <c r="D563"/>
      <c r="E563"/>
      <c r="F563"/>
      <c r="G563"/>
      <c r="H563"/>
      <c r="I563"/>
    </row>
    <row r="564" spans="1:9" x14ac:dyDescent="0.45">
      <c r="A564"/>
      <c r="B564"/>
      <c r="C564"/>
      <c r="D564"/>
      <c r="E564"/>
      <c r="F564"/>
      <c r="G564"/>
      <c r="H564"/>
      <c r="I564"/>
    </row>
    <row r="565" spans="1:9" x14ac:dyDescent="0.45">
      <c r="A565"/>
      <c r="B565"/>
      <c r="C565"/>
      <c r="D565"/>
      <c r="E565"/>
      <c r="F565"/>
      <c r="G565"/>
      <c r="H565"/>
      <c r="I565"/>
    </row>
    <row r="566" spans="1:9" x14ac:dyDescent="0.45">
      <c r="A566"/>
      <c r="B566"/>
      <c r="C566"/>
      <c r="D566"/>
      <c r="E566"/>
      <c r="F566"/>
      <c r="G566"/>
      <c r="H566"/>
      <c r="I566"/>
    </row>
    <row r="567" spans="1:9" x14ac:dyDescent="0.45">
      <c r="A567"/>
      <c r="B567"/>
      <c r="C567"/>
      <c r="D567"/>
      <c r="E567"/>
      <c r="F567"/>
      <c r="G567"/>
      <c r="H567"/>
      <c r="I567"/>
    </row>
    <row r="568" spans="1:9" x14ac:dyDescent="0.45">
      <c r="A568"/>
      <c r="B568"/>
      <c r="C568"/>
      <c r="D568"/>
      <c r="E568"/>
      <c r="F568"/>
      <c r="G568"/>
      <c r="H568"/>
      <c r="I568"/>
    </row>
    <row r="569" spans="1:9" x14ac:dyDescent="0.45">
      <c r="A569"/>
      <c r="B569"/>
      <c r="C569"/>
      <c r="D569"/>
      <c r="E569"/>
      <c r="F569"/>
      <c r="G569"/>
      <c r="H569"/>
      <c r="I569"/>
    </row>
    <row r="570" spans="1:9" x14ac:dyDescent="0.45">
      <c r="A570"/>
      <c r="B570"/>
      <c r="C570"/>
      <c r="D570"/>
      <c r="E570"/>
      <c r="F570"/>
      <c r="G570"/>
      <c r="H570"/>
      <c r="I570"/>
    </row>
    <row r="571" spans="1:9" x14ac:dyDescent="0.45">
      <c r="A571"/>
      <c r="B571"/>
      <c r="C571"/>
      <c r="D571"/>
      <c r="E571"/>
      <c r="F571"/>
      <c r="G571"/>
      <c r="H571"/>
      <c r="I571"/>
    </row>
    <row r="572" spans="1:9" x14ac:dyDescent="0.45">
      <c r="A572"/>
      <c r="B572"/>
      <c r="C572"/>
      <c r="D572"/>
      <c r="E572"/>
      <c r="F572"/>
      <c r="G572"/>
      <c r="H572"/>
      <c r="I572"/>
    </row>
    <row r="573" spans="1:9" x14ac:dyDescent="0.45">
      <c r="A573"/>
      <c r="B573"/>
      <c r="C573"/>
      <c r="D573"/>
      <c r="E573"/>
      <c r="F573"/>
      <c r="G573"/>
      <c r="H573"/>
      <c r="I573"/>
    </row>
    <row r="574" spans="1:9" x14ac:dyDescent="0.45">
      <c r="A574"/>
      <c r="B574"/>
      <c r="C574"/>
      <c r="D574"/>
      <c r="E574"/>
      <c r="F574"/>
      <c r="G574"/>
      <c r="H574"/>
      <c r="I574"/>
    </row>
    <row r="575" spans="1:9" x14ac:dyDescent="0.45">
      <c r="A575"/>
      <c r="B575"/>
      <c r="C575"/>
      <c r="D575"/>
      <c r="E575"/>
      <c r="F575"/>
      <c r="G575"/>
      <c r="H575"/>
      <c r="I575"/>
    </row>
    <row r="576" spans="1:9" x14ac:dyDescent="0.45">
      <c r="A576"/>
      <c r="B576"/>
      <c r="C576"/>
      <c r="D576"/>
      <c r="E576"/>
      <c r="F576"/>
      <c r="G576"/>
      <c r="H576"/>
      <c r="I576"/>
    </row>
    <row r="577" spans="1:9" x14ac:dyDescent="0.45">
      <c r="A577"/>
      <c r="B577"/>
      <c r="C577"/>
      <c r="D577"/>
      <c r="E577"/>
      <c r="F577"/>
      <c r="G577"/>
      <c r="H577"/>
      <c r="I577"/>
    </row>
    <row r="578" spans="1:9" x14ac:dyDescent="0.45">
      <c r="A578"/>
      <c r="B578"/>
      <c r="C578"/>
      <c r="D578"/>
      <c r="E578"/>
      <c r="F578"/>
      <c r="G578"/>
      <c r="H578"/>
      <c r="I578"/>
    </row>
    <row r="579" spans="1:9" x14ac:dyDescent="0.45">
      <c r="A579"/>
      <c r="B579"/>
      <c r="C579"/>
      <c r="D579"/>
      <c r="E579"/>
      <c r="F579"/>
      <c r="G579"/>
      <c r="H579"/>
      <c r="I579"/>
    </row>
    <row r="580" spans="1:9" x14ac:dyDescent="0.45">
      <c r="A580"/>
      <c r="B580"/>
      <c r="C580"/>
      <c r="D580"/>
      <c r="E580"/>
      <c r="F580"/>
      <c r="G580"/>
      <c r="H580"/>
      <c r="I580"/>
    </row>
    <row r="581" spans="1:9" x14ac:dyDescent="0.45">
      <c r="A581"/>
      <c r="B581"/>
      <c r="C581"/>
      <c r="D581"/>
      <c r="E581"/>
      <c r="F581"/>
      <c r="G581"/>
      <c r="H581"/>
      <c r="I581"/>
    </row>
    <row r="582" spans="1:9" x14ac:dyDescent="0.45">
      <c r="A582"/>
      <c r="B582"/>
      <c r="C582"/>
      <c r="D582"/>
      <c r="E582"/>
      <c r="F582"/>
      <c r="G582"/>
      <c r="H582"/>
      <c r="I582"/>
    </row>
    <row r="583" spans="1:9" x14ac:dyDescent="0.45">
      <c r="A583"/>
      <c r="B583"/>
      <c r="C583"/>
      <c r="D583"/>
      <c r="E583"/>
      <c r="F583"/>
      <c r="G583"/>
      <c r="H583"/>
      <c r="I583"/>
    </row>
    <row r="584" spans="1:9" x14ac:dyDescent="0.45">
      <c r="A584"/>
      <c r="B584"/>
      <c r="C584"/>
      <c r="D584"/>
      <c r="E584"/>
      <c r="F584"/>
      <c r="G584"/>
      <c r="H584"/>
      <c r="I584"/>
    </row>
    <row r="585" spans="1:9" x14ac:dyDescent="0.45">
      <c r="A585"/>
      <c r="B585"/>
      <c r="C585"/>
      <c r="D585"/>
      <c r="E585"/>
      <c r="F585"/>
      <c r="G585"/>
      <c r="H585"/>
      <c r="I585"/>
    </row>
    <row r="586" spans="1:9" x14ac:dyDescent="0.45">
      <c r="A586"/>
      <c r="B586"/>
      <c r="C586"/>
      <c r="D586"/>
      <c r="E586"/>
      <c r="F586"/>
      <c r="G586"/>
      <c r="H586"/>
      <c r="I586"/>
    </row>
    <row r="587" spans="1:9" x14ac:dyDescent="0.45">
      <c r="A587"/>
      <c r="B587"/>
      <c r="C587"/>
      <c r="D587"/>
      <c r="E587"/>
      <c r="F587"/>
      <c r="G587"/>
      <c r="H587"/>
      <c r="I587"/>
    </row>
    <row r="588" spans="1:9" x14ac:dyDescent="0.45">
      <c r="A588"/>
      <c r="B588"/>
      <c r="C588"/>
      <c r="D588"/>
      <c r="E588"/>
      <c r="F588"/>
      <c r="G588"/>
      <c r="H588"/>
      <c r="I588"/>
    </row>
    <row r="589" spans="1:9" x14ac:dyDescent="0.45">
      <c r="A589"/>
      <c r="B589"/>
      <c r="C589"/>
      <c r="D589"/>
      <c r="E589"/>
      <c r="F589"/>
      <c r="G589"/>
      <c r="H589"/>
      <c r="I589"/>
    </row>
    <row r="590" spans="1:9" x14ac:dyDescent="0.45">
      <c r="A590"/>
      <c r="B590"/>
      <c r="C590"/>
      <c r="D590"/>
      <c r="E590"/>
      <c r="F590"/>
      <c r="G590"/>
      <c r="H590"/>
      <c r="I590"/>
    </row>
    <row r="591" spans="1:9" x14ac:dyDescent="0.45">
      <c r="A591"/>
      <c r="B591"/>
      <c r="C591"/>
      <c r="D591"/>
      <c r="E591"/>
      <c r="F591"/>
      <c r="G591"/>
      <c r="H591"/>
      <c r="I591"/>
    </row>
    <row r="592" spans="1:9" x14ac:dyDescent="0.45">
      <c r="A592"/>
      <c r="B592"/>
      <c r="C592"/>
      <c r="D592"/>
      <c r="E592"/>
      <c r="F592"/>
      <c r="G592"/>
      <c r="H592"/>
      <c r="I592"/>
    </row>
    <row r="593" spans="1:9" x14ac:dyDescent="0.45">
      <c r="A593"/>
      <c r="B593"/>
      <c r="C593"/>
      <c r="D593"/>
      <c r="E593"/>
      <c r="F593"/>
      <c r="G593"/>
      <c r="H593"/>
      <c r="I593"/>
    </row>
    <row r="594" spans="1:9" x14ac:dyDescent="0.45">
      <c r="A594"/>
      <c r="B594"/>
      <c r="C594"/>
      <c r="D594"/>
      <c r="E594"/>
      <c r="F594"/>
      <c r="G594"/>
      <c r="H594"/>
      <c r="I594"/>
    </row>
    <row r="595" spans="1:9" x14ac:dyDescent="0.45">
      <c r="A595"/>
      <c r="B595"/>
      <c r="C595"/>
      <c r="D595"/>
      <c r="E595"/>
      <c r="F595"/>
      <c r="G595"/>
      <c r="H595"/>
      <c r="I595"/>
    </row>
    <row r="596" spans="1:9" x14ac:dyDescent="0.45">
      <c r="A596"/>
      <c r="B596"/>
      <c r="C596"/>
      <c r="D596"/>
      <c r="E596"/>
      <c r="F596"/>
      <c r="G596"/>
      <c r="H596"/>
      <c r="I596"/>
    </row>
    <row r="597" spans="1:9" x14ac:dyDescent="0.45">
      <c r="A597"/>
      <c r="B597"/>
      <c r="C597"/>
      <c r="D597"/>
      <c r="E597"/>
      <c r="F597"/>
      <c r="G597"/>
      <c r="H597"/>
      <c r="I597"/>
    </row>
    <row r="598" spans="1:9" x14ac:dyDescent="0.45">
      <c r="A598"/>
      <c r="B598"/>
      <c r="C598"/>
      <c r="D598"/>
      <c r="E598"/>
      <c r="F598"/>
      <c r="G598"/>
      <c r="H598"/>
      <c r="I598"/>
    </row>
    <row r="599" spans="1:9" x14ac:dyDescent="0.45">
      <c r="A599"/>
      <c r="B599"/>
      <c r="C599"/>
      <c r="D599"/>
      <c r="E599"/>
      <c r="F599"/>
      <c r="G599"/>
      <c r="H599"/>
      <c r="I599"/>
    </row>
    <row r="600" spans="1:9" x14ac:dyDescent="0.45">
      <c r="A600"/>
      <c r="B600"/>
      <c r="C600"/>
      <c r="D600"/>
      <c r="E600"/>
      <c r="F600"/>
      <c r="G600"/>
      <c r="H600"/>
      <c r="I600"/>
    </row>
    <row r="601" spans="1:9" x14ac:dyDescent="0.45">
      <c r="A601"/>
      <c r="B601"/>
      <c r="C601"/>
      <c r="D601"/>
      <c r="E601"/>
      <c r="F601"/>
      <c r="G601"/>
      <c r="H601"/>
      <c r="I601"/>
    </row>
    <row r="602" spans="1:9" x14ac:dyDescent="0.45">
      <c r="A602"/>
      <c r="B602"/>
      <c r="C602"/>
      <c r="D602"/>
      <c r="E602"/>
      <c r="F602"/>
      <c r="G602"/>
      <c r="H602"/>
      <c r="I602"/>
    </row>
    <row r="603" spans="1:9" x14ac:dyDescent="0.45">
      <c r="A603"/>
      <c r="B603"/>
      <c r="C603"/>
      <c r="D603"/>
      <c r="E603"/>
      <c r="F603"/>
      <c r="G603"/>
      <c r="H603"/>
      <c r="I603"/>
    </row>
    <row r="604" spans="1:9" x14ac:dyDescent="0.45">
      <c r="A604"/>
      <c r="B604"/>
      <c r="C604"/>
      <c r="D604"/>
      <c r="E604"/>
      <c r="F604"/>
      <c r="G604"/>
      <c r="H604"/>
      <c r="I604"/>
    </row>
    <row r="605" spans="1:9" x14ac:dyDescent="0.45">
      <c r="A605"/>
      <c r="B605"/>
      <c r="C605"/>
      <c r="D605"/>
      <c r="E605"/>
      <c r="F605"/>
      <c r="G605"/>
      <c r="H605"/>
      <c r="I605"/>
    </row>
    <row r="606" spans="1:9" x14ac:dyDescent="0.45">
      <c r="A606"/>
      <c r="B606"/>
      <c r="C606"/>
      <c r="D606"/>
      <c r="E606"/>
      <c r="F606"/>
      <c r="G606"/>
      <c r="H606"/>
      <c r="I606"/>
    </row>
    <row r="607" spans="1:9" x14ac:dyDescent="0.45">
      <c r="A607"/>
      <c r="B607"/>
      <c r="C607"/>
      <c r="D607"/>
      <c r="E607"/>
      <c r="F607"/>
      <c r="G607"/>
      <c r="H607"/>
      <c r="I607"/>
    </row>
    <row r="608" spans="1:9" x14ac:dyDescent="0.45">
      <c r="A608"/>
      <c r="B608"/>
      <c r="C608"/>
      <c r="D608"/>
      <c r="E608"/>
      <c r="F608"/>
      <c r="G608"/>
      <c r="H608"/>
      <c r="I608"/>
    </row>
    <row r="609" spans="1:9" x14ac:dyDescent="0.45">
      <c r="A609"/>
      <c r="B609"/>
      <c r="C609"/>
      <c r="D609"/>
      <c r="E609"/>
      <c r="F609"/>
      <c r="G609"/>
      <c r="H609"/>
      <c r="I609"/>
    </row>
    <row r="610" spans="1:9" x14ac:dyDescent="0.45">
      <c r="A610"/>
      <c r="B610"/>
      <c r="C610"/>
      <c r="D610"/>
      <c r="E610"/>
      <c r="F610"/>
      <c r="G610"/>
      <c r="H610"/>
      <c r="I610"/>
    </row>
    <row r="611" spans="1:9" x14ac:dyDescent="0.45">
      <c r="A611"/>
      <c r="B611"/>
      <c r="C611"/>
      <c r="D611"/>
      <c r="E611"/>
      <c r="F611"/>
      <c r="G611"/>
      <c r="H611"/>
      <c r="I611"/>
    </row>
    <row r="612" spans="1:9" x14ac:dyDescent="0.45">
      <c r="A612"/>
      <c r="B612"/>
      <c r="C612"/>
      <c r="D612"/>
      <c r="E612"/>
      <c r="F612"/>
      <c r="G612"/>
      <c r="H612"/>
      <c r="I612"/>
    </row>
    <row r="613" spans="1:9" x14ac:dyDescent="0.45">
      <c r="A613"/>
      <c r="B613"/>
      <c r="C613"/>
      <c r="D613"/>
      <c r="E613"/>
      <c r="F613"/>
      <c r="G613"/>
      <c r="H613"/>
      <c r="I613"/>
    </row>
    <row r="614" spans="1:9" x14ac:dyDescent="0.45">
      <c r="A614"/>
      <c r="B614"/>
      <c r="C614"/>
      <c r="D614"/>
      <c r="E614"/>
      <c r="F614"/>
      <c r="G614"/>
      <c r="H614"/>
      <c r="I614"/>
    </row>
    <row r="615" spans="1:9" x14ac:dyDescent="0.45">
      <c r="A615"/>
      <c r="B615"/>
      <c r="C615"/>
      <c r="D615"/>
      <c r="E615"/>
      <c r="F615"/>
      <c r="G615"/>
      <c r="H615"/>
      <c r="I615"/>
    </row>
    <row r="616" spans="1:9" x14ac:dyDescent="0.45">
      <c r="A616"/>
      <c r="B616"/>
      <c r="C616"/>
      <c r="D616"/>
      <c r="E616"/>
      <c r="F616"/>
      <c r="G616"/>
      <c r="H616"/>
      <c r="I616"/>
    </row>
    <row r="617" spans="1:9" x14ac:dyDescent="0.45">
      <c r="A617"/>
      <c r="B617"/>
      <c r="C617"/>
      <c r="D617"/>
      <c r="E617"/>
      <c r="F617"/>
      <c r="G617"/>
      <c r="H617"/>
      <c r="I617"/>
    </row>
    <row r="618" spans="1:9" x14ac:dyDescent="0.45">
      <c r="A618"/>
      <c r="B618"/>
      <c r="C618"/>
      <c r="D618"/>
      <c r="E618"/>
      <c r="F618"/>
      <c r="G618"/>
      <c r="H618"/>
      <c r="I618"/>
    </row>
    <row r="619" spans="1:9" x14ac:dyDescent="0.45">
      <c r="A619"/>
      <c r="B619"/>
      <c r="C619"/>
      <c r="D619"/>
      <c r="E619"/>
      <c r="F619"/>
      <c r="G619"/>
      <c r="H619"/>
      <c r="I619"/>
    </row>
    <row r="620" spans="1:9" x14ac:dyDescent="0.45">
      <c r="A620"/>
      <c r="B620"/>
      <c r="C620"/>
      <c r="D620"/>
      <c r="E620"/>
      <c r="F620"/>
      <c r="G620"/>
      <c r="H620"/>
      <c r="I620"/>
    </row>
    <row r="621" spans="1:9" x14ac:dyDescent="0.45">
      <c r="A621"/>
      <c r="B621"/>
      <c r="C621"/>
      <c r="D621"/>
      <c r="E621"/>
      <c r="F621"/>
      <c r="G621"/>
      <c r="H621"/>
      <c r="I621"/>
    </row>
    <row r="622" spans="1:9" x14ac:dyDescent="0.45">
      <c r="A622"/>
      <c r="B622"/>
      <c r="C622"/>
      <c r="D622"/>
      <c r="E622"/>
      <c r="F622"/>
      <c r="G622"/>
      <c r="H622"/>
      <c r="I622"/>
    </row>
    <row r="623" spans="1:9" x14ac:dyDescent="0.45">
      <c r="A623"/>
      <c r="B623"/>
      <c r="C623"/>
      <c r="D623"/>
      <c r="E623"/>
      <c r="F623"/>
      <c r="G623"/>
      <c r="H623"/>
      <c r="I623"/>
    </row>
    <row r="624" spans="1:9" x14ac:dyDescent="0.45">
      <c r="A624"/>
      <c r="B624"/>
      <c r="C624"/>
      <c r="D624"/>
      <c r="E624"/>
      <c r="F624"/>
      <c r="G624"/>
      <c r="H624"/>
      <c r="I624"/>
    </row>
    <row r="625" spans="1:9" x14ac:dyDescent="0.45">
      <c r="A625"/>
      <c r="B625"/>
      <c r="C625"/>
      <c r="D625"/>
      <c r="E625"/>
      <c r="F625"/>
      <c r="G625"/>
      <c r="H625"/>
      <c r="I625"/>
    </row>
    <row r="626" spans="1:9" x14ac:dyDescent="0.45">
      <c r="A626"/>
      <c r="B626"/>
      <c r="C626"/>
      <c r="D626"/>
      <c r="E626"/>
      <c r="F626"/>
      <c r="G626"/>
      <c r="H626"/>
      <c r="I626"/>
    </row>
    <row r="627" spans="1:9" x14ac:dyDescent="0.45">
      <c r="A627"/>
      <c r="B627"/>
      <c r="C627"/>
      <c r="D627"/>
      <c r="E627"/>
      <c r="F627"/>
      <c r="G627"/>
      <c r="H627"/>
      <c r="I627"/>
    </row>
    <row r="628" spans="1:9" x14ac:dyDescent="0.45">
      <c r="A628"/>
      <c r="B628"/>
      <c r="C628"/>
      <c r="D628"/>
      <c r="E628"/>
      <c r="F628"/>
      <c r="G628"/>
      <c r="H628"/>
      <c r="I628"/>
    </row>
    <row r="629" spans="1:9" x14ac:dyDescent="0.45">
      <c r="A629"/>
      <c r="B629"/>
      <c r="C629"/>
      <c r="D629"/>
      <c r="E629"/>
      <c r="F629"/>
      <c r="G629"/>
      <c r="H629"/>
      <c r="I629"/>
    </row>
    <row r="630" spans="1:9" x14ac:dyDescent="0.45">
      <c r="A630"/>
      <c r="B630"/>
      <c r="C630"/>
      <c r="D630"/>
      <c r="E630"/>
      <c r="F630"/>
      <c r="G630"/>
      <c r="H630"/>
      <c r="I630"/>
    </row>
    <row r="631" spans="1:9" x14ac:dyDescent="0.45">
      <c r="A631"/>
      <c r="B631"/>
      <c r="C631"/>
      <c r="D631"/>
      <c r="E631"/>
      <c r="F631"/>
      <c r="G631"/>
      <c r="H631"/>
      <c r="I631"/>
    </row>
    <row r="632" spans="1:9" x14ac:dyDescent="0.45">
      <c r="A632"/>
      <c r="B632"/>
      <c r="C632"/>
      <c r="D632"/>
      <c r="E632"/>
      <c r="F632"/>
      <c r="G632"/>
      <c r="H632"/>
      <c r="I632"/>
    </row>
    <row r="633" spans="1:9" x14ac:dyDescent="0.45">
      <c r="A633"/>
      <c r="B633"/>
      <c r="C633"/>
      <c r="D633"/>
      <c r="E633"/>
      <c r="F633"/>
      <c r="G633"/>
      <c r="H633"/>
      <c r="I633"/>
    </row>
    <row r="634" spans="1:9" x14ac:dyDescent="0.45">
      <c r="A634"/>
      <c r="B634"/>
      <c r="C634"/>
      <c r="D634"/>
      <c r="E634"/>
      <c r="F634"/>
      <c r="G634"/>
      <c r="H634"/>
      <c r="I634"/>
    </row>
    <row r="635" spans="1:9" x14ac:dyDescent="0.45">
      <c r="A635"/>
      <c r="B635"/>
      <c r="C635"/>
      <c r="D635"/>
      <c r="E635"/>
      <c r="F635"/>
      <c r="G635"/>
      <c r="H635"/>
      <c r="I635"/>
    </row>
    <row r="636" spans="1:9" x14ac:dyDescent="0.45">
      <c r="A636"/>
      <c r="B636"/>
      <c r="C636"/>
      <c r="D636"/>
      <c r="E636"/>
      <c r="F636"/>
      <c r="G636"/>
      <c r="H636"/>
      <c r="I636"/>
    </row>
    <row r="637" spans="1:9" x14ac:dyDescent="0.45">
      <c r="A637"/>
      <c r="B637"/>
      <c r="C637"/>
      <c r="D637"/>
      <c r="E637"/>
      <c r="F637"/>
      <c r="G637"/>
      <c r="H637"/>
      <c r="I637"/>
    </row>
    <row r="638" spans="1:9" x14ac:dyDescent="0.45">
      <c r="A638"/>
      <c r="B638"/>
      <c r="C638"/>
      <c r="D638"/>
      <c r="E638"/>
      <c r="F638"/>
      <c r="G638"/>
      <c r="H638"/>
      <c r="I638"/>
    </row>
    <row r="639" spans="1:9" x14ac:dyDescent="0.45">
      <c r="A639"/>
      <c r="B639"/>
      <c r="C639"/>
      <c r="D639"/>
      <c r="E639"/>
      <c r="F639"/>
      <c r="G639"/>
      <c r="H639"/>
      <c r="I639"/>
    </row>
    <row r="640" spans="1:9" x14ac:dyDescent="0.45">
      <c r="A640"/>
      <c r="B640"/>
      <c r="C640"/>
      <c r="D640"/>
      <c r="E640"/>
      <c r="F640"/>
      <c r="G640"/>
      <c r="H640"/>
      <c r="I640"/>
    </row>
    <row r="641" spans="1:9" x14ac:dyDescent="0.45">
      <c r="A641"/>
      <c r="B641"/>
      <c r="C641"/>
      <c r="D641"/>
      <c r="E641"/>
      <c r="F641"/>
      <c r="G641"/>
      <c r="H641"/>
      <c r="I641"/>
    </row>
    <row r="642" spans="1:9" x14ac:dyDescent="0.45">
      <c r="A642"/>
      <c r="B642"/>
      <c r="C642"/>
      <c r="D642"/>
      <c r="E642"/>
      <c r="F642"/>
      <c r="G642"/>
      <c r="H642"/>
      <c r="I642"/>
    </row>
    <row r="643" spans="1:9" x14ac:dyDescent="0.45">
      <c r="A643"/>
      <c r="B643"/>
      <c r="C643"/>
      <c r="D643"/>
      <c r="E643"/>
      <c r="F643"/>
      <c r="G643"/>
      <c r="H643"/>
      <c r="I643"/>
    </row>
    <row r="644" spans="1:9" x14ac:dyDescent="0.45">
      <c r="A644"/>
      <c r="B644"/>
      <c r="C644"/>
      <c r="D644"/>
      <c r="E644"/>
      <c r="F644"/>
      <c r="G644"/>
      <c r="H644"/>
      <c r="I644"/>
    </row>
    <row r="645" spans="1:9" x14ac:dyDescent="0.45">
      <c r="A645"/>
      <c r="B645"/>
      <c r="C645"/>
      <c r="D645"/>
      <c r="E645"/>
      <c r="F645"/>
      <c r="G645"/>
      <c r="H645"/>
      <c r="I645"/>
    </row>
    <row r="646" spans="1:9" x14ac:dyDescent="0.45">
      <c r="A646"/>
      <c r="B646"/>
      <c r="C646"/>
      <c r="D646"/>
      <c r="E646"/>
      <c r="F646"/>
      <c r="G646"/>
      <c r="H646"/>
      <c r="I646"/>
    </row>
    <row r="647" spans="1:9" x14ac:dyDescent="0.45">
      <c r="A647"/>
      <c r="B647"/>
      <c r="C647"/>
      <c r="D647"/>
      <c r="E647"/>
      <c r="F647"/>
      <c r="G647"/>
      <c r="H647"/>
      <c r="I647"/>
    </row>
    <row r="648" spans="1:9" x14ac:dyDescent="0.45">
      <c r="A648"/>
      <c r="B648"/>
      <c r="C648"/>
      <c r="D648"/>
      <c r="E648"/>
      <c r="F648"/>
      <c r="G648"/>
      <c r="H648"/>
      <c r="I648"/>
    </row>
    <row r="649" spans="1:9" x14ac:dyDescent="0.45">
      <c r="A649"/>
      <c r="B649"/>
      <c r="C649"/>
      <c r="D649"/>
      <c r="E649"/>
      <c r="F649"/>
      <c r="G649"/>
      <c r="H649"/>
      <c r="I649"/>
    </row>
    <row r="650" spans="1:9" x14ac:dyDescent="0.45">
      <c r="A650"/>
      <c r="B650"/>
      <c r="C650"/>
      <c r="D650"/>
      <c r="E650"/>
      <c r="F650"/>
      <c r="G650"/>
      <c r="H650"/>
      <c r="I650"/>
    </row>
    <row r="651" spans="1:9" x14ac:dyDescent="0.45">
      <c r="A651"/>
      <c r="B651"/>
      <c r="C651"/>
      <c r="D651"/>
      <c r="E651"/>
      <c r="F651"/>
      <c r="G651"/>
      <c r="H651"/>
      <c r="I651"/>
    </row>
    <row r="652" spans="1:9" x14ac:dyDescent="0.45">
      <c r="A652"/>
      <c r="B652"/>
      <c r="C652"/>
      <c r="D652"/>
      <c r="E652"/>
      <c r="F652"/>
      <c r="G652"/>
      <c r="H652"/>
      <c r="I652"/>
    </row>
    <row r="653" spans="1:9" x14ac:dyDescent="0.45">
      <c r="A653"/>
      <c r="B653"/>
      <c r="C653"/>
      <c r="D653"/>
      <c r="E653"/>
      <c r="F653"/>
      <c r="G653"/>
      <c r="H653"/>
      <c r="I653"/>
    </row>
    <row r="654" spans="1:9" x14ac:dyDescent="0.45">
      <c r="A654"/>
      <c r="B654"/>
      <c r="C654"/>
      <c r="D654"/>
      <c r="E654"/>
      <c r="F654"/>
      <c r="G654"/>
      <c r="H654"/>
      <c r="I654"/>
    </row>
    <row r="655" spans="1:9" x14ac:dyDescent="0.45">
      <c r="A655"/>
      <c r="B655"/>
      <c r="C655"/>
      <c r="D655"/>
      <c r="E655"/>
      <c r="F655"/>
      <c r="G655"/>
      <c r="H655"/>
      <c r="I655"/>
    </row>
    <row r="656" spans="1:9" x14ac:dyDescent="0.45">
      <c r="A656"/>
      <c r="B656"/>
      <c r="C656"/>
      <c r="D656"/>
      <c r="E656"/>
      <c r="F656"/>
      <c r="G656"/>
      <c r="H656"/>
      <c r="I656"/>
    </row>
    <row r="657" spans="1:9" x14ac:dyDescent="0.45">
      <c r="A657"/>
      <c r="B657"/>
      <c r="C657"/>
      <c r="D657"/>
      <c r="E657"/>
      <c r="F657"/>
      <c r="G657"/>
      <c r="H657"/>
      <c r="I657"/>
    </row>
    <row r="658" spans="1:9" x14ac:dyDescent="0.45">
      <c r="A658"/>
      <c r="B658"/>
      <c r="C658"/>
      <c r="D658"/>
      <c r="E658"/>
      <c r="F658"/>
      <c r="G658"/>
      <c r="H658"/>
      <c r="I658"/>
    </row>
    <row r="659" spans="1:9" x14ac:dyDescent="0.45">
      <c r="A659"/>
      <c r="B659"/>
      <c r="C659"/>
      <c r="D659"/>
      <c r="E659"/>
      <c r="F659"/>
      <c r="G659"/>
      <c r="H659"/>
      <c r="I659"/>
    </row>
    <row r="660" spans="1:9" x14ac:dyDescent="0.45">
      <c r="A660"/>
      <c r="B660"/>
      <c r="C660"/>
      <c r="D660"/>
      <c r="E660"/>
      <c r="F660"/>
      <c r="G660"/>
      <c r="H660"/>
      <c r="I660"/>
    </row>
    <row r="661" spans="1:9" x14ac:dyDescent="0.45">
      <c r="A661"/>
      <c r="B661"/>
      <c r="C661"/>
      <c r="D661"/>
      <c r="E661"/>
      <c r="F661"/>
      <c r="G661"/>
      <c r="H661"/>
      <c r="I661"/>
    </row>
    <row r="662" spans="1:9" x14ac:dyDescent="0.45">
      <c r="A662"/>
      <c r="B662"/>
      <c r="C662"/>
      <c r="D662"/>
      <c r="E662"/>
      <c r="F662"/>
      <c r="G662"/>
      <c r="H662"/>
      <c r="I662"/>
    </row>
    <row r="663" spans="1:9" x14ac:dyDescent="0.45">
      <c r="A663"/>
      <c r="B663"/>
      <c r="C663"/>
      <c r="D663"/>
      <c r="E663"/>
      <c r="F663"/>
      <c r="G663"/>
      <c r="H663"/>
      <c r="I663"/>
    </row>
    <row r="664" spans="1:9" x14ac:dyDescent="0.45">
      <c r="A664"/>
      <c r="B664"/>
      <c r="C664"/>
      <c r="D664"/>
      <c r="E664"/>
      <c r="F664"/>
      <c r="G664"/>
      <c r="H664"/>
      <c r="I664"/>
    </row>
    <row r="665" spans="1:9" x14ac:dyDescent="0.45">
      <c r="A665"/>
      <c r="B665"/>
      <c r="C665"/>
      <c r="D665"/>
      <c r="E665"/>
      <c r="F665"/>
      <c r="G665"/>
      <c r="H665"/>
      <c r="I665"/>
    </row>
    <row r="666" spans="1:9" x14ac:dyDescent="0.45">
      <c r="A666"/>
      <c r="B666"/>
      <c r="C666"/>
      <c r="D666"/>
      <c r="E666"/>
      <c r="F666"/>
      <c r="G666"/>
      <c r="H666"/>
      <c r="I666"/>
    </row>
    <row r="667" spans="1:9" x14ac:dyDescent="0.45">
      <c r="A667"/>
      <c r="B667"/>
      <c r="C667"/>
      <c r="D667"/>
      <c r="E667"/>
      <c r="F667"/>
      <c r="G667"/>
      <c r="H667"/>
      <c r="I667"/>
    </row>
    <row r="668" spans="1:9" x14ac:dyDescent="0.45">
      <c r="A668"/>
      <c r="B668"/>
      <c r="C668"/>
      <c r="D668"/>
      <c r="E668"/>
      <c r="F668"/>
      <c r="G668"/>
      <c r="H668"/>
      <c r="I668"/>
    </row>
    <row r="669" spans="1:9" x14ac:dyDescent="0.45">
      <c r="A669"/>
      <c r="B669"/>
      <c r="C669"/>
      <c r="D669"/>
      <c r="E669"/>
      <c r="F669"/>
      <c r="G669"/>
      <c r="H669"/>
      <c r="I669"/>
    </row>
    <row r="670" spans="1:9" x14ac:dyDescent="0.45">
      <c r="A670"/>
      <c r="B670"/>
      <c r="C670"/>
      <c r="D670"/>
      <c r="E670"/>
      <c r="F670"/>
      <c r="G670"/>
      <c r="H670"/>
      <c r="I670"/>
    </row>
    <row r="671" spans="1:9" x14ac:dyDescent="0.45">
      <c r="A671"/>
      <c r="B671"/>
      <c r="C671"/>
      <c r="D671"/>
      <c r="E671"/>
      <c r="F671"/>
      <c r="G671"/>
      <c r="H671"/>
      <c r="I671"/>
    </row>
    <row r="672" spans="1:9" x14ac:dyDescent="0.45">
      <c r="A672"/>
      <c r="B672"/>
      <c r="C672"/>
      <c r="D672"/>
      <c r="E672"/>
      <c r="F672"/>
      <c r="G672"/>
      <c r="H672"/>
      <c r="I672"/>
    </row>
    <row r="673" spans="1:9" x14ac:dyDescent="0.45">
      <c r="A673"/>
      <c r="B673"/>
      <c r="C673"/>
      <c r="D673"/>
      <c r="E673"/>
      <c r="F673"/>
      <c r="G673"/>
      <c r="H673"/>
      <c r="I673"/>
    </row>
    <row r="674" spans="1:9" x14ac:dyDescent="0.45">
      <c r="A674"/>
      <c r="B674"/>
      <c r="C674"/>
      <c r="D674"/>
      <c r="E674"/>
      <c r="F674"/>
      <c r="G674"/>
      <c r="H674"/>
      <c r="I674"/>
    </row>
    <row r="675" spans="1:9" x14ac:dyDescent="0.45">
      <c r="A675"/>
      <c r="B675"/>
      <c r="C675"/>
      <c r="D675"/>
      <c r="E675"/>
      <c r="F675"/>
      <c r="G675"/>
      <c r="H675"/>
      <c r="I675"/>
    </row>
    <row r="676" spans="1:9" x14ac:dyDescent="0.45">
      <c r="A676"/>
      <c r="B676"/>
      <c r="C676"/>
      <c r="D676"/>
      <c r="E676"/>
      <c r="F676"/>
      <c r="G676"/>
      <c r="H676"/>
      <c r="I676"/>
    </row>
    <row r="677" spans="1:9" x14ac:dyDescent="0.45">
      <c r="A677"/>
      <c r="B677"/>
      <c r="C677"/>
      <c r="D677"/>
      <c r="E677"/>
      <c r="F677"/>
      <c r="G677"/>
      <c r="H677"/>
      <c r="I677"/>
    </row>
    <row r="678" spans="1:9" x14ac:dyDescent="0.45">
      <c r="A678"/>
      <c r="B678"/>
      <c r="C678"/>
      <c r="D678"/>
      <c r="E678"/>
      <c r="F678"/>
      <c r="G678"/>
      <c r="H678"/>
      <c r="I678"/>
    </row>
    <row r="679" spans="1:9" x14ac:dyDescent="0.45">
      <c r="A679"/>
      <c r="B679"/>
      <c r="C679"/>
      <c r="D679"/>
      <c r="E679"/>
      <c r="F679"/>
      <c r="G679"/>
      <c r="H679"/>
      <c r="I679"/>
    </row>
    <row r="680" spans="1:9" x14ac:dyDescent="0.45">
      <c r="A680"/>
      <c r="B680"/>
      <c r="C680"/>
      <c r="D680"/>
      <c r="E680"/>
      <c r="F680"/>
      <c r="G680"/>
      <c r="H680"/>
      <c r="I680"/>
    </row>
    <row r="681" spans="1:9" x14ac:dyDescent="0.45">
      <c r="A681"/>
      <c r="B681"/>
      <c r="C681"/>
      <c r="D681"/>
      <c r="E681"/>
      <c r="F681"/>
      <c r="G681"/>
      <c r="H681"/>
      <c r="I681"/>
    </row>
    <row r="682" spans="1:9" x14ac:dyDescent="0.45">
      <c r="A682"/>
      <c r="B682"/>
      <c r="C682"/>
      <c r="D682"/>
      <c r="E682"/>
      <c r="F682"/>
      <c r="G682"/>
      <c r="H682"/>
      <c r="I682"/>
    </row>
    <row r="683" spans="1:9" x14ac:dyDescent="0.45">
      <c r="A683"/>
      <c r="B683"/>
      <c r="C683"/>
      <c r="D683"/>
      <c r="E683"/>
      <c r="F683"/>
      <c r="G683"/>
      <c r="H683"/>
      <c r="I683"/>
    </row>
    <row r="684" spans="1:9" x14ac:dyDescent="0.45">
      <c r="A684"/>
      <c r="B684"/>
      <c r="C684"/>
      <c r="D684"/>
      <c r="E684"/>
      <c r="F684"/>
      <c r="G684"/>
      <c r="H684"/>
      <c r="I684"/>
    </row>
    <row r="685" spans="1:9" x14ac:dyDescent="0.45">
      <c r="A685"/>
      <c r="B685"/>
      <c r="C685"/>
      <c r="D685"/>
      <c r="E685"/>
      <c r="F685"/>
      <c r="G685"/>
      <c r="H685"/>
      <c r="I685"/>
    </row>
    <row r="686" spans="1:9" x14ac:dyDescent="0.45">
      <c r="A686"/>
      <c r="B686"/>
      <c r="C686"/>
      <c r="D686"/>
      <c r="E686"/>
      <c r="F686"/>
      <c r="G686"/>
      <c r="H686"/>
      <c r="I686"/>
    </row>
    <row r="687" spans="1:9" x14ac:dyDescent="0.45">
      <c r="A687"/>
      <c r="B687"/>
      <c r="C687"/>
      <c r="D687"/>
      <c r="E687"/>
      <c r="F687"/>
      <c r="G687"/>
      <c r="H687"/>
      <c r="I687"/>
    </row>
    <row r="688" spans="1:9" x14ac:dyDescent="0.45">
      <c r="A688"/>
      <c r="B688"/>
      <c r="C688"/>
      <c r="D688"/>
      <c r="E688"/>
      <c r="F688"/>
      <c r="G688"/>
      <c r="H688"/>
      <c r="I688"/>
    </row>
    <row r="689" spans="1:9" x14ac:dyDescent="0.45">
      <c r="A689"/>
      <c r="B689"/>
      <c r="C689"/>
      <c r="D689"/>
      <c r="E689"/>
      <c r="F689"/>
      <c r="G689"/>
      <c r="H689"/>
      <c r="I689"/>
    </row>
    <row r="690" spans="1:9" x14ac:dyDescent="0.45">
      <c r="A690"/>
      <c r="B690"/>
      <c r="C690"/>
      <c r="D690"/>
      <c r="E690"/>
      <c r="F690"/>
      <c r="G690"/>
      <c r="H690"/>
      <c r="I690"/>
    </row>
    <row r="691" spans="1:9" x14ac:dyDescent="0.45">
      <c r="A691"/>
      <c r="B691"/>
      <c r="C691"/>
      <c r="D691"/>
      <c r="E691"/>
      <c r="F691"/>
      <c r="G691"/>
      <c r="H691"/>
      <c r="I691"/>
    </row>
    <row r="692" spans="1:9" x14ac:dyDescent="0.45">
      <c r="A692"/>
      <c r="B692"/>
      <c r="C692"/>
      <c r="D692"/>
      <c r="E692"/>
      <c r="F692"/>
      <c r="G692"/>
      <c r="H692"/>
      <c r="I692"/>
    </row>
    <row r="693" spans="1:9" x14ac:dyDescent="0.45">
      <c r="A693"/>
      <c r="B693"/>
      <c r="C693"/>
      <c r="D693"/>
      <c r="E693"/>
      <c r="F693"/>
      <c r="G693"/>
      <c r="H693"/>
      <c r="I693"/>
    </row>
    <row r="694" spans="1:9" x14ac:dyDescent="0.45">
      <c r="A694"/>
      <c r="B694"/>
      <c r="C694"/>
      <c r="D694"/>
      <c r="E694"/>
      <c r="F694"/>
      <c r="G694"/>
      <c r="H694"/>
      <c r="I694"/>
    </row>
    <row r="695" spans="1:9" x14ac:dyDescent="0.45">
      <c r="A695"/>
      <c r="B695"/>
      <c r="C695"/>
      <c r="D695"/>
      <c r="E695"/>
      <c r="F695"/>
      <c r="G695"/>
      <c r="H695"/>
      <c r="I695"/>
    </row>
    <row r="696" spans="1:9" x14ac:dyDescent="0.45">
      <c r="A696"/>
      <c r="B696"/>
      <c r="C696"/>
      <c r="D696"/>
      <c r="E696"/>
      <c r="F696"/>
      <c r="G696"/>
      <c r="H696"/>
      <c r="I696"/>
    </row>
    <row r="697" spans="1:9" x14ac:dyDescent="0.45">
      <c r="A697"/>
      <c r="B697"/>
      <c r="C697"/>
      <c r="D697"/>
      <c r="E697"/>
      <c r="F697"/>
      <c r="G697"/>
      <c r="H697"/>
      <c r="I697"/>
    </row>
    <row r="698" spans="1:9" x14ac:dyDescent="0.45">
      <c r="A698"/>
      <c r="B698"/>
      <c r="C698"/>
      <c r="D698"/>
      <c r="E698"/>
      <c r="F698"/>
      <c r="G698"/>
      <c r="H698"/>
      <c r="I698"/>
    </row>
    <row r="699" spans="1:9" x14ac:dyDescent="0.45">
      <c r="A699"/>
      <c r="B699"/>
      <c r="C699"/>
      <c r="D699"/>
      <c r="E699"/>
      <c r="F699"/>
      <c r="G699"/>
      <c r="H699"/>
      <c r="I699"/>
    </row>
    <row r="700" spans="1:9" x14ac:dyDescent="0.45">
      <c r="A700"/>
      <c r="B700"/>
      <c r="C700"/>
      <c r="D700"/>
      <c r="E700"/>
      <c r="F700"/>
      <c r="G700"/>
      <c r="H700"/>
      <c r="I700"/>
    </row>
    <row r="701" spans="1:9" x14ac:dyDescent="0.45">
      <c r="A701"/>
      <c r="B701"/>
      <c r="C701"/>
      <c r="D701"/>
      <c r="E701"/>
      <c r="F701"/>
      <c r="G701"/>
      <c r="H701"/>
      <c r="I701"/>
    </row>
    <row r="702" spans="1:9" x14ac:dyDescent="0.45">
      <c r="A702"/>
      <c r="B702"/>
      <c r="C702"/>
      <c r="D702"/>
      <c r="E702"/>
      <c r="F702"/>
      <c r="G702"/>
      <c r="H702"/>
      <c r="I702"/>
    </row>
    <row r="703" spans="1:9" x14ac:dyDescent="0.45">
      <c r="A703"/>
      <c r="B703"/>
      <c r="C703"/>
      <c r="D703"/>
      <c r="E703"/>
      <c r="F703"/>
      <c r="G703"/>
      <c r="H703"/>
      <c r="I703"/>
    </row>
    <row r="704" spans="1:9" x14ac:dyDescent="0.45">
      <c r="A704"/>
      <c r="B704"/>
      <c r="C704"/>
      <c r="D704"/>
      <c r="E704"/>
      <c r="F704"/>
      <c r="G704"/>
      <c r="H704"/>
      <c r="I704"/>
    </row>
    <row r="705" spans="1:9" x14ac:dyDescent="0.45">
      <c r="A705"/>
      <c r="B705"/>
      <c r="C705"/>
      <c r="D705"/>
      <c r="E705"/>
      <c r="F705"/>
      <c r="G705"/>
      <c r="H705"/>
      <c r="I705"/>
    </row>
    <row r="706" spans="1:9" x14ac:dyDescent="0.45">
      <c r="A706"/>
      <c r="B706"/>
      <c r="C706"/>
      <c r="D706"/>
      <c r="E706"/>
      <c r="F706"/>
      <c r="G706"/>
      <c r="H706"/>
      <c r="I706"/>
    </row>
    <row r="707" spans="1:9" x14ac:dyDescent="0.45">
      <c r="A707"/>
      <c r="B707"/>
      <c r="C707"/>
      <c r="D707"/>
      <c r="E707"/>
      <c r="F707"/>
      <c r="G707"/>
      <c r="H707"/>
      <c r="I707"/>
    </row>
    <row r="708" spans="1:9" x14ac:dyDescent="0.45">
      <c r="A708"/>
      <c r="B708"/>
      <c r="C708"/>
      <c r="D708"/>
      <c r="E708"/>
      <c r="F708"/>
      <c r="G708"/>
      <c r="H708"/>
      <c r="I708"/>
    </row>
    <row r="709" spans="1:9" x14ac:dyDescent="0.45">
      <c r="A709"/>
      <c r="B709"/>
      <c r="C709"/>
      <c r="D709"/>
      <c r="E709"/>
      <c r="F709"/>
      <c r="G709"/>
      <c r="H709"/>
      <c r="I709"/>
    </row>
    <row r="710" spans="1:9" x14ac:dyDescent="0.45">
      <c r="A710"/>
      <c r="B710"/>
      <c r="C710"/>
      <c r="D710"/>
      <c r="E710"/>
      <c r="F710"/>
      <c r="G710"/>
      <c r="H710"/>
      <c r="I710"/>
    </row>
    <row r="711" spans="1:9" x14ac:dyDescent="0.45">
      <c r="A711"/>
      <c r="B711"/>
      <c r="C711"/>
      <c r="D711"/>
      <c r="E711"/>
      <c r="F711"/>
      <c r="G711"/>
      <c r="H711"/>
      <c r="I711"/>
    </row>
    <row r="712" spans="1:9" x14ac:dyDescent="0.45">
      <c r="A712"/>
      <c r="B712"/>
      <c r="C712"/>
      <c r="D712"/>
      <c r="E712"/>
      <c r="F712"/>
      <c r="G712"/>
      <c r="H712"/>
      <c r="I712"/>
    </row>
    <row r="713" spans="1:9" x14ac:dyDescent="0.45">
      <c r="A713"/>
      <c r="B713"/>
      <c r="C713"/>
      <c r="D713"/>
      <c r="E713"/>
      <c r="F713"/>
      <c r="G713"/>
      <c r="H713"/>
      <c r="I713"/>
    </row>
    <row r="714" spans="1:9" x14ac:dyDescent="0.45">
      <c r="A714"/>
      <c r="B714"/>
      <c r="C714"/>
      <c r="D714"/>
      <c r="E714"/>
      <c r="F714"/>
      <c r="G714"/>
      <c r="H714"/>
      <c r="I714"/>
    </row>
    <row r="715" spans="1:9" x14ac:dyDescent="0.45">
      <c r="A715"/>
      <c r="B715"/>
      <c r="C715"/>
      <c r="D715"/>
      <c r="E715"/>
      <c r="F715"/>
      <c r="G715"/>
      <c r="H715"/>
      <c r="I715"/>
    </row>
    <row r="716" spans="1:9" x14ac:dyDescent="0.45">
      <c r="A716"/>
      <c r="B716"/>
      <c r="C716"/>
      <c r="D716"/>
      <c r="E716"/>
      <c r="F716"/>
      <c r="G716"/>
      <c r="H716"/>
      <c r="I716"/>
    </row>
    <row r="717" spans="1:9" x14ac:dyDescent="0.45">
      <c r="A717"/>
      <c r="B717"/>
      <c r="C717"/>
      <c r="D717"/>
      <c r="E717"/>
      <c r="F717"/>
      <c r="G717"/>
      <c r="H717"/>
      <c r="I717"/>
    </row>
    <row r="718" spans="1:9" x14ac:dyDescent="0.45">
      <c r="A718"/>
      <c r="B718"/>
      <c r="C718"/>
      <c r="D718"/>
      <c r="E718"/>
      <c r="F718"/>
      <c r="G718"/>
      <c r="H718"/>
      <c r="I718"/>
    </row>
    <row r="719" spans="1:9" x14ac:dyDescent="0.45">
      <c r="A719"/>
      <c r="B719"/>
      <c r="C719"/>
      <c r="D719"/>
      <c r="E719"/>
      <c r="F719"/>
      <c r="G719"/>
      <c r="H719"/>
      <c r="I719"/>
    </row>
    <row r="720" spans="1:9" x14ac:dyDescent="0.45">
      <c r="A720"/>
      <c r="B720"/>
      <c r="C720"/>
      <c r="D720"/>
      <c r="E720"/>
      <c r="F720"/>
      <c r="G720"/>
      <c r="H720"/>
      <c r="I720"/>
    </row>
    <row r="721" spans="1:9" x14ac:dyDescent="0.45">
      <c r="A721"/>
      <c r="B721"/>
      <c r="C721"/>
      <c r="D721"/>
      <c r="E721"/>
      <c r="F721"/>
      <c r="G721"/>
      <c r="H721"/>
      <c r="I721"/>
    </row>
    <row r="722" spans="1:9" x14ac:dyDescent="0.45">
      <c r="A722"/>
      <c r="B722"/>
      <c r="C722"/>
      <c r="D722"/>
      <c r="E722"/>
      <c r="F722"/>
      <c r="G722"/>
      <c r="H722"/>
      <c r="I722"/>
    </row>
    <row r="723" spans="1:9" x14ac:dyDescent="0.45">
      <c r="A723"/>
      <c r="B723"/>
      <c r="C723"/>
      <c r="D723"/>
      <c r="E723"/>
      <c r="F723"/>
      <c r="G723"/>
      <c r="H723"/>
      <c r="I723"/>
    </row>
    <row r="724" spans="1:9" x14ac:dyDescent="0.45">
      <c r="A724"/>
      <c r="B724"/>
      <c r="C724"/>
      <c r="D724"/>
      <c r="E724"/>
      <c r="F724"/>
      <c r="G724"/>
      <c r="H724"/>
      <c r="I724"/>
    </row>
    <row r="725" spans="1:9" x14ac:dyDescent="0.45">
      <c r="A725"/>
      <c r="B725"/>
      <c r="C725"/>
      <c r="D725"/>
      <c r="E725"/>
      <c r="F725"/>
      <c r="G725"/>
      <c r="H725"/>
      <c r="I725"/>
    </row>
    <row r="726" spans="1:9" x14ac:dyDescent="0.45">
      <c r="A726"/>
      <c r="B726"/>
      <c r="C726"/>
      <c r="D726"/>
      <c r="E726"/>
      <c r="F726"/>
      <c r="G726"/>
      <c r="H726"/>
      <c r="I726"/>
    </row>
    <row r="727" spans="1:9" x14ac:dyDescent="0.45">
      <c r="A727"/>
      <c r="B727"/>
      <c r="C727"/>
      <c r="D727"/>
      <c r="E727"/>
      <c r="F727"/>
      <c r="G727"/>
      <c r="H727"/>
      <c r="I727"/>
    </row>
    <row r="728" spans="1:9" x14ac:dyDescent="0.45">
      <c r="A728"/>
      <c r="B728"/>
      <c r="C728"/>
      <c r="D728"/>
      <c r="E728"/>
      <c r="F728"/>
      <c r="G728"/>
      <c r="H728"/>
      <c r="I728"/>
    </row>
    <row r="729" spans="1:9" x14ac:dyDescent="0.45">
      <c r="A729"/>
      <c r="B729"/>
      <c r="C729"/>
      <c r="D729"/>
      <c r="E729"/>
      <c r="F729"/>
      <c r="G729"/>
      <c r="H729"/>
      <c r="I729"/>
    </row>
    <row r="730" spans="1:9" x14ac:dyDescent="0.45">
      <c r="A730"/>
      <c r="B730"/>
      <c r="C730"/>
      <c r="D730"/>
      <c r="E730"/>
      <c r="F730"/>
      <c r="G730"/>
      <c r="H730"/>
      <c r="I730"/>
    </row>
    <row r="731" spans="1:9" x14ac:dyDescent="0.45">
      <c r="A731"/>
      <c r="B731"/>
      <c r="C731"/>
      <c r="D731"/>
      <c r="E731"/>
      <c r="F731"/>
      <c r="G731"/>
      <c r="H731"/>
      <c r="I731"/>
    </row>
    <row r="732" spans="1:9" x14ac:dyDescent="0.45">
      <c r="A732"/>
      <c r="B732"/>
      <c r="C732"/>
      <c r="D732"/>
      <c r="E732"/>
      <c r="F732"/>
      <c r="G732"/>
      <c r="H732"/>
      <c r="I732"/>
    </row>
    <row r="733" spans="1:9" x14ac:dyDescent="0.45">
      <c r="A733"/>
      <c r="B733"/>
      <c r="C733"/>
      <c r="D733"/>
      <c r="E733"/>
      <c r="F733"/>
      <c r="G733"/>
      <c r="H733"/>
      <c r="I733"/>
    </row>
    <row r="734" spans="1:9" x14ac:dyDescent="0.45">
      <c r="A734"/>
      <c r="B734"/>
      <c r="C734"/>
      <c r="D734"/>
      <c r="E734"/>
      <c r="F734"/>
      <c r="G734"/>
      <c r="H734"/>
      <c r="I734"/>
    </row>
    <row r="735" spans="1:9" x14ac:dyDescent="0.45">
      <c r="A735"/>
      <c r="B735"/>
      <c r="C735"/>
      <c r="D735"/>
      <c r="E735"/>
      <c r="F735"/>
      <c r="G735"/>
      <c r="H735"/>
      <c r="I735"/>
    </row>
    <row r="736" spans="1:9" x14ac:dyDescent="0.45">
      <c r="A736"/>
      <c r="B736"/>
      <c r="C736"/>
      <c r="D736"/>
      <c r="E736"/>
      <c r="F736"/>
      <c r="G736"/>
      <c r="H736"/>
      <c r="I736"/>
    </row>
    <row r="737" spans="1:9" x14ac:dyDescent="0.45">
      <c r="A737"/>
      <c r="B737"/>
      <c r="C737"/>
      <c r="D737"/>
      <c r="E737"/>
      <c r="F737"/>
      <c r="G737"/>
      <c r="H737"/>
      <c r="I737"/>
    </row>
    <row r="738" spans="1:9" x14ac:dyDescent="0.45">
      <c r="A738"/>
      <c r="B738"/>
      <c r="C738"/>
      <c r="D738"/>
      <c r="E738"/>
      <c r="F738"/>
      <c r="G738"/>
      <c r="H738"/>
      <c r="I738"/>
    </row>
    <row r="739" spans="1:9" x14ac:dyDescent="0.45">
      <c r="A739"/>
      <c r="B739"/>
      <c r="C739"/>
      <c r="D739"/>
      <c r="E739"/>
      <c r="F739"/>
      <c r="G739"/>
      <c r="H739"/>
      <c r="I739"/>
    </row>
    <row r="740" spans="1:9" x14ac:dyDescent="0.45">
      <c r="A740"/>
      <c r="B740"/>
      <c r="C740"/>
      <c r="D740"/>
      <c r="E740"/>
      <c r="F740"/>
      <c r="G740"/>
      <c r="H740"/>
      <c r="I740"/>
    </row>
    <row r="741" spans="1:9" x14ac:dyDescent="0.45">
      <c r="A741"/>
      <c r="B741"/>
      <c r="C741"/>
      <c r="D741"/>
      <c r="E741"/>
      <c r="F741"/>
      <c r="G741"/>
      <c r="H741"/>
      <c r="I741"/>
    </row>
    <row r="742" spans="1:9" x14ac:dyDescent="0.45">
      <c r="A742"/>
      <c r="B742"/>
      <c r="C742"/>
      <c r="D742"/>
      <c r="E742"/>
      <c r="F742"/>
      <c r="G742"/>
      <c r="H742"/>
      <c r="I742"/>
    </row>
    <row r="743" spans="1:9" x14ac:dyDescent="0.45">
      <c r="A743"/>
      <c r="B743"/>
      <c r="C743"/>
      <c r="D743"/>
      <c r="E743"/>
      <c r="F743"/>
      <c r="G743"/>
      <c r="H743"/>
      <c r="I743"/>
    </row>
    <row r="744" spans="1:9" x14ac:dyDescent="0.45">
      <c r="A744"/>
      <c r="B744"/>
      <c r="C744"/>
      <c r="D744"/>
      <c r="E744"/>
      <c r="F744"/>
      <c r="G744"/>
      <c r="H744"/>
      <c r="I744"/>
    </row>
    <row r="745" spans="1:9" x14ac:dyDescent="0.45">
      <c r="A745"/>
      <c r="B745"/>
      <c r="C745"/>
      <c r="D745"/>
      <c r="E745"/>
      <c r="F745"/>
      <c r="G745"/>
      <c r="H745"/>
      <c r="I745"/>
    </row>
    <row r="746" spans="1:9" x14ac:dyDescent="0.45">
      <c r="A746"/>
      <c r="B746"/>
      <c r="C746"/>
      <c r="D746"/>
      <c r="E746"/>
      <c r="F746"/>
      <c r="G746"/>
      <c r="H746"/>
      <c r="I746"/>
    </row>
    <row r="747" spans="1:9" x14ac:dyDescent="0.45">
      <c r="A747"/>
      <c r="B747"/>
      <c r="C747"/>
      <c r="D747"/>
      <c r="E747"/>
      <c r="F747"/>
      <c r="G747"/>
      <c r="H747"/>
      <c r="I747"/>
    </row>
    <row r="748" spans="1:9" x14ac:dyDescent="0.45">
      <c r="A748"/>
      <c r="B748"/>
      <c r="C748"/>
      <c r="D748"/>
      <c r="E748"/>
      <c r="F748"/>
      <c r="G748"/>
      <c r="H748"/>
      <c r="I748"/>
    </row>
    <row r="749" spans="1:9" x14ac:dyDescent="0.45">
      <c r="A749"/>
      <c r="B749"/>
      <c r="C749"/>
      <c r="D749"/>
      <c r="E749"/>
      <c r="F749"/>
      <c r="G749"/>
      <c r="H749"/>
      <c r="I749"/>
    </row>
    <row r="750" spans="1:9" x14ac:dyDescent="0.45">
      <c r="A750"/>
      <c r="B750"/>
      <c r="C750"/>
      <c r="D750"/>
      <c r="E750"/>
      <c r="F750"/>
      <c r="G750"/>
      <c r="H750"/>
      <c r="I750"/>
    </row>
    <row r="751" spans="1:9" x14ac:dyDescent="0.45">
      <c r="A751"/>
      <c r="B751"/>
      <c r="C751"/>
      <c r="D751"/>
      <c r="E751"/>
      <c r="F751"/>
      <c r="G751"/>
      <c r="H751"/>
      <c r="I751"/>
    </row>
    <row r="752" spans="1:9" x14ac:dyDescent="0.45">
      <c r="A752"/>
      <c r="B752"/>
      <c r="C752"/>
      <c r="D752"/>
      <c r="E752"/>
      <c r="F752"/>
      <c r="G752"/>
      <c r="H752"/>
      <c r="I752"/>
    </row>
    <row r="753" spans="1:9" x14ac:dyDescent="0.45">
      <c r="A753"/>
      <c r="B753"/>
      <c r="C753"/>
      <c r="D753"/>
      <c r="E753"/>
      <c r="F753"/>
      <c r="G753"/>
      <c r="H753"/>
      <c r="I753"/>
    </row>
    <row r="754" spans="1:9" x14ac:dyDescent="0.45">
      <c r="A754"/>
      <c r="B754"/>
      <c r="C754"/>
      <c r="D754"/>
      <c r="E754"/>
      <c r="F754"/>
      <c r="G754"/>
      <c r="H754"/>
      <c r="I754"/>
    </row>
    <row r="755" spans="1:9" x14ac:dyDescent="0.45">
      <c r="A755"/>
      <c r="B755"/>
      <c r="C755"/>
      <c r="D755"/>
      <c r="E755"/>
      <c r="F755"/>
      <c r="G755"/>
      <c r="H755"/>
      <c r="I755"/>
    </row>
    <row r="756" spans="1:9" x14ac:dyDescent="0.45">
      <c r="A756"/>
      <c r="B756"/>
      <c r="C756"/>
      <c r="D756"/>
      <c r="E756"/>
      <c r="F756"/>
      <c r="G756"/>
      <c r="H756"/>
      <c r="I756"/>
    </row>
    <row r="757" spans="1:9" x14ac:dyDescent="0.45">
      <c r="A757"/>
      <c r="B757"/>
      <c r="C757"/>
      <c r="D757"/>
      <c r="E757"/>
      <c r="F757"/>
      <c r="G757"/>
      <c r="H757"/>
      <c r="I757"/>
    </row>
    <row r="758" spans="1:9" x14ac:dyDescent="0.45">
      <c r="A758"/>
      <c r="B758"/>
      <c r="C758"/>
      <c r="D758"/>
      <c r="E758"/>
      <c r="F758"/>
      <c r="G758"/>
      <c r="H758"/>
      <c r="I758"/>
    </row>
    <row r="759" spans="1:9" x14ac:dyDescent="0.45">
      <c r="A759"/>
      <c r="B759"/>
      <c r="C759"/>
      <c r="D759"/>
      <c r="E759"/>
      <c r="F759"/>
      <c r="G759"/>
      <c r="H759"/>
      <c r="I759"/>
    </row>
    <row r="760" spans="1:9" x14ac:dyDescent="0.45">
      <c r="A760"/>
      <c r="B760"/>
      <c r="C760"/>
      <c r="D760"/>
      <c r="E760"/>
      <c r="F760"/>
      <c r="G760"/>
      <c r="H760"/>
      <c r="I760"/>
    </row>
    <row r="761" spans="1:9" x14ac:dyDescent="0.45">
      <c r="A761"/>
      <c r="B761"/>
      <c r="C761"/>
      <c r="D761"/>
      <c r="E761"/>
      <c r="F761"/>
      <c r="G761"/>
      <c r="H761"/>
      <c r="I761"/>
    </row>
    <row r="762" spans="1:9" x14ac:dyDescent="0.45">
      <c r="A762"/>
      <c r="B762"/>
      <c r="C762"/>
      <c r="D762"/>
      <c r="E762"/>
      <c r="F762"/>
      <c r="G762"/>
      <c r="H762"/>
      <c r="I762"/>
    </row>
    <row r="763" spans="1:9" x14ac:dyDescent="0.45">
      <c r="A763"/>
      <c r="B763"/>
      <c r="C763"/>
      <c r="D763"/>
      <c r="E763"/>
      <c r="F763"/>
      <c r="G763"/>
      <c r="H763"/>
      <c r="I763"/>
    </row>
    <row r="764" spans="1:9" x14ac:dyDescent="0.45">
      <c r="A764"/>
      <c r="B764"/>
      <c r="C764"/>
      <c r="D764"/>
      <c r="E764"/>
      <c r="F764"/>
      <c r="G764"/>
      <c r="H764"/>
      <c r="I764"/>
    </row>
    <row r="765" spans="1:9" x14ac:dyDescent="0.45">
      <c r="A765"/>
      <c r="B765"/>
      <c r="C765"/>
      <c r="D765"/>
      <c r="E765"/>
      <c r="F765"/>
      <c r="G765"/>
      <c r="H765"/>
      <c r="I765"/>
    </row>
    <row r="766" spans="1:9" x14ac:dyDescent="0.45">
      <c r="A766"/>
      <c r="B766"/>
      <c r="C766"/>
      <c r="D766"/>
      <c r="E766"/>
      <c r="F766"/>
      <c r="G766"/>
      <c r="H766"/>
      <c r="I766"/>
    </row>
    <row r="767" spans="1:9" x14ac:dyDescent="0.45">
      <c r="A767"/>
      <c r="B767"/>
      <c r="C767"/>
      <c r="D767"/>
      <c r="E767"/>
      <c r="F767"/>
      <c r="G767"/>
      <c r="H767"/>
      <c r="I767"/>
    </row>
    <row r="768" spans="1:9" x14ac:dyDescent="0.45">
      <c r="A768"/>
      <c r="B768"/>
      <c r="C768"/>
      <c r="D768"/>
      <c r="E768"/>
      <c r="F768"/>
      <c r="G768"/>
      <c r="H768"/>
      <c r="I768"/>
    </row>
    <row r="769" spans="1:9" x14ac:dyDescent="0.45">
      <c r="A769"/>
      <c r="B769"/>
      <c r="C769"/>
      <c r="D769"/>
      <c r="E769"/>
      <c r="F769"/>
      <c r="G769"/>
      <c r="H769"/>
      <c r="I769"/>
    </row>
    <row r="770" spans="1:9" x14ac:dyDescent="0.45">
      <c r="A770"/>
      <c r="B770"/>
      <c r="C770"/>
      <c r="D770"/>
      <c r="E770"/>
      <c r="F770"/>
      <c r="G770"/>
      <c r="H770"/>
      <c r="I770"/>
    </row>
    <row r="771" spans="1:9" x14ac:dyDescent="0.45">
      <c r="A771"/>
      <c r="B771"/>
      <c r="C771"/>
      <c r="D771"/>
      <c r="E771"/>
      <c r="F771"/>
      <c r="G771"/>
      <c r="H771"/>
      <c r="I771"/>
    </row>
    <row r="772" spans="1:9" x14ac:dyDescent="0.45">
      <c r="A772"/>
      <c r="B772"/>
      <c r="C772"/>
      <c r="D772"/>
      <c r="E772"/>
      <c r="F772"/>
      <c r="G772"/>
      <c r="H772"/>
      <c r="I772"/>
    </row>
    <row r="773" spans="1:9" x14ac:dyDescent="0.45">
      <c r="A773"/>
      <c r="B773"/>
      <c r="C773"/>
      <c r="D773"/>
      <c r="E773"/>
      <c r="F773"/>
      <c r="G773"/>
      <c r="H773"/>
      <c r="I773"/>
    </row>
    <row r="774" spans="1:9" x14ac:dyDescent="0.45">
      <c r="A774"/>
      <c r="B774"/>
      <c r="C774"/>
      <c r="D774"/>
      <c r="E774"/>
      <c r="F774"/>
      <c r="G774"/>
      <c r="H774"/>
      <c r="I774"/>
    </row>
    <row r="775" spans="1:9" x14ac:dyDescent="0.45">
      <c r="A775"/>
      <c r="B775"/>
      <c r="C775"/>
      <c r="D775"/>
      <c r="E775"/>
      <c r="F775"/>
      <c r="G775"/>
      <c r="H775"/>
      <c r="I775"/>
    </row>
    <row r="776" spans="1:9" x14ac:dyDescent="0.45">
      <c r="A776"/>
      <c r="B776"/>
      <c r="C776"/>
      <c r="D776"/>
      <c r="E776"/>
      <c r="F776"/>
      <c r="G776"/>
      <c r="H776"/>
      <c r="I776"/>
    </row>
    <row r="777" spans="1:9" x14ac:dyDescent="0.45">
      <c r="A777"/>
      <c r="B777"/>
      <c r="C777"/>
      <c r="D777"/>
      <c r="E777"/>
      <c r="F777"/>
      <c r="G777"/>
      <c r="H777"/>
      <c r="I777"/>
    </row>
    <row r="778" spans="1:9" x14ac:dyDescent="0.45">
      <c r="A778"/>
      <c r="B778"/>
      <c r="C778"/>
      <c r="D778"/>
      <c r="E778"/>
      <c r="F778"/>
      <c r="G778"/>
      <c r="H778"/>
      <c r="I778"/>
    </row>
    <row r="779" spans="1:9" x14ac:dyDescent="0.45">
      <c r="A779"/>
      <c r="B779"/>
      <c r="C779"/>
      <c r="D779"/>
      <c r="E779"/>
      <c r="F779"/>
      <c r="G779"/>
      <c r="H779"/>
      <c r="I779"/>
    </row>
    <row r="780" spans="1:9" x14ac:dyDescent="0.45">
      <c r="A780"/>
      <c r="B780"/>
      <c r="C780"/>
      <c r="D780"/>
      <c r="E780"/>
      <c r="F780"/>
      <c r="G780"/>
      <c r="H780"/>
      <c r="I780"/>
    </row>
    <row r="781" spans="1:9" x14ac:dyDescent="0.45">
      <c r="A781"/>
      <c r="B781"/>
      <c r="C781"/>
      <c r="D781"/>
      <c r="E781"/>
      <c r="F781"/>
      <c r="G781"/>
      <c r="H781"/>
      <c r="I781"/>
    </row>
    <row r="782" spans="1:9" x14ac:dyDescent="0.45">
      <c r="A782"/>
      <c r="B782"/>
      <c r="C782"/>
      <c r="D782"/>
      <c r="E782"/>
      <c r="F782"/>
      <c r="G782"/>
      <c r="H782"/>
      <c r="I782"/>
    </row>
    <row r="783" spans="1:9" x14ac:dyDescent="0.45">
      <c r="A783"/>
      <c r="B783"/>
      <c r="C783"/>
      <c r="D783"/>
      <c r="E783"/>
      <c r="F783"/>
      <c r="G783"/>
      <c r="H783"/>
      <c r="I783"/>
    </row>
    <row r="784" spans="1:9" x14ac:dyDescent="0.45">
      <c r="A784"/>
      <c r="B784"/>
      <c r="C784"/>
      <c r="D784"/>
      <c r="E784"/>
      <c r="F784"/>
      <c r="G784"/>
      <c r="H784"/>
      <c r="I784"/>
    </row>
    <row r="785" spans="1:9" x14ac:dyDescent="0.45">
      <c r="A785"/>
      <c r="B785"/>
      <c r="C785"/>
      <c r="D785"/>
      <c r="E785"/>
      <c r="F785"/>
      <c r="G785"/>
      <c r="H785"/>
      <c r="I785"/>
    </row>
    <row r="786" spans="1:9" x14ac:dyDescent="0.45">
      <c r="A786"/>
      <c r="B786"/>
      <c r="C786"/>
      <c r="D786"/>
      <c r="E786"/>
      <c r="F786"/>
      <c r="G786"/>
      <c r="H786"/>
      <c r="I786"/>
    </row>
    <row r="787" spans="1:9" x14ac:dyDescent="0.45">
      <c r="A787"/>
      <c r="B787"/>
      <c r="C787"/>
      <c r="D787"/>
      <c r="E787"/>
      <c r="F787"/>
      <c r="G787"/>
      <c r="H787"/>
      <c r="I787"/>
    </row>
    <row r="788" spans="1:9" x14ac:dyDescent="0.45">
      <c r="A788"/>
      <c r="B788"/>
      <c r="C788"/>
      <c r="D788"/>
      <c r="E788"/>
      <c r="F788"/>
      <c r="G788"/>
      <c r="H788"/>
      <c r="I788"/>
    </row>
    <row r="789" spans="1:9" x14ac:dyDescent="0.45">
      <c r="A789"/>
      <c r="B789"/>
      <c r="C789"/>
      <c r="D789"/>
      <c r="E789"/>
      <c r="F789"/>
      <c r="G789"/>
      <c r="H789"/>
      <c r="I789"/>
    </row>
    <row r="790" spans="1:9" x14ac:dyDescent="0.45">
      <c r="A790"/>
      <c r="B790"/>
      <c r="C790"/>
      <c r="D790"/>
      <c r="E790"/>
      <c r="F790"/>
      <c r="G790"/>
      <c r="H790"/>
      <c r="I790"/>
    </row>
    <row r="791" spans="1:9" x14ac:dyDescent="0.45">
      <c r="A791"/>
      <c r="B791"/>
      <c r="C791"/>
      <c r="D791"/>
      <c r="E791"/>
      <c r="F791"/>
      <c r="G791"/>
      <c r="H791"/>
      <c r="I791"/>
    </row>
    <row r="792" spans="1:9" x14ac:dyDescent="0.45">
      <c r="A792"/>
      <c r="B792"/>
      <c r="C792"/>
      <c r="D792"/>
      <c r="E792"/>
      <c r="F792"/>
      <c r="G792"/>
      <c r="H792"/>
      <c r="I792"/>
    </row>
    <row r="793" spans="1:9" x14ac:dyDescent="0.45">
      <c r="A793"/>
      <c r="B793"/>
      <c r="C793"/>
      <c r="D793"/>
      <c r="E793"/>
      <c r="F793"/>
      <c r="G793"/>
      <c r="H793"/>
      <c r="I793"/>
    </row>
    <row r="794" spans="1:9" x14ac:dyDescent="0.45">
      <c r="A794"/>
      <c r="B794"/>
      <c r="C794"/>
      <c r="D794"/>
      <c r="E794"/>
      <c r="F794"/>
      <c r="G794"/>
      <c r="H794"/>
      <c r="I794"/>
    </row>
    <row r="795" spans="1:9" x14ac:dyDescent="0.45">
      <c r="A795"/>
      <c r="B795"/>
      <c r="C795"/>
      <c r="D795"/>
      <c r="E795"/>
      <c r="F795"/>
      <c r="G795"/>
      <c r="H795"/>
      <c r="I795"/>
    </row>
    <row r="796" spans="1:9" x14ac:dyDescent="0.45">
      <c r="A796"/>
      <c r="B796"/>
      <c r="C796"/>
      <c r="D796"/>
      <c r="E796"/>
      <c r="F796"/>
      <c r="G796"/>
      <c r="H796"/>
      <c r="I796"/>
    </row>
    <row r="797" spans="1:9" x14ac:dyDescent="0.45">
      <c r="A797"/>
      <c r="B797"/>
      <c r="C797"/>
      <c r="D797"/>
      <c r="E797"/>
      <c r="F797"/>
      <c r="G797"/>
      <c r="H797"/>
      <c r="I797"/>
    </row>
    <row r="798" spans="1:9" x14ac:dyDescent="0.45">
      <c r="A798"/>
      <c r="B798"/>
      <c r="C798"/>
      <c r="D798"/>
      <c r="E798"/>
      <c r="F798"/>
      <c r="G798"/>
      <c r="H798"/>
      <c r="I798"/>
    </row>
    <row r="799" spans="1:9" x14ac:dyDescent="0.45">
      <c r="A799"/>
      <c r="B799"/>
      <c r="C799"/>
      <c r="D799"/>
      <c r="E799"/>
      <c r="F799"/>
      <c r="G799"/>
      <c r="H799"/>
      <c r="I799"/>
    </row>
    <row r="800" spans="1:9" x14ac:dyDescent="0.45">
      <c r="A800"/>
      <c r="B800"/>
      <c r="C800"/>
      <c r="D800"/>
      <c r="E800"/>
      <c r="F800"/>
      <c r="G800"/>
      <c r="H800"/>
      <c r="I800"/>
    </row>
    <row r="801" spans="1:9" x14ac:dyDescent="0.45">
      <c r="A801"/>
      <c r="B801"/>
      <c r="C801"/>
      <c r="D801"/>
      <c r="E801"/>
      <c r="F801"/>
      <c r="G801"/>
      <c r="H801"/>
      <c r="I801"/>
    </row>
    <row r="802" spans="1:9" x14ac:dyDescent="0.45">
      <c r="A802"/>
      <c r="B802"/>
      <c r="C802"/>
      <c r="D802"/>
      <c r="E802"/>
      <c r="F802"/>
      <c r="G802"/>
      <c r="H802"/>
      <c r="I802"/>
    </row>
    <row r="803" spans="1:9" x14ac:dyDescent="0.45">
      <c r="A803"/>
      <c r="B803"/>
      <c r="C803"/>
      <c r="D803"/>
      <c r="E803"/>
      <c r="F803"/>
      <c r="G803"/>
      <c r="H803"/>
      <c r="I803"/>
    </row>
    <row r="804" spans="1:9" x14ac:dyDescent="0.45">
      <c r="A804"/>
      <c r="B804"/>
      <c r="C804"/>
      <c r="D804"/>
      <c r="E804"/>
      <c r="F804"/>
      <c r="G804"/>
      <c r="H804"/>
      <c r="I804"/>
    </row>
    <row r="805" spans="1:9" x14ac:dyDescent="0.45">
      <c r="A805"/>
      <c r="B805"/>
      <c r="C805"/>
      <c r="D805"/>
      <c r="E805"/>
      <c r="F805"/>
      <c r="G805"/>
      <c r="H805"/>
      <c r="I805"/>
    </row>
    <row r="806" spans="1:9" x14ac:dyDescent="0.45">
      <c r="A806"/>
      <c r="B806"/>
      <c r="C806"/>
      <c r="D806"/>
      <c r="E806"/>
      <c r="F806"/>
      <c r="G806"/>
      <c r="H806"/>
      <c r="I806"/>
    </row>
    <row r="807" spans="1:9" x14ac:dyDescent="0.45">
      <c r="A807"/>
      <c r="B807"/>
      <c r="C807"/>
      <c r="D807"/>
      <c r="E807"/>
      <c r="F807"/>
      <c r="G807"/>
      <c r="H807"/>
      <c r="I807"/>
    </row>
    <row r="808" spans="1:9" x14ac:dyDescent="0.45">
      <c r="A808"/>
      <c r="B808"/>
      <c r="C808"/>
      <c r="D808"/>
      <c r="E808"/>
      <c r="F808"/>
      <c r="G808"/>
      <c r="H808"/>
      <c r="I808"/>
    </row>
    <row r="809" spans="1:9" x14ac:dyDescent="0.45">
      <c r="A809"/>
      <c r="B809"/>
      <c r="C809"/>
      <c r="D809"/>
      <c r="E809"/>
      <c r="F809"/>
      <c r="G809"/>
      <c r="H809"/>
      <c r="I809"/>
    </row>
    <row r="810" spans="1:9" x14ac:dyDescent="0.45">
      <c r="A810"/>
      <c r="B810"/>
      <c r="C810"/>
      <c r="D810"/>
      <c r="E810"/>
      <c r="F810"/>
      <c r="G810"/>
      <c r="H810"/>
      <c r="I810"/>
    </row>
    <row r="811" spans="1:9" x14ac:dyDescent="0.45">
      <c r="A811"/>
      <c r="B811"/>
      <c r="C811"/>
      <c r="D811"/>
      <c r="E811"/>
      <c r="F811"/>
      <c r="G811"/>
      <c r="H811"/>
      <c r="I811"/>
    </row>
    <row r="812" spans="1:9" x14ac:dyDescent="0.45">
      <c r="A812"/>
      <c r="B812"/>
      <c r="C812"/>
      <c r="D812"/>
      <c r="E812"/>
      <c r="F812"/>
      <c r="G812"/>
      <c r="H812"/>
      <c r="I812"/>
    </row>
    <row r="813" spans="1:9" x14ac:dyDescent="0.45">
      <c r="A813"/>
      <c r="B813"/>
      <c r="C813"/>
      <c r="D813"/>
      <c r="E813"/>
      <c r="F813"/>
      <c r="G813"/>
      <c r="H813"/>
      <c r="I813"/>
    </row>
    <row r="814" spans="1:9" x14ac:dyDescent="0.45">
      <c r="A814"/>
      <c r="B814"/>
      <c r="C814"/>
      <c r="D814"/>
      <c r="E814"/>
      <c r="F814"/>
      <c r="G814"/>
      <c r="H814"/>
      <c r="I814"/>
    </row>
    <row r="815" spans="1:9" x14ac:dyDescent="0.45">
      <c r="A815"/>
      <c r="B815"/>
      <c r="C815"/>
      <c r="D815"/>
      <c r="E815"/>
      <c r="F815"/>
      <c r="G815"/>
      <c r="H815"/>
      <c r="I815"/>
    </row>
    <row r="816" spans="1:9" x14ac:dyDescent="0.45">
      <c r="A816"/>
      <c r="B816"/>
      <c r="C816"/>
      <c r="D816"/>
      <c r="E816"/>
      <c r="F816"/>
      <c r="G816"/>
      <c r="H816"/>
      <c r="I816"/>
    </row>
    <row r="817" spans="1:9" x14ac:dyDescent="0.45">
      <c r="A817"/>
      <c r="B817"/>
      <c r="C817"/>
      <c r="D817"/>
      <c r="E817"/>
      <c r="F817"/>
      <c r="G817"/>
      <c r="H817"/>
      <c r="I817"/>
    </row>
    <row r="818" spans="1:9" x14ac:dyDescent="0.45">
      <c r="A818"/>
      <c r="B818"/>
      <c r="C818"/>
      <c r="D818"/>
      <c r="E818"/>
      <c r="F818"/>
      <c r="G818"/>
      <c r="H818"/>
      <c r="I818"/>
    </row>
    <row r="819" spans="1:9" x14ac:dyDescent="0.45">
      <c r="A819"/>
      <c r="B819"/>
      <c r="C819"/>
      <c r="D819"/>
      <c r="E819"/>
      <c r="F819"/>
      <c r="G819"/>
      <c r="H819"/>
      <c r="I819"/>
    </row>
    <row r="820" spans="1:9" x14ac:dyDescent="0.45">
      <c r="A820"/>
      <c r="B820"/>
      <c r="C820"/>
      <c r="D820"/>
      <c r="E820"/>
      <c r="F820"/>
      <c r="G820"/>
      <c r="H820"/>
      <c r="I820"/>
    </row>
    <row r="821" spans="1:9" x14ac:dyDescent="0.45">
      <c r="A821"/>
      <c r="B821"/>
      <c r="C821"/>
      <c r="D821"/>
      <c r="E821"/>
      <c r="F821"/>
      <c r="G821"/>
      <c r="H821"/>
      <c r="I821"/>
    </row>
    <row r="822" spans="1:9" x14ac:dyDescent="0.45">
      <c r="A822"/>
      <c r="B822"/>
      <c r="C822"/>
      <c r="D822"/>
      <c r="E822"/>
      <c r="F822"/>
      <c r="G822"/>
      <c r="H822"/>
      <c r="I822"/>
    </row>
    <row r="823" spans="1:9" x14ac:dyDescent="0.45">
      <c r="A823"/>
      <c r="B823"/>
      <c r="C823"/>
      <c r="D823"/>
      <c r="E823"/>
      <c r="F823"/>
      <c r="G823"/>
      <c r="H823"/>
      <c r="I823"/>
    </row>
    <row r="824" spans="1:9" x14ac:dyDescent="0.45">
      <c r="A824"/>
      <c r="B824"/>
      <c r="C824"/>
      <c r="D824"/>
      <c r="E824"/>
      <c r="F824"/>
      <c r="G824"/>
      <c r="H824"/>
      <c r="I824"/>
    </row>
    <row r="825" spans="1:9" x14ac:dyDescent="0.45">
      <c r="A825"/>
      <c r="B825"/>
      <c r="C825"/>
      <c r="D825"/>
      <c r="E825"/>
      <c r="F825"/>
      <c r="G825"/>
      <c r="H825"/>
      <c r="I825"/>
    </row>
    <row r="826" spans="1:9" x14ac:dyDescent="0.45">
      <c r="A826"/>
      <c r="B826"/>
      <c r="C826"/>
      <c r="D826"/>
      <c r="E826"/>
      <c r="F826"/>
      <c r="G826"/>
      <c r="H826"/>
      <c r="I826"/>
    </row>
    <row r="827" spans="1:9" x14ac:dyDescent="0.45">
      <c r="A827"/>
      <c r="B827"/>
      <c r="C827"/>
      <c r="D827"/>
      <c r="E827"/>
      <c r="F827"/>
      <c r="G827"/>
      <c r="H827"/>
      <c r="I827"/>
    </row>
    <row r="828" spans="1:9" x14ac:dyDescent="0.45">
      <c r="A828"/>
      <c r="B828"/>
      <c r="C828"/>
      <c r="D828"/>
      <c r="E828"/>
      <c r="F828"/>
      <c r="G828"/>
      <c r="H828"/>
      <c r="I828"/>
    </row>
    <row r="829" spans="1:9" x14ac:dyDescent="0.45">
      <c r="A829"/>
      <c r="B829"/>
      <c r="C829"/>
      <c r="D829"/>
      <c r="E829"/>
      <c r="F829"/>
      <c r="G829"/>
      <c r="H829"/>
      <c r="I829"/>
    </row>
    <row r="830" spans="1:9" x14ac:dyDescent="0.45">
      <c r="A830"/>
      <c r="B830"/>
      <c r="C830"/>
      <c r="D830"/>
      <c r="E830"/>
      <c r="F830"/>
      <c r="G830"/>
      <c r="H830"/>
      <c r="I830"/>
    </row>
    <row r="831" spans="1:9" x14ac:dyDescent="0.45">
      <c r="A831"/>
      <c r="B831"/>
      <c r="C831"/>
      <c r="D831"/>
      <c r="E831"/>
      <c r="F831"/>
      <c r="G831"/>
      <c r="H831"/>
      <c r="I831"/>
    </row>
    <row r="832" spans="1:9" x14ac:dyDescent="0.45">
      <c r="A832"/>
      <c r="B832"/>
      <c r="C832"/>
      <c r="D832"/>
      <c r="E832"/>
      <c r="F832"/>
      <c r="G832"/>
      <c r="H832"/>
      <c r="I832"/>
    </row>
    <row r="833" spans="1:9" x14ac:dyDescent="0.45">
      <c r="A833"/>
      <c r="B833"/>
      <c r="C833"/>
      <c r="D833"/>
      <c r="E833"/>
      <c r="F833"/>
      <c r="G833"/>
      <c r="H833"/>
      <c r="I833"/>
    </row>
    <row r="834" spans="1:9" x14ac:dyDescent="0.45">
      <c r="A834"/>
      <c r="B834"/>
      <c r="C834"/>
      <c r="D834"/>
      <c r="E834"/>
      <c r="F834"/>
      <c r="G834"/>
      <c r="H834"/>
      <c r="I834"/>
    </row>
    <row r="835" spans="1:9" x14ac:dyDescent="0.45">
      <c r="A835"/>
      <c r="B835"/>
      <c r="C835"/>
      <c r="D835"/>
      <c r="E835"/>
      <c r="F835"/>
      <c r="G835"/>
      <c r="H835"/>
      <c r="I835"/>
    </row>
  </sheetData>
  <conditionalFormatting sqref="G1:G3 G836:G1048576">
    <cfRule type="expression" dxfId="3" priority="5">
      <formula>G7=100</formula>
    </cfRule>
  </conditionalFormatting>
  <conditionalFormatting pivot="1" sqref="H5 H8 H18 H29 H41 H53 H65 H77 H89 H101 H113 H125 H137 H149 H161 H173 H185 H197 H209 H221 H233 H245 H257">
    <cfRule type="expression" dxfId="2" priority="4">
      <formula>H5=100</formula>
    </cfRule>
  </conditionalFormatting>
  <conditionalFormatting pivot="1" sqref="H6 H9:H17 H19:H27 H30:H39 H42:H51 H54:H63 H66:H75 H78:H87 H90:H99 H102:H111 H114:H123 H126:H135 H138:H147 H150:H159 H162:H171 H174:H183 H186:H195 H198:H207 H210:H219 H222:H231 H234:H243 H246:H255 H258:H267">
    <cfRule type="expression" dxfId="1" priority="2">
      <formula>H6=100</formula>
    </cfRule>
  </conditionalFormatting>
  <conditionalFormatting pivot="1" sqref="H6 H9:H17 H19:H27 H30:H39 H42:H51 H54:H63 H66:H75 H78:H87 H90:H99 H102:H111 H114:H123 H126:H135 H138:H147 H150:H159 H162:H171 H174:H183 H186:H195 H198:H207 H210:H219 H222:H231 H234:H243 H246:H255 H258:H267">
    <cfRule type="expression" dxfId="0" priority="1">
      <formula>H6=200</formula>
    </cfRule>
  </conditionalFormatting>
  <pageMargins left="0.7" right="0.7" top="0.75" bottom="0.75" header="0.3" footer="0.3"/>
  <pageSetup orientation="portrait" horizontalDpi="4294967292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pageSetUpPr fitToPage="1"/>
  </sheetPr>
  <dimension ref="A1:AF219"/>
  <sheetViews>
    <sheetView tabSelected="1" zoomScale="115" zoomScaleNormal="115" workbookViewId="0">
      <pane ySplit="1" topLeftCell="A201" activePane="bottomLeft" state="frozen"/>
      <selection pane="bottomLeft" activeCell="A217" sqref="A217"/>
    </sheetView>
  </sheetViews>
  <sheetFormatPr defaultColWidth="9.1328125" defaultRowHeight="14.25" x14ac:dyDescent="0.45"/>
  <cols>
    <col min="1" max="1" width="10.3984375" style="54" bestFit="1" customWidth="1"/>
    <col min="2" max="2" width="7.265625" style="19" bestFit="1" customWidth="1"/>
    <col min="3" max="3" width="18.86328125" style="19" bestFit="1" customWidth="1"/>
    <col min="4" max="4" width="12.3984375" style="19" bestFit="1" customWidth="1"/>
    <col min="5" max="6" width="7.1328125" style="19" bestFit="1" customWidth="1"/>
    <col min="7" max="11" width="7" style="19" customWidth="1"/>
    <col min="12" max="12" width="5.59765625" style="19" customWidth="1"/>
    <col min="13" max="13" width="6" style="19" customWidth="1"/>
    <col min="14" max="14" width="9.59765625" style="19" customWidth="1"/>
    <col min="15" max="18" width="5.59765625" style="19" customWidth="1"/>
    <col min="19" max="19" width="11.3984375" style="19" customWidth="1"/>
    <col min="20" max="21" width="8.59765625" style="19" customWidth="1"/>
    <col min="22" max="29" width="9.1328125" style="19"/>
    <col min="30" max="30" width="10.86328125" style="19" bestFit="1" customWidth="1"/>
    <col min="31" max="31" width="9.86328125" style="19" bestFit="1" customWidth="1"/>
    <col min="32" max="32" width="9.1328125" style="19"/>
    <col min="33" max="33" width="10.86328125" style="19" bestFit="1" customWidth="1"/>
    <col min="34" max="16384" width="9.1328125" style="19"/>
  </cols>
  <sheetData>
    <row r="1" spans="1:32" x14ac:dyDescent="0.45">
      <c r="A1" s="53" t="s">
        <v>23</v>
      </c>
      <c r="B1" s="18" t="s">
        <v>19</v>
      </c>
      <c r="C1" s="18" t="s">
        <v>24</v>
      </c>
      <c r="D1" s="18" t="s">
        <v>25</v>
      </c>
      <c r="E1" s="18" t="s">
        <v>26</v>
      </c>
      <c r="F1" s="18" t="s">
        <v>27</v>
      </c>
      <c r="G1" s="18" t="s">
        <v>179</v>
      </c>
      <c r="H1" s="18" t="s">
        <v>28</v>
      </c>
      <c r="I1" s="18" t="s">
        <v>29</v>
      </c>
      <c r="J1" s="18" t="s">
        <v>30</v>
      </c>
      <c r="K1" s="18" t="s">
        <v>181</v>
      </c>
      <c r="L1" s="18" t="s">
        <v>31</v>
      </c>
      <c r="M1" s="18" t="s">
        <v>32</v>
      </c>
      <c r="N1" s="18" t="s">
        <v>33</v>
      </c>
      <c r="O1" s="18" t="s">
        <v>5</v>
      </c>
      <c r="P1" s="18" t="s">
        <v>6</v>
      </c>
      <c r="Q1" s="18" t="s">
        <v>7</v>
      </c>
      <c r="R1" s="18" t="s">
        <v>180</v>
      </c>
      <c r="S1" s="18" t="s">
        <v>8</v>
      </c>
      <c r="T1" s="18" t="s">
        <v>9</v>
      </c>
      <c r="U1" s="18" t="s">
        <v>183</v>
      </c>
      <c r="V1" s="18" t="s">
        <v>70</v>
      </c>
      <c r="W1" s="18" t="s">
        <v>71</v>
      </c>
      <c r="X1" s="18" t="s">
        <v>73</v>
      </c>
      <c r="Y1" s="32" t="s">
        <v>72</v>
      </c>
      <c r="AA1" s="49" t="s">
        <v>65</v>
      </c>
      <c r="AB1" s="50">
        <v>627563.95720000006</v>
      </c>
      <c r="AD1" s="49" t="s">
        <v>54</v>
      </c>
      <c r="AE1" s="20"/>
    </row>
    <row r="2" spans="1:32" customFormat="1" x14ac:dyDescent="0.45">
      <c r="A2" s="67">
        <v>45963</v>
      </c>
      <c r="B2" s="68" t="s">
        <v>91</v>
      </c>
      <c r="C2" s="69" t="s">
        <v>92</v>
      </c>
      <c r="D2" s="70">
        <v>40</v>
      </c>
      <c r="E2" s="70">
        <v>4.5</v>
      </c>
      <c r="F2" s="70">
        <v>0</v>
      </c>
      <c r="G2" s="70">
        <v>0</v>
      </c>
      <c r="H2" s="73">
        <v>72</v>
      </c>
      <c r="I2" s="73">
        <f t="shared" ref="I2:I11" si="0">H2*1.3</f>
        <v>93.600000000000009</v>
      </c>
      <c r="J2" s="73">
        <f t="shared" ref="J2:J11" si="1">H2*1.7</f>
        <v>122.39999999999999</v>
      </c>
      <c r="K2" s="73">
        <v>72</v>
      </c>
      <c r="L2" s="73">
        <v>0</v>
      </c>
      <c r="M2" s="73">
        <f t="shared" ref="M2:M7" si="2">SUM(D2:G2)</f>
        <v>44.5</v>
      </c>
      <c r="N2" s="73">
        <f t="shared" ref="N2:N10" si="3">ROUND((D2*H2)+(E2*I2)+(F2*J2)+(G2*K2),2)</f>
        <v>3301.2</v>
      </c>
      <c r="O2" s="73">
        <f>IF($AE$1&lt;&gt;"",VLOOKUP($C2,EmpTbl!$B$1:$L$45,9,FALSE),VLOOKUP($C2,EmpTbl!$B$1:$L$45,2,FALSE))</f>
        <v>60</v>
      </c>
      <c r="P2" s="73">
        <f>IF($AE$1&lt;&gt;"",VLOOKUP($C2,EmpTbl!$B$1:$L$45,10,FALSE),VLOOKUP($C2,EmpTbl!$B$1:$L$45,3,FALSE))</f>
        <v>78</v>
      </c>
      <c r="Q2" s="73">
        <f>IF($AE$1&lt;&gt;"",VLOOKUP($C2,EmpTbl!$B$1:$L$45,10,FALSE),VLOOKUP($C2,EmpTbl!$B$1:$L$45,4,FALSE))</f>
        <v>102</v>
      </c>
      <c r="R2" s="73">
        <f>IF($AE$1&lt;&gt;"",VLOOKUP($C2,EmpTbl!$B$1:$L$45,9,FALSE),VLOOKUP($C2,EmpTbl!$B$1:$L$45,2,FALSE))</f>
        <v>60</v>
      </c>
      <c r="S2" s="73">
        <f t="shared" ref="S2:S10" si="4">ROUND(O2*D2+P2*E2+Q2*F2+G2*R2,2)</f>
        <v>2751</v>
      </c>
      <c r="T2" s="73">
        <f t="shared" ref="T2:T10" si="5">N2-S2</f>
        <v>550.19999999999982</v>
      </c>
      <c r="U2" s="70"/>
      <c r="V2" s="74"/>
      <c r="W2" s="74"/>
      <c r="X2" s="75"/>
      <c r="Y2" s="74"/>
      <c r="Z2" s="76"/>
      <c r="AC2" s="77">
        <v>61.400836793559229</v>
      </c>
      <c r="AD2" s="77">
        <v>40.592475197312119</v>
      </c>
      <c r="AE2" s="77">
        <v>20.80836159624711</v>
      </c>
      <c r="AF2" s="77">
        <v>164.12075000000002</v>
      </c>
    </row>
    <row r="3" spans="1:32" customFormat="1" x14ac:dyDescent="0.45">
      <c r="A3" s="67">
        <v>45963</v>
      </c>
      <c r="B3" s="68" t="s">
        <v>55</v>
      </c>
      <c r="C3" s="69" t="s">
        <v>3</v>
      </c>
      <c r="D3" s="70">
        <v>40</v>
      </c>
      <c r="E3" s="70">
        <v>1.25</v>
      </c>
      <c r="F3" s="70">
        <v>0</v>
      </c>
      <c r="G3" s="70">
        <v>0</v>
      </c>
      <c r="H3" s="73">
        <v>72</v>
      </c>
      <c r="I3" s="73">
        <f t="shared" si="0"/>
        <v>93.600000000000009</v>
      </c>
      <c r="J3" s="73">
        <f t="shared" si="1"/>
        <v>122.39999999999999</v>
      </c>
      <c r="K3" s="73">
        <v>72</v>
      </c>
      <c r="L3" s="73">
        <v>0</v>
      </c>
      <c r="M3" s="73">
        <f t="shared" si="2"/>
        <v>41.25</v>
      </c>
      <c r="N3" s="73">
        <f t="shared" si="3"/>
        <v>2997</v>
      </c>
      <c r="O3" s="73">
        <f>IF($AE$1&lt;&gt;"",VLOOKUP($C3,EmpTbl!$B$1:$L$45,9,FALSE),VLOOKUP($C3,EmpTbl!$B$1:$L$45,2,FALSE))</f>
        <v>57</v>
      </c>
      <c r="P3" s="73">
        <f>IF($AE$1&lt;&gt;"",VLOOKUP($C3,EmpTbl!$B$1:$L$45,10,FALSE),VLOOKUP($C3,EmpTbl!$B$1:$L$45,3,FALSE))</f>
        <v>74.100000000000009</v>
      </c>
      <c r="Q3" s="73">
        <f>IF($AE$1&lt;&gt;"",VLOOKUP($C3,EmpTbl!$B$1:$L$45,10,FALSE),VLOOKUP($C3,EmpTbl!$B$1:$L$45,4,FALSE))</f>
        <v>96.899999999999991</v>
      </c>
      <c r="R3" s="73">
        <f>IF($AE$1&lt;&gt;"",VLOOKUP($C3,EmpTbl!$B$1:$L$45,9,FALSE),VLOOKUP($C3,EmpTbl!$B$1:$L$45,2,FALSE))</f>
        <v>57</v>
      </c>
      <c r="S3" s="73">
        <f t="shared" si="4"/>
        <v>2372.63</v>
      </c>
      <c r="T3" s="73">
        <f t="shared" si="5"/>
        <v>624.36999999999989</v>
      </c>
      <c r="U3" s="70"/>
      <c r="V3" s="74"/>
      <c r="W3" s="74"/>
      <c r="X3" s="74"/>
      <c r="Y3" s="74"/>
      <c r="Z3" s="19"/>
    </row>
    <row r="4" spans="1:32" customFormat="1" x14ac:dyDescent="0.45">
      <c r="A4" s="67">
        <v>45963</v>
      </c>
      <c r="B4" s="68" t="s">
        <v>38</v>
      </c>
      <c r="C4" s="69" t="s">
        <v>39</v>
      </c>
      <c r="D4" s="70">
        <v>14.25</v>
      </c>
      <c r="E4" s="70">
        <v>0</v>
      </c>
      <c r="F4" s="70">
        <v>0</v>
      </c>
      <c r="G4" s="70">
        <v>0</v>
      </c>
      <c r="H4" s="73">
        <v>68</v>
      </c>
      <c r="I4" s="73">
        <f t="shared" si="0"/>
        <v>88.4</v>
      </c>
      <c r="J4" s="73">
        <f t="shared" si="1"/>
        <v>115.6</v>
      </c>
      <c r="K4" s="73">
        <f>H4</f>
        <v>68</v>
      </c>
      <c r="L4" s="73">
        <v>0</v>
      </c>
      <c r="M4" s="73">
        <f t="shared" si="2"/>
        <v>14.25</v>
      </c>
      <c r="N4" s="73">
        <f t="shared" si="3"/>
        <v>969</v>
      </c>
      <c r="O4" s="73">
        <f>IF($AE$1&lt;&gt;"",VLOOKUP($C4,EmpTbl!$B$1:$L$45,9,FALSE),VLOOKUP($C4,EmpTbl!$B$1:$L$45,2,FALSE))</f>
        <v>55</v>
      </c>
      <c r="P4" s="73">
        <f>IF($AE$1&lt;&gt;"",VLOOKUP($C4,EmpTbl!$B$1:$L$45,10,FALSE),VLOOKUP($C4,EmpTbl!$B$1:$L$45,3,FALSE))</f>
        <v>71.5</v>
      </c>
      <c r="Q4" s="73">
        <f>IF($AE$1&lt;&gt;"",VLOOKUP($C4,EmpTbl!$B$1:$L$45,10,FALSE),VLOOKUP($C4,EmpTbl!$B$1:$L$45,4,FALSE))</f>
        <v>93.5</v>
      </c>
      <c r="R4" s="73">
        <f>IF($AE$1&lt;&gt;"",VLOOKUP($C4,EmpTbl!$B$1:$L$45,9,FALSE),VLOOKUP($C4,EmpTbl!$B$1:$L$45,2,FALSE))</f>
        <v>55</v>
      </c>
      <c r="S4" s="73">
        <f t="shared" si="4"/>
        <v>783.75</v>
      </c>
      <c r="T4" s="73">
        <f t="shared" si="5"/>
        <v>185.25</v>
      </c>
      <c r="U4" s="70"/>
      <c r="V4" s="74"/>
      <c r="W4" s="74"/>
      <c r="X4" s="75"/>
      <c r="Y4" s="74"/>
    </row>
    <row r="5" spans="1:32" customFormat="1" x14ac:dyDescent="0.45">
      <c r="A5" s="67">
        <v>45963</v>
      </c>
      <c r="B5" s="68" t="s">
        <v>40</v>
      </c>
      <c r="C5" s="69" t="s">
        <v>2</v>
      </c>
      <c r="D5" s="70">
        <v>38.75</v>
      </c>
      <c r="E5" s="70">
        <v>0</v>
      </c>
      <c r="F5" s="70">
        <v>0</v>
      </c>
      <c r="G5" s="70">
        <v>4</v>
      </c>
      <c r="H5" s="73">
        <v>68</v>
      </c>
      <c r="I5" s="73">
        <f t="shared" si="0"/>
        <v>88.4</v>
      </c>
      <c r="J5" s="73">
        <f t="shared" si="1"/>
        <v>115.6</v>
      </c>
      <c r="K5" s="73">
        <f t="shared" ref="K5:K11" si="6">H5</f>
        <v>68</v>
      </c>
      <c r="L5" s="73">
        <v>0</v>
      </c>
      <c r="M5" s="73">
        <f t="shared" si="2"/>
        <v>42.75</v>
      </c>
      <c r="N5" s="73">
        <f t="shared" si="3"/>
        <v>2907</v>
      </c>
      <c r="O5" s="73">
        <f>IF($AE$1&lt;&gt;"",VLOOKUP($C5,EmpTbl!$B$1:$L$45,9,FALSE),VLOOKUP($C5,EmpTbl!$B$1:$L$45,2,FALSE))</f>
        <v>35</v>
      </c>
      <c r="P5" s="73">
        <f>IF($AE$1&lt;&gt;"",VLOOKUP($C5,EmpTbl!$B$1:$L$45,10,FALSE),VLOOKUP($C5,EmpTbl!$B$1:$L$45,3,FALSE))</f>
        <v>52.5</v>
      </c>
      <c r="Q5" s="73">
        <f>IF($AE$1&lt;&gt;"",VLOOKUP($C5,EmpTbl!$B$1:$L$45,10,FALSE),VLOOKUP($C5,EmpTbl!$B$1:$L$45,4,FALSE))</f>
        <v>70</v>
      </c>
      <c r="R5" s="73">
        <f>IF($AE$1&lt;&gt;"",VLOOKUP($C5,EmpTbl!$B$1:$L$45,9,FALSE),VLOOKUP($C5,EmpTbl!$B$1:$L$45,2,FALSE))</f>
        <v>35</v>
      </c>
      <c r="S5" s="73">
        <f t="shared" si="4"/>
        <v>1496.25</v>
      </c>
      <c r="T5" s="73">
        <f t="shared" si="5"/>
        <v>1410.75</v>
      </c>
      <c r="U5" s="70">
        <v>1</v>
      </c>
      <c r="V5" s="74"/>
      <c r="W5" s="74"/>
      <c r="X5" s="75"/>
      <c r="Y5" s="74"/>
    </row>
    <row r="6" spans="1:32" customFormat="1" x14ac:dyDescent="0.45">
      <c r="A6" s="67">
        <v>45963</v>
      </c>
      <c r="B6" s="68" t="s">
        <v>41</v>
      </c>
      <c r="C6" s="69" t="s">
        <v>21</v>
      </c>
      <c r="D6" s="70">
        <v>40</v>
      </c>
      <c r="E6" s="70">
        <v>1</v>
      </c>
      <c r="F6" s="70">
        <v>0</v>
      </c>
      <c r="G6" s="70">
        <v>0</v>
      </c>
      <c r="H6" s="73">
        <v>68</v>
      </c>
      <c r="I6" s="73">
        <f t="shared" si="0"/>
        <v>88.4</v>
      </c>
      <c r="J6" s="73">
        <f t="shared" si="1"/>
        <v>115.6</v>
      </c>
      <c r="K6" s="73">
        <f t="shared" si="6"/>
        <v>68</v>
      </c>
      <c r="L6" s="73">
        <v>0</v>
      </c>
      <c r="M6" s="73">
        <f t="shared" si="2"/>
        <v>41</v>
      </c>
      <c r="N6" s="73">
        <f t="shared" si="3"/>
        <v>2808.4</v>
      </c>
      <c r="O6" s="73">
        <f>IF($AE$1&lt;&gt;"",VLOOKUP($C6,EmpTbl!$B$1:$L$45,9,FALSE),VLOOKUP($C6,EmpTbl!$B$1:$L$45,2,FALSE))</f>
        <v>39</v>
      </c>
      <c r="P6" s="73">
        <f>IF($AE$1&lt;&gt;"",VLOOKUP($C6,EmpTbl!$B$1:$L$45,10,FALSE),VLOOKUP($C6,EmpTbl!$B$1:$L$45,3,FALSE))</f>
        <v>58.5</v>
      </c>
      <c r="Q6" s="73">
        <f>IF($AE$1&lt;&gt;"",VLOOKUP($C6,EmpTbl!$B$1:$L$45,10,FALSE),VLOOKUP($C6,EmpTbl!$B$1:$L$45,4,FALSE))</f>
        <v>78</v>
      </c>
      <c r="R6" s="73">
        <f>IF($AE$1&lt;&gt;"",VLOOKUP($C6,EmpTbl!$B$1:$L$45,9,FALSE),VLOOKUP($C6,EmpTbl!$B$1:$L$45,2,FALSE))</f>
        <v>39</v>
      </c>
      <c r="S6" s="73">
        <f t="shared" si="4"/>
        <v>1618.5</v>
      </c>
      <c r="T6" s="73">
        <f t="shared" si="5"/>
        <v>1189.9000000000001</v>
      </c>
      <c r="U6" s="70"/>
      <c r="V6" s="74"/>
      <c r="W6" s="74"/>
      <c r="X6" s="75"/>
      <c r="Y6" s="74"/>
    </row>
    <row r="7" spans="1:32" customFormat="1" x14ac:dyDescent="0.45">
      <c r="A7" s="67">
        <v>45963</v>
      </c>
      <c r="B7" s="68" t="s">
        <v>44</v>
      </c>
      <c r="C7" s="69" t="s">
        <v>37</v>
      </c>
      <c r="D7" s="70">
        <v>38.75</v>
      </c>
      <c r="E7" s="70">
        <v>0</v>
      </c>
      <c r="F7" s="70">
        <v>0</v>
      </c>
      <c r="G7" s="70">
        <v>4</v>
      </c>
      <c r="H7" s="73">
        <v>68</v>
      </c>
      <c r="I7" s="73">
        <f t="shared" si="0"/>
        <v>88.4</v>
      </c>
      <c r="J7" s="73">
        <f t="shared" si="1"/>
        <v>115.6</v>
      </c>
      <c r="K7" s="73">
        <f t="shared" si="6"/>
        <v>68</v>
      </c>
      <c r="L7" s="73">
        <v>0</v>
      </c>
      <c r="M7" s="73">
        <f t="shared" si="2"/>
        <v>42.75</v>
      </c>
      <c r="N7" s="73">
        <f t="shared" si="3"/>
        <v>2907</v>
      </c>
      <c r="O7" s="73">
        <f>IF($AE$1&lt;&gt;"",VLOOKUP($C7,EmpTbl!$B$1:$L$45,9,FALSE),VLOOKUP($C7,EmpTbl!$B$1:$L$45,2,FALSE))</f>
        <v>36</v>
      </c>
      <c r="P7" s="73">
        <f>IF($AE$1&lt;&gt;"",VLOOKUP($C7,EmpTbl!$B$1:$L$45,10,FALSE),VLOOKUP($C7,EmpTbl!$B$1:$L$45,3,FALSE))</f>
        <v>54</v>
      </c>
      <c r="Q7" s="73">
        <f>IF($AE$1&lt;&gt;"",VLOOKUP($C7,EmpTbl!$B$1:$L$45,10,FALSE),VLOOKUP($C7,EmpTbl!$B$1:$L$45,4,FALSE))</f>
        <v>72</v>
      </c>
      <c r="R7" s="73">
        <f>IF($AE$1&lt;&gt;"",VLOOKUP($C7,EmpTbl!$B$1:$L$45,9,FALSE),VLOOKUP($C7,EmpTbl!$B$1:$L$45,2,FALSE))</f>
        <v>36</v>
      </c>
      <c r="S7" s="73">
        <f t="shared" si="4"/>
        <v>1539</v>
      </c>
      <c r="T7" s="73">
        <f t="shared" si="5"/>
        <v>1368</v>
      </c>
      <c r="U7" s="70"/>
      <c r="V7" s="74"/>
      <c r="W7" s="74"/>
      <c r="X7" s="75"/>
      <c r="Y7" s="74"/>
      <c r="Z7" s="78"/>
    </row>
    <row r="8" spans="1:32" customFormat="1" x14ac:dyDescent="0.45">
      <c r="A8" s="67">
        <v>45963</v>
      </c>
      <c r="B8" s="68" t="s">
        <v>59</v>
      </c>
      <c r="C8" s="69" t="s">
        <v>58</v>
      </c>
      <c r="D8" s="70">
        <v>18.5</v>
      </c>
      <c r="E8" s="70">
        <v>0</v>
      </c>
      <c r="F8" s="70">
        <v>0</v>
      </c>
      <c r="G8" s="70">
        <v>0</v>
      </c>
      <c r="H8" s="73">
        <v>68</v>
      </c>
      <c r="I8" s="73">
        <f t="shared" si="0"/>
        <v>88.4</v>
      </c>
      <c r="J8" s="73">
        <f t="shared" si="1"/>
        <v>115.6</v>
      </c>
      <c r="K8" s="73">
        <f t="shared" si="6"/>
        <v>68</v>
      </c>
      <c r="L8" s="73">
        <v>0</v>
      </c>
      <c r="M8" s="73">
        <f t="shared" ref="M8" si="7">SUM(D8:G8)</f>
        <v>18.5</v>
      </c>
      <c r="N8" s="73">
        <f t="shared" si="3"/>
        <v>1258</v>
      </c>
      <c r="O8" s="73">
        <f>IF($AE$1&lt;&gt;"",VLOOKUP($C8,EmpTbl!$B$1:$L$45,9,FALSE),VLOOKUP($C8,EmpTbl!$B$1:$L$45,2,FALSE))</f>
        <v>36</v>
      </c>
      <c r="P8" s="73">
        <f>IF($AE$1&lt;&gt;"",VLOOKUP($C8,EmpTbl!$B$1:$L$45,10,FALSE),VLOOKUP($C8,EmpTbl!$B$1:$L$45,3,FALSE))</f>
        <v>54</v>
      </c>
      <c r="Q8" s="73">
        <f>IF($AE$1&lt;&gt;"",VLOOKUP($C8,EmpTbl!$B$1:$L$45,10,FALSE),VLOOKUP($C8,EmpTbl!$B$1:$L$45,4,FALSE))</f>
        <v>72</v>
      </c>
      <c r="R8" s="73">
        <f>IF($AE$1&lt;&gt;"",VLOOKUP($C8,EmpTbl!$B$1:$L$45,9,FALSE),VLOOKUP($C8,EmpTbl!$B$1:$L$45,2,FALSE))</f>
        <v>36</v>
      </c>
      <c r="S8" s="73">
        <f t="shared" si="4"/>
        <v>666</v>
      </c>
      <c r="T8" s="73">
        <f t="shared" si="5"/>
        <v>592</v>
      </c>
      <c r="U8" s="70"/>
      <c r="V8" s="74"/>
      <c r="W8" s="74"/>
      <c r="X8" s="75"/>
      <c r="Y8" s="74"/>
    </row>
    <row r="9" spans="1:32" customFormat="1" x14ac:dyDescent="0.45">
      <c r="A9" s="67">
        <v>45963</v>
      </c>
      <c r="B9" s="68" t="s">
        <v>90</v>
      </c>
      <c r="C9" s="69" t="s">
        <v>94</v>
      </c>
      <c r="D9" s="70">
        <v>40</v>
      </c>
      <c r="E9" s="70">
        <v>15.25</v>
      </c>
      <c r="F9" s="70">
        <v>0</v>
      </c>
      <c r="G9" s="70">
        <v>0</v>
      </c>
      <c r="H9" s="73">
        <v>68</v>
      </c>
      <c r="I9" s="73">
        <f t="shared" si="0"/>
        <v>88.4</v>
      </c>
      <c r="J9" s="73">
        <f t="shared" si="1"/>
        <v>115.6</v>
      </c>
      <c r="K9" s="73">
        <f t="shared" si="6"/>
        <v>68</v>
      </c>
      <c r="L9" s="73">
        <v>0</v>
      </c>
      <c r="M9" s="73">
        <f t="shared" ref="M9:M10" si="8">SUM(D9:G9)</f>
        <v>55.25</v>
      </c>
      <c r="N9" s="73">
        <f t="shared" si="3"/>
        <v>4068.1</v>
      </c>
      <c r="O9" s="73">
        <f>IF($AE$1&lt;&gt;"",VLOOKUP($C9,EmpTbl!$B$1:$L$45,9,FALSE),VLOOKUP($C9,EmpTbl!$B$1:$L$45,2,FALSE))</f>
        <v>30.67</v>
      </c>
      <c r="P9" s="73">
        <f>IF($AE$1&lt;&gt;"",VLOOKUP($C9,EmpTbl!$B$1:$L$45,10,FALSE),VLOOKUP($C9,EmpTbl!$B$1:$L$45,3,FALSE))</f>
        <v>46.005000000000003</v>
      </c>
      <c r="Q9" s="73">
        <f>IF($AE$1&lt;&gt;"",VLOOKUP($C9,EmpTbl!$B$1:$L$45,10,FALSE),VLOOKUP($C9,EmpTbl!$B$1:$L$45,4,FALSE))</f>
        <v>61.34</v>
      </c>
      <c r="R9" s="73">
        <f>IF($AE$1&lt;&gt;"",VLOOKUP($C9,EmpTbl!$B$1:$L$45,9,FALSE),VLOOKUP($C9,EmpTbl!$B$1:$L$45,2,FALSE))</f>
        <v>30.67</v>
      </c>
      <c r="S9" s="73">
        <f t="shared" si="4"/>
        <v>1928.38</v>
      </c>
      <c r="T9" s="73">
        <f t="shared" si="5"/>
        <v>2139.7199999999998</v>
      </c>
      <c r="U9" s="70"/>
      <c r="V9" s="74"/>
      <c r="W9" s="74"/>
      <c r="X9" s="75"/>
      <c r="Y9" s="74"/>
    </row>
    <row r="10" spans="1:32" customFormat="1" x14ac:dyDescent="0.45">
      <c r="A10" s="67">
        <v>45963</v>
      </c>
      <c r="B10" s="68" t="s">
        <v>90</v>
      </c>
      <c r="C10" s="69" t="s">
        <v>190</v>
      </c>
      <c r="D10" s="70">
        <v>40</v>
      </c>
      <c r="E10" s="70">
        <v>5.75</v>
      </c>
      <c r="F10" s="70">
        <v>0</v>
      </c>
      <c r="G10" s="70">
        <v>0</v>
      </c>
      <c r="H10" s="73">
        <v>68</v>
      </c>
      <c r="I10" s="73">
        <f t="shared" si="0"/>
        <v>88.4</v>
      </c>
      <c r="J10" s="73">
        <f t="shared" si="1"/>
        <v>115.6</v>
      </c>
      <c r="K10" s="73">
        <f t="shared" si="6"/>
        <v>68</v>
      </c>
      <c r="L10" s="73">
        <v>0</v>
      </c>
      <c r="M10" s="73">
        <f t="shared" si="8"/>
        <v>45.75</v>
      </c>
      <c r="N10" s="73">
        <f t="shared" si="3"/>
        <v>3228.3</v>
      </c>
      <c r="O10" s="73">
        <f>IF($AE$1&lt;&gt;"",VLOOKUP($C10,EmpTbl!$B$1:$L$45,9,FALSE),VLOOKUP($C10,EmpTbl!$B$1:$L$45,2,FALSE))</f>
        <v>30</v>
      </c>
      <c r="P10" s="73">
        <f>IF($AE$1&lt;&gt;"",VLOOKUP($C10,EmpTbl!$B$1:$L$45,10,FALSE),VLOOKUP($C10,EmpTbl!$B$1:$L$45,3,FALSE))</f>
        <v>45</v>
      </c>
      <c r="Q10" s="73">
        <f>IF($AE$1&lt;&gt;"",VLOOKUP($C10,EmpTbl!$B$1:$L$45,10,FALSE),VLOOKUP($C10,EmpTbl!$B$1:$L$45,4,FALSE))</f>
        <v>60</v>
      </c>
      <c r="R10" s="73">
        <f>IF($AE$1&lt;&gt;"",VLOOKUP($C10,EmpTbl!$B$1:$L$45,9,FALSE),VLOOKUP($C10,EmpTbl!$B$1:$L$45,2,FALSE))</f>
        <v>30</v>
      </c>
      <c r="S10" s="73">
        <f t="shared" si="4"/>
        <v>1458.75</v>
      </c>
      <c r="T10" s="73">
        <f t="shared" si="5"/>
        <v>1769.5500000000002</v>
      </c>
      <c r="U10" s="79">
        <v>1</v>
      </c>
      <c r="V10" s="74"/>
      <c r="W10" s="74"/>
      <c r="X10" s="75"/>
      <c r="Y10" s="74"/>
    </row>
    <row r="11" spans="1:32" customFormat="1" x14ac:dyDescent="0.45">
      <c r="A11" s="67">
        <v>45963</v>
      </c>
      <c r="B11" s="69" t="s">
        <v>186</v>
      </c>
      <c r="C11" s="69" t="s">
        <v>189</v>
      </c>
      <c r="D11" s="70">
        <v>40</v>
      </c>
      <c r="E11" s="70">
        <v>19.25</v>
      </c>
      <c r="F11" s="70">
        <v>0</v>
      </c>
      <c r="G11" s="70">
        <v>0</v>
      </c>
      <c r="H11" s="73">
        <v>54</v>
      </c>
      <c r="I11" s="73">
        <f t="shared" si="0"/>
        <v>70.2</v>
      </c>
      <c r="J11" s="73">
        <f t="shared" si="1"/>
        <v>91.8</v>
      </c>
      <c r="K11" s="73">
        <f t="shared" si="6"/>
        <v>54</v>
      </c>
      <c r="L11" s="73">
        <v>0</v>
      </c>
      <c r="M11" s="73">
        <f>SUM(D11:G11)</f>
        <v>59.25</v>
      </c>
      <c r="N11" s="73">
        <f>ROUND((D11*H11)+(E11*I11)+(F11*J11)+(G11*K11),2)</f>
        <v>3511.35</v>
      </c>
      <c r="O11" s="73">
        <f>IF($AE$1&lt;&gt;"",VLOOKUP($C11,EmpTbl!$B$1:$L$45,9,FALSE),VLOOKUP($C11,EmpTbl!$B$1:$L$45,2,FALSE))</f>
        <v>27</v>
      </c>
      <c r="P11" s="73">
        <f>IF($AE$1&lt;&gt;"",VLOOKUP($C11,EmpTbl!$B$1:$L$45,10,FALSE),VLOOKUP($C11,EmpTbl!$B$1:$L$45,3,FALSE))</f>
        <v>40.5</v>
      </c>
      <c r="Q11" s="73">
        <f>IF($AE$1&lt;&gt;"",VLOOKUP($C11,EmpTbl!$B$1:$L$45,10,FALSE),VLOOKUP($C11,EmpTbl!$B$1:$L$45,4,FALSE))</f>
        <v>54</v>
      </c>
      <c r="R11" s="73">
        <f>IF($AE$1&lt;&gt;"",VLOOKUP($C11,EmpTbl!$B$1:$L$45,9,FALSE),VLOOKUP($C11,EmpTbl!$B$1:$L$45,2,FALSE))</f>
        <v>27</v>
      </c>
      <c r="S11" s="73">
        <f>ROUND(O11*D11+P11*E11+Q11*F11+G11*R11,2)</f>
        <v>1859.63</v>
      </c>
      <c r="T11" s="73">
        <f>N11-S11</f>
        <v>1651.7199999999998</v>
      </c>
      <c r="U11" s="79"/>
      <c r="V11" s="74"/>
      <c r="W11" s="74"/>
      <c r="X11" s="75"/>
      <c r="Y11" s="74"/>
    </row>
    <row r="12" spans="1:32" customFormat="1" x14ac:dyDescent="0.45">
      <c r="A12" s="67">
        <f>A11+7</f>
        <v>45970</v>
      </c>
      <c r="B12" s="68" t="s">
        <v>91</v>
      </c>
      <c r="C12" s="69" t="s">
        <v>92</v>
      </c>
      <c r="D12" s="70">
        <v>40</v>
      </c>
      <c r="E12" s="70">
        <v>13.25</v>
      </c>
      <c r="F12" s="70">
        <v>0</v>
      </c>
      <c r="G12" s="70">
        <v>0</v>
      </c>
      <c r="H12" s="73">
        <v>72</v>
      </c>
      <c r="I12" s="73">
        <f t="shared" ref="I12:I21" si="9">H12*1.3</f>
        <v>93.600000000000009</v>
      </c>
      <c r="J12" s="73">
        <f t="shared" ref="J12:J21" si="10">H12*1.7</f>
        <v>122.39999999999999</v>
      </c>
      <c r="K12" s="73">
        <v>72</v>
      </c>
      <c r="L12" s="73">
        <v>0</v>
      </c>
      <c r="M12" s="73">
        <f t="shared" ref="M12:M17" si="11">SUM(D12:G12)</f>
        <v>53.25</v>
      </c>
      <c r="N12" s="73">
        <f t="shared" ref="N12:N20" si="12">ROUND((D12*H12)+(E12*I12)+(F12*J12)+(G12*K12),2)</f>
        <v>4120.2</v>
      </c>
      <c r="O12" s="73">
        <f>IF($AE$1&lt;&gt;"",VLOOKUP($C12,EmpTbl!$B$1:$L$45,9,FALSE),VLOOKUP($C12,EmpTbl!$B$1:$L$45,2,FALSE))</f>
        <v>60</v>
      </c>
      <c r="P12" s="73">
        <f>IF($AE$1&lt;&gt;"",VLOOKUP($C12,EmpTbl!$B$1:$L$45,10,FALSE),VLOOKUP($C12,EmpTbl!$B$1:$L$45,3,FALSE))</f>
        <v>78</v>
      </c>
      <c r="Q12" s="73">
        <f>IF($AE$1&lt;&gt;"",VLOOKUP($C12,EmpTbl!$B$1:$L$45,10,FALSE),VLOOKUP($C12,EmpTbl!$B$1:$L$45,4,FALSE))</f>
        <v>102</v>
      </c>
      <c r="R12" s="73">
        <f>IF($AE$1&lt;&gt;"",VLOOKUP($C12,EmpTbl!$B$1:$L$45,9,FALSE),VLOOKUP($C12,EmpTbl!$B$1:$L$45,2,FALSE))</f>
        <v>60</v>
      </c>
      <c r="S12" s="73">
        <f t="shared" ref="S12:S20" si="13">ROUND(O12*D12+P12*E12+Q12*F12+G12*R12,2)</f>
        <v>3433.5</v>
      </c>
      <c r="T12" s="73">
        <f t="shared" ref="T12:T20" si="14">N12-S12</f>
        <v>686.69999999999982</v>
      </c>
      <c r="U12" s="70"/>
      <c r="V12" s="74"/>
      <c r="W12" s="74"/>
      <c r="X12" s="75"/>
      <c r="Y12" s="74"/>
      <c r="Z12" s="76"/>
      <c r="AC12" s="77">
        <v>61.400836793559229</v>
      </c>
      <c r="AD12" s="77">
        <v>40.592475197312119</v>
      </c>
      <c r="AE12" s="77">
        <v>20.80836159624711</v>
      </c>
      <c r="AF12" s="77">
        <v>164.12075000000002</v>
      </c>
    </row>
    <row r="13" spans="1:32" customFormat="1" x14ac:dyDescent="0.45">
      <c r="A13" s="67">
        <f>$A$12</f>
        <v>45970</v>
      </c>
      <c r="B13" s="68" t="s">
        <v>55</v>
      </c>
      <c r="C13" s="69" t="s">
        <v>3</v>
      </c>
      <c r="D13" s="70">
        <v>40</v>
      </c>
      <c r="E13" s="70">
        <v>0</v>
      </c>
      <c r="F13" s="70">
        <v>0</v>
      </c>
      <c r="G13" s="70">
        <v>0</v>
      </c>
      <c r="H13" s="73">
        <v>72</v>
      </c>
      <c r="I13" s="73">
        <f t="shared" si="9"/>
        <v>93.600000000000009</v>
      </c>
      <c r="J13" s="73">
        <f t="shared" si="10"/>
        <v>122.39999999999999</v>
      </c>
      <c r="K13" s="73">
        <v>72</v>
      </c>
      <c r="L13" s="73">
        <v>0</v>
      </c>
      <c r="M13" s="73">
        <f t="shared" si="11"/>
        <v>40</v>
      </c>
      <c r="N13" s="73">
        <f t="shared" si="12"/>
        <v>2880</v>
      </c>
      <c r="O13" s="73">
        <f>IF($AE$1&lt;&gt;"",VLOOKUP($C13,EmpTbl!$B$1:$L$45,9,FALSE),VLOOKUP($C13,EmpTbl!$B$1:$L$45,2,FALSE))</f>
        <v>57</v>
      </c>
      <c r="P13" s="73">
        <f>IF($AE$1&lt;&gt;"",VLOOKUP($C13,EmpTbl!$B$1:$L$45,10,FALSE),VLOOKUP($C13,EmpTbl!$B$1:$L$45,3,FALSE))</f>
        <v>74.100000000000009</v>
      </c>
      <c r="Q13" s="73">
        <f>IF($AE$1&lt;&gt;"",VLOOKUP($C13,EmpTbl!$B$1:$L$45,10,FALSE),VLOOKUP($C13,EmpTbl!$B$1:$L$45,4,FALSE))</f>
        <v>96.899999999999991</v>
      </c>
      <c r="R13" s="73">
        <f>IF($AE$1&lt;&gt;"",VLOOKUP($C13,EmpTbl!$B$1:$L$45,9,FALSE),VLOOKUP($C13,EmpTbl!$B$1:$L$45,2,FALSE))</f>
        <v>57</v>
      </c>
      <c r="S13" s="73">
        <f t="shared" si="13"/>
        <v>2280</v>
      </c>
      <c r="T13" s="73">
        <f t="shared" si="14"/>
        <v>600</v>
      </c>
      <c r="U13" s="70"/>
      <c r="V13" s="74"/>
      <c r="W13" s="74"/>
      <c r="X13" s="74"/>
      <c r="Y13" s="74"/>
      <c r="Z13" s="19"/>
    </row>
    <row r="14" spans="1:32" customFormat="1" x14ac:dyDescent="0.45">
      <c r="A14" s="67">
        <f t="shared" ref="A14:A21" si="15">$A$12</f>
        <v>45970</v>
      </c>
      <c r="B14" s="68" t="s">
        <v>38</v>
      </c>
      <c r="C14" s="69" t="s">
        <v>39</v>
      </c>
      <c r="D14" s="70">
        <v>4.75</v>
      </c>
      <c r="E14" s="70">
        <v>0</v>
      </c>
      <c r="F14" s="70">
        <v>0</v>
      </c>
      <c r="G14" s="70">
        <v>0</v>
      </c>
      <c r="H14" s="73">
        <v>68</v>
      </c>
      <c r="I14" s="73">
        <f t="shared" si="9"/>
        <v>88.4</v>
      </c>
      <c r="J14" s="73">
        <f t="shared" si="10"/>
        <v>115.6</v>
      </c>
      <c r="K14" s="73">
        <f>H14</f>
        <v>68</v>
      </c>
      <c r="L14" s="73">
        <v>0</v>
      </c>
      <c r="M14" s="73">
        <f t="shared" si="11"/>
        <v>4.75</v>
      </c>
      <c r="N14" s="73">
        <f t="shared" si="12"/>
        <v>323</v>
      </c>
      <c r="O14" s="73">
        <f>IF($AE$1&lt;&gt;"",VLOOKUP($C14,EmpTbl!$B$1:$L$45,9,FALSE),VLOOKUP($C14,EmpTbl!$B$1:$L$45,2,FALSE))</f>
        <v>55</v>
      </c>
      <c r="P14" s="73">
        <f>IF($AE$1&lt;&gt;"",VLOOKUP($C14,EmpTbl!$B$1:$L$45,10,FALSE),VLOOKUP($C14,EmpTbl!$B$1:$L$45,3,FALSE))</f>
        <v>71.5</v>
      </c>
      <c r="Q14" s="73">
        <f>IF($AE$1&lt;&gt;"",VLOOKUP($C14,EmpTbl!$B$1:$L$45,10,FALSE),VLOOKUP($C14,EmpTbl!$B$1:$L$45,4,FALSE))</f>
        <v>93.5</v>
      </c>
      <c r="R14" s="73">
        <f>IF($AE$1&lt;&gt;"",VLOOKUP($C14,EmpTbl!$B$1:$L$45,9,FALSE),VLOOKUP($C14,EmpTbl!$B$1:$L$45,2,FALSE))</f>
        <v>55</v>
      </c>
      <c r="S14" s="73">
        <f t="shared" si="13"/>
        <v>261.25</v>
      </c>
      <c r="T14" s="73">
        <f t="shared" si="14"/>
        <v>61.75</v>
      </c>
      <c r="U14" s="70"/>
      <c r="V14" s="74"/>
      <c r="W14" s="74"/>
      <c r="X14" s="75"/>
      <c r="Y14" s="74"/>
    </row>
    <row r="15" spans="1:32" customFormat="1" x14ac:dyDescent="0.45">
      <c r="A15" s="67">
        <f t="shared" si="15"/>
        <v>45970</v>
      </c>
      <c r="B15" s="68" t="s">
        <v>40</v>
      </c>
      <c r="C15" s="69" t="s">
        <v>2</v>
      </c>
      <c r="D15" s="70">
        <v>40</v>
      </c>
      <c r="E15" s="70">
        <f>12.25-4</f>
        <v>8.25</v>
      </c>
      <c r="F15" s="70">
        <v>0</v>
      </c>
      <c r="G15" s="70">
        <v>4</v>
      </c>
      <c r="H15" s="73">
        <v>68</v>
      </c>
      <c r="I15" s="73">
        <f t="shared" si="9"/>
        <v>88.4</v>
      </c>
      <c r="J15" s="73">
        <f t="shared" si="10"/>
        <v>115.6</v>
      </c>
      <c r="K15" s="73">
        <f t="shared" ref="K15:K21" si="16">H15</f>
        <v>68</v>
      </c>
      <c r="L15" s="73">
        <v>0</v>
      </c>
      <c r="M15" s="73">
        <f t="shared" si="11"/>
        <v>52.25</v>
      </c>
      <c r="N15" s="73">
        <f t="shared" si="12"/>
        <v>3721.3</v>
      </c>
      <c r="O15" s="73">
        <f>IF($AE$1&lt;&gt;"",VLOOKUP($C15,EmpTbl!$B$1:$L$45,9,FALSE),VLOOKUP($C15,EmpTbl!$B$1:$L$45,2,FALSE))</f>
        <v>35</v>
      </c>
      <c r="P15" s="73">
        <f>IF($AE$1&lt;&gt;"",VLOOKUP($C15,EmpTbl!$B$1:$L$45,10,FALSE),VLOOKUP($C15,EmpTbl!$B$1:$L$45,3,FALSE))</f>
        <v>52.5</v>
      </c>
      <c r="Q15" s="73">
        <f>IF($AE$1&lt;&gt;"",VLOOKUP($C15,EmpTbl!$B$1:$L$45,10,FALSE),VLOOKUP($C15,EmpTbl!$B$1:$L$45,4,FALSE))</f>
        <v>70</v>
      </c>
      <c r="R15" s="73">
        <f>IF($AE$1&lt;&gt;"",VLOOKUP($C15,EmpTbl!$B$1:$L$45,9,FALSE),VLOOKUP($C15,EmpTbl!$B$1:$L$45,2,FALSE))</f>
        <v>35</v>
      </c>
      <c r="S15" s="73">
        <f t="shared" si="13"/>
        <v>1973.13</v>
      </c>
      <c r="T15" s="73">
        <f t="shared" si="14"/>
        <v>1748.17</v>
      </c>
      <c r="U15" s="70"/>
      <c r="V15" s="74"/>
      <c r="W15" s="74"/>
      <c r="X15" s="75"/>
      <c r="Y15" s="74"/>
    </row>
    <row r="16" spans="1:32" customFormat="1" x14ac:dyDescent="0.45">
      <c r="A16" s="67">
        <f t="shared" si="15"/>
        <v>45970</v>
      </c>
      <c r="B16" s="68" t="s">
        <v>41</v>
      </c>
      <c r="C16" s="69" t="s">
        <v>21</v>
      </c>
      <c r="D16" s="70">
        <v>40</v>
      </c>
      <c r="E16" s="70">
        <v>5.5</v>
      </c>
      <c r="F16" s="70">
        <v>0</v>
      </c>
      <c r="G16" s="70">
        <v>0</v>
      </c>
      <c r="H16" s="73">
        <v>68</v>
      </c>
      <c r="I16" s="73">
        <f t="shared" si="9"/>
        <v>88.4</v>
      </c>
      <c r="J16" s="73">
        <f t="shared" si="10"/>
        <v>115.6</v>
      </c>
      <c r="K16" s="73">
        <f t="shared" si="16"/>
        <v>68</v>
      </c>
      <c r="L16" s="73">
        <v>0</v>
      </c>
      <c r="M16" s="73">
        <f t="shared" si="11"/>
        <v>45.5</v>
      </c>
      <c r="N16" s="73">
        <f t="shared" si="12"/>
        <v>3206.2</v>
      </c>
      <c r="O16" s="73">
        <f>IF($AE$1&lt;&gt;"",VLOOKUP($C16,EmpTbl!$B$1:$L$45,9,FALSE),VLOOKUP($C16,EmpTbl!$B$1:$L$45,2,FALSE))</f>
        <v>39</v>
      </c>
      <c r="P16" s="73">
        <f>IF($AE$1&lt;&gt;"",VLOOKUP($C16,EmpTbl!$B$1:$L$45,10,FALSE),VLOOKUP($C16,EmpTbl!$B$1:$L$45,3,FALSE))</f>
        <v>58.5</v>
      </c>
      <c r="Q16" s="73">
        <f>IF($AE$1&lt;&gt;"",VLOOKUP($C16,EmpTbl!$B$1:$L$45,10,FALSE),VLOOKUP($C16,EmpTbl!$B$1:$L$45,4,FALSE))</f>
        <v>78</v>
      </c>
      <c r="R16" s="73">
        <f>IF($AE$1&lt;&gt;"",VLOOKUP($C16,EmpTbl!$B$1:$L$45,9,FALSE),VLOOKUP($C16,EmpTbl!$B$1:$L$45,2,FALSE))</f>
        <v>39</v>
      </c>
      <c r="S16" s="73">
        <f t="shared" si="13"/>
        <v>1881.75</v>
      </c>
      <c r="T16" s="73">
        <f t="shared" si="14"/>
        <v>1324.4499999999998</v>
      </c>
      <c r="U16" s="70"/>
      <c r="V16" s="74"/>
      <c r="W16" s="74"/>
      <c r="X16" s="75"/>
      <c r="Y16" s="74"/>
    </row>
    <row r="17" spans="1:32" s="48" customFormat="1" x14ac:dyDescent="0.45">
      <c r="A17" s="42">
        <f t="shared" si="15"/>
        <v>45970</v>
      </c>
      <c r="B17" s="43" t="s">
        <v>44</v>
      </c>
      <c r="C17" s="44" t="s">
        <v>37</v>
      </c>
      <c r="D17" s="45">
        <v>40</v>
      </c>
      <c r="E17" s="45">
        <f>31.5-15.5</f>
        <v>16</v>
      </c>
      <c r="F17" s="45">
        <v>15</v>
      </c>
      <c r="G17" s="45">
        <v>15.5</v>
      </c>
      <c r="H17" s="55">
        <v>68</v>
      </c>
      <c r="I17" s="55">
        <f t="shared" si="9"/>
        <v>88.4</v>
      </c>
      <c r="J17" s="55">
        <f t="shared" si="10"/>
        <v>115.6</v>
      </c>
      <c r="K17" s="55">
        <f t="shared" si="16"/>
        <v>68</v>
      </c>
      <c r="L17" s="55">
        <v>0</v>
      </c>
      <c r="M17" s="55">
        <f t="shared" si="11"/>
        <v>86.5</v>
      </c>
      <c r="N17" s="55">
        <f t="shared" si="12"/>
        <v>6922.4</v>
      </c>
      <c r="O17" s="55">
        <f>IF($AE$1&lt;&gt;"",VLOOKUP($C17,EmpTbl!$B$1:$L$45,9,FALSE),VLOOKUP($C17,EmpTbl!$B$1:$L$45,2,FALSE))</f>
        <v>36</v>
      </c>
      <c r="P17" s="55">
        <f>IF($AE$1&lt;&gt;"",VLOOKUP($C17,EmpTbl!$B$1:$L$45,10,FALSE),VLOOKUP($C17,EmpTbl!$B$1:$L$45,3,FALSE))</f>
        <v>54</v>
      </c>
      <c r="Q17" s="55">
        <f>IF($AE$1&lt;&gt;"",VLOOKUP($C17,EmpTbl!$B$1:$L$45,10,FALSE),VLOOKUP($C17,EmpTbl!$B$1:$L$45,4,FALSE))</f>
        <v>72</v>
      </c>
      <c r="R17" s="55">
        <f>IF($AE$1&lt;&gt;"",VLOOKUP($C17,EmpTbl!$B$1:$L$45,9,FALSE),VLOOKUP($C17,EmpTbl!$B$1:$L$45,2,FALSE))</f>
        <v>36</v>
      </c>
      <c r="S17" s="55">
        <f t="shared" si="13"/>
        <v>3942</v>
      </c>
      <c r="T17" s="55">
        <f t="shared" si="14"/>
        <v>2980.3999999999996</v>
      </c>
      <c r="U17" s="45">
        <v>1</v>
      </c>
      <c r="V17" s="46"/>
      <c r="W17" s="46">
        <v>7</v>
      </c>
      <c r="X17" s="47">
        <v>1</v>
      </c>
      <c r="Y17" s="46">
        <v>1</v>
      </c>
      <c r="Z17" s="71" t="s">
        <v>264</v>
      </c>
    </row>
    <row r="18" spans="1:32" customFormat="1" x14ac:dyDescent="0.45">
      <c r="A18" s="67">
        <f t="shared" si="15"/>
        <v>45970</v>
      </c>
      <c r="B18" s="68" t="s">
        <v>59</v>
      </c>
      <c r="C18" s="69" t="s">
        <v>58</v>
      </c>
      <c r="D18" s="70">
        <v>24</v>
      </c>
      <c r="E18" s="70">
        <v>0</v>
      </c>
      <c r="F18" s="70">
        <v>0</v>
      </c>
      <c r="G18" s="70">
        <v>0</v>
      </c>
      <c r="H18" s="73">
        <v>68</v>
      </c>
      <c r="I18" s="73">
        <f t="shared" si="9"/>
        <v>88.4</v>
      </c>
      <c r="J18" s="73">
        <f t="shared" si="10"/>
        <v>115.6</v>
      </c>
      <c r="K18" s="73">
        <f t="shared" si="16"/>
        <v>68</v>
      </c>
      <c r="L18" s="73">
        <v>0</v>
      </c>
      <c r="M18" s="73">
        <f t="shared" ref="M18" si="17">SUM(D18:G18)</f>
        <v>24</v>
      </c>
      <c r="N18" s="73">
        <f t="shared" si="12"/>
        <v>1632</v>
      </c>
      <c r="O18" s="73">
        <f>IF($AE$1&lt;&gt;"",VLOOKUP($C18,EmpTbl!$B$1:$L$45,9,FALSE),VLOOKUP($C18,EmpTbl!$B$1:$L$45,2,FALSE))</f>
        <v>36</v>
      </c>
      <c r="P18" s="73">
        <f>IF($AE$1&lt;&gt;"",VLOOKUP($C18,EmpTbl!$B$1:$L$45,10,FALSE),VLOOKUP($C18,EmpTbl!$B$1:$L$45,3,FALSE))</f>
        <v>54</v>
      </c>
      <c r="Q18" s="73">
        <f>IF($AE$1&lt;&gt;"",VLOOKUP($C18,EmpTbl!$B$1:$L$45,10,FALSE),VLOOKUP($C18,EmpTbl!$B$1:$L$45,4,FALSE))</f>
        <v>72</v>
      </c>
      <c r="R18" s="73">
        <f>IF($AE$1&lt;&gt;"",VLOOKUP($C18,EmpTbl!$B$1:$L$45,9,FALSE),VLOOKUP($C18,EmpTbl!$B$1:$L$45,2,FALSE))</f>
        <v>36</v>
      </c>
      <c r="S18" s="73">
        <f t="shared" si="13"/>
        <v>864</v>
      </c>
      <c r="T18" s="73">
        <f t="shared" si="14"/>
        <v>768</v>
      </c>
      <c r="U18" s="70"/>
      <c r="V18" s="74"/>
      <c r="W18" s="74"/>
      <c r="X18" s="75"/>
      <c r="Y18" s="74"/>
    </row>
    <row r="19" spans="1:32" customFormat="1" x14ac:dyDescent="0.45">
      <c r="A19" s="67">
        <f t="shared" si="15"/>
        <v>45970</v>
      </c>
      <c r="B19" s="68" t="s">
        <v>90</v>
      </c>
      <c r="C19" s="69" t="s">
        <v>94</v>
      </c>
      <c r="D19" s="70">
        <v>40</v>
      </c>
      <c r="E19" s="70">
        <v>10</v>
      </c>
      <c r="F19" s="70">
        <v>0</v>
      </c>
      <c r="G19" s="70">
        <v>0</v>
      </c>
      <c r="H19" s="73">
        <v>68</v>
      </c>
      <c r="I19" s="73">
        <f t="shared" si="9"/>
        <v>88.4</v>
      </c>
      <c r="J19" s="73">
        <f t="shared" si="10"/>
        <v>115.6</v>
      </c>
      <c r="K19" s="73">
        <f t="shared" si="16"/>
        <v>68</v>
      </c>
      <c r="L19" s="73">
        <v>0</v>
      </c>
      <c r="M19" s="73">
        <f t="shared" ref="M19:M20" si="18">SUM(D19:G19)</f>
        <v>50</v>
      </c>
      <c r="N19" s="73">
        <f t="shared" si="12"/>
        <v>3604</v>
      </c>
      <c r="O19" s="73">
        <f>IF($AE$1&lt;&gt;"",VLOOKUP($C19,EmpTbl!$B$1:$L$45,9,FALSE),VLOOKUP($C19,EmpTbl!$B$1:$L$45,2,FALSE))</f>
        <v>30.67</v>
      </c>
      <c r="P19" s="73">
        <f>IF($AE$1&lt;&gt;"",VLOOKUP($C19,EmpTbl!$B$1:$L$45,10,FALSE),VLOOKUP($C19,EmpTbl!$B$1:$L$45,3,FALSE))</f>
        <v>46.005000000000003</v>
      </c>
      <c r="Q19" s="73">
        <f>IF($AE$1&lt;&gt;"",VLOOKUP($C19,EmpTbl!$B$1:$L$45,10,FALSE),VLOOKUP($C19,EmpTbl!$B$1:$L$45,4,FALSE))</f>
        <v>61.34</v>
      </c>
      <c r="R19" s="73">
        <f>IF($AE$1&lt;&gt;"",VLOOKUP($C19,EmpTbl!$B$1:$L$45,9,FALSE),VLOOKUP($C19,EmpTbl!$B$1:$L$45,2,FALSE))</f>
        <v>30.67</v>
      </c>
      <c r="S19" s="73">
        <f t="shared" si="13"/>
        <v>1686.85</v>
      </c>
      <c r="T19" s="73">
        <f t="shared" si="14"/>
        <v>1917.15</v>
      </c>
      <c r="U19" s="70">
        <v>1</v>
      </c>
      <c r="V19" s="74"/>
      <c r="W19" s="74"/>
      <c r="X19" s="75"/>
      <c r="Y19" s="74"/>
    </row>
    <row r="20" spans="1:32" customFormat="1" x14ac:dyDescent="0.45">
      <c r="A20" s="67">
        <f t="shared" si="15"/>
        <v>45970</v>
      </c>
      <c r="B20" s="68" t="s">
        <v>90</v>
      </c>
      <c r="C20" s="69" t="s">
        <v>190</v>
      </c>
      <c r="D20" s="70">
        <v>40</v>
      </c>
      <c r="E20" s="70">
        <v>8.25</v>
      </c>
      <c r="F20" s="70">
        <v>0</v>
      </c>
      <c r="G20" s="70">
        <v>0</v>
      </c>
      <c r="H20" s="73">
        <v>68</v>
      </c>
      <c r="I20" s="73">
        <f t="shared" si="9"/>
        <v>88.4</v>
      </c>
      <c r="J20" s="73">
        <f t="shared" si="10"/>
        <v>115.6</v>
      </c>
      <c r="K20" s="73">
        <f t="shared" si="16"/>
        <v>68</v>
      </c>
      <c r="L20" s="73">
        <v>0</v>
      </c>
      <c r="M20" s="73">
        <f t="shared" si="18"/>
        <v>48.25</v>
      </c>
      <c r="N20" s="73">
        <f t="shared" si="12"/>
        <v>3449.3</v>
      </c>
      <c r="O20" s="73">
        <f>IF($AE$1&lt;&gt;"",VLOOKUP($C20,EmpTbl!$B$1:$L$45,9,FALSE),VLOOKUP($C20,EmpTbl!$B$1:$L$45,2,FALSE))</f>
        <v>30</v>
      </c>
      <c r="P20" s="73">
        <f>IF($AE$1&lt;&gt;"",VLOOKUP($C20,EmpTbl!$B$1:$L$45,10,FALSE),VLOOKUP($C20,EmpTbl!$B$1:$L$45,3,FALSE))</f>
        <v>45</v>
      </c>
      <c r="Q20" s="73">
        <f>IF($AE$1&lt;&gt;"",VLOOKUP($C20,EmpTbl!$B$1:$L$45,10,FALSE),VLOOKUP($C20,EmpTbl!$B$1:$L$45,4,FALSE))</f>
        <v>60</v>
      </c>
      <c r="R20" s="73">
        <f>IF($AE$1&lt;&gt;"",VLOOKUP($C20,EmpTbl!$B$1:$L$45,9,FALSE),VLOOKUP($C20,EmpTbl!$B$1:$L$45,2,FALSE))</f>
        <v>30</v>
      </c>
      <c r="S20" s="73">
        <f t="shared" si="13"/>
        <v>1571.25</v>
      </c>
      <c r="T20" s="73">
        <f t="shared" si="14"/>
        <v>1878.0500000000002</v>
      </c>
      <c r="U20" s="79"/>
      <c r="V20" s="74"/>
      <c r="W20" s="74"/>
      <c r="X20" s="75"/>
      <c r="Y20" s="74"/>
    </row>
    <row r="21" spans="1:32" customFormat="1" x14ac:dyDescent="0.45">
      <c r="A21" s="67">
        <f t="shared" si="15"/>
        <v>45970</v>
      </c>
      <c r="B21" s="69" t="s">
        <v>186</v>
      </c>
      <c r="C21" s="69" t="s">
        <v>189</v>
      </c>
      <c r="D21" s="70">
        <v>40</v>
      </c>
      <c r="E21" s="70">
        <v>15</v>
      </c>
      <c r="F21" s="70">
        <v>0</v>
      </c>
      <c r="G21" s="70">
        <v>0</v>
      </c>
      <c r="H21" s="73">
        <v>54</v>
      </c>
      <c r="I21" s="73">
        <f t="shared" si="9"/>
        <v>70.2</v>
      </c>
      <c r="J21" s="73">
        <f t="shared" si="10"/>
        <v>91.8</v>
      </c>
      <c r="K21" s="73">
        <f t="shared" si="16"/>
        <v>54</v>
      </c>
      <c r="L21" s="73">
        <v>0</v>
      </c>
      <c r="M21" s="73">
        <f>SUM(D21:G21)</f>
        <v>55</v>
      </c>
      <c r="N21" s="73">
        <f>ROUND((D21*H21)+(E21*I21)+(F21*J21)+(G21*K21),2)</f>
        <v>3213</v>
      </c>
      <c r="O21" s="73">
        <f>IF($AE$1&lt;&gt;"",VLOOKUP($C21,EmpTbl!$B$1:$L$45,9,FALSE),VLOOKUP($C21,EmpTbl!$B$1:$L$45,2,FALSE))</f>
        <v>27</v>
      </c>
      <c r="P21" s="73">
        <f>IF($AE$1&lt;&gt;"",VLOOKUP($C21,EmpTbl!$B$1:$L$45,10,FALSE),VLOOKUP($C21,EmpTbl!$B$1:$L$45,3,FALSE))</f>
        <v>40.5</v>
      </c>
      <c r="Q21" s="73">
        <f>IF($AE$1&lt;&gt;"",VLOOKUP($C21,EmpTbl!$B$1:$L$45,10,FALSE),VLOOKUP($C21,EmpTbl!$B$1:$L$45,4,FALSE))</f>
        <v>54</v>
      </c>
      <c r="R21" s="73">
        <f>IF($AE$1&lt;&gt;"",VLOOKUP($C21,EmpTbl!$B$1:$L$45,9,FALSE),VLOOKUP($C21,EmpTbl!$B$1:$L$45,2,FALSE))</f>
        <v>27</v>
      </c>
      <c r="S21" s="73">
        <f>ROUND(O21*D21+P21*E21+Q21*F21+G21*R21,2)</f>
        <v>1687.5</v>
      </c>
      <c r="T21" s="73">
        <f>N21-S21</f>
        <v>1525.5</v>
      </c>
      <c r="U21" s="79"/>
      <c r="V21" s="74"/>
      <c r="W21" s="74"/>
      <c r="X21" s="75"/>
      <c r="Y21" s="74"/>
    </row>
    <row r="22" spans="1:32" customFormat="1" x14ac:dyDescent="0.45">
      <c r="A22" s="67">
        <f>A21+7</f>
        <v>45977</v>
      </c>
      <c r="B22" s="68" t="s">
        <v>91</v>
      </c>
      <c r="C22" s="69" t="s">
        <v>92</v>
      </c>
      <c r="D22" s="70">
        <v>40</v>
      </c>
      <c r="E22" s="70">
        <v>2.5</v>
      </c>
      <c r="F22" s="70">
        <v>0</v>
      </c>
      <c r="G22" s="70">
        <v>0</v>
      </c>
      <c r="H22" s="73">
        <v>72</v>
      </c>
      <c r="I22" s="73">
        <f t="shared" ref="I22:I31" si="19">H22*1.3</f>
        <v>93.600000000000009</v>
      </c>
      <c r="J22" s="73">
        <f t="shared" ref="J22:J31" si="20">H22*1.7</f>
        <v>122.39999999999999</v>
      </c>
      <c r="K22" s="73">
        <v>72</v>
      </c>
      <c r="L22" s="73">
        <v>0</v>
      </c>
      <c r="M22" s="73">
        <f t="shared" ref="M22:M27" si="21">SUM(D22:G22)</f>
        <v>42.5</v>
      </c>
      <c r="N22" s="73">
        <f t="shared" ref="N22:N30" si="22">ROUND((D22*H22)+(E22*I22)+(F22*J22)+(G22*K22),2)</f>
        <v>3114</v>
      </c>
      <c r="O22" s="73">
        <f>IF($AE$1&lt;&gt;"",VLOOKUP($C22,EmpTbl!$B$1:$L$45,9,FALSE),VLOOKUP($C22,EmpTbl!$B$1:$L$45,2,FALSE))</f>
        <v>60</v>
      </c>
      <c r="P22" s="73">
        <f>IF($AE$1&lt;&gt;"",VLOOKUP($C22,EmpTbl!$B$1:$L$45,10,FALSE),VLOOKUP($C22,EmpTbl!$B$1:$L$45,3,FALSE))</f>
        <v>78</v>
      </c>
      <c r="Q22" s="73">
        <f>IF($AE$1&lt;&gt;"",VLOOKUP($C22,EmpTbl!$B$1:$L$45,10,FALSE),VLOOKUP($C22,EmpTbl!$B$1:$L$45,4,FALSE))</f>
        <v>102</v>
      </c>
      <c r="R22" s="73">
        <f>IF($AE$1&lt;&gt;"",VLOOKUP($C22,EmpTbl!$B$1:$L$45,9,FALSE),VLOOKUP($C22,EmpTbl!$B$1:$L$45,2,FALSE))</f>
        <v>60</v>
      </c>
      <c r="S22" s="73">
        <f t="shared" ref="S22:S30" si="23">ROUND(O22*D22+P22*E22+Q22*F22+G22*R22,2)</f>
        <v>2595</v>
      </c>
      <c r="T22" s="73">
        <f t="shared" ref="T22:T30" si="24">N22-S22</f>
        <v>519</v>
      </c>
      <c r="U22" s="70"/>
      <c r="V22" s="74"/>
      <c r="W22" s="74"/>
      <c r="X22" s="75"/>
      <c r="Y22" s="74"/>
      <c r="Z22" s="76"/>
      <c r="AC22" s="77">
        <v>61.400836793559229</v>
      </c>
      <c r="AD22" s="77">
        <v>40.592475197312119</v>
      </c>
      <c r="AE22" s="77">
        <v>20.80836159624711</v>
      </c>
      <c r="AF22" s="77">
        <v>164.12075000000002</v>
      </c>
    </row>
    <row r="23" spans="1:32" customFormat="1" x14ac:dyDescent="0.45">
      <c r="A23" s="67">
        <f>$A22</f>
        <v>45977</v>
      </c>
      <c r="B23" s="68" t="s">
        <v>55</v>
      </c>
      <c r="C23" s="69" t="s">
        <v>3</v>
      </c>
      <c r="D23" s="70">
        <v>39.75</v>
      </c>
      <c r="E23" s="70">
        <v>0</v>
      </c>
      <c r="F23" s="70">
        <v>0</v>
      </c>
      <c r="G23" s="70">
        <v>0</v>
      </c>
      <c r="H23" s="73">
        <v>72</v>
      </c>
      <c r="I23" s="73">
        <f t="shared" si="19"/>
        <v>93.600000000000009</v>
      </c>
      <c r="J23" s="73">
        <f t="shared" si="20"/>
        <v>122.39999999999999</v>
      </c>
      <c r="K23" s="73">
        <v>72</v>
      </c>
      <c r="L23" s="73">
        <v>0</v>
      </c>
      <c r="M23" s="73">
        <f t="shared" si="21"/>
        <v>39.75</v>
      </c>
      <c r="N23" s="73">
        <f t="shared" si="22"/>
        <v>2862</v>
      </c>
      <c r="O23" s="73">
        <f>IF($AE$1&lt;&gt;"",VLOOKUP($C23,EmpTbl!$B$1:$L$45,9,FALSE),VLOOKUP($C23,EmpTbl!$B$1:$L$45,2,FALSE))</f>
        <v>57</v>
      </c>
      <c r="P23" s="73">
        <f>IF($AE$1&lt;&gt;"",VLOOKUP($C23,EmpTbl!$B$1:$L$45,10,FALSE),VLOOKUP($C23,EmpTbl!$B$1:$L$45,3,FALSE))</f>
        <v>74.100000000000009</v>
      </c>
      <c r="Q23" s="73">
        <f>IF($AE$1&lt;&gt;"",VLOOKUP($C23,EmpTbl!$B$1:$L$45,10,FALSE),VLOOKUP($C23,EmpTbl!$B$1:$L$45,4,FALSE))</f>
        <v>96.899999999999991</v>
      </c>
      <c r="R23" s="73">
        <f>IF($AE$1&lt;&gt;"",VLOOKUP($C23,EmpTbl!$B$1:$L$45,9,FALSE),VLOOKUP($C23,EmpTbl!$B$1:$L$45,2,FALSE))</f>
        <v>57</v>
      </c>
      <c r="S23" s="73">
        <f t="shared" si="23"/>
        <v>2265.75</v>
      </c>
      <c r="T23" s="73">
        <f t="shared" si="24"/>
        <v>596.25</v>
      </c>
      <c r="U23" s="70"/>
      <c r="V23" s="74"/>
      <c r="W23" s="74"/>
      <c r="X23" s="74"/>
      <c r="Y23" s="74"/>
      <c r="Z23" s="19"/>
    </row>
    <row r="24" spans="1:32" customFormat="1" x14ac:dyDescent="0.45">
      <c r="A24" s="67">
        <f>$A22</f>
        <v>45977</v>
      </c>
      <c r="B24" s="68" t="s">
        <v>38</v>
      </c>
      <c r="C24" s="69" t="s">
        <v>39</v>
      </c>
      <c r="D24" s="70">
        <v>0</v>
      </c>
      <c r="E24" s="70">
        <v>0</v>
      </c>
      <c r="F24" s="70">
        <v>0</v>
      </c>
      <c r="G24" s="70">
        <v>0</v>
      </c>
      <c r="H24" s="73">
        <v>68</v>
      </c>
      <c r="I24" s="73">
        <f t="shared" si="19"/>
        <v>88.4</v>
      </c>
      <c r="J24" s="73">
        <f t="shared" si="20"/>
        <v>115.6</v>
      </c>
      <c r="K24" s="73">
        <f>H24</f>
        <v>68</v>
      </c>
      <c r="L24" s="73">
        <v>0</v>
      </c>
      <c r="M24" s="73">
        <f t="shared" si="21"/>
        <v>0</v>
      </c>
      <c r="N24" s="73">
        <f t="shared" si="22"/>
        <v>0</v>
      </c>
      <c r="O24" s="73">
        <f>IF($AE$1&lt;&gt;"",VLOOKUP($C24,EmpTbl!$B$1:$L$45,9,FALSE),VLOOKUP($C24,EmpTbl!$B$1:$L$45,2,FALSE))</f>
        <v>55</v>
      </c>
      <c r="P24" s="73">
        <f>IF($AE$1&lt;&gt;"",VLOOKUP($C24,EmpTbl!$B$1:$L$45,10,FALSE),VLOOKUP($C24,EmpTbl!$B$1:$L$45,3,FALSE))</f>
        <v>71.5</v>
      </c>
      <c r="Q24" s="73">
        <f>IF($AE$1&lt;&gt;"",VLOOKUP($C24,EmpTbl!$B$1:$L$45,10,FALSE),VLOOKUP($C24,EmpTbl!$B$1:$L$45,4,FALSE))</f>
        <v>93.5</v>
      </c>
      <c r="R24" s="73">
        <f>IF($AE$1&lt;&gt;"",VLOOKUP($C24,EmpTbl!$B$1:$L$45,9,FALSE),VLOOKUP($C24,EmpTbl!$B$1:$L$45,2,FALSE))</f>
        <v>55</v>
      </c>
      <c r="S24" s="73">
        <f t="shared" si="23"/>
        <v>0</v>
      </c>
      <c r="T24" s="73">
        <f t="shared" si="24"/>
        <v>0</v>
      </c>
      <c r="U24" s="70"/>
      <c r="V24" s="74"/>
      <c r="W24" s="74"/>
      <c r="X24" s="75"/>
      <c r="Y24" s="74"/>
    </row>
    <row r="25" spans="1:32" customFormat="1" x14ac:dyDescent="0.45">
      <c r="A25" s="67">
        <f>$A22</f>
        <v>45977</v>
      </c>
      <c r="B25" s="68" t="s">
        <v>40</v>
      </c>
      <c r="C25" s="69" t="s">
        <v>2</v>
      </c>
      <c r="D25" s="70">
        <v>40</v>
      </c>
      <c r="E25" s="70">
        <v>24</v>
      </c>
      <c r="F25" s="70">
        <v>0</v>
      </c>
      <c r="G25" s="70">
        <v>0</v>
      </c>
      <c r="H25" s="73">
        <v>68</v>
      </c>
      <c r="I25" s="73">
        <f t="shared" si="19"/>
        <v>88.4</v>
      </c>
      <c r="J25" s="73">
        <f t="shared" si="20"/>
        <v>115.6</v>
      </c>
      <c r="K25" s="73">
        <f t="shared" ref="K25:K31" si="25">H25</f>
        <v>68</v>
      </c>
      <c r="L25" s="73">
        <v>0</v>
      </c>
      <c r="M25" s="73">
        <f t="shared" si="21"/>
        <v>64</v>
      </c>
      <c r="N25" s="73">
        <f t="shared" si="22"/>
        <v>4841.6000000000004</v>
      </c>
      <c r="O25" s="73">
        <f>IF($AE$1&lt;&gt;"",VLOOKUP($C25,EmpTbl!$B$1:$L$45,9,FALSE),VLOOKUP($C25,EmpTbl!$B$1:$L$45,2,FALSE))</f>
        <v>35</v>
      </c>
      <c r="P25" s="73">
        <f>IF($AE$1&lt;&gt;"",VLOOKUP($C25,EmpTbl!$B$1:$L$45,10,FALSE),VLOOKUP($C25,EmpTbl!$B$1:$L$45,3,FALSE))</f>
        <v>52.5</v>
      </c>
      <c r="Q25" s="73">
        <f>IF($AE$1&lt;&gt;"",VLOOKUP($C25,EmpTbl!$B$1:$L$45,10,FALSE),VLOOKUP($C25,EmpTbl!$B$1:$L$45,4,FALSE))</f>
        <v>70</v>
      </c>
      <c r="R25" s="73">
        <f>IF($AE$1&lt;&gt;"",VLOOKUP($C25,EmpTbl!$B$1:$L$45,9,FALSE),VLOOKUP($C25,EmpTbl!$B$1:$L$45,2,FALSE))</f>
        <v>35</v>
      </c>
      <c r="S25" s="73">
        <f t="shared" si="23"/>
        <v>2660</v>
      </c>
      <c r="T25" s="73">
        <f t="shared" si="24"/>
        <v>2181.6000000000004</v>
      </c>
      <c r="U25" s="70"/>
      <c r="V25" s="74"/>
      <c r="W25" s="74"/>
      <c r="X25" s="75"/>
      <c r="Y25" s="74"/>
    </row>
    <row r="26" spans="1:32" customFormat="1" x14ac:dyDescent="0.45">
      <c r="A26" s="67">
        <f>$A22</f>
        <v>45977</v>
      </c>
      <c r="B26" s="68" t="s">
        <v>41</v>
      </c>
      <c r="C26" s="69" t="s">
        <v>21</v>
      </c>
      <c r="D26" s="70">
        <v>40</v>
      </c>
      <c r="E26" s="70">
        <v>5</v>
      </c>
      <c r="F26" s="70">
        <v>0</v>
      </c>
      <c r="G26" s="70">
        <v>0</v>
      </c>
      <c r="H26" s="73">
        <v>68</v>
      </c>
      <c r="I26" s="73">
        <f t="shared" si="19"/>
        <v>88.4</v>
      </c>
      <c r="J26" s="73">
        <f t="shared" si="20"/>
        <v>115.6</v>
      </c>
      <c r="K26" s="73">
        <f t="shared" si="25"/>
        <v>68</v>
      </c>
      <c r="L26" s="73">
        <v>0</v>
      </c>
      <c r="M26" s="73">
        <f t="shared" si="21"/>
        <v>45</v>
      </c>
      <c r="N26" s="73">
        <f t="shared" si="22"/>
        <v>3162</v>
      </c>
      <c r="O26" s="73">
        <f>IF($AE$1&lt;&gt;"",VLOOKUP($C26,EmpTbl!$B$1:$L$45,9,FALSE),VLOOKUP($C26,EmpTbl!$B$1:$L$45,2,FALSE))</f>
        <v>39</v>
      </c>
      <c r="P26" s="73">
        <f>IF($AE$1&lt;&gt;"",VLOOKUP($C26,EmpTbl!$B$1:$L$45,10,FALSE),VLOOKUP($C26,EmpTbl!$B$1:$L$45,3,FALSE))</f>
        <v>58.5</v>
      </c>
      <c r="Q26" s="73">
        <f>IF($AE$1&lt;&gt;"",VLOOKUP($C26,EmpTbl!$B$1:$L$45,10,FALSE),VLOOKUP($C26,EmpTbl!$B$1:$L$45,4,FALSE))</f>
        <v>78</v>
      </c>
      <c r="R26" s="73">
        <f>IF($AE$1&lt;&gt;"",VLOOKUP($C26,EmpTbl!$B$1:$L$45,9,FALSE),VLOOKUP($C26,EmpTbl!$B$1:$L$45,2,FALSE))</f>
        <v>39</v>
      </c>
      <c r="S26" s="73">
        <f t="shared" si="23"/>
        <v>1852.5</v>
      </c>
      <c r="T26" s="73">
        <f t="shared" si="24"/>
        <v>1309.5</v>
      </c>
      <c r="U26" s="70"/>
      <c r="V26" s="74"/>
      <c r="W26" s="74"/>
      <c r="X26" s="75"/>
      <c r="Y26" s="74"/>
    </row>
    <row r="27" spans="1:32" s="48" customFormat="1" x14ac:dyDescent="0.45">
      <c r="A27" s="42">
        <f>$A22</f>
        <v>45977</v>
      </c>
      <c r="B27" s="43" t="s">
        <v>44</v>
      </c>
      <c r="C27" s="44" t="s">
        <v>37</v>
      </c>
      <c r="D27" s="45">
        <v>40</v>
      </c>
      <c r="E27" s="45">
        <f>20-7.75</f>
        <v>12.25</v>
      </c>
      <c r="F27" s="45">
        <v>1.25</v>
      </c>
      <c r="G27" s="45">
        <v>7.75</v>
      </c>
      <c r="H27" s="55">
        <v>68</v>
      </c>
      <c r="I27" s="55">
        <f t="shared" si="19"/>
        <v>88.4</v>
      </c>
      <c r="J27" s="55">
        <f t="shared" si="20"/>
        <v>115.6</v>
      </c>
      <c r="K27" s="55">
        <f t="shared" si="25"/>
        <v>68</v>
      </c>
      <c r="L27" s="55">
        <v>0</v>
      </c>
      <c r="M27" s="55">
        <f t="shared" si="21"/>
        <v>61.25</v>
      </c>
      <c r="N27" s="55">
        <f t="shared" si="22"/>
        <v>4474.3999999999996</v>
      </c>
      <c r="O27" s="55">
        <f>IF($AE$1&lt;&gt;"",VLOOKUP($C27,EmpTbl!$B$1:$L$45,9,FALSE),VLOOKUP($C27,EmpTbl!$B$1:$L$45,2,FALSE))</f>
        <v>36</v>
      </c>
      <c r="P27" s="55">
        <f>IF($AE$1&lt;&gt;"",VLOOKUP($C27,EmpTbl!$B$1:$L$45,10,FALSE),VLOOKUP($C27,EmpTbl!$B$1:$L$45,3,FALSE))</f>
        <v>54</v>
      </c>
      <c r="Q27" s="55">
        <f>IF($AE$1&lt;&gt;"",VLOOKUP($C27,EmpTbl!$B$1:$L$45,10,FALSE),VLOOKUP($C27,EmpTbl!$B$1:$L$45,4,FALSE))</f>
        <v>72</v>
      </c>
      <c r="R27" s="55">
        <f>IF($AE$1&lt;&gt;"",VLOOKUP($C27,EmpTbl!$B$1:$L$45,9,FALSE),VLOOKUP($C27,EmpTbl!$B$1:$L$45,2,FALSE))</f>
        <v>36</v>
      </c>
      <c r="S27" s="55">
        <f t="shared" si="23"/>
        <v>2470.5</v>
      </c>
      <c r="T27" s="55">
        <f t="shared" si="24"/>
        <v>2003.8999999999996</v>
      </c>
      <c r="U27" s="45"/>
      <c r="V27" s="46"/>
      <c r="W27" s="46">
        <v>5</v>
      </c>
      <c r="X27" s="47">
        <v>1</v>
      </c>
      <c r="Y27" s="46">
        <v>1</v>
      </c>
      <c r="Z27" s="71" t="s">
        <v>265</v>
      </c>
    </row>
    <row r="28" spans="1:32" customFormat="1" x14ac:dyDescent="0.45">
      <c r="A28" s="67">
        <f>$A22</f>
        <v>45977</v>
      </c>
      <c r="B28" s="68" t="s">
        <v>59</v>
      </c>
      <c r="C28" s="69" t="s">
        <v>58</v>
      </c>
      <c r="D28" s="70">
        <v>0</v>
      </c>
      <c r="E28" s="70">
        <v>0</v>
      </c>
      <c r="F28" s="70">
        <v>0</v>
      </c>
      <c r="G28" s="70">
        <v>0</v>
      </c>
      <c r="H28" s="73">
        <v>68</v>
      </c>
      <c r="I28" s="73">
        <f t="shared" si="19"/>
        <v>88.4</v>
      </c>
      <c r="J28" s="73">
        <f t="shared" si="20"/>
        <v>115.6</v>
      </c>
      <c r="K28" s="73">
        <f t="shared" si="25"/>
        <v>68</v>
      </c>
      <c r="L28" s="73">
        <v>0</v>
      </c>
      <c r="M28" s="73">
        <f t="shared" ref="M28" si="26">SUM(D28:G28)</f>
        <v>0</v>
      </c>
      <c r="N28" s="73">
        <f t="shared" si="22"/>
        <v>0</v>
      </c>
      <c r="O28" s="73">
        <f>IF($AE$1&lt;&gt;"",VLOOKUP($C28,EmpTbl!$B$1:$L$45,9,FALSE),VLOOKUP($C28,EmpTbl!$B$1:$L$45,2,FALSE))</f>
        <v>36</v>
      </c>
      <c r="P28" s="73">
        <f>IF($AE$1&lt;&gt;"",VLOOKUP($C28,EmpTbl!$B$1:$L$45,10,FALSE),VLOOKUP($C28,EmpTbl!$B$1:$L$45,3,FALSE))</f>
        <v>54</v>
      </c>
      <c r="Q28" s="73">
        <f>IF($AE$1&lt;&gt;"",VLOOKUP($C28,EmpTbl!$B$1:$L$45,10,FALSE),VLOOKUP($C28,EmpTbl!$B$1:$L$45,4,FALSE))</f>
        <v>72</v>
      </c>
      <c r="R28" s="73">
        <f>IF($AE$1&lt;&gt;"",VLOOKUP($C28,EmpTbl!$B$1:$L$45,9,FALSE),VLOOKUP($C28,EmpTbl!$B$1:$L$45,2,FALSE))</f>
        <v>36</v>
      </c>
      <c r="S28" s="73">
        <f t="shared" si="23"/>
        <v>0</v>
      </c>
      <c r="T28" s="73">
        <f t="shared" si="24"/>
        <v>0</v>
      </c>
      <c r="U28" s="70"/>
      <c r="V28" s="74"/>
      <c r="W28" s="74"/>
      <c r="X28" s="75"/>
      <c r="Y28" s="74"/>
    </row>
    <row r="29" spans="1:32" customFormat="1" x14ac:dyDescent="0.45">
      <c r="A29" s="67">
        <f>$A22</f>
        <v>45977</v>
      </c>
      <c r="B29" s="68" t="s">
        <v>90</v>
      </c>
      <c r="C29" s="69" t="s">
        <v>94</v>
      </c>
      <c r="D29" s="70">
        <v>40</v>
      </c>
      <c r="E29" s="70">
        <f>20-8</f>
        <v>12</v>
      </c>
      <c r="F29" s="70">
        <v>0</v>
      </c>
      <c r="G29" s="70">
        <v>8</v>
      </c>
      <c r="H29" s="73">
        <v>68</v>
      </c>
      <c r="I29" s="73">
        <f t="shared" si="19"/>
        <v>88.4</v>
      </c>
      <c r="J29" s="73">
        <f t="shared" si="20"/>
        <v>115.6</v>
      </c>
      <c r="K29" s="73">
        <f t="shared" si="25"/>
        <v>68</v>
      </c>
      <c r="L29" s="73">
        <v>0</v>
      </c>
      <c r="M29" s="73">
        <f t="shared" ref="M29:M30" si="27">SUM(D29:G29)</f>
        <v>60</v>
      </c>
      <c r="N29" s="73">
        <f t="shared" si="22"/>
        <v>4324.8</v>
      </c>
      <c r="O29" s="73">
        <f>IF($AE$1&lt;&gt;"",VLOOKUP($C29,EmpTbl!$B$1:$L$45,9,FALSE),VLOOKUP($C29,EmpTbl!$B$1:$L$45,2,FALSE))</f>
        <v>30.67</v>
      </c>
      <c r="P29" s="73">
        <f>IF($AE$1&lt;&gt;"",VLOOKUP($C29,EmpTbl!$B$1:$L$45,10,FALSE),VLOOKUP($C29,EmpTbl!$B$1:$L$45,3,FALSE))</f>
        <v>46.005000000000003</v>
      </c>
      <c r="Q29" s="73">
        <f>IF($AE$1&lt;&gt;"",VLOOKUP($C29,EmpTbl!$B$1:$L$45,10,FALSE),VLOOKUP($C29,EmpTbl!$B$1:$L$45,4,FALSE))</f>
        <v>61.34</v>
      </c>
      <c r="R29" s="73">
        <f>IF($AE$1&lt;&gt;"",VLOOKUP($C29,EmpTbl!$B$1:$L$45,9,FALSE),VLOOKUP($C29,EmpTbl!$B$1:$L$45,2,FALSE))</f>
        <v>30.67</v>
      </c>
      <c r="S29" s="73">
        <f t="shared" si="23"/>
        <v>2024.22</v>
      </c>
      <c r="T29" s="73">
        <f t="shared" si="24"/>
        <v>2300.58</v>
      </c>
      <c r="U29" s="70"/>
      <c r="V29" s="74"/>
      <c r="W29" s="74"/>
      <c r="X29" s="75"/>
      <c r="Y29" s="74"/>
    </row>
    <row r="30" spans="1:32" customFormat="1" x14ac:dyDescent="0.45">
      <c r="A30" s="67">
        <f>$A22</f>
        <v>45977</v>
      </c>
      <c r="B30" s="68" t="s">
        <v>90</v>
      </c>
      <c r="C30" s="69" t="s">
        <v>190</v>
      </c>
      <c r="D30" s="70">
        <v>40</v>
      </c>
      <c r="E30" s="70">
        <v>9.5</v>
      </c>
      <c r="F30" s="70">
        <v>0</v>
      </c>
      <c r="G30" s="70">
        <v>0</v>
      </c>
      <c r="H30" s="73">
        <v>68</v>
      </c>
      <c r="I30" s="73">
        <f t="shared" si="19"/>
        <v>88.4</v>
      </c>
      <c r="J30" s="73">
        <f t="shared" si="20"/>
        <v>115.6</v>
      </c>
      <c r="K30" s="73">
        <f t="shared" si="25"/>
        <v>68</v>
      </c>
      <c r="L30" s="73">
        <v>0</v>
      </c>
      <c r="M30" s="73">
        <f t="shared" si="27"/>
        <v>49.5</v>
      </c>
      <c r="N30" s="73">
        <f t="shared" si="22"/>
        <v>3559.8</v>
      </c>
      <c r="O30" s="73">
        <f>IF($AE$1&lt;&gt;"",VLOOKUP($C30,EmpTbl!$B$1:$L$45,9,FALSE),VLOOKUP($C30,EmpTbl!$B$1:$L$45,2,FALSE))</f>
        <v>30</v>
      </c>
      <c r="P30" s="73">
        <f>IF($AE$1&lt;&gt;"",VLOOKUP($C30,EmpTbl!$B$1:$L$45,10,FALSE),VLOOKUP($C30,EmpTbl!$B$1:$L$45,3,FALSE))</f>
        <v>45</v>
      </c>
      <c r="Q30" s="73">
        <f>IF($AE$1&lt;&gt;"",VLOOKUP($C30,EmpTbl!$B$1:$L$45,10,FALSE),VLOOKUP($C30,EmpTbl!$B$1:$L$45,4,FALSE))</f>
        <v>60</v>
      </c>
      <c r="R30" s="73">
        <f>IF($AE$1&lt;&gt;"",VLOOKUP($C30,EmpTbl!$B$1:$L$45,9,FALSE),VLOOKUP($C30,EmpTbl!$B$1:$L$45,2,FALSE))</f>
        <v>30</v>
      </c>
      <c r="S30" s="73">
        <f t="shared" si="23"/>
        <v>1627.5</v>
      </c>
      <c r="T30" s="73">
        <f t="shared" si="24"/>
        <v>1932.3000000000002</v>
      </c>
      <c r="U30" s="79">
        <v>1</v>
      </c>
      <c r="V30" s="74"/>
      <c r="W30" s="74"/>
      <c r="X30" s="75"/>
      <c r="Y30" s="74"/>
    </row>
    <row r="31" spans="1:32" customFormat="1" x14ac:dyDescent="0.45">
      <c r="A31" s="67">
        <f>$A22</f>
        <v>45977</v>
      </c>
      <c r="B31" s="69" t="s">
        <v>186</v>
      </c>
      <c r="C31" s="69" t="s">
        <v>189</v>
      </c>
      <c r="D31" s="70">
        <v>40</v>
      </c>
      <c r="E31" s="70">
        <v>7.75</v>
      </c>
      <c r="F31" s="70">
        <v>0</v>
      </c>
      <c r="G31" s="70">
        <v>0</v>
      </c>
      <c r="H31" s="73">
        <v>54</v>
      </c>
      <c r="I31" s="73">
        <f t="shared" si="19"/>
        <v>70.2</v>
      </c>
      <c r="J31" s="73">
        <f t="shared" si="20"/>
        <v>91.8</v>
      </c>
      <c r="K31" s="73">
        <f t="shared" si="25"/>
        <v>54</v>
      </c>
      <c r="L31" s="73">
        <v>0</v>
      </c>
      <c r="M31" s="73">
        <f>SUM(D31:G31)</f>
        <v>47.75</v>
      </c>
      <c r="N31" s="73">
        <f>ROUND((D31*H31)+(E31*I31)+(F31*J31)+(G31*K31),2)</f>
        <v>2704.05</v>
      </c>
      <c r="O31" s="73">
        <f>IF($AE$1&lt;&gt;"",VLOOKUP($C31,EmpTbl!$B$1:$L$45,9,FALSE),VLOOKUP($C31,EmpTbl!$B$1:$L$45,2,FALSE))</f>
        <v>27</v>
      </c>
      <c r="P31" s="73">
        <f>IF($AE$1&lt;&gt;"",VLOOKUP($C31,EmpTbl!$B$1:$L$45,10,FALSE),VLOOKUP($C31,EmpTbl!$B$1:$L$45,3,FALSE))</f>
        <v>40.5</v>
      </c>
      <c r="Q31" s="73">
        <f>IF($AE$1&lt;&gt;"",VLOOKUP($C31,EmpTbl!$B$1:$L$45,10,FALSE),VLOOKUP($C31,EmpTbl!$B$1:$L$45,4,FALSE))</f>
        <v>54</v>
      </c>
      <c r="R31" s="73">
        <f>IF($AE$1&lt;&gt;"",VLOOKUP($C31,EmpTbl!$B$1:$L$45,9,FALSE),VLOOKUP($C31,EmpTbl!$B$1:$L$45,2,FALSE))</f>
        <v>27</v>
      </c>
      <c r="S31" s="73">
        <f>ROUND(O31*D31+P31*E31+Q31*F31+G31*R31,2)</f>
        <v>1393.88</v>
      </c>
      <c r="T31" s="73">
        <f>N31-S31</f>
        <v>1310.17</v>
      </c>
      <c r="U31" s="79"/>
      <c r="V31" s="74"/>
      <c r="W31" s="74"/>
      <c r="X31" s="75"/>
      <c r="Y31" s="74"/>
    </row>
    <row r="32" spans="1:32" customFormat="1" x14ac:dyDescent="0.45">
      <c r="A32" s="67">
        <f>A31+7</f>
        <v>45984</v>
      </c>
      <c r="B32" s="68" t="s">
        <v>91</v>
      </c>
      <c r="C32" s="69" t="s">
        <v>92</v>
      </c>
      <c r="D32" s="70">
        <v>40</v>
      </c>
      <c r="E32" s="70">
        <v>2.75</v>
      </c>
      <c r="F32" s="70">
        <v>0</v>
      </c>
      <c r="G32" s="70">
        <v>0</v>
      </c>
      <c r="H32" s="73">
        <v>72</v>
      </c>
      <c r="I32" s="73">
        <f t="shared" ref="I32:I41" si="28">H32*1.3</f>
        <v>93.600000000000009</v>
      </c>
      <c r="J32" s="73">
        <f t="shared" ref="J32:J41" si="29">H32*1.7</f>
        <v>122.39999999999999</v>
      </c>
      <c r="K32" s="73">
        <v>72</v>
      </c>
      <c r="L32" s="73">
        <v>0</v>
      </c>
      <c r="M32" s="73">
        <f t="shared" ref="M32:M37" si="30">SUM(D32:G32)</f>
        <v>42.75</v>
      </c>
      <c r="N32" s="73">
        <f t="shared" ref="N32:N40" si="31">ROUND((D32*H32)+(E32*I32)+(F32*J32)+(G32*K32),2)</f>
        <v>3137.4</v>
      </c>
      <c r="O32" s="73">
        <f>IF($AE$1&lt;&gt;"",VLOOKUP($C32,EmpTbl!$B$1:$L$45,9,FALSE),VLOOKUP($C32,EmpTbl!$B$1:$L$45,2,FALSE))</f>
        <v>60</v>
      </c>
      <c r="P32" s="73">
        <f>IF($AE$1&lt;&gt;"",VLOOKUP($C32,EmpTbl!$B$1:$L$45,10,FALSE),VLOOKUP($C32,EmpTbl!$B$1:$L$45,3,FALSE))</f>
        <v>78</v>
      </c>
      <c r="Q32" s="73">
        <f>IF($AE$1&lt;&gt;"",VLOOKUP($C32,EmpTbl!$B$1:$L$45,10,FALSE),VLOOKUP($C32,EmpTbl!$B$1:$L$45,4,FALSE))</f>
        <v>102</v>
      </c>
      <c r="R32" s="73">
        <f>IF($AE$1&lt;&gt;"",VLOOKUP($C32,EmpTbl!$B$1:$L$45,9,FALSE),VLOOKUP($C32,EmpTbl!$B$1:$L$45,2,FALSE))</f>
        <v>60</v>
      </c>
      <c r="S32" s="73">
        <f t="shared" ref="S32:S40" si="32">ROUND(O32*D32+P32*E32+Q32*F32+G32*R32,2)</f>
        <v>2614.5</v>
      </c>
      <c r="T32" s="73">
        <f t="shared" ref="T32:T40" si="33">N32-S32</f>
        <v>522.90000000000009</v>
      </c>
      <c r="U32" s="70"/>
      <c r="V32" s="74"/>
      <c r="W32" s="74"/>
      <c r="X32" s="75"/>
      <c r="Y32" s="74"/>
      <c r="Z32" s="76"/>
      <c r="AC32" s="77">
        <v>61.400836793559229</v>
      </c>
      <c r="AD32" s="77">
        <v>40.592475197312119</v>
      </c>
      <c r="AE32" s="77">
        <v>20.80836159624711</v>
      </c>
      <c r="AF32" s="77">
        <v>164.12075000000002</v>
      </c>
    </row>
    <row r="33" spans="1:32" customFormat="1" x14ac:dyDescent="0.45">
      <c r="A33" s="67">
        <f>$A32</f>
        <v>45984</v>
      </c>
      <c r="B33" s="68" t="s">
        <v>55</v>
      </c>
      <c r="C33" s="69" t="s">
        <v>3</v>
      </c>
      <c r="D33" s="70">
        <v>40</v>
      </c>
      <c r="E33" s="70">
        <v>0</v>
      </c>
      <c r="F33" s="70">
        <v>0</v>
      </c>
      <c r="G33" s="70">
        <v>0</v>
      </c>
      <c r="H33" s="73">
        <v>72</v>
      </c>
      <c r="I33" s="73">
        <f t="shared" si="28"/>
        <v>93.600000000000009</v>
      </c>
      <c r="J33" s="73">
        <f t="shared" si="29"/>
        <v>122.39999999999999</v>
      </c>
      <c r="K33" s="73">
        <v>72</v>
      </c>
      <c r="L33" s="73">
        <v>0</v>
      </c>
      <c r="M33" s="73">
        <f t="shared" si="30"/>
        <v>40</v>
      </c>
      <c r="N33" s="73">
        <f t="shared" si="31"/>
        <v>2880</v>
      </c>
      <c r="O33" s="73">
        <f>IF($AE$1&lt;&gt;"",VLOOKUP($C33,EmpTbl!$B$1:$L$45,9,FALSE),VLOOKUP($C33,EmpTbl!$B$1:$L$45,2,FALSE))</f>
        <v>57</v>
      </c>
      <c r="P33" s="73">
        <f>IF($AE$1&lt;&gt;"",VLOOKUP($C33,EmpTbl!$B$1:$L$45,10,FALSE),VLOOKUP($C33,EmpTbl!$B$1:$L$45,3,FALSE))</f>
        <v>74.100000000000009</v>
      </c>
      <c r="Q33" s="73">
        <f>IF($AE$1&lt;&gt;"",VLOOKUP($C33,EmpTbl!$B$1:$L$45,10,FALSE),VLOOKUP($C33,EmpTbl!$B$1:$L$45,4,FALSE))</f>
        <v>96.899999999999991</v>
      </c>
      <c r="R33" s="73">
        <f>IF($AE$1&lt;&gt;"",VLOOKUP($C33,EmpTbl!$B$1:$L$45,9,FALSE),VLOOKUP($C33,EmpTbl!$B$1:$L$45,2,FALSE))</f>
        <v>57</v>
      </c>
      <c r="S33" s="73">
        <f t="shared" si="32"/>
        <v>2280</v>
      </c>
      <c r="T33" s="73">
        <f t="shared" si="33"/>
        <v>600</v>
      </c>
      <c r="U33" s="70"/>
      <c r="V33" s="74"/>
      <c r="W33" s="74"/>
      <c r="X33" s="74"/>
      <c r="Y33" s="74"/>
      <c r="Z33" s="19"/>
    </row>
    <row r="34" spans="1:32" customFormat="1" x14ac:dyDescent="0.45">
      <c r="A34" s="67">
        <f>$A32</f>
        <v>45984</v>
      </c>
      <c r="B34" s="68" t="s">
        <v>38</v>
      </c>
      <c r="C34" s="69" t="s">
        <v>39</v>
      </c>
      <c r="D34" s="70">
        <v>0</v>
      </c>
      <c r="E34" s="70">
        <v>0</v>
      </c>
      <c r="F34" s="70">
        <v>0</v>
      </c>
      <c r="G34" s="70">
        <v>0</v>
      </c>
      <c r="H34" s="73">
        <v>68</v>
      </c>
      <c r="I34" s="73">
        <f t="shared" si="28"/>
        <v>88.4</v>
      </c>
      <c r="J34" s="73">
        <f t="shared" si="29"/>
        <v>115.6</v>
      </c>
      <c r="K34" s="73">
        <f>H34</f>
        <v>68</v>
      </c>
      <c r="L34" s="73">
        <v>0</v>
      </c>
      <c r="M34" s="73">
        <f t="shared" si="30"/>
        <v>0</v>
      </c>
      <c r="N34" s="73">
        <f t="shared" si="31"/>
        <v>0</v>
      </c>
      <c r="O34" s="73">
        <f>IF($AE$1&lt;&gt;"",VLOOKUP($C34,EmpTbl!$B$1:$L$45,9,FALSE),VLOOKUP($C34,EmpTbl!$B$1:$L$45,2,FALSE))</f>
        <v>55</v>
      </c>
      <c r="P34" s="73">
        <f>IF($AE$1&lt;&gt;"",VLOOKUP($C34,EmpTbl!$B$1:$L$45,10,FALSE),VLOOKUP($C34,EmpTbl!$B$1:$L$45,3,FALSE))</f>
        <v>71.5</v>
      </c>
      <c r="Q34" s="73">
        <f>IF($AE$1&lt;&gt;"",VLOOKUP($C34,EmpTbl!$B$1:$L$45,10,FALSE),VLOOKUP($C34,EmpTbl!$B$1:$L$45,4,FALSE))</f>
        <v>93.5</v>
      </c>
      <c r="R34" s="73">
        <f>IF($AE$1&lt;&gt;"",VLOOKUP($C34,EmpTbl!$B$1:$L$45,9,FALSE),VLOOKUP($C34,EmpTbl!$B$1:$L$45,2,FALSE))</f>
        <v>55</v>
      </c>
      <c r="S34" s="73">
        <f t="shared" si="32"/>
        <v>0</v>
      </c>
      <c r="T34" s="73">
        <f t="shared" si="33"/>
        <v>0</v>
      </c>
      <c r="U34" s="70"/>
      <c r="V34" s="74"/>
      <c r="W34" s="74"/>
      <c r="X34" s="75"/>
      <c r="Y34" s="74"/>
    </row>
    <row r="35" spans="1:32" customFormat="1" x14ac:dyDescent="0.45">
      <c r="A35" s="67">
        <f>$A32</f>
        <v>45984</v>
      </c>
      <c r="B35" s="68" t="s">
        <v>40</v>
      </c>
      <c r="C35" s="69" t="s">
        <v>2</v>
      </c>
      <c r="D35" s="70">
        <v>40</v>
      </c>
      <c r="E35" s="70">
        <v>20</v>
      </c>
      <c r="F35" s="70">
        <v>0</v>
      </c>
      <c r="G35" s="70">
        <v>0</v>
      </c>
      <c r="H35" s="73">
        <v>68</v>
      </c>
      <c r="I35" s="73">
        <f t="shared" si="28"/>
        <v>88.4</v>
      </c>
      <c r="J35" s="73">
        <f t="shared" si="29"/>
        <v>115.6</v>
      </c>
      <c r="K35" s="73">
        <f t="shared" ref="K35:K41" si="34">H35</f>
        <v>68</v>
      </c>
      <c r="L35" s="73">
        <v>0</v>
      </c>
      <c r="M35" s="73">
        <f t="shared" si="30"/>
        <v>60</v>
      </c>
      <c r="N35" s="73">
        <f t="shared" si="31"/>
        <v>4488</v>
      </c>
      <c r="O35" s="73">
        <f>IF($AE$1&lt;&gt;"",VLOOKUP($C35,EmpTbl!$B$1:$L$45,9,FALSE),VLOOKUP($C35,EmpTbl!$B$1:$L$45,2,FALSE))</f>
        <v>35</v>
      </c>
      <c r="P35" s="73">
        <f>IF($AE$1&lt;&gt;"",VLOOKUP($C35,EmpTbl!$B$1:$L$45,10,FALSE),VLOOKUP($C35,EmpTbl!$B$1:$L$45,3,FALSE))</f>
        <v>52.5</v>
      </c>
      <c r="Q35" s="73">
        <f>IF($AE$1&lt;&gt;"",VLOOKUP($C35,EmpTbl!$B$1:$L$45,10,FALSE),VLOOKUP($C35,EmpTbl!$B$1:$L$45,4,FALSE))</f>
        <v>70</v>
      </c>
      <c r="R35" s="73">
        <f>IF($AE$1&lt;&gt;"",VLOOKUP($C35,EmpTbl!$B$1:$L$45,9,FALSE),VLOOKUP($C35,EmpTbl!$B$1:$L$45,2,FALSE))</f>
        <v>35</v>
      </c>
      <c r="S35" s="73">
        <f t="shared" si="32"/>
        <v>2450</v>
      </c>
      <c r="T35" s="73">
        <f t="shared" si="33"/>
        <v>2038</v>
      </c>
      <c r="U35" s="70"/>
      <c r="V35" s="74"/>
      <c r="W35" s="74"/>
      <c r="X35" s="75"/>
      <c r="Y35" s="74"/>
    </row>
    <row r="36" spans="1:32" customFormat="1" x14ac:dyDescent="0.45">
      <c r="A36" s="67">
        <f>$A32</f>
        <v>45984</v>
      </c>
      <c r="B36" s="68" t="s">
        <v>41</v>
      </c>
      <c r="C36" s="69" t="s">
        <v>21</v>
      </c>
      <c r="D36" s="70">
        <v>40</v>
      </c>
      <c r="E36" s="70">
        <v>4</v>
      </c>
      <c r="F36" s="70">
        <v>0</v>
      </c>
      <c r="G36" s="70">
        <v>0</v>
      </c>
      <c r="H36" s="73">
        <v>68</v>
      </c>
      <c r="I36" s="73">
        <f t="shared" si="28"/>
        <v>88.4</v>
      </c>
      <c r="J36" s="73">
        <f t="shared" si="29"/>
        <v>115.6</v>
      </c>
      <c r="K36" s="73">
        <f t="shared" si="34"/>
        <v>68</v>
      </c>
      <c r="L36" s="73">
        <v>0</v>
      </c>
      <c r="M36" s="73">
        <f t="shared" si="30"/>
        <v>44</v>
      </c>
      <c r="N36" s="73">
        <f t="shared" si="31"/>
        <v>3073.6</v>
      </c>
      <c r="O36" s="73">
        <f>IF($AE$1&lt;&gt;"",VLOOKUP($C36,EmpTbl!$B$1:$L$45,9,FALSE),VLOOKUP($C36,EmpTbl!$B$1:$L$45,2,FALSE))</f>
        <v>39</v>
      </c>
      <c r="P36" s="73">
        <f>IF($AE$1&lt;&gt;"",VLOOKUP($C36,EmpTbl!$B$1:$L$45,10,FALSE),VLOOKUP($C36,EmpTbl!$B$1:$L$45,3,FALSE))</f>
        <v>58.5</v>
      </c>
      <c r="Q36" s="73">
        <f>IF($AE$1&lt;&gt;"",VLOOKUP($C36,EmpTbl!$B$1:$L$45,10,FALSE),VLOOKUP($C36,EmpTbl!$B$1:$L$45,4,FALSE))</f>
        <v>78</v>
      </c>
      <c r="R36" s="73">
        <f>IF($AE$1&lt;&gt;"",VLOOKUP($C36,EmpTbl!$B$1:$L$45,9,FALSE),VLOOKUP($C36,EmpTbl!$B$1:$L$45,2,FALSE))</f>
        <v>39</v>
      </c>
      <c r="S36" s="73">
        <f t="shared" si="32"/>
        <v>1794</v>
      </c>
      <c r="T36" s="73">
        <f t="shared" si="33"/>
        <v>1279.5999999999999</v>
      </c>
      <c r="U36" s="70"/>
      <c r="V36" s="74"/>
      <c r="W36" s="74"/>
      <c r="X36" s="75"/>
      <c r="Y36" s="74"/>
    </row>
    <row r="37" spans="1:32" customFormat="1" x14ac:dyDescent="0.45">
      <c r="A37" s="67">
        <f>$A32</f>
        <v>45984</v>
      </c>
      <c r="B37" s="68" t="s">
        <v>44</v>
      </c>
      <c r="C37" s="69" t="s">
        <v>37</v>
      </c>
      <c r="D37" s="70">
        <v>0</v>
      </c>
      <c r="E37" s="70">
        <v>0</v>
      </c>
      <c r="F37" s="70">
        <v>0</v>
      </c>
      <c r="G37" s="70">
        <v>0</v>
      </c>
      <c r="H37" s="73">
        <v>68</v>
      </c>
      <c r="I37" s="73">
        <f t="shared" si="28"/>
        <v>88.4</v>
      </c>
      <c r="J37" s="73">
        <f t="shared" si="29"/>
        <v>115.6</v>
      </c>
      <c r="K37" s="73">
        <f t="shared" si="34"/>
        <v>68</v>
      </c>
      <c r="L37" s="73">
        <v>0</v>
      </c>
      <c r="M37" s="73">
        <f t="shared" si="30"/>
        <v>0</v>
      </c>
      <c r="N37" s="73">
        <f t="shared" si="31"/>
        <v>0</v>
      </c>
      <c r="O37" s="73">
        <f>IF($AE$1&lt;&gt;"",VLOOKUP($C37,EmpTbl!$B$1:$L$45,9,FALSE),VLOOKUP($C37,EmpTbl!$B$1:$L$45,2,FALSE))</f>
        <v>36</v>
      </c>
      <c r="P37" s="73">
        <f>IF($AE$1&lt;&gt;"",VLOOKUP($C37,EmpTbl!$B$1:$L$45,10,FALSE),VLOOKUP($C37,EmpTbl!$B$1:$L$45,3,FALSE))</f>
        <v>54</v>
      </c>
      <c r="Q37" s="73">
        <f>IF($AE$1&lt;&gt;"",VLOOKUP($C37,EmpTbl!$B$1:$L$45,10,FALSE),VLOOKUP($C37,EmpTbl!$B$1:$L$45,4,FALSE))</f>
        <v>72</v>
      </c>
      <c r="R37" s="73">
        <f>IF($AE$1&lt;&gt;"",VLOOKUP($C37,EmpTbl!$B$1:$L$45,9,FALSE),VLOOKUP($C37,EmpTbl!$B$1:$L$45,2,FALSE))</f>
        <v>36</v>
      </c>
      <c r="S37" s="73">
        <f t="shared" si="32"/>
        <v>0</v>
      </c>
      <c r="T37" s="73">
        <f t="shared" si="33"/>
        <v>0</v>
      </c>
      <c r="U37" s="70"/>
      <c r="V37" s="74"/>
      <c r="W37" s="74"/>
      <c r="X37" s="75"/>
      <c r="Y37" s="74"/>
      <c r="Z37" s="78"/>
    </row>
    <row r="38" spans="1:32" s="48" customFormat="1" x14ac:dyDescent="0.45">
      <c r="A38" s="42">
        <f>$A32</f>
        <v>45984</v>
      </c>
      <c r="B38" s="43" t="s">
        <v>59</v>
      </c>
      <c r="C38" s="44" t="s">
        <v>58</v>
      </c>
      <c r="D38" s="45">
        <v>40</v>
      </c>
      <c r="E38" s="45">
        <f>15.5-13</f>
        <v>2.5</v>
      </c>
      <c r="F38" s="45">
        <v>0</v>
      </c>
      <c r="G38" s="45">
        <v>13</v>
      </c>
      <c r="H38" s="55">
        <v>68</v>
      </c>
      <c r="I38" s="55">
        <f t="shared" si="28"/>
        <v>88.4</v>
      </c>
      <c r="J38" s="55">
        <f t="shared" si="29"/>
        <v>115.6</v>
      </c>
      <c r="K38" s="55">
        <f t="shared" si="34"/>
        <v>68</v>
      </c>
      <c r="L38" s="55">
        <v>0</v>
      </c>
      <c r="M38" s="55">
        <f t="shared" ref="M38" si="35">SUM(D38:G38)</f>
        <v>55.5</v>
      </c>
      <c r="N38" s="55">
        <f t="shared" si="31"/>
        <v>3825</v>
      </c>
      <c r="O38" s="55">
        <f>IF($AE$1&lt;&gt;"",VLOOKUP($C38,EmpTbl!$B$1:$L$45,9,FALSE),VLOOKUP($C38,EmpTbl!$B$1:$L$45,2,FALSE))</f>
        <v>36</v>
      </c>
      <c r="P38" s="55">
        <f>IF($AE$1&lt;&gt;"",VLOOKUP($C38,EmpTbl!$B$1:$L$45,10,FALSE),VLOOKUP($C38,EmpTbl!$B$1:$L$45,3,FALSE))</f>
        <v>54</v>
      </c>
      <c r="Q38" s="55">
        <f>IF($AE$1&lt;&gt;"",VLOOKUP($C38,EmpTbl!$B$1:$L$45,10,FALSE),VLOOKUP($C38,EmpTbl!$B$1:$L$45,4,FALSE))</f>
        <v>72</v>
      </c>
      <c r="R38" s="55">
        <f>IF($AE$1&lt;&gt;"",VLOOKUP($C38,EmpTbl!$B$1:$L$45,9,FALSE),VLOOKUP($C38,EmpTbl!$B$1:$L$45,2,FALSE))</f>
        <v>36</v>
      </c>
      <c r="S38" s="55">
        <f t="shared" si="32"/>
        <v>2043</v>
      </c>
      <c r="T38" s="55">
        <f t="shared" si="33"/>
        <v>1782</v>
      </c>
      <c r="U38" s="45"/>
      <c r="V38" s="46"/>
      <c r="W38" s="46">
        <v>4</v>
      </c>
      <c r="X38" s="47"/>
      <c r="Y38" s="46"/>
    </row>
    <row r="39" spans="1:32" customFormat="1" x14ac:dyDescent="0.45">
      <c r="A39" s="67">
        <f>$A32</f>
        <v>45984</v>
      </c>
      <c r="B39" s="68" t="s">
        <v>90</v>
      </c>
      <c r="C39" s="69" t="s">
        <v>94</v>
      </c>
      <c r="D39" s="70">
        <v>40</v>
      </c>
      <c r="E39" s="70">
        <f>20-10</f>
        <v>10</v>
      </c>
      <c r="F39" s="70">
        <v>0</v>
      </c>
      <c r="G39" s="70">
        <v>10</v>
      </c>
      <c r="H39" s="73">
        <v>68</v>
      </c>
      <c r="I39" s="73">
        <f t="shared" si="28"/>
        <v>88.4</v>
      </c>
      <c r="J39" s="73">
        <f t="shared" si="29"/>
        <v>115.6</v>
      </c>
      <c r="K39" s="73">
        <f t="shared" si="34"/>
        <v>68</v>
      </c>
      <c r="L39" s="73">
        <v>0</v>
      </c>
      <c r="M39" s="73">
        <f t="shared" ref="M39:M40" si="36">SUM(D39:G39)</f>
        <v>60</v>
      </c>
      <c r="N39" s="73">
        <f t="shared" si="31"/>
        <v>4284</v>
      </c>
      <c r="O39" s="73">
        <f>IF($AE$1&lt;&gt;"",VLOOKUP($C39,EmpTbl!$B$1:$L$45,9,FALSE),VLOOKUP($C39,EmpTbl!$B$1:$L$45,2,FALSE))</f>
        <v>30.67</v>
      </c>
      <c r="P39" s="73">
        <f>IF($AE$1&lt;&gt;"",VLOOKUP($C39,EmpTbl!$B$1:$L$45,10,FALSE),VLOOKUP($C39,EmpTbl!$B$1:$L$45,3,FALSE))</f>
        <v>46.005000000000003</v>
      </c>
      <c r="Q39" s="73">
        <f>IF($AE$1&lt;&gt;"",VLOOKUP($C39,EmpTbl!$B$1:$L$45,10,FALSE),VLOOKUP($C39,EmpTbl!$B$1:$L$45,4,FALSE))</f>
        <v>61.34</v>
      </c>
      <c r="R39" s="73">
        <f>IF($AE$1&lt;&gt;"",VLOOKUP($C39,EmpTbl!$B$1:$L$45,9,FALSE),VLOOKUP($C39,EmpTbl!$B$1:$L$45,2,FALSE))</f>
        <v>30.67</v>
      </c>
      <c r="S39" s="73">
        <f t="shared" si="32"/>
        <v>1993.55</v>
      </c>
      <c r="T39" s="73">
        <f t="shared" si="33"/>
        <v>2290.4499999999998</v>
      </c>
      <c r="U39" s="70"/>
      <c r="V39" s="74"/>
      <c r="W39" s="74"/>
      <c r="X39" s="75"/>
      <c r="Y39" s="74"/>
    </row>
    <row r="40" spans="1:32" customFormat="1" x14ac:dyDescent="0.45">
      <c r="A40" s="67">
        <f>$A32</f>
        <v>45984</v>
      </c>
      <c r="B40" s="68" t="s">
        <v>90</v>
      </c>
      <c r="C40" s="69" t="s">
        <v>190</v>
      </c>
      <c r="D40" s="70">
        <v>40</v>
      </c>
      <c r="E40" s="70">
        <f>11-7.5</f>
        <v>3.5</v>
      </c>
      <c r="F40" s="70">
        <v>0</v>
      </c>
      <c r="G40" s="70">
        <v>7.5</v>
      </c>
      <c r="H40" s="73">
        <v>68</v>
      </c>
      <c r="I40" s="73">
        <f t="shared" si="28"/>
        <v>88.4</v>
      </c>
      <c r="J40" s="73">
        <f t="shared" si="29"/>
        <v>115.6</v>
      </c>
      <c r="K40" s="73">
        <f t="shared" si="34"/>
        <v>68</v>
      </c>
      <c r="L40" s="73">
        <v>0</v>
      </c>
      <c r="M40" s="73">
        <f t="shared" si="36"/>
        <v>51</v>
      </c>
      <c r="N40" s="73">
        <f t="shared" si="31"/>
        <v>3539.4</v>
      </c>
      <c r="O40" s="73">
        <f>IF($AE$1&lt;&gt;"",VLOOKUP($C40,EmpTbl!$B$1:$L$45,9,FALSE),VLOOKUP($C40,EmpTbl!$B$1:$L$45,2,FALSE))</f>
        <v>30</v>
      </c>
      <c r="P40" s="73">
        <f>IF($AE$1&lt;&gt;"",VLOOKUP($C40,EmpTbl!$B$1:$L$45,10,FALSE),VLOOKUP($C40,EmpTbl!$B$1:$L$45,3,FALSE))</f>
        <v>45</v>
      </c>
      <c r="Q40" s="73">
        <f>IF($AE$1&lt;&gt;"",VLOOKUP($C40,EmpTbl!$B$1:$L$45,10,FALSE),VLOOKUP($C40,EmpTbl!$B$1:$L$45,4,FALSE))</f>
        <v>60</v>
      </c>
      <c r="R40" s="73">
        <f>IF($AE$1&lt;&gt;"",VLOOKUP($C40,EmpTbl!$B$1:$L$45,9,FALSE),VLOOKUP($C40,EmpTbl!$B$1:$L$45,2,FALSE))</f>
        <v>30</v>
      </c>
      <c r="S40" s="73">
        <f t="shared" si="32"/>
        <v>1582.5</v>
      </c>
      <c r="T40" s="73">
        <f t="shared" si="33"/>
        <v>1956.9</v>
      </c>
      <c r="U40" s="79"/>
      <c r="V40" s="74"/>
      <c r="W40" s="74"/>
      <c r="X40" s="75"/>
      <c r="Y40" s="74"/>
    </row>
    <row r="41" spans="1:32" s="48" customFormat="1" x14ac:dyDescent="0.45">
      <c r="A41" s="42">
        <f>$A32</f>
        <v>45984</v>
      </c>
      <c r="B41" s="44" t="s">
        <v>186</v>
      </c>
      <c r="C41" s="44" t="s">
        <v>189</v>
      </c>
      <c r="D41" s="45">
        <v>40</v>
      </c>
      <c r="E41" s="45">
        <f>8.75-5.5</f>
        <v>3.25</v>
      </c>
      <c r="F41" s="45">
        <v>11</v>
      </c>
      <c r="G41" s="45">
        <v>5.5</v>
      </c>
      <c r="H41" s="55">
        <v>54</v>
      </c>
      <c r="I41" s="55">
        <f t="shared" si="28"/>
        <v>70.2</v>
      </c>
      <c r="J41" s="55">
        <f t="shared" si="29"/>
        <v>91.8</v>
      </c>
      <c r="K41" s="55">
        <f t="shared" si="34"/>
        <v>54</v>
      </c>
      <c r="L41" s="55">
        <v>0</v>
      </c>
      <c r="M41" s="55">
        <f>SUM(D41:G41)</f>
        <v>59.75</v>
      </c>
      <c r="N41" s="55">
        <f>ROUND((D41*H41)+(E41*I41)+(F41*J41)+(G41*K41),2)</f>
        <v>3694.95</v>
      </c>
      <c r="O41" s="55">
        <f>IF($AE$1&lt;&gt;"",VLOOKUP($C41,EmpTbl!$B$1:$L$45,9,FALSE),VLOOKUP($C41,EmpTbl!$B$1:$L$45,2,FALSE))</f>
        <v>27</v>
      </c>
      <c r="P41" s="55">
        <f>IF($AE$1&lt;&gt;"",VLOOKUP($C41,EmpTbl!$B$1:$L$45,10,FALSE),VLOOKUP($C41,EmpTbl!$B$1:$L$45,3,FALSE))</f>
        <v>40.5</v>
      </c>
      <c r="Q41" s="55">
        <f>IF($AE$1&lt;&gt;"",VLOOKUP($C41,EmpTbl!$B$1:$L$45,10,FALSE),VLOOKUP($C41,EmpTbl!$B$1:$L$45,4,FALSE))</f>
        <v>54</v>
      </c>
      <c r="R41" s="55">
        <f>IF($AE$1&lt;&gt;"",VLOOKUP($C41,EmpTbl!$B$1:$L$45,9,FALSE),VLOOKUP($C41,EmpTbl!$B$1:$L$45,2,FALSE))</f>
        <v>27</v>
      </c>
      <c r="S41" s="55">
        <f>ROUND(O41*D41+P41*E41+Q41*F41+G41*R41,2)</f>
        <v>1954.13</v>
      </c>
      <c r="T41" s="55">
        <f>N41-S41</f>
        <v>1740.8199999999997</v>
      </c>
      <c r="U41" s="80"/>
      <c r="V41" s="46"/>
      <c r="W41" s="46">
        <v>3</v>
      </c>
      <c r="X41" s="47">
        <v>1</v>
      </c>
      <c r="Y41" s="46">
        <v>1</v>
      </c>
      <c r="Z41" s="48" t="s">
        <v>266</v>
      </c>
    </row>
    <row r="42" spans="1:32" s="48" customFormat="1" x14ac:dyDescent="0.45">
      <c r="A42" s="42">
        <f>A41+7</f>
        <v>45991</v>
      </c>
      <c r="B42" s="43" t="s">
        <v>91</v>
      </c>
      <c r="C42" s="44" t="s">
        <v>92</v>
      </c>
      <c r="D42" s="45">
        <v>37</v>
      </c>
      <c r="E42" s="45">
        <v>0</v>
      </c>
      <c r="F42" s="45">
        <v>0</v>
      </c>
      <c r="G42" s="45">
        <v>5</v>
      </c>
      <c r="H42" s="55">
        <v>72</v>
      </c>
      <c r="I42" s="55">
        <f t="shared" ref="I42:I51" si="37">H42*1.3</f>
        <v>93.600000000000009</v>
      </c>
      <c r="J42" s="55">
        <f t="shared" ref="J42:J51" si="38">H42*1.7</f>
        <v>122.39999999999999</v>
      </c>
      <c r="K42" s="55">
        <v>72</v>
      </c>
      <c r="L42" s="55">
        <v>0</v>
      </c>
      <c r="M42" s="55">
        <f t="shared" ref="M42:M47" si="39">SUM(D42:G42)</f>
        <v>42</v>
      </c>
      <c r="N42" s="55">
        <f t="shared" ref="N42:N50" si="40">ROUND((D42*H42)+(E42*I42)+(F42*J42)+(G42*K42),2)</f>
        <v>3024</v>
      </c>
      <c r="O42" s="55">
        <f>IF($AE$1&lt;&gt;"",VLOOKUP($C42,EmpTbl!$B$1:$L$45,9,FALSE),VLOOKUP($C42,EmpTbl!$B$1:$L$45,2,FALSE))</f>
        <v>60</v>
      </c>
      <c r="P42" s="55">
        <f>IF($AE$1&lt;&gt;"",VLOOKUP($C42,EmpTbl!$B$1:$L$45,10,FALSE),VLOOKUP($C42,EmpTbl!$B$1:$L$45,3,FALSE))</f>
        <v>78</v>
      </c>
      <c r="Q42" s="55">
        <f>IF($AE$1&lt;&gt;"",VLOOKUP($C42,EmpTbl!$B$1:$L$45,10,FALSE),VLOOKUP($C42,EmpTbl!$B$1:$L$45,4,FALSE))</f>
        <v>102</v>
      </c>
      <c r="R42" s="55">
        <f>IF($AE$1&lt;&gt;"",VLOOKUP($C42,EmpTbl!$B$1:$L$45,9,FALSE),VLOOKUP($C42,EmpTbl!$B$1:$L$45,2,FALSE))</f>
        <v>60</v>
      </c>
      <c r="S42" s="55">
        <f t="shared" ref="S42:S50" si="41">ROUND(O42*D42+P42*E42+Q42*F42+G42*R42,2)</f>
        <v>2520</v>
      </c>
      <c r="T42" s="55">
        <f t="shared" ref="T42:T50" si="42">N42-S42</f>
        <v>504</v>
      </c>
      <c r="U42" s="45"/>
      <c r="V42" s="46"/>
      <c r="W42" s="46"/>
      <c r="X42" s="47"/>
      <c r="Y42" s="46"/>
      <c r="Z42" s="81"/>
      <c r="AC42" s="82">
        <v>61.400836793559229</v>
      </c>
      <c r="AD42" s="82">
        <v>40.592475197312119</v>
      </c>
      <c r="AE42" s="82">
        <v>20.80836159624711</v>
      </c>
      <c r="AF42" s="82">
        <v>164.12075000000002</v>
      </c>
    </row>
    <row r="43" spans="1:32" customFormat="1" x14ac:dyDescent="0.45">
      <c r="A43" s="67">
        <f>$A42</f>
        <v>45991</v>
      </c>
      <c r="B43" s="68" t="s">
        <v>55</v>
      </c>
      <c r="C43" s="69" t="s">
        <v>3</v>
      </c>
      <c r="D43" s="70">
        <v>40</v>
      </c>
      <c r="E43" s="70">
        <v>0</v>
      </c>
      <c r="F43" s="70">
        <v>0</v>
      </c>
      <c r="G43" s="70">
        <v>0</v>
      </c>
      <c r="H43" s="73">
        <v>72</v>
      </c>
      <c r="I43" s="73">
        <f t="shared" si="37"/>
        <v>93.600000000000009</v>
      </c>
      <c r="J43" s="73">
        <f t="shared" si="38"/>
        <v>122.39999999999999</v>
      </c>
      <c r="K43" s="73">
        <v>72</v>
      </c>
      <c r="L43" s="73">
        <v>0</v>
      </c>
      <c r="M43" s="73">
        <f t="shared" si="39"/>
        <v>40</v>
      </c>
      <c r="N43" s="73">
        <f t="shared" si="40"/>
        <v>2880</v>
      </c>
      <c r="O43" s="73">
        <f>IF($AE$1&lt;&gt;"",VLOOKUP($C43,EmpTbl!$B$1:$L$45,9,FALSE),VLOOKUP($C43,EmpTbl!$B$1:$L$45,2,FALSE))</f>
        <v>57</v>
      </c>
      <c r="P43" s="73">
        <f>IF($AE$1&lt;&gt;"",VLOOKUP($C43,EmpTbl!$B$1:$L$45,10,FALSE),VLOOKUP($C43,EmpTbl!$B$1:$L$45,3,FALSE))</f>
        <v>74.100000000000009</v>
      </c>
      <c r="Q43" s="73">
        <f>IF($AE$1&lt;&gt;"",VLOOKUP($C43,EmpTbl!$B$1:$L$45,10,FALSE),VLOOKUP($C43,EmpTbl!$B$1:$L$45,4,FALSE))</f>
        <v>96.899999999999991</v>
      </c>
      <c r="R43" s="73">
        <f>IF($AE$1&lt;&gt;"",VLOOKUP($C43,EmpTbl!$B$1:$L$45,9,FALSE),VLOOKUP($C43,EmpTbl!$B$1:$L$45,2,FALSE))</f>
        <v>57</v>
      </c>
      <c r="S43" s="73">
        <f t="shared" si="41"/>
        <v>2280</v>
      </c>
      <c r="T43" s="73">
        <f t="shared" si="42"/>
        <v>600</v>
      </c>
      <c r="U43" s="70"/>
      <c r="V43" s="74"/>
      <c r="W43" s="74"/>
      <c r="X43" s="74"/>
      <c r="Y43" s="74"/>
      <c r="Z43" s="19"/>
    </row>
    <row r="44" spans="1:32" s="48" customFormat="1" x14ac:dyDescent="0.45">
      <c r="A44" s="42">
        <f>$A42</f>
        <v>45991</v>
      </c>
      <c r="B44" s="43" t="s">
        <v>38</v>
      </c>
      <c r="C44" s="44" t="s">
        <v>39</v>
      </c>
      <c r="D44" s="45">
        <f>5-2.5</f>
        <v>2.5</v>
      </c>
      <c r="E44" s="45">
        <v>0</v>
      </c>
      <c r="F44" s="45">
        <v>0</v>
      </c>
      <c r="G44" s="45">
        <v>2.5</v>
      </c>
      <c r="H44" s="55">
        <v>68</v>
      </c>
      <c r="I44" s="55">
        <f t="shared" si="37"/>
        <v>88.4</v>
      </c>
      <c r="J44" s="55">
        <f t="shared" si="38"/>
        <v>115.6</v>
      </c>
      <c r="K44" s="55">
        <f>H44</f>
        <v>68</v>
      </c>
      <c r="L44" s="55">
        <v>0</v>
      </c>
      <c r="M44" s="55">
        <f t="shared" si="39"/>
        <v>5</v>
      </c>
      <c r="N44" s="55">
        <f t="shared" si="40"/>
        <v>340</v>
      </c>
      <c r="O44" s="55">
        <f>IF($AE$1&lt;&gt;"",VLOOKUP($C44,EmpTbl!$B$1:$L$45,9,FALSE),VLOOKUP($C44,EmpTbl!$B$1:$L$45,2,FALSE))</f>
        <v>55</v>
      </c>
      <c r="P44" s="55">
        <f>IF($AE$1&lt;&gt;"",VLOOKUP($C44,EmpTbl!$B$1:$L$45,10,FALSE),VLOOKUP($C44,EmpTbl!$B$1:$L$45,3,FALSE))</f>
        <v>71.5</v>
      </c>
      <c r="Q44" s="55">
        <f>IF($AE$1&lt;&gt;"",VLOOKUP($C44,EmpTbl!$B$1:$L$45,10,FALSE),VLOOKUP($C44,EmpTbl!$B$1:$L$45,4,FALSE))</f>
        <v>93.5</v>
      </c>
      <c r="R44" s="55">
        <f>IF($AE$1&lt;&gt;"",VLOOKUP($C44,EmpTbl!$B$1:$L$45,9,FALSE),VLOOKUP($C44,EmpTbl!$B$1:$L$45,2,FALSE))</f>
        <v>55</v>
      </c>
      <c r="S44" s="55">
        <f t="shared" si="41"/>
        <v>275</v>
      </c>
      <c r="T44" s="55">
        <f t="shared" si="42"/>
        <v>65</v>
      </c>
      <c r="U44" s="45"/>
      <c r="V44" s="46"/>
      <c r="W44" s="46"/>
      <c r="X44" s="47"/>
      <c r="Y44" s="46"/>
    </row>
    <row r="45" spans="1:32" customFormat="1" x14ac:dyDescent="0.45">
      <c r="A45" s="67">
        <f>$A42</f>
        <v>45991</v>
      </c>
      <c r="B45" s="68" t="s">
        <v>40</v>
      </c>
      <c r="C45" s="69" t="s">
        <v>2</v>
      </c>
      <c r="D45" s="70">
        <v>40</v>
      </c>
      <c r="E45" s="70">
        <v>29.5</v>
      </c>
      <c r="F45" s="70">
        <v>0</v>
      </c>
      <c r="G45" s="70">
        <v>0</v>
      </c>
      <c r="H45" s="73">
        <v>68</v>
      </c>
      <c r="I45" s="73">
        <f t="shared" si="37"/>
        <v>88.4</v>
      </c>
      <c r="J45" s="73">
        <f t="shared" si="38"/>
        <v>115.6</v>
      </c>
      <c r="K45" s="73">
        <f t="shared" ref="K45:K51" si="43">H45</f>
        <v>68</v>
      </c>
      <c r="L45" s="73">
        <v>0</v>
      </c>
      <c r="M45" s="73">
        <f t="shared" si="39"/>
        <v>69.5</v>
      </c>
      <c r="N45" s="73">
        <f t="shared" si="40"/>
        <v>5327.8</v>
      </c>
      <c r="O45" s="73">
        <f>IF($AE$1&lt;&gt;"",VLOOKUP($C45,EmpTbl!$B$1:$L$45,9,FALSE),VLOOKUP($C45,EmpTbl!$B$1:$L$45,2,FALSE))</f>
        <v>35</v>
      </c>
      <c r="P45" s="73">
        <f>IF($AE$1&lt;&gt;"",VLOOKUP($C45,EmpTbl!$B$1:$L$45,10,FALSE),VLOOKUP($C45,EmpTbl!$B$1:$L$45,3,FALSE))</f>
        <v>52.5</v>
      </c>
      <c r="Q45" s="73">
        <f>IF($AE$1&lt;&gt;"",VLOOKUP($C45,EmpTbl!$B$1:$L$45,10,FALSE),VLOOKUP($C45,EmpTbl!$B$1:$L$45,4,FALSE))</f>
        <v>70</v>
      </c>
      <c r="R45" s="73">
        <f>IF($AE$1&lt;&gt;"",VLOOKUP($C45,EmpTbl!$B$1:$L$45,9,FALSE),VLOOKUP($C45,EmpTbl!$B$1:$L$45,2,FALSE))</f>
        <v>35</v>
      </c>
      <c r="S45" s="73">
        <f t="shared" si="41"/>
        <v>2948.75</v>
      </c>
      <c r="T45" s="73">
        <f t="shared" si="42"/>
        <v>2379.0500000000002</v>
      </c>
      <c r="U45" s="70"/>
      <c r="V45" s="74"/>
      <c r="W45" s="74"/>
      <c r="X45" s="75"/>
      <c r="Y45" s="74"/>
    </row>
    <row r="46" spans="1:32" s="48" customFormat="1" x14ac:dyDescent="0.45">
      <c r="A46" s="42">
        <f>$A42</f>
        <v>45991</v>
      </c>
      <c r="B46" s="43" t="s">
        <v>41</v>
      </c>
      <c r="C46" s="44" t="s">
        <v>21</v>
      </c>
      <c r="D46" s="45">
        <v>40</v>
      </c>
      <c r="E46" s="45">
        <f>6.75-4</f>
        <v>2.75</v>
      </c>
      <c r="F46" s="45">
        <v>0</v>
      </c>
      <c r="G46" s="45">
        <v>4</v>
      </c>
      <c r="H46" s="55">
        <v>68</v>
      </c>
      <c r="I46" s="55">
        <f t="shared" si="37"/>
        <v>88.4</v>
      </c>
      <c r="J46" s="55">
        <f t="shared" si="38"/>
        <v>115.6</v>
      </c>
      <c r="K46" s="55">
        <f t="shared" si="43"/>
        <v>68</v>
      </c>
      <c r="L46" s="55">
        <v>0</v>
      </c>
      <c r="M46" s="55">
        <f t="shared" si="39"/>
        <v>46.75</v>
      </c>
      <c r="N46" s="55">
        <f t="shared" si="40"/>
        <v>3235.1</v>
      </c>
      <c r="O46" s="55">
        <f>IF($AE$1&lt;&gt;"",VLOOKUP($C46,EmpTbl!$B$1:$L$45,9,FALSE),VLOOKUP($C46,EmpTbl!$B$1:$L$45,2,FALSE))</f>
        <v>39</v>
      </c>
      <c r="P46" s="55">
        <f>IF($AE$1&lt;&gt;"",VLOOKUP($C46,EmpTbl!$B$1:$L$45,10,FALSE),VLOOKUP($C46,EmpTbl!$B$1:$L$45,3,FALSE))</f>
        <v>58.5</v>
      </c>
      <c r="Q46" s="55">
        <f>IF($AE$1&lt;&gt;"",VLOOKUP($C46,EmpTbl!$B$1:$L$45,10,FALSE),VLOOKUP($C46,EmpTbl!$B$1:$L$45,4,FALSE))</f>
        <v>78</v>
      </c>
      <c r="R46" s="55">
        <f>IF($AE$1&lt;&gt;"",VLOOKUP($C46,EmpTbl!$B$1:$L$45,9,FALSE),VLOOKUP($C46,EmpTbl!$B$1:$L$45,2,FALSE))</f>
        <v>39</v>
      </c>
      <c r="S46" s="55">
        <f t="shared" si="41"/>
        <v>1876.88</v>
      </c>
      <c r="T46" s="55">
        <f t="shared" si="42"/>
        <v>1358.2199999999998</v>
      </c>
      <c r="U46" s="45"/>
      <c r="V46" s="46"/>
      <c r="W46" s="46"/>
      <c r="X46" s="47"/>
      <c r="Y46" s="46"/>
    </row>
    <row r="47" spans="1:32" customFormat="1" x14ac:dyDescent="0.45">
      <c r="A47" s="67">
        <f>$A42</f>
        <v>45991</v>
      </c>
      <c r="B47" s="68" t="s">
        <v>44</v>
      </c>
      <c r="C47" s="69" t="s">
        <v>37</v>
      </c>
      <c r="D47" s="70">
        <v>0</v>
      </c>
      <c r="E47" s="70">
        <v>0</v>
      </c>
      <c r="F47" s="70">
        <v>0</v>
      </c>
      <c r="G47" s="70">
        <v>0</v>
      </c>
      <c r="H47" s="73">
        <v>68</v>
      </c>
      <c r="I47" s="73">
        <f t="shared" si="37"/>
        <v>88.4</v>
      </c>
      <c r="J47" s="73">
        <f t="shared" si="38"/>
        <v>115.6</v>
      </c>
      <c r="K47" s="73">
        <f t="shared" si="43"/>
        <v>68</v>
      </c>
      <c r="L47" s="73">
        <v>0</v>
      </c>
      <c r="M47" s="73">
        <f t="shared" si="39"/>
        <v>0</v>
      </c>
      <c r="N47" s="73">
        <f t="shared" si="40"/>
        <v>0</v>
      </c>
      <c r="O47" s="73">
        <f>IF($AE$1&lt;&gt;"",VLOOKUP($C47,EmpTbl!$B$1:$L$45,9,FALSE),VLOOKUP($C47,EmpTbl!$B$1:$L$45,2,FALSE))</f>
        <v>36</v>
      </c>
      <c r="P47" s="73">
        <f>IF($AE$1&lt;&gt;"",VLOOKUP($C47,EmpTbl!$B$1:$L$45,10,FALSE),VLOOKUP($C47,EmpTbl!$B$1:$L$45,3,FALSE))</f>
        <v>54</v>
      </c>
      <c r="Q47" s="73">
        <f>IF($AE$1&lt;&gt;"",VLOOKUP($C47,EmpTbl!$B$1:$L$45,10,FALSE),VLOOKUP($C47,EmpTbl!$B$1:$L$45,4,FALSE))</f>
        <v>72</v>
      </c>
      <c r="R47" s="73">
        <f>IF($AE$1&lt;&gt;"",VLOOKUP($C47,EmpTbl!$B$1:$L$45,9,FALSE),VLOOKUP($C47,EmpTbl!$B$1:$L$45,2,FALSE))</f>
        <v>36</v>
      </c>
      <c r="S47" s="73">
        <f t="shared" si="41"/>
        <v>0</v>
      </c>
      <c r="T47" s="73">
        <f t="shared" si="42"/>
        <v>0</v>
      </c>
      <c r="U47" s="70"/>
      <c r="V47" s="74"/>
      <c r="W47" s="74"/>
      <c r="X47" s="75"/>
      <c r="Y47" s="74"/>
      <c r="Z47" s="78"/>
    </row>
    <row r="48" spans="1:32" s="48" customFormat="1" x14ac:dyDescent="0.45">
      <c r="A48" s="42">
        <f>$A42</f>
        <v>45991</v>
      </c>
      <c r="B48" s="43" t="s">
        <v>59</v>
      </c>
      <c r="C48" s="44" t="s">
        <v>58</v>
      </c>
      <c r="D48" s="45">
        <v>36</v>
      </c>
      <c r="E48" s="45">
        <v>0</v>
      </c>
      <c r="F48" s="45">
        <v>0</v>
      </c>
      <c r="G48" s="45">
        <v>6</v>
      </c>
      <c r="H48" s="55">
        <v>68</v>
      </c>
      <c r="I48" s="55">
        <f t="shared" si="37"/>
        <v>88.4</v>
      </c>
      <c r="J48" s="55">
        <f t="shared" si="38"/>
        <v>115.6</v>
      </c>
      <c r="K48" s="55">
        <f t="shared" si="43"/>
        <v>68</v>
      </c>
      <c r="L48" s="55">
        <v>0</v>
      </c>
      <c r="M48" s="55">
        <f t="shared" ref="M48" si="44">SUM(D48:G48)</f>
        <v>42</v>
      </c>
      <c r="N48" s="55">
        <f t="shared" si="40"/>
        <v>2856</v>
      </c>
      <c r="O48" s="55">
        <f>IF($AE$1&lt;&gt;"",VLOOKUP($C48,EmpTbl!$B$1:$L$45,9,FALSE),VLOOKUP($C48,EmpTbl!$B$1:$L$45,2,FALSE))</f>
        <v>36</v>
      </c>
      <c r="P48" s="55">
        <f>IF($AE$1&lt;&gt;"",VLOOKUP($C48,EmpTbl!$B$1:$L$45,10,FALSE),VLOOKUP($C48,EmpTbl!$B$1:$L$45,3,FALSE))</f>
        <v>54</v>
      </c>
      <c r="Q48" s="55">
        <f>IF($AE$1&lt;&gt;"",VLOOKUP($C48,EmpTbl!$B$1:$L$45,10,FALSE),VLOOKUP($C48,EmpTbl!$B$1:$L$45,4,FALSE))</f>
        <v>72</v>
      </c>
      <c r="R48" s="55">
        <f>IF($AE$1&lt;&gt;"",VLOOKUP($C48,EmpTbl!$B$1:$L$45,9,FALSE),VLOOKUP($C48,EmpTbl!$B$1:$L$45,2,FALSE))</f>
        <v>36</v>
      </c>
      <c r="S48" s="55">
        <f t="shared" si="41"/>
        <v>1512</v>
      </c>
      <c r="T48" s="55">
        <f t="shared" si="42"/>
        <v>1344</v>
      </c>
      <c r="U48" s="45"/>
      <c r="V48" s="46"/>
      <c r="W48" s="46"/>
      <c r="X48" s="47"/>
      <c r="Y48" s="46"/>
    </row>
    <row r="49" spans="1:32" s="48" customFormat="1" x14ac:dyDescent="0.45">
      <c r="A49" s="42">
        <f>$A42</f>
        <v>45991</v>
      </c>
      <c r="B49" s="43" t="s">
        <v>90</v>
      </c>
      <c r="C49" s="44" t="s">
        <v>94</v>
      </c>
      <c r="D49" s="45">
        <v>40</v>
      </c>
      <c r="E49" s="45">
        <f>19.75-12</f>
        <v>7.75</v>
      </c>
      <c r="F49" s="45">
        <v>12</v>
      </c>
      <c r="G49" s="45">
        <v>12</v>
      </c>
      <c r="H49" s="55">
        <v>68</v>
      </c>
      <c r="I49" s="55">
        <f t="shared" si="37"/>
        <v>88.4</v>
      </c>
      <c r="J49" s="55">
        <f t="shared" si="38"/>
        <v>115.6</v>
      </c>
      <c r="K49" s="55">
        <f t="shared" si="43"/>
        <v>68</v>
      </c>
      <c r="L49" s="55">
        <v>0</v>
      </c>
      <c r="M49" s="55">
        <f t="shared" ref="M49:M50" si="45">SUM(D49:G49)</f>
        <v>71.75</v>
      </c>
      <c r="N49" s="55">
        <f t="shared" si="40"/>
        <v>5608.3</v>
      </c>
      <c r="O49" s="55">
        <f>IF($AE$1&lt;&gt;"",VLOOKUP($C49,EmpTbl!$B$1:$L$45,9,FALSE),VLOOKUP($C49,EmpTbl!$B$1:$L$45,2,FALSE))</f>
        <v>30.67</v>
      </c>
      <c r="P49" s="55">
        <f>IF($AE$1&lt;&gt;"",VLOOKUP($C49,EmpTbl!$B$1:$L$45,10,FALSE),VLOOKUP($C49,EmpTbl!$B$1:$L$45,3,FALSE))</f>
        <v>46.005000000000003</v>
      </c>
      <c r="Q49" s="55">
        <f>IF($AE$1&lt;&gt;"",VLOOKUP($C49,EmpTbl!$B$1:$L$45,10,FALSE),VLOOKUP($C49,EmpTbl!$B$1:$L$45,4,FALSE))</f>
        <v>61.34</v>
      </c>
      <c r="R49" s="55">
        <f>IF($AE$1&lt;&gt;"",VLOOKUP($C49,EmpTbl!$B$1:$L$45,9,FALSE),VLOOKUP($C49,EmpTbl!$B$1:$L$45,2,FALSE))</f>
        <v>30.67</v>
      </c>
      <c r="S49" s="55">
        <f t="shared" si="41"/>
        <v>2687.46</v>
      </c>
      <c r="T49" s="55">
        <f t="shared" si="42"/>
        <v>2920.84</v>
      </c>
      <c r="U49" s="45">
        <v>1</v>
      </c>
      <c r="V49" s="46"/>
      <c r="W49" s="46">
        <v>4</v>
      </c>
      <c r="X49" s="47"/>
      <c r="Y49" s="46"/>
    </row>
    <row r="50" spans="1:32" customFormat="1" x14ac:dyDescent="0.45">
      <c r="A50" s="67">
        <f>$A42</f>
        <v>45991</v>
      </c>
      <c r="B50" s="68" t="s">
        <v>90</v>
      </c>
      <c r="C50" s="69" t="s">
        <v>190</v>
      </c>
      <c r="D50" s="70">
        <v>40</v>
      </c>
      <c r="E50" s="70">
        <v>4</v>
      </c>
      <c r="F50" s="70">
        <v>0</v>
      </c>
      <c r="G50" s="70">
        <v>0</v>
      </c>
      <c r="H50" s="73">
        <v>68</v>
      </c>
      <c r="I50" s="73">
        <f t="shared" si="37"/>
        <v>88.4</v>
      </c>
      <c r="J50" s="73">
        <f t="shared" si="38"/>
        <v>115.6</v>
      </c>
      <c r="K50" s="73">
        <f t="shared" si="43"/>
        <v>68</v>
      </c>
      <c r="L50" s="73">
        <v>0</v>
      </c>
      <c r="M50" s="73">
        <f t="shared" si="45"/>
        <v>44</v>
      </c>
      <c r="N50" s="73">
        <f t="shared" si="40"/>
        <v>3073.6</v>
      </c>
      <c r="O50" s="73">
        <f>IF($AE$1&lt;&gt;"",VLOOKUP($C50,EmpTbl!$B$1:$L$45,9,FALSE),VLOOKUP($C50,EmpTbl!$B$1:$L$45,2,FALSE))</f>
        <v>30</v>
      </c>
      <c r="P50" s="73">
        <f>IF($AE$1&lt;&gt;"",VLOOKUP($C50,EmpTbl!$B$1:$L$45,10,FALSE),VLOOKUP($C50,EmpTbl!$B$1:$L$45,3,FALSE))</f>
        <v>45</v>
      </c>
      <c r="Q50" s="73">
        <f>IF($AE$1&lt;&gt;"",VLOOKUP($C50,EmpTbl!$B$1:$L$45,10,FALSE),VLOOKUP($C50,EmpTbl!$B$1:$L$45,4,FALSE))</f>
        <v>60</v>
      </c>
      <c r="R50" s="73">
        <f>IF($AE$1&lt;&gt;"",VLOOKUP($C50,EmpTbl!$B$1:$L$45,9,FALSE),VLOOKUP($C50,EmpTbl!$B$1:$L$45,2,FALSE))</f>
        <v>30</v>
      </c>
      <c r="S50" s="73">
        <f t="shared" si="41"/>
        <v>1380</v>
      </c>
      <c r="T50" s="73">
        <f t="shared" si="42"/>
        <v>1693.6</v>
      </c>
      <c r="U50" s="79"/>
      <c r="V50" s="74"/>
      <c r="W50" s="74"/>
      <c r="X50" s="75"/>
      <c r="Y50" s="74"/>
    </row>
    <row r="51" spans="1:32" s="48" customFormat="1" x14ac:dyDescent="0.45">
      <c r="A51" s="42">
        <f>$A42</f>
        <v>45991</v>
      </c>
      <c r="B51" s="44" t="s">
        <v>186</v>
      </c>
      <c r="C51" s="44" t="s">
        <v>189</v>
      </c>
      <c r="D51" s="45">
        <v>40</v>
      </c>
      <c r="E51" s="45">
        <v>28.5</v>
      </c>
      <c r="F51" s="45">
        <v>11.5</v>
      </c>
      <c r="G51" s="45">
        <v>0</v>
      </c>
      <c r="H51" s="55">
        <v>54</v>
      </c>
      <c r="I51" s="55">
        <f t="shared" si="37"/>
        <v>70.2</v>
      </c>
      <c r="J51" s="55">
        <f t="shared" si="38"/>
        <v>91.8</v>
      </c>
      <c r="K51" s="55">
        <f t="shared" si="43"/>
        <v>54</v>
      </c>
      <c r="L51" s="55">
        <v>0</v>
      </c>
      <c r="M51" s="55">
        <f>SUM(D51:G51)</f>
        <v>80</v>
      </c>
      <c r="N51" s="55">
        <f>ROUND((D51*H51)+(E51*I51)+(F51*J51)+(G51*K51),2)</f>
        <v>5216.3999999999996</v>
      </c>
      <c r="O51" s="55">
        <f>IF($AE$1&lt;&gt;"",VLOOKUP($C51,EmpTbl!$B$1:$L$45,9,FALSE),VLOOKUP($C51,EmpTbl!$B$1:$L$45,2,FALSE))</f>
        <v>27</v>
      </c>
      <c r="P51" s="55">
        <f>IF($AE$1&lt;&gt;"",VLOOKUP($C51,EmpTbl!$B$1:$L$45,10,FALSE),VLOOKUP($C51,EmpTbl!$B$1:$L$45,3,FALSE))</f>
        <v>40.5</v>
      </c>
      <c r="Q51" s="55">
        <f>IF($AE$1&lt;&gt;"",VLOOKUP($C51,EmpTbl!$B$1:$L$45,10,FALSE),VLOOKUP($C51,EmpTbl!$B$1:$L$45,4,FALSE))</f>
        <v>54</v>
      </c>
      <c r="R51" s="55">
        <f>IF($AE$1&lt;&gt;"",VLOOKUP($C51,EmpTbl!$B$1:$L$45,9,FALSE),VLOOKUP($C51,EmpTbl!$B$1:$L$45,2,FALSE))</f>
        <v>27</v>
      </c>
      <c r="S51" s="55">
        <f>ROUND(O51*D51+P51*E51+Q51*F51+G51*R51,2)</f>
        <v>2855.25</v>
      </c>
      <c r="T51" s="55">
        <f>N51-S51</f>
        <v>2361.1499999999996</v>
      </c>
      <c r="U51" s="80"/>
      <c r="V51" s="46"/>
      <c r="W51" s="46">
        <v>7</v>
      </c>
      <c r="X51" s="47"/>
      <c r="Y51" s="46"/>
    </row>
    <row r="52" spans="1:32" s="48" customFormat="1" x14ac:dyDescent="0.45">
      <c r="A52" s="42">
        <f>A51+7</f>
        <v>45998</v>
      </c>
      <c r="B52" s="43" t="s">
        <v>91</v>
      </c>
      <c r="C52" s="44" t="s">
        <v>92</v>
      </c>
      <c r="D52" s="45">
        <v>40</v>
      </c>
      <c r="E52" s="45">
        <f>8-3</f>
        <v>5</v>
      </c>
      <c r="F52" s="45">
        <v>0</v>
      </c>
      <c r="G52" s="45">
        <v>3</v>
      </c>
      <c r="H52" s="55">
        <v>72</v>
      </c>
      <c r="I52" s="55">
        <f t="shared" ref="I52:I61" si="46">H52*1.3</f>
        <v>93.600000000000009</v>
      </c>
      <c r="J52" s="55">
        <f t="shared" ref="J52:J61" si="47">H52*1.7</f>
        <v>122.39999999999999</v>
      </c>
      <c r="K52" s="55">
        <v>72</v>
      </c>
      <c r="L52" s="55">
        <v>0</v>
      </c>
      <c r="M52" s="55">
        <f t="shared" ref="M52:M57" si="48">SUM(D52:G52)</f>
        <v>48</v>
      </c>
      <c r="N52" s="55">
        <f t="shared" ref="N52:N60" si="49">ROUND((D52*H52)+(E52*I52)+(F52*J52)+(G52*K52),2)</f>
        <v>3564</v>
      </c>
      <c r="O52" s="55">
        <f>IF($AE$1&lt;&gt;"",VLOOKUP($C52,EmpTbl!$B$1:$L$45,9,FALSE),VLOOKUP($C52,EmpTbl!$B$1:$L$45,2,FALSE))</f>
        <v>60</v>
      </c>
      <c r="P52" s="55">
        <f>IF($AE$1&lt;&gt;"",VLOOKUP($C52,EmpTbl!$B$1:$L$45,10,FALSE),VLOOKUP($C52,EmpTbl!$B$1:$L$45,3,FALSE))</f>
        <v>78</v>
      </c>
      <c r="Q52" s="55">
        <f>IF($AE$1&lt;&gt;"",VLOOKUP($C52,EmpTbl!$B$1:$L$45,10,FALSE),VLOOKUP($C52,EmpTbl!$B$1:$L$45,4,FALSE))</f>
        <v>102</v>
      </c>
      <c r="R52" s="55">
        <f>IF($AE$1&lt;&gt;"",VLOOKUP($C52,EmpTbl!$B$1:$L$45,9,FALSE),VLOOKUP($C52,EmpTbl!$B$1:$L$45,2,FALSE))</f>
        <v>60</v>
      </c>
      <c r="S52" s="55">
        <f t="shared" ref="S52:S60" si="50">ROUND(O52*D52+P52*E52+Q52*F52+G52*R52,2)</f>
        <v>2970</v>
      </c>
      <c r="T52" s="55">
        <f t="shared" ref="T52:T60" si="51">N52-S52</f>
        <v>594</v>
      </c>
      <c r="U52" s="45"/>
      <c r="V52" s="46"/>
      <c r="W52" s="46"/>
      <c r="X52" s="47"/>
      <c r="Y52" s="46"/>
      <c r="Z52" s="81"/>
      <c r="AC52" s="82">
        <v>61.400836793559229</v>
      </c>
      <c r="AD52" s="82">
        <v>40.592475197312119</v>
      </c>
      <c r="AE52" s="82">
        <v>20.80836159624711</v>
      </c>
      <c r="AF52" s="82">
        <v>164.12075000000002</v>
      </c>
    </row>
    <row r="53" spans="1:32" customFormat="1" x14ac:dyDescent="0.45">
      <c r="A53" s="67">
        <f>$A52</f>
        <v>45998</v>
      </c>
      <c r="B53" s="68" t="s">
        <v>55</v>
      </c>
      <c r="C53" s="69" t="s">
        <v>3</v>
      </c>
      <c r="D53" s="70">
        <v>30.5</v>
      </c>
      <c r="E53" s="70">
        <v>0</v>
      </c>
      <c r="F53" s="70">
        <v>0</v>
      </c>
      <c r="G53" s="70">
        <v>0</v>
      </c>
      <c r="H53" s="73">
        <v>72</v>
      </c>
      <c r="I53" s="73">
        <f t="shared" si="46"/>
        <v>93.600000000000009</v>
      </c>
      <c r="J53" s="73">
        <f t="shared" si="47"/>
        <v>122.39999999999999</v>
      </c>
      <c r="K53" s="73">
        <v>72</v>
      </c>
      <c r="L53" s="73">
        <v>0</v>
      </c>
      <c r="M53" s="73">
        <f t="shared" si="48"/>
        <v>30.5</v>
      </c>
      <c r="N53" s="73">
        <f t="shared" si="49"/>
        <v>2196</v>
      </c>
      <c r="O53" s="73">
        <f>IF($AE$1&lt;&gt;"",VLOOKUP($C53,EmpTbl!$B$1:$L$45,9,FALSE),VLOOKUP($C53,EmpTbl!$B$1:$L$45,2,FALSE))</f>
        <v>57</v>
      </c>
      <c r="P53" s="73">
        <f>IF($AE$1&lt;&gt;"",VLOOKUP($C53,EmpTbl!$B$1:$L$45,10,FALSE),VLOOKUP($C53,EmpTbl!$B$1:$L$45,3,FALSE))</f>
        <v>74.100000000000009</v>
      </c>
      <c r="Q53" s="73">
        <f>IF($AE$1&lt;&gt;"",VLOOKUP($C53,EmpTbl!$B$1:$L$45,10,FALSE),VLOOKUP($C53,EmpTbl!$B$1:$L$45,4,FALSE))</f>
        <v>96.899999999999991</v>
      </c>
      <c r="R53" s="73">
        <f>IF($AE$1&lt;&gt;"",VLOOKUP($C53,EmpTbl!$B$1:$L$45,9,FALSE),VLOOKUP($C53,EmpTbl!$B$1:$L$45,2,FALSE))</f>
        <v>57</v>
      </c>
      <c r="S53" s="73">
        <f t="shared" si="50"/>
        <v>1738.5</v>
      </c>
      <c r="T53" s="73">
        <f t="shared" si="51"/>
        <v>457.5</v>
      </c>
      <c r="U53" s="70"/>
      <c r="V53" s="74"/>
      <c r="W53" s="74"/>
      <c r="X53" s="74"/>
      <c r="Y53" s="74"/>
      <c r="Z53" s="19"/>
    </row>
    <row r="54" spans="1:32" s="48" customFormat="1" x14ac:dyDescent="0.45">
      <c r="A54" s="42">
        <f>$A52</f>
        <v>45998</v>
      </c>
      <c r="B54" s="43" t="s">
        <v>38</v>
      </c>
      <c r="C54" s="44" t="s">
        <v>39</v>
      </c>
      <c r="D54" s="45">
        <f>9.25-2.5</f>
        <v>6.75</v>
      </c>
      <c r="E54" s="45">
        <v>0</v>
      </c>
      <c r="F54" s="45">
        <v>0</v>
      </c>
      <c r="G54" s="45">
        <v>2.5</v>
      </c>
      <c r="H54" s="55">
        <v>68</v>
      </c>
      <c r="I54" s="55">
        <f t="shared" si="46"/>
        <v>88.4</v>
      </c>
      <c r="J54" s="55">
        <f t="shared" si="47"/>
        <v>115.6</v>
      </c>
      <c r="K54" s="55">
        <f>H54</f>
        <v>68</v>
      </c>
      <c r="L54" s="55">
        <v>0</v>
      </c>
      <c r="M54" s="55">
        <f t="shared" si="48"/>
        <v>9.25</v>
      </c>
      <c r="N54" s="55">
        <f t="shared" si="49"/>
        <v>629</v>
      </c>
      <c r="O54" s="55">
        <f>IF($AE$1&lt;&gt;"",VLOOKUP($C54,EmpTbl!$B$1:$L$45,9,FALSE),VLOOKUP($C54,EmpTbl!$B$1:$L$45,2,FALSE))</f>
        <v>55</v>
      </c>
      <c r="P54" s="55">
        <f>IF($AE$1&lt;&gt;"",VLOOKUP($C54,EmpTbl!$B$1:$L$45,10,FALSE),VLOOKUP($C54,EmpTbl!$B$1:$L$45,3,FALSE))</f>
        <v>71.5</v>
      </c>
      <c r="Q54" s="55">
        <f>IF($AE$1&lt;&gt;"",VLOOKUP($C54,EmpTbl!$B$1:$L$45,10,FALSE),VLOOKUP($C54,EmpTbl!$B$1:$L$45,4,FALSE))</f>
        <v>93.5</v>
      </c>
      <c r="R54" s="55">
        <f>IF($AE$1&lt;&gt;"",VLOOKUP($C54,EmpTbl!$B$1:$L$45,9,FALSE),VLOOKUP($C54,EmpTbl!$B$1:$L$45,2,FALSE))</f>
        <v>55</v>
      </c>
      <c r="S54" s="55">
        <f t="shared" si="50"/>
        <v>508.75</v>
      </c>
      <c r="T54" s="55">
        <f t="shared" si="51"/>
        <v>120.25</v>
      </c>
      <c r="U54" s="45"/>
      <c r="V54" s="46"/>
      <c r="W54" s="46"/>
      <c r="X54" s="47"/>
      <c r="Y54" s="46"/>
    </row>
    <row r="55" spans="1:32" customFormat="1" x14ac:dyDescent="0.45">
      <c r="A55" s="67">
        <f>$A52</f>
        <v>45998</v>
      </c>
      <c r="B55" s="68" t="s">
        <v>40</v>
      </c>
      <c r="C55" s="69" t="s">
        <v>2</v>
      </c>
      <c r="D55" s="70">
        <v>40</v>
      </c>
      <c r="E55" s="70">
        <v>17</v>
      </c>
      <c r="F55" s="70">
        <v>0</v>
      </c>
      <c r="G55" s="70">
        <v>0</v>
      </c>
      <c r="H55" s="73">
        <v>68</v>
      </c>
      <c r="I55" s="73">
        <f t="shared" si="46"/>
        <v>88.4</v>
      </c>
      <c r="J55" s="73">
        <f t="shared" si="47"/>
        <v>115.6</v>
      </c>
      <c r="K55" s="73">
        <f t="shared" ref="K55:K61" si="52">H55</f>
        <v>68</v>
      </c>
      <c r="L55" s="73">
        <v>0</v>
      </c>
      <c r="M55" s="73">
        <f t="shared" si="48"/>
        <v>57</v>
      </c>
      <c r="N55" s="73">
        <f t="shared" si="49"/>
        <v>4222.8</v>
      </c>
      <c r="O55" s="73">
        <f>IF($AE$1&lt;&gt;"",VLOOKUP($C55,EmpTbl!$B$1:$L$45,9,FALSE),VLOOKUP($C55,EmpTbl!$B$1:$L$45,2,FALSE))</f>
        <v>35</v>
      </c>
      <c r="P55" s="73">
        <f>IF($AE$1&lt;&gt;"",VLOOKUP($C55,EmpTbl!$B$1:$L$45,10,FALSE),VLOOKUP($C55,EmpTbl!$B$1:$L$45,3,FALSE))</f>
        <v>52.5</v>
      </c>
      <c r="Q55" s="73">
        <f>IF($AE$1&lt;&gt;"",VLOOKUP($C55,EmpTbl!$B$1:$L$45,10,FALSE),VLOOKUP($C55,EmpTbl!$B$1:$L$45,4,FALSE))</f>
        <v>70</v>
      </c>
      <c r="R55" s="73">
        <f>IF($AE$1&lt;&gt;"",VLOOKUP($C55,EmpTbl!$B$1:$L$45,9,FALSE),VLOOKUP($C55,EmpTbl!$B$1:$L$45,2,FALSE))</f>
        <v>35</v>
      </c>
      <c r="S55" s="73">
        <f t="shared" si="50"/>
        <v>2292.5</v>
      </c>
      <c r="T55" s="73">
        <f t="shared" si="51"/>
        <v>1930.3000000000002</v>
      </c>
      <c r="U55" s="70"/>
      <c r="V55" s="74"/>
      <c r="W55" s="74"/>
      <c r="X55" s="75"/>
      <c r="Y55" s="74"/>
    </row>
    <row r="56" spans="1:32" s="48" customFormat="1" x14ac:dyDescent="0.45">
      <c r="A56" s="42">
        <f>$A52</f>
        <v>45998</v>
      </c>
      <c r="B56" s="43" t="s">
        <v>41</v>
      </c>
      <c r="C56" s="44" t="s">
        <v>21</v>
      </c>
      <c r="D56" s="45">
        <f>40-8</f>
        <v>32</v>
      </c>
      <c r="E56" s="45">
        <v>0</v>
      </c>
      <c r="F56" s="45">
        <v>0</v>
      </c>
      <c r="G56" s="45">
        <v>8</v>
      </c>
      <c r="H56" s="55">
        <v>68</v>
      </c>
      <c r="I56" s="55">
        <f t="shared" si="46"/>
        <v>88.4</v>
      </c>
      <c r="J56" s="55">
        <f t="shared" si="47"/>
        <v>115.6</v>
      </c>
      <c r="K56" s="55">
        <f t="shared" si="52"/>
        <v>68</v>
      </c>
      <c r="L56" s="55">
        <v>0</v>
      </c>
      <c r="M56" s="55">
        <f t="shared" si="48"/>
        <v>40</v>
      </c>
      <c r="N56" s="55">
        <f t="shared" si="49"/>
        <v>2720</v>
      </c>
      <c r="O56" s="55">
        <f>IF($AE$1&lt;&gt;"",VLOOKUP($C56,EmpTbl!$B$1:$L$45,9,FALSE),VLOOKUP($C56,EmpTbl!$B$1:$L$45,2,FALSE))</f>
        <v>39</v>
      </c>
      <c r="P56" s="55">
        <f>IF($AE$1&lt;&gt;"",VLOOKUP($C56,EmpTbl!$B$1:$L$45,10,FALSE),VLOOKUP($C56,EmpTbl!$B$1:$L$45,3,FALSE))</f>
        <v>58.5</v>
      </c>
      <c r="Q56" s="55">
        <f>IF($AE$1&lt;&gt;"",VLOOKUP($C56,EmpTbl!$B$1:$L$45,10,FALSE),VLOOKUP($C56,EmpTbl!$B$1:$L$45,4,FALSE))</f>
        <v>78</v>
      </c>
      <c r="R56" s="55">
        <f>IF($AE$1&lt;&gt;"",VLOOKUP($C56,EmpTbl!$B$1:$L$45,9,FALSE),VLOOKUP($C56,EmpTbl!$B$1:$L$45,2,FALSE))</f>
        <v>39</v>
      </c>
      <c r="S56" s="55">
        <f t="shared" si="50"/>
        <v>1560</v>
      </c>
      <c r="T56" s="55">
        <f t="shared" si="51"/>
        <v>1160</v>
      </c>
      <c r="U56" s="45"/>
      <c r="V56" s="46"/>
      <c r="W56" s="46"/>
      <c r="X56" s="47"/>
      <c r="Y56" s="46"/>
    </row>
    <row r="57" spans="1:32" s="48" customFormat="1" x14ac:dyDescent="0.45">
      <c r="A57" s="42">
        <f>$A52</f>
        <v>45998</v>
      </c>
      <c r="B57" s="43" t="s">
        <v>44</v>
      </c>
      <c r="C57" s="44" t="s">
        <v>37</v>
      </c>
      <c r="D57" s="45">
        <f>15.5-3.5</f>
        <v>12</v>
      </c>
      <c r="E57" s="45">
        <v>0</v>
      </c>
      <c r="F57" s="45">
        <v>9.5</v>
      </c>
      <c r="G57" s="45">
        <v>3.5</v>
      </c>
      <c r="H57" s="55">
        <v>68</v>
      </c>
      <c r="I57" s="55">
        <f t="shared" si="46"/>
        <v>88.4</v>
      </c>
      <c r="J57" s="55">
        <f t="shared" si="47"/>
        <v>115.6</v>
      </c>
      <c r="K57" s="55">
        <f t="shared" si="52"/>
        <v>68</v>
      </c>
      <c r="L57" s="55">
        <v>0</v>
      </c>
      <c r="M57" s="55">
        <f t="shared" si="48"/>
        <v>25</v>
      </c>
      <c r="N57" s="55">
        <f t="shared" si="49"/>
        <v>2152.1999999999998</v>
      </c>
      <c r="O57" s="55">
        <f>IF($AE$1&lt;&gt;"",VLOOKUP($C57,EmpTbl!$B$1:$L$45,9,FALSE),VLOOKUP($C57,EmpTbl!$B$1:$L$45,2,FALSE))</f>
        <v>36</v>
      </c>
      <c r="P57" s="55">
        <f>IF($AE$1&lt;&gt;"",VLOOKUP($C57,EmpTbl!$B$1:$L$45,10,FALSE),VLOOKUP($C57,EmpTbl!$B$1:$L$45,3,FALSE))</f>
        <v>54</v>
      </c>
      <c r="Q57" s="55">
        <f>IF($AE$1&lt;&gt;"",VLOOKUP($C57,EmpTbl!$B$1:$L$45,10,FALSE),VLOOKUP($C57,EmpTbl!$B$1:$L$45,4,FALSE))</f>
        <v>72</v>
      </c>
      <c r="R57" s="55">
        <f>IF($AE$1&lt;&gt;"",VLOOKUP($C57,EmpTbl!$B$1:$L$45,9,FALSE),VLOOKUP($C57,EmpTbl!$B$1:$L$45,2,FALSE))</f>
        <v>36</v>
      </c>
      <c r="S57" s="55">
        <f t="shared" si="50"/>
        <v>1242</v>
      </c>
      <c r="T57" s="55">
        <f t="shared" si="51"/>
        <v>910.19999999999982</v>
      </c>
      <c r="U57" s="45"/>
      <c r="V57" s="46"/>
      <c r="W57" s="46">
        <v>3</v>
      </c>
      <c r="X57" s="47"/>
      <c r="Y57" s="46"/>
      <c r="Z57" s="71"/>
    </row>
    <row r="58" spans="1:32" s="48" customFormat="1" x14ac:dyDescent="0.45">
      <c r="A58" s="42">
        <f>$A52</f>
        <v>45998</v>
      </c>
      <c r="B58" s="43" t="s">
        <v>59</v>
      </c>
      <c r="C58" s="44" t="s">
        <v>58</v>
      </c>
      <c r="D58" s="45">
        <v>32.5</v>
      </c>
      <c r="E58" s="45">
        <v>0</v>
      </c>
      <c r="F58" s="45">
        <v>12</v>
      </c>
      <c r="G58" s="45">
        <v>17.25</v>
      </c>
      <c r="H58" s="55">
        <v>68</v>
      </c>
      <c r="I58" s="55">
        <f t="shared" si="46"/>
        <v>88.4</v>
      </c>
      <c r="J58" s="55">
        <f t="shared" si="47"/>
        <v>115.6</v>
      </c>
      <c r="K58" s="55">
        <f t="shared" si="52"/>
        <v>68</v>
      </c>
      <c r="L58" s="55">
        <v>0</v>
      </c>
      <c r="M58" s="55">
        <f t="shared" ref="M58" si="53">SUM(D58:G58)</f>
        <v>61.75</v>
      </c>
      <c r="N58" s="55">
        <f t="shared" si="49"/>
        <v>4770.2</v>
      </c>
      <c r="O58" s="55">
        <f>IF($AE$1&lt;&gt;"",VLOOKUP($C58,EmpTbl!$B$1:$L$45,9,FALSE),VLOOKUP($C58,EmpTbl!$B$1:$L$45,2,FALSE))</f>
        <v>36</v>
      </c>
      <c r="P58" s="55">
        <f>IF($AE$1&lt;&gt;"",VLOOKUP($C58,EmpTbl!$B$1:$L$45,10,FALSE),VLOOKUP($C58,EmpTbl!$B$1:$L$45,3,FALSE))</f>
        <v>54</v>
      </c>
      <c r="Q58" s="55">
        <f>IF($AE$1&lt;&gt;"",VLOOKUP($C58,EmpTbl!$B$1:$L$45,10,FALSE),VLOOKUP($C58,EmpTbl!$B$1:$L$45,4,FALSE))</f>
        <v>72</v>
      </c>
      <c r="R58" s="55">
        <f>IF($AE$1&lt;&gt;"",VLOOKUP($C58,EmpTbl!$B$1:$L$45,9,FALSE),VLOOKUP($C58,EmpTbl!$B$1:$L$45,2,FALSE))</f>
        <v>36</v>
      </c>
      <c r="S58" s="55">
        <f t="shared" si="50"/>
        <v>2655</v>
      </c>
      <c r="T58" s="55">
        <f t="shared" si="51"/>
        <v>2115.1999999999998</v>
      </c>
      <c r="U58" s="45"/>
      <c r="V58" s="46"/>
      <c r="W58" s="46">
        <v>2</v>
      </c>
      <c r="X58" s="47"/>
      <c r="Y58" s="46"/>
    </row>
    <row r="59" spans="1:32" s="48" customFormat="1" x14ac:dyDescent="0.45">
      <c r="A59" s="42">
        <f>$A52</f>
        <v>45998</v>
      </c>
      <c r="B59" s="43" t="s">
        <v>90</v>
      </c>
      <c r="C59" s="44" t="s">
        <v>94</v>
      </c>
      <c r="D59" s="45">
        <v>40</v>
      </c>
      <c r="E59" s="45">
        <f>20-12.5</f>
        <v>7.5</v>
      </c>
      <c r="F59" s="45">
        <v>0.5</v>
      </c>
      <c r="G59" s="45">
        <v>12.5</v>
      </c>
      <c r="H59" s="55">
        <v>68</v>
      </c>
      <c r="I59" s="55">
        <f t="shared" si="46"/>
        <v>88.4</v>
      </c>
      <c r="J59" s="55">
        <f t="shared" si="47"/>
        <v>115.6</v>
      </c>
      <c r="K59" s="55">
        <f t="shared" si="52"/>
        <v>68</v>
      </c>
      <c r="L59" s="55">
        <v>0</v>
      </c>
      <c r="M59" s="55">
        <f t="shared" ref="M59:M60" si="54">SUM(D59:G59)</f>
        <v>60.5</v>
      </c>
      <c r="N59" s="55">
        <f t="shared" si="49"/>
        <v>4290.8</v>
      </c>
      <c r="O59" s="55">
        <f>IF($AE$1&lt;&gt;"",VLOOKUP($C59,EmpTbl!$B$1:$L$45,9,FALSE),VLOOKUP($C59,EmpTbl!$B$1:$L$45,2,FALSE))</f>
        <v>30.67</v>
      </c>
      <c r="P59" s="55">
        <f>IF($AE$1&lt;&gt;"",VLOOKUP($C59,EmpTbl!$B$1:$L$45,10,FALSE),VLOOKUP($C59,EmpTbl!$B$1:$L$45,3,FALSE))</f>
        <v>46.005000000000003</v>
      </c>
      <c r="Q59" s="55">
        <f>IF($AE$1&lt;&gt;"",VLOOKUP($C59,EmpTbl!$B$1:$L$45,10,FALSE),VLOOKUP($C59,EmpTbl!$B$1:$L$45,4,FALSE))</f>
        <v>61.34</v>
      </c>
      <c r="R59" s="55">
        <f>IF($AE$1&lt;&gt;"",VLOOKUP($C59,EmpTbl!$B$1:$L$45,9,FALSE),VLOOKUP($C59,EmpTbl!$B$1:$L$45,2,FALSE))</f>
        <v>30.67</v>
      </c>
      <c r="S59" s="55">
        <f t="shared" si="50"/>
        <v>1985.88</v>
      </c>
      <c r="T59" s="55">
        <f t="shared" si="51"/>
        <v>2304.92</v>
      </c>
      <c r="U59" s="45"/>
      <c r="V59" s="46"/>
      <c r="W59" s="46">
        <v>5</v>
      </c>
      <c r="X59" s="47"/>
      <c r="Y59" s="46"/>
    </row>
    <row r="60" spans="1:32" customFormat="1" x14ac:dyDescent="0.45">
      <c r="A60" s="67">
        <f>$A52</f>
        <v>45998</v>
      </c>
      <c r="B60" s="68" t="s">
        <v>90</v>
      </c>
      <c r="C60" s="69" t="s">
        <v>190</v>
      </c>
      <c r="D60" s="70">
        <v>40</v>
      </c>
      <c r="E60" s="70">
        <v>5.5</v>
      </c>
      <c r="F60" s="70">
        <v>0</v>
      </c>
      <c r="G60" s="70">
        <v>0</v>
      </c>
      <c r="H60" s="73">
        <v>68</v>
      </c>
      <c r="I60" s="73">
        <f t="shared" si="46"/>
        <v>88.4</v>
      </c>
      <c r="J60" s="73">
        <f t="shared" si="47"/>
        <v>115.6</v>
      </c>
      <c r="K60" s="73">
        <f t="shared" si="52"/>
        <v>68</v>
      </c>
      <c r="L60" s="73">
        <v>0</v>
      </c>
      <c r="M60" s="73">
        <f t="shared" si="54"/>
        <v>45.5</v>
      </c>
      <c r="N60" s="73">
        <f t="shared" si="49"/>
        <v>3206.2</v>
      </c>
      <c r="O60" s="73">
        <f>IF($AE$1&lt;&gt;"",VLOOKUP($C60,EmpTbl!$B$1:$L$45,9,FALSE),VLOOKUP($C60,EmpTbl!$B$1:$L$45,2,FALSE))</f>
        <v>30</v>
      </c>
      <c r="P60" s="73">
        <f>IF($AE$1&lt;&gt;"",VLOOKUP($C60,EmpTbl!$B$1:$L$45,10,FALSE),VLOOKUP($C60,EmpTbl!$B$1:$L$45,3,FALSE))</f>
        <v>45</v>
      </c>
      <c r="Q60" s="73">
        <f>IF($AE$1&lt;&gt;"",VLOOKUP($C60,EmpTbl!$B$1:$L$45,10,FALSE),VLOOKUP($C60,EmpTbl!$B$1:$L$45,4,FALSE))</f>
        <v>60</v>
      </c>
      <c r="R60" s="73">
        <f>IF($AE$1&lt;&gt;"",VLOOKUP($C60,EmpTbl!$B$1:$L$45,9,FALSE),VLOOKUP($C60,EmpTbl!$B$1:$L$45,2,FALSE))</f>
        <v>30</v>
      </c>
      <c r="S60" s="73">
        <f t="shared" si="50"/>
        <v>1447.5</v>
      </c>
      <c r="T60" s="73">
        <f t="shared" si="51"/>
        <v>1758.6999999999998</v>
      </c>
      <c r="U60" s="79">
        <v>1</v>
      </c>
      <c r="V60" s="74"/>
      <c r="W60" s="74"/>
      <c r="X60" s="75"/>
      <c r="Y60" s="74"/>
    </row>
    <row r="61" spans="1:32" s="48" customFormat="1" x14ac:dyDescent="0.45">
      <c r="A61" s="42">
        <f>$A52</f>
        <v>45998</v>
      </c>
      <c r="B61" s="44" t="s">
        <v>186</v>
      </c>
      <c r="C61" s="44" t="s">
        <v>189</v>
      </c>
      <c r="D61" s="45">
        <f>40-2.75</f>
        <v>37.25</v>
      </c>
      <c r="E61" s="45">
        <v>0</v>
      </c>
      <c r="F61" s="45">
        <v>0</v>
      </c>
      <c r="G61" s="45">
        <v>4</v>
      </c>
      <c r="H61" s="55">
        <v>54</v>
      </c>
      <c r="I61" s="55">
        <f t="shared" si="46"/>
        <v>70.2</v>
      </c>
      <c r="J61" s="55">
        <f t="shared" si="47"/>
        <v>91.8</v>
      </c>
      <c r="K61" s="55">
        <f t="shared" si="52"/>
        <v>54</v>
      </c>
      <c r="L61" s="55">
        <v>0</v>
      </c>
      <c r="M61" s="55">
        <f>SUM(D61:G61)</f>
        <v>41.25</v>
      </c>
      <c r="N61" s="55">
        <f>ROUND((D61*H61)+(E61*I61)+(F61*J61)+(G61*K61),2)</f>
        <v>2227.5</v>
      </c>
      <c r="O61" s="55">
        <f>IF($AE$1&lt;&gt;"",VLOOKUP($C61,EmpTbl!$B$1:$L$45,9,FALSE),VLOOKUP($C61,EmpTbl!$B$1:$L$45,2,FALSE))</f>
        <v>27</v>
      </c>
      <c r="P61" s="55">
        <f>IF($AE$1&lt;&gt;"",VLOOKUP($C61,EmpTbl!$B$1:$L$45,10,FALSE),VLOOKUP($C61,EmpTbl!$B$1:$L$45,3,FALSE))</f>
        <v>40.5</v>
      </c>
      <c r="Q61" s="55">
        <f>IF($AE$1&lt;&gt;"",VLOOKUP($C61,EmpTbl!$B$1:$L$45,10,FALSE),VLOOKUP($C61,EmpTbl!$B$1:$L$45,4,FALSE))</f>
        <v>54</v>
      </c>
      <c r="R61" s="55">
        <f>IF($AE$1&lt;&gt;"",VLOOKUP($C61,EmpTbl!$B$1:$L$45,9,FALSE),VLOOKUP($C61,EmpTbl!$B$1:$L$45,2,FALSE))</f>
        <v>27</v>
      </c>
      <c r="S61" s="55">
        <f>ROUND(O61*D61+P61*E61+Q61*F61+G61*R61,2)</f>
        <v>1113.75</v>
      </c>
      <c r="T61" s="55">
        <f>N61-S61</f>
        <v>1113.75</v>
      </c>
      <c r="U61" s="80">
        <v>1</v>
      </c>
      <c r="V61" s="46"/>
      <c r="W61" s="46">
        <v>2</v>
      </c>
      <c r="X61" s="47">
        <v>1</v>
      </c>
      <c r="Y61" s="46">
        <v>1</v>
      </c>
      <c r="Z61" s="48" t="s">
        <v>267</v>
      </c>
    </row>
    <row r="62" spans="1:32" s="48" customFormat="1" x14ac:dyDescent="0.45">
      <c r="A62" s="42">
        <f>A61+7</f>
        <v>46005</v>
      </c>
      <c r="B62" s="43" t="s">
        <v>91</v>
      </c>
      <c r="C62" s="44" t="s">
        <v>92</v>
      </c>
      <c r="D62" s="45">
        <v>38</v>
      </c>
      <c r="E62" s="45">
        <v>0</v>
      </c>
      <c r="F62" s="45">
        <v>0</v>
      </c>
      <c r="G62" s="45">
        <v>12</v>
      </c>
      <c r="H62" s="55">
        <v>72</v>
      </c>
      <c r="I62" s="55">
        <f t="shared" ref="I62:I71" si="55">H62*1.3</f>
        <v>93.600000000000009</v>
      </c>
      <c r="J62" s="55">
        <f t="shared" ref="J62:J71" si="56">H62*1.7</f>
        <v>122.39999999999999</v>
      </c>
      <c r="K62" s="55">
        <v>72</v>
      </c>
      <c r="L62" s="55">
        <v>0</v>
      </c>
      <c r="M62" s="55">
        <f t="shared" ref="M62:M67" si="57">SUM(D62:G62)</f>
        <v>50</v>
      </c>
      <c r="N62" s="55">
        <f t="shared" ref="N62:N70" si="58">ROUND((D62*H62)+(E62*I62)+(F62*J62)+(G62*K62),2)</f>
        <v>3600</v>
      </c>
      <c r="O62" s="55">
        <f>IF($AE$1&lt;&gt;"",VLOOKUP($C62,EmpTbl!$B$1:$L$45,9,FALSE),VLOOKUP($C62,EmpTbl!$B$1:$L$45,2,FALSE))</f>
        <v>60</v>
      </c>
      <c r="P62" s="55">
        <f>IF($AE$1&lt;&gt;"",VLOOKUP($C62,EmpTbl!$B$1:$L$45,10,FALSE),VLOOKUP($C62,EmpTbl!$B$1:$L$45,3,FALSE))</f>
        <v>78</v>
      </c>
      <c r="Q62" s="55">
        <f>IF($AE$1&lt;&gt;"",VLOOKUP($C62,EmpTbl!$B$1:$L$45,10,FALSE),VLOOKUP($C62,EmpTbl!$B$1:$L$45,4,FALSE))</f>
        <v>102</v>
      </c>
      <c r="R62" s="55">
        <f>IF($AE$1&lt;&gt;"",VLOOKUP($C62,EmpTbl!$B$1:$L$45,9,FALSE),VLOOKUP($C62,EmpTbl!$B$1:$L$45,2,FALSE))</f>
        <v>60</v>
      </c>
      <c r="S62" s="55">
        <f t="shared" ref="S62:S70" si="59">ROUND(O62*D62+P62*E62+Q62*F62+G62*R62,2)</f>
        <v>3000</v>
      </c>
      <c r="T62" s="55">
        <f t="shared" ref="T62:T70" si="60">N62-S62</f>
        <v>600</v>
      </c>
      <c r="U62" s="45"/>
      <c r="V62" s="46"/>
      <c r="W62" s="46"/>
      <c r="X62" s="47"/>
      <c r="Y62" s="46"/>
      <c r="Z62" s="81"/>
      <c r="AC62" s="82">
        <v>61.400836793559229</v>
      </c>
      <c r="AD62" s="82">
        <v>40.592475197312119</v>
      </c>
      <c r="AE62" s="82">
        <v>20.80836159624711</v>
      </c>
      <c r="AF62" s="82">
        <v>164.12075000000002</v>
      </c>
    </row>
    <row r="63" spans="1:32" s="48" customFormat="1" x14ac:dyDescent="0.45">
      <c r="A63" s="42">
        <f>$A62</f>
        <v>46005</v>
      </c>
      <c r="B63" s="43" t="s">
        <v>55</v>
      </c>
      <c r="C63" s="44" t="s">
        <v>3</v>
      </c>
      <c r="D63" s="45">
        <v>40</v>
      </c>
      <c r="E63" s="45">
        <f>4.25-4</f>
        <v>0.25</v>
      </c>
      <c r="F63" s="45">
        <v>3.5</v>
      </c>
      <c r="G63" s="45">
        <v>4</v>
      </c>
      <c r="H63" s="55">
        <v>72</v>
      </c>
      <c r="I63" s="55">
        <f t="shared" si="55"/>
        <v>93.600000000000009</v>
      </c>
      <c r="J63" s="55">
        <f t="shared" si="56"/>
        <v>122.39999999999999</v>
      </c>
      <c r="K63" s="55">
        <v>72</v>
      </c>
      <c r="L63" s="55">
        <v>0</v>
      </c>
      <c r="M63" s="55">
        <f t="shared" si="57"/>
        <v>47.75</v>
      </c>
      <c r="N63" s="55">
        <f t="shared" si="58"/>
        <v>3619.8</v>
      </c>
      <c r="O63" s="55">
        <f>IF($AE$1&lt;&gt;"",VLOOKUP($C63,EmpTbl!$B$1:$L$45,9,FALSE),VLOOKUP($C63,EmpTbl!$B$1:$L$45,2,FALSE))</f>
        <v>57</v>
      </c>
      <c r="P63" s="55">
        <f>IF($AE$1&lt;&gt;"",VLOOKUP($C63,EmpTbl!$B$1:$L$45,10,FALSE),VLOOKUP($C63,EmpTbl!$B$1:$L$45,3,FALSE))</f>
        <v>74.100000000000009</v>
      </c>
      <c r="Q63" s="55">
        <f>IF($AE$1&lt;&gt;"",VLOOKUP($C63,EmpTbl!$B$1:$L$45,10,FALSE),VLOOKUP($C63,EmpTbl!$B$1:$L$45,4,FALSE))</f>
        <v>96.899999999999991</v>
      </c>
      <c r="R63" s="55">
        <f>IF($AE$1&lt;&gt;"",VLOOKUP($C63,EmpTbl!$B$1:$L$45,9,FALSE),VLOOKUP($C63,EmpTbl!$B$1:$L$45,2,FALSE))</f>
        <v>57</v>
      </c>
      <c r="S63" s="55">
        <f t="shared" si="59"/>
        <v>2865.68</v>
      </c>
      <c r="T63" s="55">
        <f t="shared" si="60"/>
        <v>754.12000000000035</v>
      </c>
      <c r="U63" s="45"/>
      <c r="V63" s="46"/>
      <c r="W63" s="46">
        <v>1</v>
      </c>
      <c r="X63" s="46"/>
      <c r="Y63" s="46"/>
      <c r="Z63" s="83"/>
    </row>
    <row r="64" spans="1:32" customFormat="1" x14ac:dyDescent="0.45">
      <c r="A64" s="67">
        <f>$A62</f>
        <v>46005</v>
      </c>
      <c r="B64" s="68" t="s">
        <v>38</v>
      </c>
      <c r="C64" s="69" t="s">
        <v>39</v>
      </c>
      <c r="D64" s="70">
        <v>0</v>
      </c>
      <c r="E64" s="70">
        <v>0</v>
      </c>
      <c r="F64" s="70">
        <v>0</v>
      </c>
      <c r="G64" s="70">
        <v>0</v>
      </c>
      <c r="H64" s="73">
        <v>68</v>
      </c>
      <c r="I64" s="73">
        <f t="shared" si="55"/>
        <v>88.4</v>
      </c>
      <c r="J64" s="73">
        <f t="shared" si="56"/>
        <v>115.6</v>
      </c>
      <c r="K64" s="73">
        <f>H64</f>
        <v>68</v>
      </c>
      <c r="L64" s="73">
        <v>0</v>
      </c>
      <c r="M64" s="73">
        <f t="shared" si="57"/>
        <v>0</v>
      </c>
      <c r="N64" s="73">
        <f t="shared" si="58"/>
        <v>0</v>
      </c>
      <c r="O64" s="73">
        <f>IF($AE$1&lt;&gt;"",VLOOKUP($C64,EmpTbl!$B$1:$L$45,9,FALSE),VLOOKUP($C64,EmpTbl!$B$1:$L$45,2,FALSE))</f>
        <v>55</v>
      </c>
      <c r="P64" s="73">
        <f>IF($AE$1&lt;&gt;"",VLOOKUP($C64,EmpTbl!$B$1:$L$45,10,FALSE),VLOOKUP($C64,EmpTbl!$B$1:$L$45,3,FALSE))</f>
        <v>71.5</v>
      </c>
      <c r="Q64" s="73">
        <f>IF($AE$1&lt;&gt;"",VLOOKUP($C64,EmpTbl!$B$1:$L$45,10,FALSE),VLOOKUP($C64,EmpTbl!$B$1:$L$45,4,FALSE))</f>
        <v>93.5</v>
      </c>
      <c r="R64" s="73">
        <f>IF($AE$1&lt;&gt;"",VLOOKUP($C64,EmpTbl!$B$1:$L$45,9,FALSE),VLOOKUP($C64,EmpTbl!$B$1:$L$45,2,FALSE))</f>
        <v>55</v>
      </c>
      <c r="S64" s="73">
        <f t="shared" si="59"/>
        <v>0</v>
      </c>
      <c r="T64" s="73">
        <f t="shared" si="60"/>
        <v>0</v>
      </c>
      <c r="U64" s="70"/>
      <c r="V64" s="74"/>
      <c r="W64" s="74"/>
      <c r="X64" s="75"/>
      <c r="Y64" s="74"/>
    </row>
    <row r="65" spans="1:32" customFormat="1" x14ac:dyDescent="0.45">
      <c r="A65" s="67">
        <f>$A62</f>
        <v>46005</v>
      </c>
      <c r="B65" s="68" t="s">
        <v>40</v>
      </c>
      <c r="C65" s="69" t="s">
        <v>2</v>
      </c>
      <c r="D65" s="70">
        <v>40</v>
      </c>
      <c r="E65" s="70">
        <v>20</v>
      </c>
      <c r="F65" s="70">
        <v>0</v>
      </c>
      <c r="G65" s="70">
        <v>0</v>
      </c>
      <c r="H65" s="73">
        <v>68</v>
      </c>
      <c r="I65" s="73">
        <f t="shared" si="55"/>
        <v>88.4</v>
      </c>
      <c r="J65" s="73">
        <f t="shared" si="56"/>
        <v>115.6</v>
      </c>
      <c r="K65" s="73">
        <f t="shared" ref="K65:K71" si="61">H65</f>
        <v>68</v>
      </c>
      <c r="L65" s="73">
        <v>0</v>
      </c>
      <c r="M65" s="73">
        <f t="shared" si="57"/>
        <v>60</v>
      </c>
      <c r="N65" s="73">
        <f t="shared" si="58"/>
        <v>4488</v>
      </c>
      <c r="O65" s="73">
        <f>IF($AE$1&lt;&gt;"",VLOOKUP($C65,EmpTbl!$B$1:$L$45,9,FALSE),VLOOKUP($C65,EmpTbl!$B$1:$L$45,2,FALSE))</f>
        <v>35</v>
      </c>
      <c r="P65" s="73">
        <f>IF($AE$1&lt;&gt;"",VLOOKUP($C65,EmpTbl!$B$1:$L$45,10,FALSE),VLOOKUP($C65,EmpTbl!$B$1:$L$45,3,FALSE))</f>
        <v>52.5</v>
      </c>
      <c r="Q65" s="73">
        <f>IF($AE$1&lt;&gt;"",VLOOKUP($C65,EmpTbl!$B$1:$L$45,10,FALSE),VLOOKUP($C65,EmpTbl!$B$1:$L$45,4,FALSE))</f>
        <v>70</v>
      </c>
      <c r="R65" s="73">
        <f>IF($AE$1&lt;&gt;"",VLOOKUP($C65,EmpTbl!$B$1:$L$45,9,FALSE),VLOOKUP($C65,EmpTbl!$B$1:$L$45,2,FALSE))</f>
        <v>35</v>
      </c>
      <c r="S65" s="73">
        <f t="shared" si="59"/>
        <v>2450</v>
      </c>
      <c r="T65" s="73">
        <f t="shared" si="60"/>
        <v>2038</v>
      </c>
      <c r="U65" s="70"/>
      <c r="V65" s="74"/>
      <c r="W65" s="74"/>
      <c r="X65" s="75"/>
      <c r="Y65" s="74"/>
    </row>
    <row r="66" spans="1:32" s="48" customFormat="1" x14ac:dyDescent="0.45">
      <c r="A66" s="42">
        <f>$A62</f>
        <v>46005</v>
      </c>
      <c r="B66" s="43" t="s">
        <v>41</v>
      </c>
      <c r="C66" s="44" t="s">
        <v>21</v>
      </c>
      <c r="D66" s="45">
        <v>40</v>
      </c>
      <c r="E66" s="45">
        <f>10.5-4</f>
        <v>6.5</v>
      </c>
      <c r="F66" s="45">
        <v>0</v>
      </c>
      <c r="G66" s="45">
        <v>4</v>
      </c>
      <c r="H66" s="55">
        <v>68</v>
      </c>
      <c r="I66" s="55">
        <f t="shared" si="55"/>
        <v>88.4</v>
      </c>
      <c r="J66" s="55">
        <f t="shared" si="56"/>
        <v>115.6</v>
      </c>
      <c r="K66" s="55">
        <f t="shared" si="61"/>
        <v>68</v>
      </c>
      <c r="L66" s="55">
        <v>0</v>
      </c>
      <c r="M66" s="55">
        <f t="shared" si="57"/>
        <v>50.5</v>
      </c>
      <c r="N66" s="55">
        <f t="shared" si="58"/>
        <v>3566.6</v>
      </c>
      <c r="O66" s="55">
        <f>IF($AE$1&lt;&gt;"",VLOOKUP($C66,EmpTbl!$B$1:$L$45,9,FALSE),VLOOKUP($C66,EmpTbl!$B$1:$L$45,2,FALSE))</f>
        <v>39</v>
      </c>
      <c r="P66" s="55">
        <f>IF($AE$1&lt;&gt;"",VLOOKUP($C66,EmpTbl!$B$1:$L$45,10,FALSE),VLOOKUP($C66,EmpTbl!$B$1:$L$45,3,FALSE))</f>
        <v>58.5</v>
      </c>
      <c r="Q66" s="55">
        <f>IF($AE$1&lt;&gt;"",VLOOKUP($C66,EmpTbl!$B$1:$L$45,10,FALSE),VLOOKUP($C66,EmpTbl!$B$1:$L$45,4,FALSE))</f>
        <v>78</v>
      </c>
      <c r="R66" s="55">
        <f>IF($AE$1&lt;&gt;"",VLOOKUP($C66,EmpTbl!$B$1:$L$45,9,FALSE),VLOOKUP($C66,EmpTbl!$B$1:$L$45,2,FALSE))</f>
        <v>39</v>
      </c>
      <c r="S66" s="55">
        <f t="shared" si="59"/>
        <v>2096.25</v>
      </c>
      <c r="T66" s="55">
        <f t="shared" si="60"/>
        <v>1470.35</v>
      </c>
      <c r="U66" s="45"/>
      <c r="V66" s="46"/>
      <c r="W66" s="46"/>
      <c r="X66" s="47"/>
      <c r="Y66" s="46"/>
    </row>
    <row r="67" spans="1:32" s="48" customFormat="1" x14ac:dyDescent="0.45">
      <c r="A67" s="42">
        <f>$A62</f>
        <v>46005</v>
      </c>
      <c r="B67" s="43" t="s">
        <v>44</v>
      </c>
      <c r="C67" s="44" t="s">
        <v>37</v>
      </c>
      <c r="D67" s="45">
        <v>40</v>
      </c>
      <c r="E67" s="45">
        <v>0</v>
      </c>
      <c r="F67" s="45">
        <v>0</v>
      </c>
      <c r="G67" s="45">
        <v>13.25</v>
      </c>
      <c r="H67" s="55">
        <v>68</v>
      </c>
      <c r="I67" s="55">
        <f t="shared" si="55"/>
        <v>88.4</v>
      </c>
      <c r="J67" s="55">
        <f t="shared" si="56"/>
        <v>115.6</v>
      </c>
      <c r="K67" s="55">
        <f t="shared" si="61"/>
        <v>68</v>
      </c>
      <c r="L67" s="55">
        <v>0</v>
      </c>
      <c r="M67" s="55">
        <f t="shared" si="57"/>
        <v>53.25</v>
      </c>
      <c r="N67" s="55">
        <f t="shared" si="58"/>
        <v>3621</v>
      </c>
      <c r="O67" s="55">
        <f>IF($AE$1&lt;&gt;"",VLOOKUP($C67,EmpTbl!$B$1:$L$45,9,FALSE),VLOOKUP($C67,EmpTbl!$B$1:$L$45,2,FALSE))</f>
        <v>36</v>
      </c>
      <c r="P67" s="55">
        <f>IF($AE$1&lt;&gt;"",VLOOKUP($C67,EmpTbl!$B$1:$L$45,10,FALSE),VLOOKUP($C67,EmpTbl!$B$1:$L$45,3,FALSE))</f>
        <v>54</v>
      </c>
      <c r="Q67" s="55">
        <f>IF($AE$1&lt;&gt;"",VLOOKUP($C67,EmpTbl!$B$1:$L$45,10,FALSE),VLOOKUP($C67,EmpTbl!$B$1:$L$45,4,FALSE))</f>
        <v>72</v>
      </c>
      <c r="R67" s="55">
        <f>IF($AE$1&lt;&gt;"",VLOOKUP($C67,EmpTbl!$B$1:$L$45,9,FALSE),VLOOKUP($C67,EmpTbl!$B$1:$L$45,2,FALSE))</f>
        <v>36</v>
      </c>
      <c r="S67" s="55">
        <f t="shared" si="59"/>
        <v>1917</v>
      </c>
      <c r="T67" s="55">
        <f t="shared" si="60"/>
        <v>1704</v>
      </c>
      <c r="U67" s="45"/>
      <c r="V67" s="46"/>
      <c r="W67" s="46">
        <v>2</v>
      </c>
      <c r="X67" s="47"/>
      <c r="Y67" s="46"/>
      <c r="Z67" s="71"/>
    </row>
    <row r="68" spans="1:32" s="48" customFormat="1" x14ac:dyDescent="0.45">
      <c r="A68" s="42">
        <f>$A62</f>
        <v>46005</v>
      </c>
      <c r="B68" s="43" t="s">
        <v>59</v>
      </c>
      <c r="C68" s="44" t="s">
        <v>58</v>
      </c>
      <c r="D68" s="45">
        <v>40</v>
      </c>
      <c r="E68" s="45">
        <f>17-9</f>
        <v>8</v>
      </c>
      <c r="F68" s="45">
        <v>0.5</v>
      </c>
      <c r="G68" s="45">
        <v>9</v>
      </c>
      <c r="H68" s="55">
        <v>68</v>
      </c>
      <c r="I68" s="55">
        <f t="shared" si="55"/>
        <v>88.4</v>
      </c>
      <c r="J68" s="55">
        <f t="shared" si="56"/>
        <v>115.6</v>
      </c>
      <c r="K68" s="55">
        <f t="shared" si="61"/>
        <v>68</v>
      </c>
      <c r="L68" s="55">
        <v>0</v>
      </c>
      <c r="M68" s="55">
        <f t="shared" ref="M68" si="62">SUM(D68:G68)</f>
        <v>57.5</v>
      </c>
      <c r="N68" s="55">
        <f t="shared" si="58"/>
        <v>4097</v>
      </c>
      <c r="O68" s="55">
        <f>IF($AE$1&lt;&gt;"",VLOOKUP($C68,EmpTbl!$B$1:$L$45,9,FALSE),VLOOKUP($C68,EmpTbl!$B$1:$L$45,2,FALSE))</f>
        <v>36</v>
      </c>
      <c r="P68" s="55">
        <f>IF($AE$1&lt;&gt;"",VLOOKUP($C68,EmpTbl!$B$1:$L$45,10,FALSE),VLOOKUP($C68,EmpTbl!$B$1:$L$45,3,FALSE))</f>
        <v>54</v>
      </c>
      <c r="Q68" s="55">
        <f>IF($AE$1&lt;&gt;"",VLOOKUP($C68,EmpTbl!$B$1:$L$45,10,FALSE),VLOOKUP($C68,EmpTbl!$B$1:$L$45,4,FALSE))</f>
        <v>72</v>
      </c>
      <c r="R68" s="55">
        <f>IF($AE$1&lt;&gt;"",VLOOKUP($C68,EmpTbl!$B$1:$L$45,9,FALSE),VLOOKUP($C68,EmpTbl!$B$1:$L$45,2,FALSE))</f>
        <v>36</v>
      </c>
      <c r="S68" s="55">
        <f t="shared" si="59"/>
        <v>2232</v>
      </c>
      <c r="T68" s="55">
        <f t="shared" si="60"/>
        <v>1865</v>
      </c>
      <c r="U68" s="45"/>
      <c r="V68" s="46"/>
      <c r="W68" s="46">
        <v>5</v>
      </c>
      <c r="X68" s="47"/>
      <c r="Y68" s="46"/>
    </row>
    <row r="69" spans="1:32" s="48" customFormat="1" x14ac:dyDescent="0.45">
      <c r="A69" s="42">
        <f>$A62</f>
        <v>46005</v>
      </c>
      <c r="B69" s="43" t="s">
        <v>90</v>
      </c>
      <c r="C69" s="44" t="s">
        <v>94</v>
      </c>
      <c r="D69" s="45">
        <v>40</v>
      </c>
      <c r="E69" s="45">
        <f>30.25-12</f>
        <v>18.25</v>
      </c>
      <c r="F69" s="45">
        <v>12</v>
      </c>
      <c r="G69" s="45">
        <v>12</v>
      </c>
      <c r="H69" s="55">
        <v>68</v>
      </c>
      <c r="I69" s="55">
        <f t="shared" si="55"/>
        <v>88.4</v>
      </c>
      <c r="J69" s="55">
        <f t="shared" si="56"/>
        <v>115.6</v>
      </c>
      <c r="K69" s="55">
        <f t="shared" si="61"/>
        <v>68</v>
      </c>
      <c r="L69" s="55">
        <v>0</v>
      </c>
      <c r="M69" s="55">
        <f t="shared" ref="M69:M70" si="63">SUM(D69:G69)</f>
        <v>82.25</v>
      </c>
      <c r="N69" s="55">
        <f t="shared" si="58"/>
        <v>6536.5</v>
      </c>
      <c r="O69" s="55">
        <f>IF($AE$1&lt;&gt;"",VLOOKUP($C69,EmpTbl!$B$1:$L$45,9,FALSE),VLOOKUP($C69,EmpTbl!$B$1:$L$45,2,FALSE))</f>
        <v>30.67</v>
      </c>
      <c r="P69" s="55">
        <f>IF($AE$1&lt;&gt;"",VLOOKUP($C69,EmpTbl!$B$1:$L$45,10,FALSE),VLOOKUP($C69,EmpTbl!$B$1:$L$45,3,FALSE))</f>
        <v>46.005000000000003</v>
      </c>
      <c r="Q69" s="55">
        <f>IF($AE$1&lt;&gt;"",VLOOKUP($C69,EmpTbl!$B$1:$L$45,10,FALSE),VLOOKUP($C69,EmpTbl!$B$1:$L$45,4,FALSE))</f>
        <v>61.34</v>
      </c>
      <c r="R69" s="55">
        <f>IF($AE$1&lt;&gt;"",VLOOKUP($C69,EmpTbl!$B$1:$L$45,9,FALSE),VLOOKUP($C69,EmpTbl!$B$1:$L$45,2,FALSE))</f>
        <v>30.67</v>
      </c>
      <c r="S69" s="55">
        <f t="shared" si="59"/>
        <v>3170.51</v>
      </c>
      <c r="T69" s="55">
        <f t="shared" si="60"/>
        <v>3365.99</v>
      </c>
      <c r="U69" s="45"/>
      <c r="V69" s="46"/>
      <c r="W69" s="46">
        <v>7</v>
      </c>
      <c r="X69" s="47">
        <v>1</v>
      </c>
      <c r="Y69" s="46">
        <v>1</v>
      </c>
      <c r="Z69" s="48" t="s">
        <v>268</v>
      </c>
    </row>
    <row r="70" spans="1:32" customFormat="1" x14ac:dyDescent="0.45">
      <c r="A70" s="67">
        <f>$A62</f>
        <v>46005</v>
      </c>
      <c r="B70" s="68" t="s">
        <v>90</v>
      </c>
      <c r="C70" s="69" t="s">
        <v>190</v>
      </c>
      <c r="D70" s="70">
        <v>40</v>
      </c>
      <c r="E70" s="70">
        <v>8</v>
      </c>
      <c r="F70" s="70">
        <v>0</v>
      </c>
      <c r="G70" s="70">
        <v>0</v>
      </c>
      <c r="H70" s="73">
        <v>68</v>
      </c>
      <c r="I70" s="73">
        <f t="shared" si="55"/>
        <v>88.4</v>
      </c>
      <c r="J70" s="73">
        <f t="shared" si="56"/>
        <v>115.6</v>
      </c>
      <c r="K70" s="73">
        <f t="shared" si="61"/>
        <v>68</v>
      </c>
      <c r="L70" s="73">
        <v>0</v>
      </c>
      <c r="M70" s="73">
        <f t="shared" si="63"/>
        <v>48</v>
      </c>
      <c r="N70" s="73">
        <f t="shared" si="58"/>
        <v>3427.2</v>
      </c>
      <c r="O70" s="73">
        <f>IF($AE$1&lt;&gt;"",VLOOKUP($C70,EmpTbl!$B$1:$L$45,9,FALSE),VLOOKUP($C70,EmpTbl!$B$1:$L$45,2,FALSE))</f>
        <v>30</v>
      </c>
      <c r="P70" s="73">
        <f>IF($AE$1&lt;&gt;"",VLOOKUP($C70,EmpTbl!$B$1:$L$45,10,FALSE),VLOOKUP($C70,EmpTbl!$B$1:$L$45,3,FALSE))</f>
        <v>45</v>
      </c>
      <c r="Q70" s="73">
        <f>IF($AE$1&lt;&gt;"",VLOOKUP($C70,EmpTbl!$B$1:$L$45,10,FALSE),VLOOKUP($C70,EmpTbl!$B$1:$L$45,4,FALSE))</f>
        <v>60</v>
      </c>
      <c r="R70" s="73">
        <f>IF($AE$1&lt;&gt;"",VLOOKUP($C70,EmpTbl!$B$1:$L$45,9,FALSE),VLOOKUP($C70,EmpTbl!$B$1:$L$45,2,FALSE))</f>
        <v>30</v>
      </c>
      <c r="S70" s="73">
        <f t="shared" si="59"/>
        <v>1560</v>
      </c>
      <c r="T70" s="73">
        <f t="shared" si="60"/>
        <v>1867.1999999999998</v>
      </c>
      <c r="U70" s="79">
        <v>2</v>
      </c>
      <c r="V70" s="74"/>
      <c r="W70" s="74"/>
      <c r="X70" s="75"/>
      <c r="Y70" s="74"/>
    </row>
    <row r="71" spans="1:32" customFormat="1" x14ac:dyDescent="0.45">
      <c r="A71" s="67">
        <f>$A62</f>
        <v>46005</v>
      </c>
      <c r="B71" s="69" t="s">
        <v>186</v>
      </c>
      <c r="C71" s="69" t="s">
        <v>189</v>
      </c>
      <c r="D71" s="70">
        <v>40</v>
      </c>
      <c r="E71" s="70">
        <v>2.5</v>
      </c>
      <c r="F71" s="70">
        <v>0</v>
      </c>
      <c r="G71" s="70">
        <v>0</v>
      </c>
      <c r="H71" s="73">
        <v>54</v>
      </c>
      <c r="I71" s="73">
        <f t="shared" si="55"/>
        <v>70.2</v>
      </c>
      <c r="J71" s="73">
        <f t="shared" si="56"/>
        <v>91.8</v>
      </c>
      <c r="K71" s="73">
        <f t="shared" si="61"/>
        <v>54</v>
      </c>
      <c r="L71" s="73">
        <v>0</v>
      </c>
      <c r="M71" s="73">
        <f>SUM(D71:G71)</f>
        <v>42.5</v>
      </c>
      <c r="N71" s="73">
        <f>ROUND((D71*H71)+(E71*I71)+(F71*J71)+(G71*K71),2)</f>
        <v>2335.5</v>
      </c>
      <c r="O71" s="73">
        <f>IF($AE$1&lt;&gt;"",VLOOKUP($C71,EmpTbl!$B$1:$L$45,9,FALSE),VLOOKUP($C71,EmpTbl!$B$1:$L$45,2,FALSE))</f>
        <v>27</v>
      </c>
      <c r="P71" s="73">
        <f>IF($AE$1&lt;&gt;"",VLOOKUP($C71,EmpTbl!$B$1:$L$45,10,FALSE),VLOOKUP($C71,EmpTbl!$B$1:$L$45,3,FALSE))</f>
        <v>40.5</v>
      </c>
      <c r="Q71" s="73">
        <f>IF($AE$1&lt;&gt;"",VLOOKUP($C71,EmpTbl!$B$1:$L$45,10,FALSE),VLOOKUP($C71,EmpTbl!$B$1:$L$45,4,FALSE))</f>
        <v>54</v>
      </c>
      <c r="R71" s="73">
        <f>IF($AE$1&lt;&gt;"",VLOOKUP($C71,EmpTbl!$B$1:$L$45,9,FALSE),VLOOKUP($C71,EmpTbl!$B$1:$L$45,2,FALSE))</f>
        <v>27</v>
      </c>
      <c r="S71" s="73">
        <f>ROUND(O71*D71+P71*E71+Q71*F71+G71*R71,2)</f>
        <v>1181.25</v>
      </c>
      <c r="T71" s="73">
        <f>N71-S71</f>
        <v>1154.25</v>
      </c>
      <c r="U71" s="79"/>
      <c r="V71" s="74"/>
      <c r="W71" s="74"/>
      <c r="X71" s="75"/>
      <c r="Y71" s="74"/>
    </row>
    <row r="72" spans="1:32" s="48" customFormat="1" x14ac:dyDescent="0.45">
      <c r="A72" s="42">
        <f>A71+7</f>
        <v>46012</v>
      </c>
      <c r="B72" s="43" t="s">
        <v>91</v>
      </c>
      <c r="C72" s="44" t="s">
        <v>92</v>
      </c>
      <c r="D72" s="45">
        <v>40</v>
      </c>
      <c r="E72" s="45">
        <f>32-11.5</f>
        <v>20.5</v>
      </c>
      <c r="F72" s="45">
        <v>8</v>
      </c>
      <c r="G72" s="45">
        <v>11.5</v>
      </c>
      <c r="H72" s="55">
        <v>72</v>
      </c>
      <c r="I72" s="55">
        <f t="shared" ref="I72:I81" si="64">H72*1.3</f>
        <v>93.600000000000009</v>
      </c>
      <c r="J72" s="55">
        <f t="shared" ref="J72:J81" si="65">H72*1.7</f>
        <v>122.39999999999999</v>
      </c>
      <c r="K72" s="55">
        <v>72</v>
      </c>
      <c r="L72" s="55">
        <v>0</v>
      </c>
      <c r="M72" s="55">
        <f t="shared" ref="M72:M77" si="66">SUM(D72:G72)</f>
        <v>80</v>
      </c>
      <c r="N72" s="55">
        <f t="shared" ref="N72:N80" si="67">ROUND((D72*H72)+(E72*I72)+(F72*J72)+(G72*K72),2)</f>
        <v>6606</v>
      </c>
      <c r="O72" s="55">
        <f>IF($AE$1&lt;&gt;"",VLOOKUP($C72,EmpTbl!$B$1:$L$45,9,FALSE),VLOOKUP($C72,EmpTbl!$B$1:$L$45,2,FALSE))</f>
        <v>60</v>
      </c>
      <c r="P72" s="55">
        <f>IF($AE$1&lt;&gt;"",VLOOKUP($C72,EmpTbl!$B$1:$L$45,10,FALSE),VLOOKUP($C72,EmpTbl!$B$1:$L$45,3,FALSE))</f>
        <v>78</v>
      </c>
      <c r="Q72" s="55">
        <f>IF($AE$1&lt;&gt;"",VLOOKUP($C72,EmpTbl!$B$1:$L$45,10,FALSE),VLOOKUP($C72,EmpTbl!$B$1:$L$45,4,FALSE))</f>
        <v>102</v>
      </c>
      <c r="R72" s="55">
        <f>IF($AE$1&lt;&gt;"",VLOOKUP($C72,EmpTbl!$B$1:$L$45,9,FALSE),VLOOKUP($C72,EmpTbl!$B$1:$L$45,2,FALSE))</f>
        <v>60</v>
      </c>
      <c r="S72" s="55">
        <f t="shared" ref="S72:S80" si="68">ROUND(O72*D72+P72*E72+Q72*F72+G72*R72,2)</f>
        <v>5505</v>
      </c>
      <c r="T72" s="55">
        <f t="shared" ref="T72:T80" si="69">N72-S72</f>
        <v>1101</v>
      </c>
      <c r="U72" s="45"/>
      <c r="V72" s="46"/>
      <c r="W72" s="46">
        <v>7</v>
      </c>
      <c r="X72" s="47">
        <v>1</v>
      </c>
      <c r="Y72" s="46">
        <v>1</v>
      </c>
      <c r="Z72" s="81" t="s">
        <v>269</v>
      </c>
      <c r="AC72" s="82">
        <v>61.400836793559229</v>
      </c>
      <c r="AD72" s="82">
        <v>40.592475197312119</v>
      </c>
      <c r="AE72" s="82">
        <v>20.80836159624711</v>
      </c>
      <c r="AF72" s="82">
        <v>164.12075000000002</v>
      </c>
    </row>
    <row r="73" spans="1:32" s="48" customFormat="1" x14ac:dyDescent="0.45">
      <c r="A73" s="42">
        <f>$A72</f>
        <v>46012</v>
      </c>
      <c r="B73" s="43" t="s">
        <v>55</v>
      </c>
      <c r="C73" s="44" t="s">
        <v>3</v>
      </c>
      <c r="D73" s="45">
        <v>40</v>
      </c>
      <c r="E73" s="45">
        <v>10.75</v>
      </c>
      <c r="F73" s="45">
        <v>10</v>
      </c>
      <c r="G73" s="45">
        <v>0</v>
      </c>
      <c r="H73" s="55">
        <v>72</v>
      </c>
      <c r="I73" s="55">
        <f t="shared" si="64"/>
        <v>93.600000000000009</v>
      </c>
      <c r="J73" s="55">
        <f t="shared" si="65"/>
        <v>122.39999999999999</v>
      </c>
      <c r="K73" s="55">
        <v>72</v>
      </c>
      <c r="L73" s="55">
        <v>0</v>
      </c>
      <c r="M73" s="55">
        <f t="shared" si="66"/>
        <v>60.75</v>
      </c>
      <c r="N73" s="55">
        <f t="shared" si="67"/>
        <v>5110.2</v>
      </c>
      <c r="O73" s="55">
        <f>IF($AE$1&lt;&gt;"",VLOOKUP($C73,EmpTbl!$B$1:$L$45,9,FALSE),VLOOKUP($C73,EmpTbl!$B$1:$L$45,2,FALSE))</f>
        <v>57</v>
      </c>
      <c r="P73" s="55">
        <f>IF($AE$1&lt;&gt;"",VLOOKUP($C73,EmpTbl!$B$1:$L$45,10,FALSE),VLOOKUP($C73,EmpTbl!$B$1:$L$45,3,FALSE))</f>
        <v>74.100000000000009</v>
      </c>
      <c r="Q73" s="55">
        <f>IF($AE$1&lt;&gt;"",VLOOKUP($C73,EmpTbl!$B$1:$L$45,10,FALSE),VLOOKUP($C73,EmpTbl!$B$1:$L$45,4,FALSE))</f>
        <v>96.899999999999991</v>
      </c>
      <c r="R73" s="55">
        <f>IF($AE$1&lt;&gt;"",VLOOKUP($C73,EmpTbl!$B$1:$L$45,9,FALSE),VLOOKUP($C73,EmpTbl!$B$1:$L$45,2,FALSE))</f>
        <v>57</v>
      </c>
      <c r="S73" s="55">
        <f t="shared" si="68"/>
        <v>4045.58</v>
      </c>
      <c r="T73" s="55">
        <f t="shared" si="69"/>
        <v>1064.6199999999999</v>
      </c>
      <c r="U73" s="45"/>
      <c r="V73" s="46"/>
      <c r="W73" s="46">
        <v>3</v>
      </c>
      <c r="X73" s="46"/>
      <c r="Y73" s="46"/>
      <c r="Z73" s="83"/>
    </row>
    <row r="74" spans="1:32" s="48" customFormat="1" x14ac:dyDescent="0.45">
      <c r="A74" s="42">
        <f>$A72</f>
        <v>46012</v>
      </c>
      <c r="B74" s="43" t="s">
        <v>38</v>
      </c>
      <c r="C74" s="44" t="s">
        <v>39</v>
      </c>
      <c r="D74" s="45">
        <f>9-2.5</f>
        <v>6.5</v>
      </c>
      <c r="E74" s="45">
        <v>0</v>
      </c>
      <c r="F74" s="45">
        <v>0</v>
      </c>
      <c r="G74" s="45">
        <v>2.5</v>
      </c>
      <c r="H74" s="55">
        <v>68</v>
      </c>
      <c r="I74" s="55">
        <f t="shared" si="64"/>
        <v>88.4</v>
      </c>
      <c r="J74" s="55">
        <f t="shared" si="65"/>
        <v>115.6</v>
      </c>
      <c r="K74" s="55">
        <f>H74</f>
        <v>68</v>
      </c>
      <c r="L74" s="55">
        <v>0</v>
      </c>
      <c r="M74" s="55">
        <f t="shared" si="66"/>
        <v>9</v>
      </c>
      <c r="N74" s="55">
        <f t="shared" si="67"/>
        <v>612</v>
      </c>
      <c r="O74" s="55">
        <f>IF($AE$1&lt;&gt;"",VLOOKUP($C74,EmpTbl!$B$1:$L$45,9,FALSE),VLOOKUP($C74,EmpTbl!$B$1:$L$45,2,FALSE))</f>
        <v>55</v>
      </c>
      <c r="P74" s="55">
        <f>IF($AE$1&lt;&gt;"",VLOOKUP($C74,EmpTbl!$B$1:$L$45,10,FALSE),VLOOKUP($C74,EmpTbl!$B$1:$L$45,3,FALSE))</f>
        <v>71.5</v>
      </c>
      <c r="Q74" s="55">
        <f>IF($AE$1&lt;&gt;"",VLOOKUP($C74,EmpTbl!$B$1:$L$45,10,FALSE),VLOOKUP($C74,EmpTbl!$B$1:$L$45,4,FALSE))</f>
        <v>93.5</v>
      </c>
      <c r="R74" s="55">
        <f>IF($AE$1&lt;&gt;"",VLOOKUP($C74,EmpTbl!$B$1:$L$45,9,FALSE),VLOOKUP($C74,EmpTbl!$B$1:$L$45,2,FALSE))</f>
        <v>55</v>
      </c>
      <c r="S74" s="55">
        <f t="shared" si="68"/>
        <v>495</v>
      </c>
      <c r="T74" s="55">
        <f t="shared" si="69"/>
        <v>117</v>
      </c>
      <c r="U74" s="45"/>
      <c r="V74" s="46"/>
      <c r="W74" s="46"/>
      <c r="X74" s="47"/>
      <c r="Y74" s="46"/>
    </row>
    <row r="75" spans="1:32" customFormat="1" x14ac:dyDescent="0.45">
      <c r="A75" s="67">
        <f>$A72</f>
        <v>46012</v>
      </c>
      <c r="B75" s="68" t="s">
        <v>40</v>
      </c>
      <c r="C75" s="69" t="s">
        <v>2</v>
      </c>
      <c r="D75" s="70">
        <v>40</v>
      </c>
      <c r="E75" s="70">
        <v>17</v>
      </c>
      <c r="F75" s="70">
        <v>0</v>
      </c>
      <c r="G75" s="70">
        <v>0</v>
      </c>
      <c r="H75" s="73">
        <v>68</v>
      </c>
      <c r="I75" s="73">
        <f t="shared" si="64"/>
        <v>88.4</v>
      </c>
      <c r="J75" s="73">
        <f t="shared" si="65"/>
        <v>115.6</v>
      </c>
      <c r="K75" s="73">
        <f t="shared" ref="K75:K81" si="70">H75</f>
        <v>68</v>
      </c>
      <c r="L75" s="73">
        <v>0</v>
      </c>
      <c r="M75" s="73">
        <f t="shared" si="66"/>
        <v>57</v>
      </c>
      <c r="N75" s="73">
        <f t="shared" si="67"/>
        <v>4222.8</v>
      </c>
      <c r="O75" s="73">
        <f>IF($AE$1&lt;&gt;"",VLOOKUP($C75,EmpTbl!$B$1:$L$45,9,FALSE),VLOOKUP($C75,EmpTbl!$B$1:$L$45,2,FALSE))</f>
        <v>35</v>
      </c>
      <c r="P75" s="73">
        <f>IF($AE$1&lt;&gt;"",VLOOKUP($C75,EmpTbl!$B$1:$L$45,10,FALSE),VLOOKUP($C75,EmpTbl!$B$1:$L$45,3,FALSE))</f>
        <v>52.5</v>
      </c>
      <c r="Q75" s="73">
        <f>IF($AE$1&lt;&gt;"",VLOOKUP($C75,EmpTbl!$B$1:$L$45,10,FALSE),VLOOKUP($C75,EmpTbl!$B$1:$L$45,4,FALSE))</f>
        <v>70</v>
      </c>
      <c r="R75" s="73">
        <f>IF($AE$1&lt;&gt;"",VLOOKUP($C75,EmpTbl!$B$1:$L$45,9,FALSE),VLOOKUP($C75,EmpTbl!$B$1:$L$45,2,FALSE))</f>
        <v>35</v>
      </c>
      <c r="S75" s="73">
        <f t="shared" si="68"/>
        <v>2292.5</v>
      </c>
      <c r="T75" s="73">
        <f t="shared" si="69"/>
        <v>1930.3000000000002</v>
      </c>
      <c r="U75" s="70"/>
      <c r="V75" s="74"/>
      <c r="W75" s="74"/>
      <c r="X75" s="75"/>
      <c r="Y75" s="74"/>
    </row>
    <row r="76" spans="1:32" s="48" customFormat="1" x14ac:dyDescent="0.45">
      <c r="A76" s="42">
        <f>$A72</f>
        <v>46012</v>
      </c>
      <c r="B76" s="43" t="s">
        <v>41</v>
      </c>
      <c r="C76" s="44" t="s">
        <v>21</v>
      </c>
      <c r="D76" s="45">
        <v>40</v>
      </c>
      <c r="E76" s="45">
        <v>15.5</v>
      </c>
      <c r="F76" s="45">
        <v>10</v>
      </c>
      <c r="G76" s="45">
        <v>0</v>
      </c>
      <c r="H76" s="55">
        <v>68</v>
      </c>
      <c r="I76" s="55">
        <f t="shared" si="64"/>
        <v>88.4</v>
      </c>
      <c r="J76" s="55">
        <f t="shared" si="65"/>
        <v>115.6</v>
      </c>
      <c r="K76" s="55">
        <f t="shared" si="70"/>
        <v>68</v>
      </c>
      <c r="L76" s="55">
        <v>0</v>
      </c>
      <c r="M76" s="55">
        <f t="shared" si="66"/>
        <v>65.5</v>
      </c>
      <c r="N76" s="55">
        <f t="shared" si="67"/>
        <v>5246.2</v>
      </c>
      <c r="O76" s="55">
        <f>IF($AE$1&lt;&gt;"",VLOOKUP($C76,EmpTbl!$B$1:$L$45,9,FALSE),VLOOKUP($C76,EmpTbl!$B$1:$L$45,2,FALSE))</f>
        <v>39</v>
      </c>
      <c r="P76" s="55">
        <f>IF($AE$1&lt;&gt;"",VLOOKUP($C76,EmpTbl!$B$1:$L$45,10,FALSE),VLOOKUP($C76,EmpTbl!$B$1:$L$45,3,FALSE))</f>
        <v>58.5</v>
      </c>
      <c r="Q76" s="55">
        <f>IF($AE$1&lt;&gt;"",VLOOKUP($C76,EmpTbl!$B$1:$L$45,10,FALSE),VLOOKUP($C76,EmpTbl!$B$1:$L$45,4,FALSE))</f>
        <v>78</v>
      </c>
      <c r="R76" s="55">
        <f>IF($AE$1&lt;&gt;"",VLOOKUP($C76,EmpTbl!$B$1:$L$45,9,FALSE),VLOOKUP($C76,EmpTbl!$B$1:$L$45,2,FALSE))</f>
        <v>39</v>
      </c>
      <c r="S76" s="55">
        <f t="shared" si="68"/>
        <v>3246.75</v>
      </c>
      <c r="T76" s="55">
        <f t="shared" si="69"/>
        <v>1999.4499999999998</v>
      </c>
      <c r="U76" s="45"/>
      <c r="V76" s="46"/>
      <c r="W76" s="46">
        <v>2</v>
      </c>
      <c r="X76" s="47"/>
      <c r="Y76" s="46"/>
    </row>
    <row r="77" spans="1:32" s="48" customFormat="1" x14ac:dyDescent="0.45">
      <c r="A77" s="42">
        <f>$A72</f>
        <v>46012</v>
      </c>
      <c r="B77" s="43" t="s">
        <v>44</v>
      </c>
      <c r="C77" s="44" t="s">
        <v>37</v>
      </c>
      <c r="D77" s="45">
        <v>40</v>
      </c>
      <c r="E77" s="45">
        <f>31-11</f>
        <v>20</v>
      </c>
      <c r="F77" s="45">
        <v>0</v>
      </c>
      <c r="G77" s="45">
        <v>11</v>
      </c>
      <c r="H77" s="55">
        <v>68</v>
      </c>
      <c r="I77" s="55">
        <f t="shared" si="64"/>
        <v>88.4</v>
      </c>
      <c r="J77" s="55">
        <f t="shared" si="65"/>
        <v>115.6</v>
      </c>
      <c r="K77" s="55">
        <f t="shared" si="70"/>
        <v>68</v>
      </c>
      <c r="L77" s="55">
        <v>0</v>
      </c>
      <c r="M77" s="55">
        <f t="shared" si="66"/>
        <v>71</v>
      </c>
      <c r="N77" s="55">
        <f t="shared" si="67"/>
        <v>5236</v>
      </c>
      <c r="O77" s="55">
        <f>IF($AE$1&lt;&gt;"",VLOOKUP($C77,EmpTbl!$B$1:$L$45,9,FALSE),VLOOKUP($C77,EmpTbl!$B$1:$L$45,2,FALSE))</f>
        <v>36</v>
      </c>
      <c r="P77" s="55">
        <f>IF($AE$1&lt;&gt;"",VLOOKUP($C77,EmpTbl!$B$1:$L$45,10,FALSE),VLOOKUP($C77,EmpTbl!$B$1:$L$45,3,FALSE))</f>
        <v>54</v>
      </c>
      <c r="Q77" s="55">
        <f>IF($AE$1&lt;&gt;"",VLOOKUP($C77,EmpTbl!$B$1:$L$45,10,FALSE),VLOOKUP($C77,EmpTbl!$B$1:$L$45,4,FALSE))</f>
        <v>72</v>
      </c>
      <c r="R77" s="55">
        <f>IF($AE$1&lt;&gt;"",VLOOKUP($C77,EmpTbl!$B$1:$L$45,9,FALSE),VLOOKUP($C77,EmpTbl!$B$1:$L$45,2,FALSE))</f>
        <v>36</v>
      </c>
      <c r="S77" s="55">
        <f t="shared" si="68"/>
        <v>2916</v>
      </c>
      <c r="T77" s="55">
        <f t="shared" si="69"/>
        <v>2320</v>
      </c>
      <c r="U77" s="45"/>
      <c r="V77" s="46"/>
      <c r="W77" s="46">
        <v>6</v>
      </c>
      <c r="X77" s="47"/>
      <c r="Y77" s="46"/>
      <c r="Z77" s="71"/>
    </row>
    <row r="78" spans="1:32" s="48" customFormat="1" x14ac:dyDescent="0.45">
      <c r="A78" s="42">
        <f>$A72</f>
        <v>46012</v>
      </c>
      <c r="B78" s="43" t="s">
        <v>59</v>
      </c>
      <c r="C78" s="44" t="s">
        <v>58</v>
      </c>
      <c r="D78" s="45">
        <v>33</v>
      </c>
      <c r="E78" s="45">
        <v>0</v>
      </c>
      <c r="F78" s="45">
        <v>0</v>
      </c>
      <c r="G78" s="45">
        <v>8</v>
      </c>
      <c r="H78" s="55">
        <v>68</v>
      </c>
      <c r="I78" s="55">
        <f t="shared" si="64"/>
        <v>88.4</v>
      </c>
      <c r="J78" s="55">
        <f t="shared" si="65"/>
        <v>115.6</v>
      </c>
      <c r="K78" s="55">
        <f t="shared" si="70"/>
        <v>68</v>
      </c>
      <c r="L78" s="55">
        <v>0</v>
      </c>
      <c r="M78" s="55">
        <f t="shared" ref="M78" si="71">SUM(D78:G78)</f>
        <v>41</v>
      </c>
      <c r="N78" s="55">
        <f t="shared" si="67"/>
        <v>2788</v>
      </c>
      <c r="O78" s="55">
        <f>IF($AE$1&lt;&gt;"",VLOOKUP($C78,EmpTbl!$B$1:$L$45,9,FALSE),VLOOKUP($C78,EmpTbl!$B$1:$L$45,2,FALSE))</f>
        <v>36</v>
      </c>
      <c r="P78" s="55">
        <f>IF($AE$1&lt;&gt;"",VLOOKUP($C78,EmpTbl!$B$1:$L$45,10,FALSE),VLOOKUP($C78,EmpTbl!$B$1:$L$45,3,FALSE))</f>
        <v>54</v>
      </c>
      <c r="Q78" s="55">
        <f>IF($AE$1&lt;&gt;"",VLOOKUP($C78,EmpTbl!$B$1:$L$45,10,FALSE),VLOOKUP($C78,EmpTbl!$B$1:$L$45,4,FALSE))</f>
        <v>72</v>
      </c>
      <c r="R78" s="55">
        <f>IF($AE$1&lt;&gt;"",VLOOKUP($C78,EmpTbl!$B$1:$L$45,9,FALSE),VLOOKUP($C78,EmpTbl!$B$1:$L$45,2,FALSE))</f>
        <v>36</v>
      </c>
      <c r="S78" s="55">
        <f t="shared" si="68"/>
        <v>1476</v>
      </c>
      <c r="T78" s="55">
        <f t="shared" si="69"/>
        <v>1312</v>
      </c>
      <c r="U78" s="45"/>
      <c r="V78" s="46"/>
      <c r="W78" s="46">
        <v>4</v>
      </c>
      <c r="X78" s="47"/>
      <c r="Y78" s="46"/>
    </row>
    <row r="79" spans="1:32" s="48" customFormat="1" x14ac:dyDescent="0.45">
      <c r="A79" s="42">
        <f>$A72</f>
        <v>46012</v>
      </c>
      <c r="B79" s="43" t="s">
        <v>90</v>
      </c>
      <c r="C79" s="44" t="s">
        <v>94</v>
      </c>
      <c r="D79" s="45">
        <v>40</v>
      </c>
      <c r="E79" s="45">
        <v>20</v>
      </c>
      <c r="F79" s="45">
        <v>0.5</v>
      </c>
      <c r="G79" s="45">
        <v>0</v>
      </c>
      <c r="H79" s="55">
        <v>68</v>
      </c>
      <c r="I79" s="55">
        <f t="shared" si="64"/>
        <v>88.4</v>
      </c>
      <c r="J79" s="55">
        <f t="shared" si="65"/>
        <v>115.6</v>
      </c>
      <c r="K79" s="55">
        <f t="shared" si="70"/>
        <v>68</v>
      </c>
      <c r="L79" s="55">
        <v>0</v>
      </c>
      <c r="M79" s="55">
        <f t="shared" ref="M79:M80" si="72">SUM(D79:G79)</f>
        <v>60.5</v>
      </c>
      <c r="N79" s="55">
        <f t="shared" si="67"/>
        <v>4545.8</v>
      </c>
      <c r="O79" s="55">
        <f>IF($AE$1&lt;&gt;"",VLOOKUP($C79,EmpTbl!$B$1:$L$45,9,FALSE),VLOOKUP($C79,EmpTbl!$B$1:$L$45,2,FALSE))</f>
        <v>30.67</v>
      </c>
      <c r="P79" s="55">
        <f>IF($AE$1&lt;&gt;"",VLOOKUP($C79,EmpTbl!$B$1:$L$45,10,FALSE),VLOOKUP($C79,EmpTbl!$B$1:$L$45,3,FALSE))</f>
        <v>46.005000000000003</v>
      </c>
      <c r="Q79" s="55">
        <f>IF($AE$1&lt;&gt;"",VLOOKUP($C79,EmpTbl!$B$1:$L$45,10,FALSE),VLOOKUP($C79,EmpTbl!$B$1:$L$45,4,FALSE))</f>
        <v>61.34</v>
      </c>
      <c r="R79" s="55">
        <f>IF($AE$1&lt;&gt;"",VLOOKUP($C79,EmpTbl!$B$1:$L$45,9,FALSE),VLOOKUP($C79,EmpTbl!$B$1:$L$45,2,FALSE))</f>
        <v>30.67</v>
      </c>
      <c r="S79" s="55">
        <f t="shared" si="68"/>
        <v>2177.5700000000002</v>
      </c>
      <c r="T79" s="55">
        <f t="shared" si="69"/>
        <v>2368.23</v>
      </c>
      <c r="U79" s="45"/>
      <c r="V79" s="46"/>
      <c r="W79" s="46">
        <v>5</v>
      </c>
      <c r="X79" s="47">
        <v>1</v>
      </c>
      <c r="Y79" s="46">
        <v>1</v>
      </c>
      <c r="Z79" s="81" t="s">
        <v>268</v>
      </c>
    </row>
    <row r="80" spans="1:32" s="48" customFormat="1" x14ac:dyDescent="0.45">
      <c r="A80" s="42">
        <f>$A72</f>
        <v>46012</v>
      </c>
      <c r="B80" s="43" t="s">
        <v>90</v>
      </c>
      <c r="C80" s="44" t="s">
        <v>190</v>
      </c>
      <c r="D80" s="45">
        <v>40</v>
      </c>
      <c r="E80" s="45">
        <f>14.5-8</f>
        <v>6.5</v>
      </c>
      <c r="F80" s="45">
        <v>0</v>
      </c>
      <c r="G80" s="45">
        <v>8</v>
      </c>
      <c r="H80" s="55">
        <v>68</v>
      </c>
      <c r="I80" s="55">
        <f t="shared" si="64"/>
        <v>88.4</v>
      </c>
      <c r="J80" s="55">
        <f t="shared" si="65"/>
        <v>115.6</v>
      </c>
      <c r="K80" s="55">
        <f t="shared" si="70"/>
        <v>68</v>
      </c>
      <c r="L80" s="55">
        <v>0</v>
      </c>
      <c r="M80" s="55">
        <f t="shared" si="72"/>
        <v>54.5</v>
      </c>
      <c r="N80" s="55">
        <f t="shared" si="67"/>
        <v>3838.6</v>
      </c>
      <c r="O80" s="55">
        <f>IF($AE$1&lt;&gt;"",VLOOKUP($C80,EmpTbl!$B$1:$L$45,9,FALSE),VLOOKUP($C80,EmpTbl!$B$1:$L$45,2,FALSE))</f>
        <v>30</v>
      </c>
      <c r="P80" s="55">
        <f>IF($AE$1&lt;&gt;"",VLOOKUP($C80,EmpTbl!$B$1:$L$45,10,FALSE),VLOOKUP($C80,EmpTbl!$B$1:$L$45,3,FALSE))</f>
        <v>45</v>
      </c>
      <c r="Q80" s="55">
        <f>IF($AE$1&lt;&gt;"",VLOOKUP($C80,EmpTbl!$B$1:$L$45,10,FALSE),VLOOKUP($C80,EmpTbl!$B$1:$L$45,4,FALSE))</f>
        <v>60</v>
      </c>
      <c r="R80" s="55">
        <f>IF($AE$1&lt;&gt;"",VLOOKUP($C80,EmpTbl!$B$1:$L$45,9,FALSE),VLOOKUP($C80,EmpTbl!$B$1:$L$45,2,FALSE))</f>
        <v>30</v>
      </c>
      <c r="S80" s="55">
        <f t="shared" si="68"/>
        <v>1732.5</v>
      </c>
      <c r="T80" s="55">
        <f t="shared" si="69"/>
        <v>2106.1</v>
      </c>
      <c r="U80" s="80"/>
      <c r="V80" s="46"/>
      <c r="W80" s="46">
        <v>4</v>
      </c>
      <c r="X80" s="47"/>
      <c r="Y80" s="46"/>
    </row>
    <row r="81" spans="1:32" s="48" customFormat="1" x14ac:dyDescent="0.45">
      <c r="A81" s="42">
        <f>$A72</f>
        <v>46012</v>
      </c>
      <c r="B81" s="44" t="s">
        <v>186</v>
      </c>
      <c r="C81" s="44" t="s">
        <v>189</v>
      </c>
      <c r="D81" s="45">
        <v>32.5</v>
      </c>
      <c r="E81" s="45">
        <v>0</v>
      </c>
      <c r="F81" s="45">
        <v>0</v>
      </c>
      <c r="G81" s="45">
        <v>14</v>
      </c>
      <c r="H81" s="55">
        <v>54</v>
      </c>
      <c r="I81" s="55">
        <f t="shared" si="64"/>
        <v>70.2</v>
      </c>
      <c r="J81" s="55">
        <f t="shared" si="65"/>
        <v>91.8</v>
      </c>
      <c r="K81" s="55">
        <f t="shared" si="70"/>
        <v>54</v>
      </c>
      <c r="L81" s="55">
        <v>0</v>
      </c>
      <c r="M81" s="55">
        <f>SUM(D81:G81)</f>
        <v>46.5</v>
      </c>
      <c r="N81" s="55">
        <f>ROUND((D81*H81)+(E81*I81)+(F81*J81)+(G81*K81),2)</f>
        <v>2511</v>
      </c>
      <c r="O81" s="55">
        <f>IF($AE$1&lt;&gt;"",VLOOKUP($C81,EmpTbl!$B$1:$L$45,9,FALSE),VLOOKUP($C81,EmpTbl!$B$1:$L$45,2,FALSE))</f>
        <v>27</v>
      </c>
      <c r="P81" s="55">
        <f>IF($AE$1&lt;&gt;"",VLOOKUP($C81,EmpTbl!$B$1:$L$45,10,FALSE),VLOOKUP($C81,EmpTbl!$B$1:$L$45,3,FALSE))</f>
        <v>40.5</v>
      </c>
      <c r="Q81" s="55">
        <f>IF($AE$1&lt;&gt;"",VLOOKUP($C81,EmpTbl!$B$1:$L$45,10,FALSE),VLOOKUP($C81,EmpTbl!$B$1:$L$45,4,FALSE))</f>
        <v>54</v>
      </c>
      <c r="R81" s="55">
        <f>IF($AE$1&lt;&gt;"",VLOOKUP($C81,EmpTbl!$B$1:$L$45,9,FALSE),VLOOKUP($C81,EmpTbl!$B$1:$L$45,2,FALSE))</f>
        <v>27</v>
      </c>
      <c r="S81" s="55">
        <f>ROUND(O81*D81+P81*E81+Q81*F81+G81*R81,2)</f>
        <v>1255.5</v>
      </c>
      <c r="T81" s="55">
        <f>N81-S81</f>
        <v>1255.5</v>
      </c>
      <c r="U81" s="80">
        <v>1</v>
      </c>
      <c r="V81" s="46"/>
      <c r="W81" s="46">
        <v>3</v>
      </c>
      <c r="X81" s="47"/>
      <c r="Y81" s="46"/>
    </row>
    <row r="82" spans="1:32" s="48" customFormat="1" x14ac:dyDescent="0.45">
      <c r="A82" s="42">
        <f>A81+7</f>
        <v>46019</v>
      </c>
      <c r="B82" s="43" t="s">
        <v>91</v>
      </c>
      <c r="C82" s="44" t="s">
        <v>92</v>
      </c>
      <c r="D82" s="45">
        <v>12</v>
      </c>
      <c r="E82" s="45">
        <v>0</v>
      </c>
      <c r="F82" s="45">
        <v>0</v>
      </c>
      <c r="G82" s="45">
        <v>13</v>
      </c>
      <c r="H82" s="55">
        <v>72</v>
      </c>
      <c r="I82" s="55">
        <f t="shared" ref="I82:I91" si="73">H82*1.3</f>
        <v>93.600000000000009</v>
      </c>
      <c r="J82" s="55">
        <f t="shared" ref="J82:J91" si="74">H82*1.7</f>
        <v>122.39999999999999</v>
      </c>
      <c r="K82" s="55">
        <v>72</v>
      </c>
      <c r="L82" s="55">
        <v>0</v>
      </c>
      <c r="M82" s="55">
        <f t="shared" ref="M82:M87" si="75">SUM(D82:G82)</f>
        <v>25</v>
      </c>
      <c r="N82" s="55">
        <f t="shared" ref="N82:N90" si="76">ROUND((D82*H82)+(E82*I82)+(F82*J82)+(G82*K82),2)</f>
        <v>1800</v>
      </c>
      <c r="O82" s="55">
        <f>IF($AE$1&lt;&gt;"",VLOOKUP($C82,EmpTbl!$B$1:$L$45,9,FALSE),VLOOKUP($C82,EmpTbl!$B$1:$L$45,2,FALSE))</f>
        <v>60</v>
      </c>
      <c r="P82" s="55">
        <f>IF($AE$1&lt;&gt;"",VLOOKUP($C82,EmpTbl!$B$1:$L$45,10,FALSE),VLOOKUP($C82,EmpTbl!$B$1:$L$45,3,FALSE))</f>
        <v>78</v>
      </c>
      <c r="Q82" s="55">
        <f>IF($AE$1&lt;&gt;"",VLOOKUP($C82,EmpTbl!$B$1:$L$45,10,FALSE),VLOOKUP($C82,EmpTbl!$B$1:$L$45,4,FALSE))</f>
        <v>102</v>
      </c>
      <c r="R82" s="55">
        <f>IF($AE$1&lt;&gt;"",VLOOKUP($C82,EmpTbl!$B$1:$L$45,9,FALSE),VLOOKUP($C82,EmpTbl!$B$1:$L$45,2,FALSE))</f>
        <v>60</v>
      </c>
      <c r="S82" s="55">
        <f t="shared" ref="S82:S90" si="77">ROUND(O82*D82+P82*E82+Q82*F82+G82*R82,2)</f>
        <v>1500</v>
      </c>
      <c r="T82" s="55">
        <f t="shared" ref="T82:T90" si="78">N82-S82</f>
        <v>300</v>
      </c>
      <c r="U82" s="45"/>
      <c r="V82" s="46"/>
      <c r="W82" s="46">
        <v>2</v>
      </c>
      <c r="X82" s="47">
        <v>1</v>
      </c>
      <c r="Y82" s="46">
        <v>1</v>
      </c>
      <c r="Z82" s="81" t="s">
        <v>270</v>
      </c>
      <c r="AC82" s="82">
        <v>61.400836793559229</v>
      </c>
      <c r="AD82" s="82">
        <v>40.592475197312119</v>
      </c>
      <c r="AE82" s="82">
        <v>20.80836159624711</v>
      </c>
      <c r="AF82" s="82">
        <v>164.12075000000002</v>
      </c>
    </row>
    <row r="83" spans="1:32" s="48" customFormat="1" x14ac:dyDescent="0.45">
      <c r="A83" s="42">
        <f>$A82</f>
        <v>46019</v>
      </c>
      <c r="B83" s="43" t="s">
        <v>55</v>
      </c>
      <c r="C83" s="44" t="s">
        <v>3</v>
      </c>
      <c r="D83" s="45">
        <v>0</v>
      </c>
      <c r="E83" s="45">
        <v>0</v>
      </c>
      <c r="F83" s="45">
        <v>0</v>
      </c>
      <c r="G83" s="45">
        <v>4</v>
      </c>
      <c r="H83" s="55">
        <v>72</v>
      </c>
      <c r="I83" s="55">
        <f t="shared" si="73"/>
        <v>93.600000000000009</v>
      </c>
      <c r="J83" s="55">
        <f t="shared" si="74"/>
        <v>122.39999999999999</v>
      </c>
      <c r="K83" s="55">
        <v>72</v>
      </c>
      <c r="L83" s="55">
        <v>0</v>
      </c>
      <c r="M83" s="55">
        <f t="shared" si="75"/>
        <v>4</v>
      </c>
      <c r="N83" s="55">
        <f t="shared" si="76"/>
        <v>288</v>
      </c>
      <c r="O83" s="55">
        <f>IF($AE$1&lt;&gt;"",VLOOKUP($C83,EmpTbl!$B$1:$L$45,9,FALSE),VLOOKUP($C83,EmpTbl!$B$1:$L$45,2,FALSE))</f>
        <v>57</v>
      </c>
      <c r="P83" s="55">
        <f>IF($AE$1&lt;&gt;"",VLOOKUP($C83,EmpTbl!$B$1:$L$45,10,FALSE),VLOOKUP($C83,EmpTbl!$B$1:$L$45,3,FALSE))</f>
        <v>74.100000000000009</v>
      </c>
      <c r="Q83" s="55">
        <f>IF($AE$1&lt;&gt;"",VLOOKUP($C83,EmpTbl!$B$1:$L$45,10,FALSE),VLOOKUP($C83,EmpTbl!$B$1:$L$45,4,FALSE))</f>
        <v>96.899999999999991</v>
      </c>
      <c r="R83" s="55">
        <f>IF($AE$1&lt;&gt;"",VLOOKUP($C83,EmpTbl!$B$1:$L$45,9,FALSE),VLOOKUP($C83,EmpTbl!$B$1:$L$45,2,FALSE))</f>
        <v>57</v>
      </c>
      <c r="S83" s="55">
        <f t="shared" si="77"/>
        <v>228</v>
      </c>
      <c r="T83" s="55">
        <f t="shared" si="78"/>
        <v>60</v>
      </c>
      <c r="U83" s="45"/>
      <c r="V83" s="46"/>
      <c r="W83" s="46">
        <v>1</v>
      </c>
      <c r="X83" s="46"/>
      <c r="Y83" s="46"/>
      <c r="Z83" s="83"/>
    </row>
    <row r="84" spans="1:32" customFormat="1" x14ac:dyDescent="0.45">
      <c r="A84" s="67">
        <f>$A82</f>
        <v>46019</v>
      </c>
      <c r="B84" s="68" t="s">
        <v>38</v>
      </c>
      <c r="C84" s="69" t="s">
        <v>39</v>
      </c>
      <c r="D84" s="70">
        <v>0</v>
      </c>
      <c r="E84" s="70">
        <v>0</v>
      </c>
      <c r="F84" s="70">
        <v>0</v>
      </c>
      <c r="G84" s="70">
        <v>0</v>
      </c>
      <c r="H84" s="73">
        <v>68</v>
      </c>
      <c r="I84" s="73">
        <f t="shared" si="73"/>
        <v>88.4</v>
      </c>
      <c r="J84" s="73">
        <f t="shared" si="74"/>
        <v>115.6</v>
      </c>
      <c r="K84" s="73">
        <f>H84</f>
        <v>68</v>
      </c>
      <c r="L84" s="73">
        <v>0</v>
      </c>
      <c r="M84" s="73">
        <f t="shared" si="75"/>
        <v>0</v>
      </c>
      <c r="N84" s="73">
        <f t="shared" si="76"/>
        <v>0</v>
      </c>
      <c r="O84" s="73">
        <f>IF($AE$1&lt;&gt;"",VLOOKUP($C84,EmpTbl!$B$1:$L$45,9,FALSE),VLOOKUP($C84,EmpTbl!$B$1:$L$45,2,FALSE))</f>
        <v>55</v>
      </c>
      <c r="P84" s="73">
        <f>IF($AE$1&lt;&gt;"",VLOOKUP($C84,EmpTbl!$B$1:$L$45,10,FALSE),VLOOKUP($C84,EmpTbl!$B$1:$L$45,3,FALSE))</f>
        <v>71.5</v>
      </c>
      <c r="Q84" s="73">
        <f>IF($AE$1&lt;&gt;"",VLOOKUP($C84,EmpTbl!$B$1:$L$45,10,FALSE),VLOOKUP($C84,EmpTbl!$B$1:$L$45,4,FALSE))</f>
        <v>93.5</v>
      </c>
      <c r="R84" s="73">
        <f>IF($AE$1&lt;&gt;"",VLOOKUP($C84,EmpTbl!$B$1:$L$45,9,FALSE),VLOOKUP($C84,EmpTbl!$B$1:$L$45,2,FALSE))</f>
        <v>55</v>
      </c>
      <c r="S84" s="73">
        <f t="shared" si="77"/>
        <v>0</v>
      </c>
      <c r="T84" s="73">
        <f t="shared" si="78"/>
        <v>0</v>
      </c>
      <c r="U84" s="70"/>
      <c r="V84" s="74"/>
      <c r="W84" s="74"/>
      <c r="X84" s="75"/>
      <c r="Y84" s="74"/>
    </row>
    <row r="85" spans="1:32" customFormat="1" x14ac:dyDescent="0.45">
      <c r="A85" s="67">
        <f>$A82</f>
        <v>46019</v>
      </c>
      <c r="B85" s="68" t="s">
        <v>40</v>
      </c>
      <c r="C85" s="69" t="s">
        <v>2</v>
      </c>
      <c r="D85" s="70">
        <v>12</v>
      </c>
      <c r="E85" s="70">
        <v>0</v>
      </c>
      <c r="F85" s="70">
        <v>0</v>
      </c>
      <c r="G85" s="70">
        <v>0</v>
      </c>
      <c r="H85" s="73">
        <v>68</v>
      </c>
      <c r="I85" s="73">
        <f t="shared" si="73"/>
        <v>88.4</v>
      </c>
      <c r="J85" s="73">
        <f t="shared" si="74"/>
        <v>115.6</v>
      </c>
      <c r="K85" s="73">
        <f t="shared" ref="K85:K91" si="79">H85</f>
        <v>68</v>
      </c>
      <c r="L85" s="73">
        <v>0</v>
      </c>
      <c r="M85" s="73">
        <f t="shared" si="75"/>
        <v>12</v>
      </c>
      <c r="N85" s="73">
        <f t="shared" si="76"/>
        <v>816</v>
      </c>
      <c r="O85" s="73">
        <f>IF($AE$1&lt;&gt;"",VLOOKUP($C85,EmpTbl!$B$1:$L$45,9,FALSE),VLOOKUP($C85,EmpTbl!$B$1:$L$45,2,FALSE))</f>
        <v>35</v>
      </c>
      <c r="P85" s="73">
        <f>IF($AE$1&lt;&gt;"",VLOOKUP($C85,EmpTbl!$B$1:$L$45,10,FALSE),VLOOKUP($C85,EmpTbl!$B$1:$L$45,3,FALSE))</f>
        <v>52.5</v>
      </c>
      <c r="Q85" s="73">
        <f>IF($AE$1&lt;&gt;"",VLOOKUP($C85,EmpTbl!$B$1:$L$45,10,FALSE),VLOOKUP($C85,EmpTbl!$B$1:$L$45,4,FALSE))</f>
        <v>70</v>
      </c>
      <c r="R85" s="73">
        <f>IF($AE$1&lt;&gt;"",VLOOKUP($C85,EmpTbl!$B$1:$L$45,9,FALSE),VLOOKUP($C85,EmpTbl!$B$1:$L$45,2,FALSE))</f>
        <v>35</v>
      </c>
      <c r="S85" s="73">
        <f t="shared" si="77"/>
        <v>420</v>
      </c>
      <c r="T85" s="73">
        <f t="shared" si="78"/>
        <v>396</v>
      </c>
      <c r="U85" s="70"/>
      <c r="V85" s="74"/>
      <c r="W85" s="74"/>
      <c r="X85" s="75"/>
      <c r="Y85" s="74"/>
    </row>
    <row r="86" spans="1:32" s="48" customFormat="1" x14ac:dyDescent="0.45">
      <c r="A86" s="42">
        <f>$A82</f>
        <v>46019</v>
      </c>
      <c r="B86" s="43" t="s">
        <v>41</v>
      </c>
      <c r="C86" s="44" t="s">
        <v>21</v>
      </c>
      <c r="D86" s="45">
        <v>8</v>
      </c>
      <c r="E86" s="45">
        <v>0</v>
      </c>
      <c r="F86" s="45">
        <v>0</v>
      </c>
      <c r="G86" s="45">
        <v>4</v>
      </c>
      <c r="H86" s="55">
        <v>68</v>
      </c>
      <c r="I86" s="55">
        <f t="shared" si="73"/>
        <v>88.4</v>
      </c>
      <c r="J86" s="55">
        <f t="shared" si="74"/>
        <v>115.6</v>
      </c>
      <c r="K86" s="55">
        <f t="shared" si="79"/>
        <v>68</v>
      </c>
      <c r="L86" s="55">
        <v>0</v>
      </c>
      <c r="M86" s="55">
        <f t="shared" si="75"/>
        <v>12</v>
      </c>
      <c r="N86" s="55">
        <f t="shared" si="76"/>
        <v>816</v>
      </c>
      <c r="O86" s="55">
        <f>IF($AE$1&lt;&gt;"",VLOOKUP($C86,EmpTbl!$B$1:$L$45,9,FALSE),VLOOKUP($C86,EmpTbl!$B$1:$L$45,2,FALSE))</f>
        <v>39</v>
      </c>
      <c r="P86" s="55">
        <f>IF($AE$1&lt;&gt;"",VLOOKUP($C86,EmpTbl!$B$1:$L$45,10,FALSE),VLOOKUP($C86,EmpTbl!$B$1:$L$45,3,FALSE))</f>
        <v>58.5</v>
      </c>
      <c r="Q86" s="55">
        <f>IF($AE$1&lt;&gt;"",VLOOKUP($C86,EmpTbl!$B$1:$L$45,10,FALSE),VLOOKUP($C86,EmpTbl!$B$1:$L$45,4,FALSE))</f>
        <v>78</v>
      </c>
      <c r="R86" s="55">
        <f>IF($AE$1&lt;&gt;"",VLOOKUP($C86,EmpTbl!$B$1:$L$45,9,FALSE),VLOOKUP($C86,EmpTbl!$B$1:$L$45,2,FALSE))</f>
        <v>39</v>
      </c>
      <c r="S86" s="55">
        <f t="shared" si="77"/>
        <v>468</v>
      </c>
      <c r="T86" s="55">
        <f t="shared" si="78"/>
        <v>348</v>
      </c>
      <c r="U86" s="45"/>
      <c r="V86" s="46"/>
      <c r="W86" s="46">
        <v>1</v>
      </c>
      <c r="X86" s="47"/>
      <c r="Y86" s="46"/>
    </row>
    <row r="87" spans="1:32" customFormat="1" x14ac:dyDescent="0.45">
      <c r="A87" s="67">
        <f>$A82</f>
        <v>46019</v>
      </c>
      <c r="B87" s="68" t="s">
        <v>44</v>
      </c>
      <c r="C87" s="69" t="s">
        <v>37</v>
      </c>
      <c r="D87" s="70">
        <v>0</v>
      </c>
      <c r="E87" s="70">
        <v>0</v>
      </c>
      <c r="F87" s="70">
        <v>0</v>
      </c>
      <c r="G87" s="70">
        <v>0</v>
      </c>
      <c r="H87" s="73">
        <v>68</v>
      </c>
      <c r="I87" s="73">
        <f t="shared" si="73"/>
        <v>88.4</v>
      </c>
      <c r="J87" s="73">
        <f t="shared" si="74"/>
        <v>115.6</v>
      </c>
      <c r="K87" s="73">
        <f t="shared" si="79"/>
        <v>68</v>
      </c>
      <c r="L87" s="73">
        <v>0</v>
      </c>
      <c r="M87" s="73">
        <f t="shared" si="75"/>
        <v>0</v>
      </c>
      <c r="N87" s="73">
        <f t="shared" si="76"/>
        <v>0</v>
      </c>
      <c r="O87" s="73">
        <f>IF($AE$1&lt;&gt;"",VLOOKUP($C87,EmpTbl!$B$1:$L$45,9,FALSE),VLOOKUP($C87,EmpTbl!$B$1:$L$45,2,FALSE))</f>
        <v>36</v>
      </c>
      <c r="P87" s="73">
        <f>IF($AE$1&lt;&gt;"",VLOOKUP($C87,EmpTbl!$B$1:$L$45,10,FALSE),VLOOKUP($C87,EmpTbl!$B$1:$L$45,3,FALSE))</f>
        <v>54</v>
      </c>
      <c r="Q87" s="73">
        <f>IF($AE$1&lt;&gt;"",VLOOKUP($C87,EmpTbl!$B$1:$L$45,10,FALSE),VLOOKUP($C87,EmpTbl!$B$1:$L$45,4,FALSE))</f>
        <v>72</v>
      </c>
      <c r="R87" s="73">
        <f>IF($AE$1&lt;&gt;"",VLOOKUP($C87,EmpTbl!$B$1:$L$45,9,FALSE),VLOOKUP($C87,EmpTbl!$B$1:$L$45,2,FALSE))</f>
        <v>36</v>
      </c>
      <c r="S87" s="73">
        <f t="shared" si="77"/>
        <v>0</v>
      </c>
      <c r="T87" s="73">
        <f t="shared" si="78"/>
        <v>0</v>
      </c>
      <c r="U87" s="70"/>
      <c r="V87" s="74"/>
      <c r="W87" s="74"/>
      <c r="X87" s="75"/>
      <c r="Y87" s="74"/>
      <c r="Z87" s="78"/>
    </row>
    <row r="88" spans="1:32" customFormat="1" x14ac:dyDescent="0.45">
      <c r="A88" s="67">
        <f>$A82</f>
        <v>46019</v>
      </c>
      <c r="B88" s="68" t="s">
        <v>59</v>
      </c>
      <c r="C88" s="69" t="s">
        <v>58</v>
      </c>
      <c r="D88" s="70">
        <v>0</v>
      </c>
      <c r="E88" s="70">
        <v>0</v>
      </c>
      <c r="F88" s="70">
        <v>0</v>
      </c>
      <c r="G88" s="70">
        <v>0</v>
      </c>
      <c r="H88" s="73">
        <v>68</v>
      </c>
      <c r="I88" s="73">
        <f t="shared" si="73"/>
        <v>88.4</v>
      </c>
      <c r="J88" s="73">
        <f t="shared" si="74"/>
        <v>115.6</v>
      </c>
      <c r="K88" s="73">
        <f t="shared" si="79"/>
        <v>68</v>
      </c>
      <c r="L88" s="73">
        <v>0</v>
      </c>
      <c r="M88" s="73">
        <f t="shared" ref="M88" si="80">SUM(D88:G88)</f>
        <v>0</v>
      </c>
      <c r="N88" s="73">
        <f t="shared" si="76"/>
        <v>0</v>
      </c>
      <c r="O88" s="73">
        <f>IF($AE$1&lt;&gt;"",VLOOKUP($C88,EmpTbl!$B$1:$L$45,9,FALSE),VLOOKUP($C88,EmpTbl!$B$1:$L$45,2,FALSE))</f>
        <v>36</v>
      </c>
      <c r="P88" s="73">
        <f>IF($AE$1&lt;&gt;"",VLOOKUP($C88,EmpTbl!$B$1:$L$45,10,FALSE),VLOOKUP($C88,EmpTbl!$B$1:$L$45,3,FALSE))</f>
        <v>54</v>
      </c>
      <c r="Q88" s="73">
        <f>IF($AE$1&lt;&gt;"",VLOOKUP($C88,EmpTbl!$B$1:$L$45,10,FALSE),VLOOKUP($C88,EmpTbl!$B$1:$L$45,4,FALSE))</f>
        <v>72</v>
      </c>
      <c r="R88" s="73">
        <f>IF($AE$1&lt;&gt;"",VLOOKUP($C88,EmpTbl!$B$1:$L$45,9,FALSE),VLOOKUP($C88,EmpTbl!$B$1:$L$45,2,FALSE))</f>
        <v>36</v>
      </c>
      <c r="S88" s="73">
        <f t="shared" si="77"/>
        <v>0</v>
      </c>
      <c r="T88" s="73">
        <f t="shared" si="78"/>
        <v>0</v>
      </c>
      <c r="U88" s="70"/>
      <c r="V88" s="74"/>
      <c r="W88" s="74"/>
      <c r="X88" s="75"/>
      <c r="Y88" s="74"/>
    </row>
    <row r="89" spans="1:32" customFormat="1" x14ac:dyDescent="0.45">
      <c r="A89" s="67">
        <f>$A82</f>
        <v>46019</v>
      </c>
      <c r="B89" s="68" t="s">
        <v>90</v>
      </c>
      <c r="C89" s="69" t="s">
        <v>94</v>
      </c>
      <c r="D89" s="70">
        <v>0</v>
      </c>
      <c r="E89" s="70">
        <v>0</v>
      </c>
      <c r="F89" s="70">
        <v>0</v>
      </c>
      <c r="G89" s="70">
        <v>0</v>
      </c>
      <c r="H89" s="73">
        <v>68</v>
      </c>
      <c r="I89" s="73">
        <f t="shared" si="73"/>
        <v>88.4</v>
      </c>
      <c r="J89" s="73">
        <f t="shared" si="74"/>
        <v>115.6</v>
      </c>
      <c r="K89" s="73">
        <f t="shared" si="79"/>
        <v>68</v>
      </c>
      <c r="L89" s="73">
        <v>0</v>
      </c>
      <c r="M89" s="73">
        <f t="shared" ref="M89:M90" si="81">SUM(D89:G89)</f>
        <v>0</v>
      </c>
      <c r="N89" s="73">
        <f t="shared" si="76"/>
        <v>0</v>
      </c>
      <c r="O89" s="73">
        <f>IF($AE$1&lt;&gt;"",VLOOKUP($C89,EmpTbl!$B$1:$L$45,9,FALSE),VLOOKUP($C89,EmpTbl!$B$1:$L$45,2,FALSE))</f>
        <v>30.67</v>
      </c>
      <c r="P89" s="73">
        <f>IF($AE$1&lt;&gt;"",VLOOKUP($C89,EmpTbl!$B$1:$L$45,10,FALSE),VLOOKUP($C89,EmpTbl!$B$1:$L$45,3,FALSE))</f>
        <v>46.005000000000003</v>
      </c>
      <c r="Q89" s="73">
        <f>IF($AE$1&lt;&gt;"",VLOOKUP($C89,EmpTbl!$B$1:$L$45,10,FALSE),VLOOKUP($C89,EmpTbl!$B$1:$L$45,4,FALSE))</f>
        <v>61.34</v>
      </c>
      <c r="R89" s="73">
        <f>IF($AE$1&lt;&gt;"",VLOOKUP($C89,EmpTbl!$B$1:$L$45,9,FALSE),VLOOKUP($C89,EmpTbl!$B$1:$L$45,2,FALSE))</f>
        <v>30.67</v>
      </c>
      <c r="S89" s="73">
        <f t="shared" si="77"/>
        <v>0</v>
      </c>
      <c r="T89" s="73">
        <f t="shared" si="78"/>
        <v>0</v>
      </c>
      <c r="U89" s="70"/>
      <c r="V89" s="74"/>
      <c r="W89" s="74"/>
      <c r="X89" s="75"/>
      <c r="Y89" s="74"/>
      <c r="Z89" s="76"/>
    </row>
    <row r="90" spans="1:32" customFormat="1" x14ac:dyDescent="0.45">
      <c r="A90" s="67">
        <f>$A82</f>
        <v>46019</v>
      </c>
      <c r="B90" s="68" t="s">
        <v>90</v>
      </c>
      <c r="C90" s="69" t="s">
        <v>190</v>
      </c>
      <c r="D90" s="70">
        <v>23.5</v>
      </c>
      <c r="E90" s="70">
        <v>0</v>
      </c>
      <c r="F90" s="70">
        <v>0</v>
      </c>
      <c r="G90" s="70">
        <v>0</v>
      </c>
      <c r="H90" s="73">
        <v>68</v>
      </c>
      <c r="I90" s="73">
        <f t="shared" si="73"/>
        <v>88.4</v>
      </c>
      <c r="J90" s="73">
        <f t="shared" si="74"/>
        <v>115.6</v>
      </c>
      <c r="K90" s="73">
        <f t="shared" si="79"/>
        <v>68</v>
      </c>
      <c r="L90" s="73">
        <v>0</v>
      </c>
      <c r="M90" s="73">
        <f t="shared" si="81"/>
        <v>23.5</v>
      </c>
      <c r="N90" s="73">
        <f t="shared" si="76"/>
        <v>1598</v>
      </c>
      <c r="O90" s="73">
        <f>IF($AE$1&lt;&gt;"",VLOOKUP($C90,EmpTbl!$B$1:$L$45,9,FALSE),VLOOKUP($C90,EmpTbl!$B$1:$L$45,2,FALSE))</f>
        <v>30</v>
      </c>
      <c r="P90" s="73">
        <f>IF($AE$1&lt;&gt;"",VLOOKUP($C90,EmpTbl!$B$1:$L$45,10,FALSE),VLOOKUP($C90,EmpTbl!$B$1:$L$45,3,FALSE))</f>
        <v>45</v>
      </c>
      <c r="Q90" s="73">
        <f>IF($AE$1&lt;&gt;"",VLOOKUP($C90,EmpTbl!$B$1:$L$45,10,FALSE),VLOOKUP($C90,EmpTbl!$B$1:$L$45,4,FALSE))</f>
        <v>60</v>
      </c>
      <c r="R90" s="73">
        <f>IF($AE$1&lt;&gt;"",VLOOKUP($C90,EmpTbl!$B$1:$L$45,9,FALSE),VLOOKUP($C90,EmpTbl!$B$1:$L$45,2,FALSE))</f>
        <v>30</v>
      </c>
      <c r="S90" s="73">
        <f t="shared" si="77"/>
        <v>705</v>
      </c>
      <c r="T90" s="73">
        <f t="shared" si="78"/>
        <v>893</v>
      </c>
      <c r="U90" s="79"/>
      <c r="V90" s="74"/>
      <c r="W90" s="74"/>
      <c r="X90" s="75"/>
      <c r="Y90" s="74"/>
    </row>
    <row r="91" spans="1:32" customFormat="1" x14ac:dyDescent="0.45">
      <c r="A91" s="67">
        <f>$A82</f>
        <v>46019</v>
      </c>
      <c r="B91" s="69" t="s">
        <v>186</v>
      </c>
      <c r="C91" s="69" t="s">
        <v>189</v>
      </c>
      <c r="D91" s="70">
        <v>11.5</v>
      </c>
      <c r="E91" s="70">
        <v>0</v>
      </c>
      <c r="F91" s="70">
        <v>0</v>
      </c>
      <c r="G91" s="70">
        <v>0</v>
      </c>
      <c r="H91" s="73">
        <v>54</v>
      </c>
      <c r="I91" s="73">
        <f t="shared" si="73"/>
        <v>70.2</v>
      </c>
      <c r="J91" s="73">
        <f t="shared" si="74"/>
        <v>91.8</v>
      </c>
      <c r="K91" s="73">
        <f t="shared" si="79"/>
        <v>54</v>
      </c>
      <c r="L91" s="73">
        <v>0</v>
      </c>
      <c r="M91" s="73">
        <f>SUM(D91:G91)</f>
        <v>11.5</v>
      </c>
      <c r="N91" s="73">
        <f>ROUND((D91*H91)+(E91*I91)+(F91*J91)+(G91*K91),2)</f>
        <v>621</v>
      </c>
      <c r="O91" s="73">
        <f>IF($AE$1&lt;&gt;"",VLOOKUP($C91,EmpTbl!$B$1:$L$45,9,FALSE),VLOOKUP($C91,EmpTbl!$B$1:$L$45,2,FALSE))</f>
        <v>27</v>
      </c>
      <c r="P91" s="73">
        <f>IF($AE$1&lt;&gt;"",VLOOKUP($C91,EmpTbl!$B$1:$L$45,10,FALSE),VLOOKUP($C91,EmpTbl!$B$1:$L$45,3,FALSE))</f>
        <v>40.5</v>
      </c>
      <c r="Q91" s="73">
        <f>IF($AE$1&lt;&gt;"",VLOOKUP($C91,EmpTbl!$B$1:$L$45,10,FALSE),VLOOKUP($C91,EmpTbl!$B$1:$L$45,4,FALSE))</f>
        <v>54</v>
      </c>
      <c r="R91" s="73">
        <f>IF($AE$1&lt;&gt;"",VLOOKUP($C91,EmpTbl!$B$1:$L$45,9,FALSE),VLOOKUP($C91,EmpTbl!$B$1:$L$45,2,FALSE))</f>
        <v>27</v>
      </c>
      <c r="S91" s="73">
        <f>ROUND(O91*D91+P91*E91+Q91*F91+G91*R91,2)</f>
        <v>310.5</v>
      </c>
      <c r="T91" s="73">
        <f>N91-S91</f>
        <v>310.5</v>
      </c>
      <c r="U91" s="79"/>
      <c r="V91" s="74"/>
      <c r="W91" s="74"/>
      <c r="X91" s="75"/>
      <c r="Y91" s="74"/>
    </row>
    <row r="92" spans="1:32" customFormat="1" x14ac:dyDescent="0.45">
      <c r="A92" s="67">
        <f>A91+7</f>
        <v>46026</v>
      </c>
      <c r="B92" s="68" t="s">
        <v>91</v>
      </c>
      <c r="C92" s="69" t="s">
        <v>92</v>
      </c>
      <c r="D92" s="70">
        <v>0</v>
      </c>
      <c r="E92" s="70">
        <v>0</v>
      </c>
      <c r="F92" s="70">
        <v>0</v>
      </c>
      <c r="G92" s="70">
        <v>0</v>
      </c>
      <c r="H92" s="73">
        <v>72</v>
      </c>
      <c r="I92" s="73">
        <f t="shared" ref="I92:I101" si="82">H92*1.3</f>
        <v>93.600000000000009</v>
      </c>
      <c r="J92" s="73">
        <f t="shared" ref="J92:J101" si="83">H92*1.7</f>
        <v>122.39999999999999</v>
      </c>
      <c r="K92" s="73">
        <v>72</v>
      </c>
      <c r="L92" s="73">
        <v>0</v>
      </c>
      <c r="M92" s="73">
        <f t="shared" ref="M92:M97" si="84">SUM(D92:G92)</f>
        <v>0</v>
      </c>
      <c r="N92" s="73">
        <f t="shared" ref="N92:N100" si="85">ROUND((D92*H92)+(E92*I92)+(F92*J92)+(G92*K92),2)</f>
        <v>0</v>
      </c>
      <c r="O92" s="73">
        <f>IF($AE$1&lt;&gt;"",VLOOKUP($C92,EmpTbl!$B$1:$L$45,9,FALSE),VLOOKUP($C92,EmpTbl!$B$1:$L$45,2,FALSE))</f>
        <v>60</v>
      </c>
      <c r="P92" s="73">
        <f>IF($AE$1&lt;&gt;"",VLOOKUP($C92,EmpTbl!$B$1:$L$45,10,FALSE),VLOOKUP($C92,EmpTbl!$B$1:$L$45,3,FALSE))</f>
        <v>78</v>
      </c>
      <c r="Q92" s="73">
        <f>IF($AE$1&lt;&gt;"",VLOOKUP($C92,EmpTbl!$B$1:$L$45,10,FALSE),VLOOKUP($C92,EmpTbl!$B$1:$L$45,4,FALSE))</f>
        <v>102</v>
      </c>
      <c r="R92" s="73">
        <f>IF($AE$1&lt;&gt;"",VLOOKUP($C92,EmpTbl!$B$1:$L$45,9,FALSE),VLOOKUP($C92,EmpTbl!$B$1:$L$45,2,FALSE))</f>
        <v>60</v>
      </c>
      <c r="S92" s="73">
        <f t="shared" ref="S92:S100" si="86">ROUND(O92*D92+P92*E92+Q92*F92+G92*R92,2)</f>
        <v>0</v>
      </c>
      <c r="T92" s="73">
        <f t="shared" ref="T92:T100" si="87">N92-S92</f>
        <v>0</v>
      </c>
      <c r="U92" s="70"/>
      <c r="V92" s="74"/>
      <c r="W92" s="74"/>
      <c r="X92" s="75"/>
      <c r="Y92" s="74"/>
      <c r="Z92" s="76"/>
      <c r="AC92" s="77">
        <v>61.400836793559229</v>
      </c>
      <c r="AD92" s="77">
        <v>40.592475197312119</v>
      </c>
      <c r="AE92" s="77">
        <v>20.80836159624711</v>
      </c>
      <c r="AF92" s="77">
        <v>164.12075000000002</v>
      </c>
    </row>
    <row r="93" spans="1:32" customFormat="1" x14ac:dyDescent="0.45">
      <c r="A93" s="67">
        <f>$A92</f>
        <v>46026</v>
      </c>
      <c r="B93" s="68" t="s">
        <v>55</v>
      </c>
      <c r="C93" s="69" t="s">
        <v>3</v>
      </c>
      <c r="D93" s="70">
        <v>0</v>
      </c>
      <c r="E93" s="70">
        <v>0</v>
      </c>
      <c r="F93" s="70">
        <v>0</v>
      </c>
      <c r="G93" s="70">
        <v>0</v>
      </c>
      <c r="H93" s="73">
        <v>72</v>
      </c>
      <c r="I93" s="73">
        <f t="shared" si="82"/>
        <v>93.600000000000009</v>
      </c>
      <c r="J93" s="73">
        <f t="shared" si="83"/>
        <v>122.39999999999999</v>
      </c>
      <c r="K93" s="73">
        <v>72</v>
      </c>
      <c r="L93" s="73">
        <v>0</v>
      </c>
      <c r="M93" s="73">
        <f t="shared" si="84"/>
        <v>0</v>
      </c>
      <c r="N93" s="73">
        <f t="shared" si="85"/>
        <v>0</v>
      </c>
      <c r="O93" s="73">
        <f>IF($AE$1&lt;&gt;"",VLOOKUP($C93,EmpTbl!$B$1:$L$45,9,FALSE),VLOOKUP($C93,EmpTbl!$B$1:$L$45,2,FALSE))</f>
        <v>57</v>
      </c>
      <c r="P93" s="73">
        <f>IF($AE$1&lt;&gt;"",VLOOKUP($C93,EmpTbl!$B$1:$L$45,10,FALSE),VLOOKUP($C93,EmpTbl!$B$1:$L$45,3,FALSE))</f>
        <v>74.100000000000009</v>
      </c>
      <c r="Q93" s="73">
        <f>IF($AE$1&lt;&gt;"",VLOOKUP($C93,EmpTbl!$B$1:$L$45,10,FALSE),VLOOKUP($C93,EmpTbl!$B$1:$L$45,4,FALSE))</f>
        <v>96.899999999999991</v>
      </c>
      <c r="R93" s="73">
        <f>IF($AE$1&lt;&gt;"",VLOOKUP($C93,EmpTbl!$B$1:$L$45,9,FALSE),VLOOKUP($C93,EmpTbl!$B$1:$L$45,2,FALSE))</f>
        <v>57</v>
      </c>
      <c r="S93" s="73">
        <f t="shared" si="86"/>
        <v>0</v>
      </c>
      <c r="T93" s="73">
        <f t="shared" si="87"/>
        <v>0</v>
      </c>
      <c r="U93" s="70"/>
      <c r="V93" s="74"/>
      <c r="W93" s="74"/>
      <c r="X93" s="74"/>
      <c r="Y93" s="74"/>
      <c r="Z93" s="19"/>
    </row>
    <row r="94" spans="1:32" customFormat="1" x14ac:dyDescent="0.45">
      <c r="A94" s="67">
        <f>$A92</f>
        <v>46026</v>
      </c>
      <c r="B94" s="68" t="s">
        <v>38</v>
      </c>
      <c r="C94" s="69" t="s">
        <v>39</v>
      </c>
      <c r="D94" s="70">
        <v>0</v>
      </c>
      <c r="E94" s="70">
        <v>0</v>
      </c>
      <c r="F94" s="70">
        <v>0</v>
      </c>
      <c r="G94" s="70">
        <v>0</v>
      </c>
      <c r="H94" s="73">
        <v>68</v>
      </c>
      <c r="I94" s="73">
        <f t="shared" si="82"/>
        <v>88.4</v>
      </c>
      <c r="J94" s="73">
        <f t="shared" si="83"/>
        <v>115.6</v>
      </c>
      <c r="K94" s="73">
        <f>H94</f>
        <v>68</v>
      </c>
      <c r="L94" s="73">
        <v>0</v>
      </c>
      <c r="M94" s="73">
        <f t="shared" si="84"/>
        <v>0</v>
      </c>
      <c r="N94" s="73">
        <f t="shared" si="85"/>
        <v>0</v>
      </c>
      <c r="O94" s="73">
        <f>IF($AE$1&lt;&gt;"",VLOOKUP($C94,EmpTbl!$B$1:$L$45,9,FALSE),VLOOKUP($C94,EmpTbl!$B$1:$L$45,2,FALSE))</f>
        <v>55</v>
      </c>
      <c r="P94" s="73">
        <f>IF($AE$1&lt;&gt;"",VLOOKUP($C94,EmpTbl!$B$1:$L$45,10,FALSE),VLOOKUP($C94,EmpTbl!$B$1:$L$45,3,FALSE))</f>
        <v>71.5</v>
      </c>
      <c r="Q94" s="73">
        <f>IF($AE$1&lt;&gt;"",VLOOKUP($C94,EmpTbl!$B$1:$L$45,10,FALSE),VLOOKUP($C94,EmpTbl!$B$1:$L$45,4,FALSE))</f>
        <v>93.5</v>
      </c>
      <c r="R94" s="73">
        <f>IF($AE$1&lt;&gt;"",VLOOKUP($C94,EmpTbl!$B$1:$L$45,9,FALSE),VLOOKUP($C94,EmpTbl!$B$1:$L$45,2,FALSE))</f>
        <v>55</v>
      </c>
      <c r="S94" s="73">
        <f t="shared" si="86"/>
        <v>0</v>
      </c>
      <c r="T94" s="73">
        <f t="shared" si="87"/>
        <v>0</v>
      </c>
      <c r="U94" s="70"/>
      <c r="V94" s="74"/>
      <c r="W94" s="74"/>
      <c r="X94" s="75"/>
      <c r="Y94" s="74"/>
    </row>
    <row r="95" spans="1:32" customFormat="1" x14ac:dyDescent="0.45">
      <c r="A95" s="67">
        <f>$A92</f>
        <v>46026</v>
      </c>
      <c r="B95" s="68" t="s">
        <v>40</v>
      </c>
      <c r="C95" s="69" t="s">
        <v>2</v>
      </c>
      <c r="D95" s="70">
        <v>0</v>
      </c>
      <c r="E95" s="70">
        <v>0</v>
      </c>
      <c r="F95" s="70">
        <v>0</v>
      </c>
      <c r="G95" s="70">
        <v>0</v>
      </c>
      <c r="H95" s="73">
        <v>68</v>
      </c>
      <c r="I95" s="73">
        <f t="shared" si="82"/>
        <v>88.4</v>
      </c>
      <c r="J95" s="73">
        <f t="shared" si="83"/>
        <v>115.6</v>
      </c>
      <c r="K95" s="73">
        <f t="shared" ref="K95:K101" si="88">H95</f>
        <v>68</v>
      </c>
      <c r="L95" s="73">
        <v>0</v>
      </c>
      <c r="M95" s="73">
        <f t="shared" si="84"/>
        <v>0</v>
      </c>
      <c r="N95" s="73">
        <f t="shared" si="85"/>
        <v>0</v>
      </c>
      <c r="O95" s="73">
        <f>IF($AE$1&lt;&gt;"",VLOOKUP($C95,EmpTbl!$B$1:$L$45,9,FALSE),VLOOKUP($C95,EmpTbl!$B$1:$L$45,2,FALSE))</f>
        <v>35</v>
      </c>
      <c r="P95" s="73">
        <f>IF($AE$1&lt;&gt;"",VLOOKUP($C95,EmpTbl!$B$1:$L$45,10,FALSE),VLOOKUP($C95,EmpTbl!$B$1:$L$45,3,FALSE))</f>
        <v>52.5</v>
      </c>
      <c r="Q95" s="73">
        <f>IF($AE$1&lt;&gt;"",VLOOKUP($C95,EmpTbl!$B$1:$L$45,10,FALSE),VLOOKUP($C95,EmpTbl!$B$1:$L$45,4,FALSE))</f>
        <v>70</v>
      </c>
      <c r="R95" s="73">
        <f>IF($AE$1&lt;&gt;"",VLOOKUP($C95,EmpTbl!$B$1:$L$45,9,FALSE),VLOOKUP($C95,EmpTbl!$B$1:$L$45,2,FALSE))</f>
        <v>35</v>
      </c>
      <c r="S95" s="73">
        <f t="shared" si="86"/>
        <v>0</v>
      </c>
      <c r="T95" s="73">
        <f t="shared" si="87"/>
        <v>0</v>
      </c>
      <c r="U95" s="70"/>
      <c r="V95" s="74"/>
      <c r="W95" s="74"/>
      <c r="X95" s="75"/>
      <c r="Y95" s="74"/>
    </row>
    <row r="96" spans="1:32" customFormat="1" x14ac:dyDescent="0.45">
      <c r="A96" s="67">
        <f>$A92</f>
        <v>46026</v>
      </c>
      <c r="B96" s="68" t="s">
        <v>41</v>
      </c>
      <c r="C96" s="69" t="s">
        <v>21</v>
      </c>
      <c r="D96" s="70">
        <v>0</v>
      </c>
      <c r="E96" s="70">
        <v>0</v>
      </c>
      <c r="F96" s="70">
        <v>0</v>
      </c>
      <c r="G96" s="70">
        <v>0</v>
      </c>
      <c r="H96" s="73">
        <v>68</v>
      </c>
      <c r="I96" s="73">
        <f t="shared" si="82"/>
        <v>88.4</v>
      </c>
      <c r="J96" s="73">
        <f t="shared" si="83"/>
        <v>115.6</v>
      </c>
      <c r="K96" s="73">
        <f t="shared" si="88"/>
        <v>68</v>
      </c>
      <c r="L96" s="73">
        <v>0</v>
      </c>
      <c r="M96" s="73">
        <f t="shared" si="84"/>
        <v>0</v>
      </c>
      <c r="N96" s="73">
        <f t="shared" si="85"/>
        <v>0</v>
      </c>
      <c r="O96" s="73">
        <f>IF($AE$1&lt;&gt;"",VLOOKUP($C96,EmpTbl!$B$1:$L$45,9,FALSE),VLOOKUP($C96,EmpTbl!$B$1:$L$45,2,FALSE))</f>
        <v>39</v>
      </c>
      <c r="P96" s="73">
        <f>IF($AE$1&lt;&gt;"",VLOOKUP($C96,EmpTbl!$B$1:$L$45,10,FALSE),VLOOKUP($C96,EmpTbl!$B$1:$L$45,3,FALSE))</f>
        <v>58.5</v>
      </c>
      <c r="Q96" s="73">
        <f>IF($AE$1&lt;&gt;"",VLOOKUP($C96,EmpTbl!$B$1:$L$45,10,FALSE),VLOOKUP($C96,EmpTbl!$B$1:$L$45,4,FALSE))</f>
        <v>78</v>
      </c>
      <c r="R96" s="73">
        <f>IF($AE$1&lt;&gt;"",VLOOKUP($C96,EmpTbl!$B$1:$L$45,9,FALSE),VLOOKUP($C96,EmpTbl!$B$1:$L$45,2,FALSE))</f>
        <v>39</v>
      </c>
      <c r="S96" s="73">
        <f t="shared" si="86"/>
        <v>0</v>
      </c>
      <c r="T96" s="73">
        <f t="shared" si="87"/>
        <v>0</v>
      </c>
      <c r="U96" s="70"/>
      <c r="V96" s="74"/>
      <c r="W96" s="74"/>
      <c r="X96" s="75"/>
      <c r="Y96" s="74"/>
    </row>
    <row r="97" spans="1:32" customFormat="1" x14ac:dyDescent="0.45">
      <c r="A97" s="67">
        <f>$A92</f>
        <v>46026</v>
      </c>
      <c r="B97" s="68" t="s">
        <v>44</v>
      </c>
      <c r="C97" s="69" t="s">
        <v>37</v>
      </c>
      <c r="D97" s="70">
        <v>0</v>
      </c>
      <c r="E97" s="70">
        <v>0</v>
      </c>
      <c r="F97" s="70">
        <v>0</v>
      </c>
      <c r="G97" s="70">
        <v>0</v>
      </c>
      <c r="H97" s="73">
        <v>68</v>
      </c>
      <c r="I97" s="73">
        <f t="shared" si="82"/>
        <v>88.4</v>
      </c>
      <c r="J97" s="73">
        <f t="shared" si="83"/>
        <v>115.6</v>
      </c>
      <c r="K97" s="73">
        <f t="shared" si="88"/>
        <v>68</v>
      </c>
      <c r="L97" s="73">
        <v>0</v>
      </c>
      <c r="M97" s="73">
        <f t="shared" si="84"/>
        <v>0</v>
      </c>
      <c r="N97" s="73">
        <f t="shared" si="85"/>
        <v>0</v>
      </c>
      <c r="O97" s="73">
        <f>IF($AE$1&lt;&gt;"",VLOOKUP($C97,EmpTbl!$B$1:$L$45,9,FALSE),VLOOKUP($C97,EmpTbl!$B$1:$L$45,2,FALSE))</f>
        <v>36</v>
      </c>
      <c r="P97" s="73">
        <f>IF($AE$1&lt;&gt;"",VLOOKUP($C97,EmpTbl!$B$1:$L$45,10,FALSE),VLOOKUP($C97,EmpTbl!$B$1:$L$45,3,FALSE))</f>
        <v>54</v>
      </c>
      <c r="Q97" s="73">
        <f>IF($AE$1&lt;&gt;"",VLOOKUP($C97,EmpTbl!$B$1:$L$45,10,FALSE),VLOOKUP($C97,EmpTbl!$B$1:$L$45,4,FALSE))</f>
        <v>72</v>
      </c>
      <c r="R97" s="73">
        <f>IF($AE$1&lt;&gt;"",VLOOKUP($C97,EmpTbl!$B$1:$L$45,9,FALSE),VLOOKUP($C97,EmpTbl!$B$1:$L$45,2,FALSE))</f>
        <v>36</v>
      </c>
      <c r="S97" s="73">
        <f t="shared" si="86"/>
        <v>0</v>
      </c>
      <c r="T97" s="73">
        <f t="shared" si="87"/>
        <v>0</v>
      </c>
      <c r="U97" s="70"/>
      <c r="V97" s="74"/>
      <c r="W97" s="74"/>
      <c r="X97" s="75"/>
      <c r="Y97" s="74"/>
      <c r="Z97" s="78"/>
    </row>
    <row r="98" spans="1:32" customFormat="1" x14ac:dyDescent="0.45">
      <c r="A98" s="67">
        <f>$A92</f>
        <v>46026</v>
      </c>
      <c r="B98" s="68" t="s">
        <v>59</v>
      </c>
      <c r="C98" s="69" t="s">
        <v>58</v>
      </c>
      <c r="D98" s="70">
        <v>0</v>
      </c>
      <c r="E98" s="70">
        <v>0</v>
      </c>
      <c r="F98" s="70">
        <v>0</v>
      </c>
      <c r="G98" s="70">
        <v>0</v>
      </c>
      <c r="H98" s="73">
        <v>68</v>
      </c>
      <c r="I98" s="73">
        <f t="shared" si="82"/>
        <v>88.4</v>
      </c>
      <c r="J98" s="73">
        <f t="shared" si="83"/>
        <v>115.6</v>
      </c>
      <c r="K98" s="73">
        <f t="shared" si="88"/>
        <v>68</v>
      </c>
      <c r="L98" s="73">
        <v>0</v>
      </c>
      <c r="M98" s="73">
        <f t="shared" ref="M98" si="89">SUM(D98:G98)</f>
        <v>0</v>
      </c>
      <c r="N98" s="73">
        <f t="shared" si="85"/>
        <v>0</v>
      </c>
      <c r="O98" s="73">
        <f>IF($AE$1&lt;&gt;"",VLOOKUP($C98,EmpTbl!$B$1:$L$45,9,FALSE),VLOOKUP($C98,EmpTbl!$B$1:$L$45,2,FALSE))</f>
        <v>36</v>
      </c>
      <c r="P98" s="73">
        <f>IF($AE$1&lt;&gt;"",VLOOKUP($C98,EmpTbl!$B$1:$L$45,10,FALSE),VLOOKUP($C98,EmpTbl!$B$1:$L$45,3,FALSE))</f>
        <v>54</v>
      </c>
      <c r="Q98" s="73">
        <f>IF($AE$1&lt;&gt;"",VLOOKUP($C98,EmpTbl!$B$1:$L$45,10,FALSE),VLOOKUP($C98,EmpTbl!$B$1:$L$45,4,FALSE))</f>
        <v>72</v>
      </c>
      <c r="R98" s="73">
        <f>IF($AE$1&lt;&gt;"",VLOOKUP($C98,EmpTbl!$B$1:$L$45,9,FALSE),VLOOKUP($C98,EmpTbl!$B$1:$L$45,2,FALSE))</f>
        <v>36</v>
      </c>
      <c r="S98" s="73">
        <f t="shared" si="86"/>
        <v>0</v>
      </c>
      <c r="T98" s="73">
        <f t="shared" si="87"/>
        <v>0</v>
      </c>
      <c r="U98" s="70"/>
      <c r="V98" s="74"/>
      <c r="W98" s="74"/>
      <c r="X98" s="75"/>
      <c r="Y98" s="74"/>
    </row>
    <row r="99" spans="1:32" s="48" customFormat="1" x14ac:dyDescent="0.45">
      <c r="A99" s="42">
        <f>$A92</f>
        <v>46026</v>
      </c>
      <c r="B99" s="43" t="s">
        <v>90</v>
      </c>
      <c r="C99" s="44" t="s">
        <v>94</v>
      </c>
      <c r="D99" s="45">
        <v>0</v>
      </c>
      <c r="E99" s="45">
        <v>0</v>
      </c>
      <c r="F99" s="45">
        <v>13.25</v>
      </c>
      <c r="G99" s="45">
        <v>0</v>
      </c>
      <c r="H99" s="55">
        <v>68</v>
      </c>
      <c r="I99" s="55">
        <f t="shared" si="82"/>
        <v>88.4</v>
      </c>
      <c r="J99" s="55">
        <f t="shared" si="83"/>
        <v>115.6</v>
      </c>
      <c r="K99" s="55">
        <f t="shared" si="88"/>
        <v>68</v>
      </c>
      <c r="L99" s="55">
        <v>0</v>
      </c>
      <c r="M99" s="55">
        <f t="shared" ref="M99:M100" si="90">SUM(D99:G99)</f>
        <v>13.25</v>
      </c>
      <c r="N99" s="55">
        <f t="shared" si="85"/>
        <v>1531.7</v>
      </c>
      <c r="O99" s="55">
        <f>IF($AE$1&lt;&gt;"",VLOOKUP($C99,EmpTbl!$B$1:$L$45,9,FALSE),VLOOKUP($C99,EmpTbl!$B$1:$L$45,2,FALSE))</f>
        <v>30.67</v>
      </c>
      <c r="P99" s="55">
        <f>IF($AE$1&lt;&gt;"",VLOOKUP($C99,EmpTbl!$B$1:$L$45,10,FALSE),VLOOKUP($C99,EmpTbl!$B$1:$L$45,3,FALSE))</f>
        <v>46.005000000000003</v>
      </c>
      <c r="Q99" s="55">
        <f>IF($AE$1&lt;&gt;"",VLOOKUP($C99,EmpTbl!$B$1:$L$45,10,FALSE),VLOOKUP($C99,EmpTbl!$B$1:$L$45,4,FALSE))</f>
        <v>61.34</v>
      </c>
      <c r="R99" s="55">
        <f>IF($AE$1&lt;&gt;"",VLOOKUP($C99,EmpTbl!$B$1:$L$45,9,FALSE),VLOOKUP($C99,EmpTbl!$B$1:$L$45,2,FALSE))</f>
        <v>30.67</v>
      </c>
      <c r="S99" s="55">
        <f t="shared" si="86"/>
        <v>812.76</v>
      </c>
      <c r="T99" s="55">
        <f t="shared" si="87"/>
        <v>718.94</v>
      </c>
      <c r="U99" s="45"/>
      <c r="V99" s="46"/>
      <c r="W99" s="46">
        <v>1</v>
      </c>
      <c r="X99" s="47"/>
      <c r="Y99" s="46"/>
      <c r="Z99" s="81"/>
    </row>
    <row r="100" spans="1:32" customFormat="1" x14ac:dyDescent="0.45">
      <c r="A100" s="67">
        <f>$A92</f>
        <v>46026</v>
      </c>
      <c r="B100" s="68" t="s">
        <v>90</v>
      </c>
      <c r="C100" s="69" t="s">
        <v>190</v>
      </c>
      <c r="D100" s="70">
        <v>0</v>
      </c>
      <c r="E100" s="70">
        <v>0</v>
      </c>
      <c r="F100" s="70">
        <v>0</v>
      </c>
      <c r="G100" s="70">
        <v>0</v>
      </c>
      <c r="H100" s="73">
        <v>68</v>
      </c>
      <c r="I100" s="73">
        <f t="shared" si="82"/>
        <v>88.4</v>
      </c>
      <c r="J100" s="73">
        <f t="shared" si="83"/>
        <v>115.6</v>
      </c>
      <c r="K100" s="73">
        <f t="shared" si="88"/>
        <v>68</v>
      </c>
      <c r="L100" s="73">
        <v>0</v>
      </c>
      <c r="M100" s="73">
        <f t="shared" si="90"/>
        <v>0</v>
      </c>
      <c r="N100" s="73">
        <f t="shared" si="85"/>
        <v>0</v>
      </c>
      <c r="O100" s="73">
        <f>IF($AE$1&lt;&gt;"",VLOOKUP($C100,EmpTbl!$B$1:$L$45,9,FALSE),VLOOKUP($C100,EmpTbl!$B$1:$L$45,2,FALSE))</f>
        <v>30</v>
      </c>
      <c r="P100" s="73">
        <f>IF($AE$1&lt;&gt;"",VLOOKUP($C100,EmpTbl!$B$1:$L$45,10,FALSE),VLOOKUP($C100,EmpTbl!$B$1:$L$45,3,FALSE))</f>
        <v>45</v>
      </c>
      <c r="Q100" s="73">
        <f>IF($AE$1&lt;&gt;"",VLOOKUP($C100,EmpTbl!$B$1:$L$45,10,FALSE),VLOOKUP($C100,EmpTbl!$B$1:$L$45,4,FALSE))</f>
        <v>60</v>
      </c>
      <c r="R100" s="73">
        <f>IF($AE$1&lt;&gt;"",VLOOKUP($C100,EmpTbl!$B$1:$L$45,9,FALSE),VLOOKUP($C100,EmpTbl!$B$1:$L$45,2,FALSE))</f>
        <v>30</v>
      </c>
      <c r="S100" s="73">
        <f t="shared" si="86"/>
        <v>0</v>
      </c>
      <c r="T100" s="73">
        <f t="shared" si="87"/>
        <v>0</v>
      </c>
      <c r="U100" s="79"/>
      <c r="V100" s="74"/>
      <c r="W100" s="74"/>
      <c r="X100" s="75"/>
      <c r="Y100" s="74"/>
    </row>
    <row r="101" spans="1:32" customFormat="1" x14ac:dyDescent="0.45">
      <c r="A101" s="67">
        <f>$A92</f>
        <v>46026</v>
      </c>
      <c r="B101" s="69" t="s">
        <v>186</v>
      </c>
      <c r="C101" s="69" t="s">
        <v>189</v>
      </c>
      <c r="D101" s="70">
        <v>0</v>
      </c>
      <c r="E101" s="70">
        <v>0</v>
      </c>
      <c r="F101" s="70">
        <v>0</v>
      </c>
      <c r="G101" s="70">
        <v>0</v>
      </c>
      <c r="H101" s="73">
        <v>54</v>
      </c>
      <c r="I101" s="73">
        <f t="shared" si="82"/>
        <v>70.2</v>
      </c>
      <c r="J101" s="73">
        <f t="shared" si="83"/>
        <v>91.8</v>
      </c>
      <c r="K101" s="73">
        <f t="shared" si="88"/>
        <v>54</v>
      </c>
      <c r="L101" s="73">
        <v>0</v>
      </c>
      <c r="M101" s="73">
        <f>SUM(D101:G101)</f>
        <v>0</v>
      </c>
      <c r="N101" s="73">
        <f>ROUND((D101*H101)+(E101*I101)+(F101*J101)+(G101*K101),2)</f>
        <v>0</v>
      </c>
      <c r="O101" s="73">
        <f>IF($AE$1&lt;&gt;"",VLOOKUP($C101,EmpTbl!$B$1:$L$45,9,FALSE),VLOOKUP($C101,EmpTbl!$B$1:$L$45,2,FALSE))</f>
        <v>27</v>
      </c>
      <c r="P101" s="73">
        <f>IF($AE$1&lt;&gt;"",VLOOKUP($C101,EmpTbl!$B$1:$L$45,10,FALSE),VLOOKUP($C101,EmpTbl!$B$1:$L$45,3,FALSE))</f>
        <v>40.5</v>
      </c>
      <c r="Q101" s="73">
        <f>IF($AE$1&lt;&gt;"",VLOOKUP($C101,EmpTbl!$B$1:$L$45,10,FALSE),VLOOKUP($C101,EmpTbl!$B$1:$L$45,4,FALSE))</f>
        <v>54</v>
      </c>
      <c r="R101" s="73">
        <f>IF($AE$1&lt;&gt;"",VLOOKUP($C101,EmpTbl!$B$1:$L$45,9,FALSE),VLOOKUP($C101,EmpTbl!$B$1:$L$45,2,FALSE))</f>
        <v>27</v>
      </c>
      <c r="S101" s="73">
        <f>ROUND(O101*D101+P101*E101+Q101*F101+G101*R101,2)</f>
        <v>0</v>
      </c>
      <c r="T101" s="73">
        <f>N101-S101</f>
        <v>0</v>
      </c>
      <c r="U101" s="79"/>
      <c r="V101" s="74"/>
      <c r="W101" s="74"/>
      <c r="X101" s="75"/>
      <c r="Y101" s="74"/>
    </row>
    <row r="102" spans="1:32" s="48" customFormat="1" x14ac:dyDescent="0.45">
      <c r="A102" s="42">
        <f>A101+7</f>
        <v>46033</v>
      </c>
      <c r="B102" s="43" t="s">
        <v>91</v>
      </c>
      <c r="C102" s="44" t="s">
        <v>92</v>
      </c>
      <c r="D102" s="45">
        <v>40</v>
      </c>
      <c r="E102" s="45">
        <f>32-12</f>
        <v>20</v>
      </c>
      <c r="F102" s="45">
        <v>8</v>
      </c>
      <c r="G102" s="45">
        <v>12</v>
      </c>
      <c r="H102" s="55">
        <v>72</v>
      </c>
      <c r="I102" s="55">
        <v>93.600000000000009</v>
      </c>
      <c r="J102" s="55">
        <v>122.39999999999999</v>
      </c>
      <c r="K102" s="55">
        <v>72</v>
      </c>
      <c r="L102" s="55">
        <v>0</v>
      </c>
      <c r="M102" s="55">
        <f t="shared" ref="M102:M107" si="91">SUM(D102:G102)</f>
        <v>80</v>
      </c>
      <c r="N102" s="55">
        <f t="shared" ref="N102:N110" si="92">ROUND((D102*H102)+(E102*I102)+(F102*J102)+(G102*K102),2)</f>
        <v>6595.2</v>
      </c>
      <c r="O102" s="55">
        <f>IF($AE$1&lt;&gt;"",VLOOKUP($C102,EmpTbl!$B$1:$L$45,9,FALSE),VLOOKUP($C102,EmpTbl!$B$1:$L$45,2,FALSE))</f>
        <v>60</v>
      </c>
      <c r="P102" s="55">
        <f>IF($AE$1&lt;&gt;"",VLOOKUP($C102,EmpTbl!$B$1:$L$45,10,FALSE),VLOOKUP($C102,EmpTbl!$B$1:$L$45,3,FALSE))</f>
        <v>78</v>
      </c>
      <c r="Q102" s="55">
        <f>IF($AE$1&lt;&gt;"",VLOOKUP($C102,EmpTbl!$B$1:$L$45,10,FALSE),VLOOKUP($C102,EmpTbl!$B$1:$L$45,4,FALSE))</f>
        <v>102</v>
      </c>
      <c r="R102" s="55">
        <f>IF($AE$1&lt;&gt;"",VLOOKUP($C102,EmpTbl!$B$1:$L$45,9,FALSE),VLOOKUP($C102,EmpTbl!$B$1:$L$45,2,FALSE))</f>
        <v>60</v>
      </c>
      <c r="S102" s="55">
        <f t="shared" ref="S102:S110" si="93">ROUND(O102*D102+P102*E102+Q102*F102+G102*R102,2)</f>
        <v>5496</v>
      </c>
      <c r="T102" s="55">
        <f t="shared" ref="T102:T110" si="94">N102-S102</f>
        <v>1099.1999999999998</v>
      </c>
      <c r="U102" s="45"/>
      <c r="V102" s="46"/>
      <c r="W102" s="46">
        <v>7</v>
      </c>
      <c r="X102" s="47">
        <v>1</v>
      </c>
      <c r="Y102" s="46">
        <v>1</v>
      </c>
      <c r="Z102" s="81" t="s">
        <v>271</v>
      </c>
      <c r="AC102" s="82">
        <v>61.400836793559229</v>
      </c>
      <c r="AD102" s="82">
        <v>40.592475197312119</v>
      </c>
      <c r="AE102" s="82">
        <v>20.80836159624711</v>
      </c>
      <c r="AF102" s="82">
        <v>164.12075000000002</v>
      </c>
    </row>
    <row r="103" spans="1:32" s="48" customFormat="1" x14ac:dyDescent="0.45">
      <c r="A103" s="42">
        <f>$A102</f>
        <v>46033</v>
      </c>
      <c r="B103" s="43" t="s">
        <v>55</v>
      </c>
      <c r="C103" s="44" t="s">
        <v>3</v>
      </c>
      <c r="D103" s="45">
        <v>40</v>
      </c>
      <c r="E103" s="45">
        <v>15.5</v>
      </c>
      <c r="F103" s="45">
        <v>0</v>
      </c>
      <c r="G103" s="45">
        <v>4</v>
      </c>
      <c r="H103" s="55">
        <v>72</v>
      </c>
      <c r="I103" s="55">
        <v>93.600000000000009</v>
      </c>
      <c r="J103" s="55">
        <v>122.39999999999999</v>
      </c>
      <c r="K103" s="55">
        <v>72</v>
      </c>
      <c r="L103" s="55">
        <v>0</v>
      </c>
      <c r="M103" s="55">
        <f t="shared" si="91"/>
        <v>59.5</v>
      </c>
      <c r="N103" s="55">
        <f t="shared" si="92"/>
        <v>4618.8</v>
      </c>
      <c r="O103" s="55">
        <f>IF($AE$1&lt;&gt;"",VLOOKUP($C103,EmpTbl!$B$1:$L$45,9,FALSE),VLOOKUP($C103,EmpTbl!$B$1:$L$45,2,FALSE))</f>
        <v>57</v>
      </c>
      <c r="P103" s="55">
        <f>IF($AE$1&lt;&gt;"",VLOOKUP($C103,EmpTbl!$B$1:$L$45,10,FALSE),VLOOKUP($C103,EmpTbl!$B$1:$L$45,3,FALSE))</f>
        <v>74.100000000000009</v>
      </c>
      <c r="Q103" s="55">
        <f>IF($AE$1&lt;&gt;"",VLOOKUP($C103,EmpTbl!$B$1:$L$45,10,FALSE),VLOOKUP($C103,EmpTbl!$B$1:$L$45,4,FALSE))</f>
        <v>96.899999999999991</v>
      </c>
      <c r="R103" s="55">
        <f>IF($AE$1&lt;&gt;"",VLOOKUP($C103,EmpTbl!$B$1:$L$45,9,FALSE),VLOOKUP($C103,EmpTbl!$B$1:$L$45,2,FALSE))</f>
        <v>57</v>
      </c>
      <c r="S103" s="55">
        <f t="shared" si="93"/>
        <v>3656.55</v>
      </c>
      <c r="T103" s="55">
        <f t="shared" si="94"/>
        <v>962.25</v>
      </c>
      <c r="U103" s="45"/>
      <c r="V103" s="46"/>
      <c r="W103" s="46">
        <v>5</v>
      </c>
      <c r="X103" s="46"/>
      <c r="Y103" s="46"/>
      <c r="Z103" s="83"/>
    </row>
    <row r="104" spans="1:32" customFormat="1" x14ac:dyDescent="0.45">
      <c r="A104" s="67">
        <f>$A102</f>
        <v>46033</v>
      </c>
      <c r="B104" s="68" t="s">
        <v>38</v>
      </c>
      <c r="C104" s="69" t="s">
        <v>39</v>
      </c>
      <c r="D104" s="70">
        <v>0</v>
      </c>
      <c r="E104" s="70">
        <v>0</v>
      </c>
      <c r="F104" s="70">
        <v>0</v>
      </c>
      <c r="G104" s="70">
        <v>0</v>
      </c>
      <c r="H104" s="73">
        <v>68</v>
      </c>
      <c r="I104" s="73">
        <v>88.4</v>
      </c>
      <c r="J104" s="73">
        <v>115.6</v>
      </c>
      <c r="K104" s="73">
        <v>68</v>
      </c>
      <c r="L104" s="73">
        <v>0</v>
      </c>
      <c r="M104" s="73">
        <f t="shared" si="91"/>
        <v>0</v>
      </c>
      <c r="N104" s="73">
        <f t="shared" si="92"/>
        <v>0</v>
      </c>
      <c r="O104" s="73">
        <f>IF($AE$1&lt;&gt;"",VLOOKUP($C104,EmpTbl!$B$1:$L$45,9,FALSE),VLOOKUP($C104,EmpTbl!$B$1:$L$45,2,FALSE))</f>
        <v>55</v>
      </c>
      <c r="P104" s="73">
        <f>IF($AE$1&lt;&gt;"",VLOOKUP($C104,EmpTbl!$B$1:$L$45,10,FALSE),VLOOKUP($C104,EmpTbl!$B$1:$L$45,3,FALSE))</f>
        <v>71.5</v>
      </c>
      <c r="Q104" s="73">
        <f>IF($AE$1&lt;&gt;"",VLOOKUP($C104,EmpTbl!$B$1:$L$45,10,FALSE),VLOOKUP($C104,EmpTbl!$B$1:$L$45,4,FALSE))</f>
        <v>93.5</v>
      </c>
      <c r="R104" s="73">
        <f>IF($AE$1&lt;&gt;"",VLOOKUP($C104,EmpTbl!$B$1:$L$45,9,FALSE),VLOOKUP($C104,EmpTbl!$B$1:$L$45,2,FALSE))</f>
        <v>55</v>
      </c>
      <c r="S104" s="73">
        <f t="shared" si="93"/>
        <v>0</v>
      </c>
      <c r="T104" s="73">
        <f t="shared" si="94"/>
        <v>0</v>
      </c>
      <c r="U104" s="70"/>
      <c r="V104" s="74"/>
      <c r="W104" s="74"/>
      <c r="X104" s="75"/>
      <c r="Y104" s="74"/>
    </row>
    <row r="105" spans="1:32" customFormat="1" x14ac:dyDescent="0.45">
      <c r="A105" s="67">
        <f>$A102</f>
        <v>46033</v>
      </c>
      <c r="B105" s="68" t="s">
        <v>40</v>
      </c>
      <c r="C105" s="69" t="s">
        <v>2</v>
      </c>
      <c r="D105" s="70">
        <v>40</v>
      </c>
      <c r="E105" s="70">
        <v>12.5</v>
      </c>
      <c r="F105" s="70">
        <v>1</v>
      </c>
      <c r="G105" s="70">
        <v>0</v>
      </c>
      <c r="H105" s="73">
        <v>68</v>
      </c>
      <c r="I105" s="73">
        <v>88.4</v>
      </c>
      <c r="J105" s="73">
        <v>115.6</v>
      </c>
      <c r="K105" s="73">
        <v>68</v>
      </c>
      <c r="L105" s="73">
        <v>0</v>
      </c>
      <c r="M105" s="73">
        <f t="shared" si="91"/>
        <v>53.5</v>
      </c>
      <c r="N105" s="73">
        <f t="shared" si="92"/>
        <v>3940.6</v>
      </c>
      <c r="O105" s="73">
        <f>IF($AE$1&lt;&gt;"",VLOOKUP($C105,EmpTbl!$B$1:$L$45,9,FALSE),VLOOKUP($C105,EmpTbl!$B$1:$L$45,2,FALSE))</f>
        <v>35</v>
      </c>
      <c r="P105" s="73">
        <f>IF($AE$1&lt;&gt;"",VLOOKUP($C105,EmpTbl!$B$1:$L$45,10,FALSE),VLOOKUP($C105,EmpTbl!$B$1:$L$45,3,FALSE))</f>
        <v>52.5</v>
      </c>
      <c r="Q105" s="73">
        <f>IF($AE$1&lt;&gt;"",VLOOKUP($C105,EmpTbl!$B$1:$L$45,10,FALSE),VLOOKUP($C105,EmpTbl!$B$1:$L$45,4,FALSE))</f>
        <v>70</v>
      </c>
      <c r="R105" s="73">
        <f>IF($AE$1&lt;&gt;"",VLOOKUP($C105,EmpTbl!$B$1:$L$45,9,FALSE),VLOOKUP($C105,EmpTbl!$B$1:$L$45,2,FALSE))</f>
        <v>35</v>
      </c>
      <c r="S105" s="73">
        <f t="shared" si="93"/>
        <v>2126.25</v>
      </c>
      <c r="T105" s="73">
        <f t="shared" si="94"/>
        <v>1814.35</v>
      </c>
      <c r="U105" s="70"/>
      <c r="V105" s="74"/>
      <c r="W105" s="74"/>
      <c r="X105" s="75"/>
      <c r="Y105" s="74"/>
    </row>
    <row r="106" spans="1:32" s="48" customFormat="1" x14ac:dyDescent="0.45">
      <c r="A106" s="42">
        <f>$A102</f>
        <v>46033</v>
      </c>
      <c r="B106" s="43" t="s">
        <v>41</v>
      </c>
      <c r="C106" s="44" t="s">
        <v>21</v>
      </c>
      <c r="D106" s="45">
        <v>40</v>
      </c>
      <c r="E106" s="45">
        <f>6-4</f>
        <v>2</v>
      </c>
      <c r="F106" s="45">
        <v>0</v>
      </c>
      <c r="G106" s="45">
        <v>4</v>
      </c>
      <c r="H106" s="55">
        <v>68</v>
      </c>
      <c r="I106" s="55">
        <v>88.4</v>
      </c>
      <c r="J106" s="55">
        <v>115.6</v>
      </c>
      <c r="K106" s="55">
        <v>68</v>
      </c>
      <c r="L106" s="55">
        <v>0</v>
      </c>
      <c r="M106" s="55">
        <f t="shared" si="91"/>
        <v>46</v>
      </c>
      <c r="N106" s="55">
        <f t="shared" si="92"/>
        <v>3168.8</v>
      </c>
      <c r="O106" s="55">
        <f>IF($AE$1&lt;&gt;"",VLOOKUP($C106,EmpTbl!$B$1:$L$45,9,FALSE),VLOOKUP($C106,EmpTbl!$B$1:$L$45,2,FALSE))</f>
        <v>39</v>
      </c>
      <c r="P106" s="55">
        <f>IF($AE$1&lt;&gt;"",VLOOKUP($C106,EmpTbl!$B$1:$L$45,10,FALSE),VLOOKUP($C106,EmpTbl!$B$1:$L$45,3,FALSE))</f>
        <v>58.5</v>
      </c>
      <c r="Q106" s="55">
        <f>IF($AE$1&lt;&gt;"",VLOOKUP($C106,EmpTbl!$B$1:$L$45,10,FALSE),VLOOKUP($C106,EmpTbl!$B$1:$L$45,4,FALSE))</f>
        <v>78</v>
      </c>
      <c r="R106" s="55">
        <f>IF($AE$1&lt;&gt;"",VLOOKUP($C106,EmpTbl!$B$1:$L$45,9,FALSE),VLOOKUP($C106,EmpTbl!$B$1:$L$45,2,FALSE))</f>
        <v>39</v>
      </c>
      <c r="S106" s="55">
        <f t="shared" si="93"/>
        <v>1833</v>
      </c>
      <c r="T106" s="55">
        <f t="shared" si="94"/>
        <v>1335.8000000000002</v>
      </c>
      <c r="U106" s="45"/>
      <c r="V106" s="46"/>
      <c r="W106" s="46">
        <v>1</v>
      </c>
      <c r="X106" s="47"/>
      <c r="Y106" s="46"/>
    </row>
    <row r="107" spans="1:32" s="48" customFormat="1" x14ac:dyDescent="0.45">
      <c r="A107" s="42">
        <f>$A102</f>
        <v>46033</v>
      </c>
      <c r="B107" s="43" t="s">
        <v>44</v>
      </c>
      <c r="C107" s="44" t="s">
        <v>37</v>
      </c>
      <c r="D107" s="45">
        <v>40</v>
      </c>
      <c r="E107" s="45">
        <f>29.25-9.25</f>
        <v>20</v>
      </c>
      <c r="F107" s="45">
        <v>12</v>
      </c>
      <c r="G107" s="45">
        <v>9.25</v>
      </c>
      <c r="H107" s="55">
        <v>68</v>
      </c>
      <c r="I107" s="55">
        <v>88.4</v>
      </c>
      <c r="J107" s="55">
        <v>115.6</v>
      </c>
      <c r="K107" s="55">
        <v>68</v>
      </c>
      <c r="L107" s="55">
        <v>0</v>
      </c>
      <c r="M107" s="55">
        <f t="shared" si="91"/>
        <v>81.25</v>
      </c>
      <c r="N107" s="55">
        <f t="shared" si="92"/>
        <v>6504.2</v>
      </c>
      <c r="O107" s="55">
        <f>IF($AE$1&lt;&gt;"",VLOOKUP($C107,EmpTbl!$B$1:$L$45,9,FALSE),VLOOKUP($C107,EmpTbl!$B$1:$L$45,2,FALSE))</f>
        <v>36</v>
      </c>
      <c r="P107" s="55">
        <f>IF($AE$1&lt;&gt;"",VLOOKUP($C107,EmpTbl!$B$1:$L$45,10,FALSE),VLOOKUP($C107,EmpTbl!$B$1:$L$45,3,FALSE))</f>
        <v>54</v>
      </c>
      <c r="Q107" s="55">
        <f>IF($AE$1&lt;&gt;"",VLOOKUP($C107,EmpTbl!$B$1:$L$45,10,FALSE),VLOOKUP($C107,EmpTbl!$B$1:$L$45,4,FALSE))</f>
        <v>72</v>
      </c>
      <c r="R107" s="55">
        <f>IF($AE$1&lt;&gt;"",VLOOKUP($C107,EmpTbl!$B$1:$L$45,9,FALSE),VLOOKUP($C107,EmpTbl!$B$1:$L$45,2,FALSE))</f>
        <v>36</v>
      </c>
      <c r="S107" s="55">
        <f t="shared" si="93"/>
        <v>3717</v>
      </c>
      <c r="T107" s="55">
        <f t="shared" si="94"/>
        <v>2787.2</v>
      </c>
      <c r="U107" s="45"/>
      <c r="V107" s="46"/>
      <c r="W107" s="46">
        <v>7</v>
      </c>
      <c r="X107" s="47"/>
      <c r="Y107" s="46"/>
      <c r="Z107" s="71"/>
    </row>
    <row r="108" spans="1:32" s="48" customFormat="1" x14ac:dyDescent="0.45">
      <c r="A108" s="42">
        <f>$A102</f>
        <v>46033</v>
      </c>
      <c r="B108" s="43" t="s">
        <v>59</v>
      </c>
      <c r="C108" s="44" t="s">
        <v>58</v>
      </c>
      <c r="D108" s="45">
        <f>21.5-2</f>
        <v>19.5</v>
      </c>
      <c r="E108" s="45">
        <v>0</v>
      </c>
      <c r="F108" s="45">
        <v>0</v>
      </c>
      <c r="G108" s="45">
        <v>2</v>
      </c>
      <c r="H108" s="55">
        <v>68</v>
      </c>
      <c r="I108" s="55">
        <v>88.4</v>
      </c>
      <c r="J108" s="55">
        <v>115.6</v>
      </c>
      <c r="K108" s="55">
        <v>68</v>
      </c>
      <c r="L108" s="55">
        <v>0</v>
      </c>
      <c r="M108" s="55">
        <f t="shared" ref="M108" si="95">SUM(D108:G108)</f>
        <v>21.5</v>
      </c>
      <c r="N108" s="55">
        <f t="shared" si="92"/>
        <v>1462</v>
      </c>
      <c r="O108" s="55">
        <f>IF($AE$1&lt;&gt;"",VLOOKUP($C108,EmpTbl!$B$1:$L$45,9,FALSE),VLOOKUP($C108,EmpTbl!$B$1:$L$45,2,FALSE))</f>
        <v>36</v>
      </c>
      <c r="P108" s="55">
        <f>IF($AE$1&lt;&gt;"",VLOOKUP($C108,EmpTbl!$B$1:$L$45,10,FALSE),VLOOKUP($C108,EmpTbl!$B$1:$L$45,3,FALSE))</f>
        <v>54</v>
      </c>
      <c r="Q108" s="55">
        <f>IF($AE$1&lt;&gt;"",VLOOKUP($C108,EmpTbl!$B$1:$L$45,10,FALSE),VLOOKUP($C108,EmpTbl!$B$1:$L$45,4,FALSE))</f>
        <v>72</v>
      </c>
      <c r="R108" s="55">
        <f>IF($AE$1&lt;&gt;"",VLOOKUP($C108,EmpTbl!$B$1:$L$45,9,FALSE),VLOOKUP($C108,EmpTbl!$B$1:$L$45,2,FALSE))</f>
        <v>36</v>
      </c>
      <c r="S108" s="55">
        <f t="shared" si="93"/>
        <v>774</v>
      </c>
      <c r="T108" s="55">
        <f t="shared" si="94"/>
        <v>688</v>
      </c>
      <c r="U108" s="45"/>
      <c r="V108" s="46"/>
      <c r="W108" s="46"/>
      <c r="X108" s="47"/>
      <c r="Y108" s="46"/>
    </row>
    <row r="109" spans="1:32" s="48" customFormat="1" x14ac:dyDescent="0.45">
      <c r="A109" s="42">
        <f>$A102</f>
        <v>46033</v>
      </c>
      <c r="B109" s="43" t="s">
        <v>90</v>
      </c>
      <c r="C109" s="44" t="s">
        <v>94</v>
      </c>
      <c r="D109" s="45">
        <v>40</v>
      </c>
      <c r="E109" s="45">
        <v>32</v>
      </c>
      <c r="F109" s="45">
        <v>8</v>
      </c>
      <c r="G109" s="45">
        <v>0</v>
      </c>
      <c r="H109" s="55">
        <v>68</v>
      </c>
      <c r="I109" s="55">
        <v>88.4</v>
      </c>
      <c r="J109" s="55">
        <v>115.6</v>
      </c>
      <c r="K109" s="55">
        <v>68</v>
      </c>
      <c r="L109" s="55">
        <v>0</v>
      </c>
      <c r="M109" s="55">
        <f t="shared" ref="M109:M110" si="96">SUM(D109:G109)</f>
        <v>80</v>
      </c>
      <c r="N109" s="55">
        <f t="shared" si="92"/>
        <v>6473.6</v>
      </c>
      <c r="O109" s="55">
        <f>IF($AE$1&lt;&gt;"",VLOOKUP($C109,EmpTbl!$B$1:$L$45,9,FALSE),VLOOKUP($C109,EmpTbl!$B$1:$L$45,2,FALSE))</f>
        <v>30.67</v>
      </c>
      <c r="P109" s="55">
        <f>IF($AE$1&lt;&gt;"",VLOOKUP($C109,EmpTbl!$B$1:$L$45,10,FALSE),VLOOKUP($C109,EmpTbl!$B$1:$L$45,3,FALSE))</f>
        <v>46.005000000000003</v>
      </c>
      <c r="Q109" s="55">
        <f>IF($AE$1&lt;&gt;"",VLOOKUP($C109,EmpTbl!$B$1:$L$45,10,FALSE),VLOOKUP($C109,EmpTbl!$B$1:$L$45,4,FALSE))</f>
        <v>61.34</v>
      </c>
      <c r="R109" s="55">
        <f>IF($AE$1&lt;&gt;"",VLOOKUP($C109,EmpTbl!$B$1:$L$45,9,FALSE),VLOOKUP($C109,EmpTbl!$B$1:$L$45,2,FALSE))</f>
        <v>30.67</v>
      </c>
      <c r="S109" s="55">
        <f t="shared" si="93"/>
        <v>3189.68</v>
      </c>
      <c r="T109" s="55">
        <f t="shared" si="94"/>
        <v>3283.9200000000005</v>
      </c>
      <c r="U109" s="45"/>
      <c r="V109" s="46"/>
      <c r="W109" s="46">
        <v>7</v>
      </c>
      <c r="X109" s="47"/>
      <c r="Y109" s="46"/>
      <c r="Z109" s="81"/>
    </row>
    <row r="110" spans="1:32" customFormat="1" x14ac:dyDescent="0.45">
      <c r="A110" s="67">
        <f>$A102</f>
        <v>46033</v>
      </c>
      <c r="B110" s="68" t="s">
        <v>90</v>
      </c>
      <c r="C110" s="69" t="s">
        <v>190</v>
      </c>
      <c r="D110" s="70">
        <v>40</v>
      </c>
      <c r="E110" s="70">
        <v>27.25</v>
      </c>
      <c r="F110" s="70">
        <v>0</v>
      </c>
      <c r="G110" s="70">
        <v>0</v>
      </c>
      <c r="H110" s="73">
        <v>68</v>
      </c>
      <c r="I110" s="73">
        <v>88.4</v>
      </c>
      <c r="J110" s="73">
        <v>115.6</v>
      </c>
      <c r="K110" s="73">
        <v>68</v>
      </c>
      <c r="L110" s="73">
        <v>0</v>
      </c>
      <c r="M110" s="73">
        <f t="shared" si="96"/>
        <v>67.25</v>
      </c>
      <c r="N110" s="73">
        <f t="shared" si="92"/>
        <v>5128.8999999999996</v>
      </c>
      <c r="O110" s="73">
        <f>IF($AE$1&lt;&gt;"",VLOOKUP($C110,EmpTbl!$B$1:$L$45,9,FALSE),VLOOKUP($C110,EmpTbl!$B$1:$L$45,2,FALSE))</f>
        <v>30</v>
      </c>
      <c r="P110" s="73">
        <f>IF($AE$1&lt;&gt;"",VLOOKUP($C110,EmpTbl!$B$1:$L$45,10,FALSE),VLOOKUP($C110,EmpTbl!$B$1:$L$45,3,FALSE))</f>
        <v>45</v>
      </c>
      <c r="Q110" s="73">
        <f>IF($AE$1&lt;&gt;"",VLOOKUP($C110,EmpTbl!$B$1:$L$45,10,FALSE),VLOOKUP($C110,EmpTbl!$B$1:$L$45,4,FALSE))</f>
        <v>60</v>
      </c>
      <c r="R110" s="73">
        <f>IF($AE$1&lt;&gt;"",VLOOKUP($C110,EmpTbl!$B$1:$L$45,9,FALSE),VLOOKUP($C110,EmpTbl!$B$1:$L$45,2,FALSE))</f>
        <v>30</v>
      </c>
      <c r="S110" s="73">
        <f t="shared" si="93"/>
        <v>2426.25</v>
      </c>
      <c r="T110" s="73">
        <f t="shared" si="94"/>
        <v>2702.6499999999996</v>
      </c>
      <c r="U110" s="79">
        <v>1</v>
      </c>
      <c r="V110" s="74"/>
      <c r="W110" s="74"/>
      <c r="X110" s="75"/>
      <c r="Y110" s="74"/>
    </row>
    <row r="111" spans="1:32" s="48" customFormat="1" x14ac:dyDescent="0.45">
      <c r="A111" s="42">
        <f>$A102</f>
        <v>46033</v>
      </c>
      <c r="B111" s="44" t="s">
        <v>186</v>
      </c>
      <c r="C111" s="44" t="s">
        <v>189</v>
      </c>
      <c r="D111" s="45">
        <v>40</v>
      </c>
      <c r="E111" s="45">
        <f>29.25-9.25</f>
        <v>20</v>
      </c>
      <c r="F111" s="45">
        <v>12</v>
      </c>
      <c r="G111" s="45">
        <v>9.25</v>
      </c>
      <c r="H111" s="55">
        <v>54</v>
      </c>
      <c r="I111" s="55">
        <v>70.2</v>
      </c>
      <c r="J111" s="55">
        <v>91.8</v>
      </c>
      <c r="K111" s="55">
        <v>54</v>
      </c>
      <c r="L111" s="55">
        <v>0</v>
      </c>
      <c r="M111" s="55">
        <f>SUM(D111:G111)</f>
        <v>81.25</v>
      </c>
      <c r="N111" s="55">
        <f>ROUND((D111*H111)+(E111*I111)+(F111*J111)+(G111*K111),2)</f>
        <v>5165.1000000000004</v>
      </c>
      <c r="O111" s="55">
        <f>IF($AE$1&lt;&gt;"",VLOOKUP($C111,EmpTbl!$B$1:$L$45,9,FALSE),VLOOKUP($C111,EmpTbl!$B$1:$L$45,2,FALSE))</f>
        <v>27</v>
      </c>
      <c r="P111" s="55">
        <f>IF($AE$1&lt;&gt;"",VLOOKUP($C111,EmpTbl!$B$1:$L$45,10,FALSE),VLOOKUP($C111,EmpTbl!$B$1:$L$45,3,FALSE))</f>
        <v>40.5</v>
      </c>
      <c r="Q111" s="55">
        <f>IF($AE$1&lt;&gt;"",VLOOKUP($C111,EmpTbl!$B$1:$L$45,10,FALSE),VLOOKUP($C111,EmpTbl!$B$1:$L$45,4,FALSE))</f>
        <v>54</v>
      </c>
      <c r="R111" s="55">
        <f>IF($AE$1&lt;&gt;"",VLOOKUP($C111,EmpTbl!$B$1:$L$45,9,FALSE),VLOOKUP($C111,EmpTbl!$B$1:$L$45,2,FALSE))</f>
        <v>27</v>
      </c>
      <c r="S111" s="55">
        <f>ROUND(O111*D111+P111*E111+Q111*F111+G111*R111,2)</f>
        <v>2787.75</v>
      </c>
      <c r="T111" s="55">
        <f>N111-S111</f>
        <v>2377.3500000000004</v>
      </c>
      <c r="U111" s="80"/>
      <c r="V111" s="46"/>
      <c r="W111" s="46">
        <v>7</v>
      </c>
      <c r="X111" s="47"/>
      <c r="Y111" s="46"/>
    </row>
    <row r="112" spans="1:32" s="48" customFormat="1" x14ac:dyDescent="0.45">
      <c r="A112" s="42">
        <f>A111+7</f>
        <v>46040</v>
      </c>
      <c r="B112" s="43" t="s">
        <v>91</v>
      </c>
      <c r="C112" s="44" t="s">
        <v>92</v>
      </c>
      <c r="D112" s="45">
        <v>40</v>
      </c>
      <c r="E112" s="45">
        <f>20-12</f>
        <v>8</v>
      </c>
      <c r="F112" s="45">
        <v>0</v>
      </c>
      <c r="G112" s="45">
        <v>12</v>
      </c>
      <c r="H112" s="55">
        <v>72</v>
      </c>
      <c r="I112" s="55">
        <v>93.600000000000009</v>
      </c>
      <c r="J112" s="55">
        <v>122.39999999999999</v>
      </c>
      <c r="K112" s="55">
        <v>72</v>
      </c>
      <c r="L112" s="55">
        <v>0</v>
      </c>
      <c r="M112" s="55">
        <f t="shared" ref="M112:M117" si="97">SUM(D112:G112)</f>
        <v>60</v>
      </c>
      <c r="N112" s="55">
        <f t="shared" ref="N112:N120" si="98">ROUND((D112*H112)+(E112*I112)+(F112*J112)+(G112*K112),2)</f>
        <v>4492.8</v>
      </c>
      <c r="O112" s="55">
        <f>IF($AE$1&lt;&gt;"",VLOOKUP($C112,EmpTbl!$B$1:$L$45,9,FALSE),VLOOKUP($C112,EmpTbl!$B$1:$L$45,2,FALSE))</f>
        <v>60</v>
      </c>
      <c r="P112" s="55">
        <f>IF($AE$1&lt;&gt;"",VLOOKUP($C112,EmpTbl!$B$1:$L$45,10,FALSE),VLOOKUP($C112,EmpTbl!$B$1:$L$45,3,FALSE))</f>
        <v>78</v>
      </c>
      <c r="Q112" s="55">
        <f>IF($AE$1&lt;&gt;"",VLOOKUP($C112,EmpTbl!$B$1:$L$45,10,FALSE),VLOOKUP($C112,EmpTbl!$B$1:$L$45,4,FALSE))</f>
        <v>102</v>
      </c>
      <c r="R112" s="55">
        <f>IF($AE$1&lt;&gt;"",VLOOKUP($C112,EmpTbl!$B$1:$L$45,9,FALSE),VLOOKUP($C112,EmpTbl!$B$1:$L$45,2,FALSE))</f>
        <v>60</v>
      </c>
      <c r="S112" s="55">
        <f t="shared" ref="S112:S120" si="99">ROUND(O112*D112+P112*E112+Q112*F112+G112*R112,2)</f>
        <v>3744</v>
      </c>
      <c r="T112" s="55">
        <f t="shared" ref="T112:T120" si="100">N112-S112</f>
        <v>748.80000000000018</v>
      </c>
      <c r="U112" s="45"/>
      <c r="V112" s="46"/>
      <c r="W112" s="46">
        <v>5</v>
      </c>
      <c r="X112" s="47">
        <v>1</v>
      </c>
      <c r="Y112" s="46">
        <v>1</v>
      </c>
      <c r="Z112" s="81" t="s">
        <v>273</v>
      </c>
      <c r="AC112" s="82">
        <v>61.400836793559229</v>
      </c>
      <c r="AD112" s="82">
        <v>40.592475197312119</v>
      </c>
      <c r="AE112" s="82">
        <v>20.80836159624711</v>
      </c>
      <c r="AF112" s="82">
        <v>164.12075000000002</v>
      </c>
    </row>
    <row r="113" spans="1:32" s="48" customFormat="1" x14ac:dyDescent="0.45">
      <c r="A113" s="42">
        <f>$A112</f>
        <v>46040</v>
      </c>
      <c r="B113" s="43" t="s">
        <v>55</v>
      </c>
      <c r="C113" s="44" t="s">
        <v>3</v>
      </c>
      <c r="D113" s="45">
        <v>40</v>
      </c>
      <c r="E113" s="45">
        <f>7-3</f>
        <v>4</v>
      </c>
      <c r="F113" s="45">
        <v>12</v>
      </c>
      <c r="G113" s="45">
        <v>3</v>
      </c>
      <c r="H113" s="55">
        <v>72</v>
      </c>
      <c r="I113" s="55">
        <v>93.600000000000009</v>
      </c>
      <c r="J113" s="55">
        <v>122.39999999999999</v>
      </c>
      <c r="K113" s="55">
        <v>72</v>
      </c>
      <c r="L113" s="55">
        <v>0</v>
      </c>
      <c r="M113" s="55">
        <f t="shared" si="97"/>
        <v>59</v>
      </c>
      <c r="N113" s="55">
        <f t="shared" si="98"/>
        <v>4939.2</v>
      </c>
      <c r="O113" s="55">
        <f>IF($AE$1&lt;&gt;"",VLOOKUP($C113,EmpTbl!$B$1:$L$45,9,FALSE),VLOOKUP($C113,EmpTbl!$B$1:$L$45,2,FALSE))</f>
        <v>57</v>
      </c>
      <c r="P113" s="55">
        <f>IF($AE$1&lt;&gt;"",VLOOKUP($C113,EmpTbl!$B$1:$L$45,10,FALSE),VLOOKUP($C113,EmpTbl!$B$1:$L$45,3,FALSE))</f>
        <v>74.100000000000009</v>
      </c>
      <c r="Q113" s="55">
        <f>IF($AE$1&lt;&gt;"",VLOOKUP($C113,EmpTbl!$B$1:$L$45,10,FALSE),VLOOKUP($C113,EmpTbl!$B$1:$L$45,4,FALSE))</f>
        <v>96.899999999999991</v>
      </c>
      <c r="R113" s="55">
        <f>IF($AE$1&lt;&gt;"",VLOOKUP($C113,EmpTbl!$B$1:$L$45,9,FALSE),VLOOKUP($C113,EmpTbl!$B$1:$L$45,2,FALSE))</f>
        <v>57</v>
      </c>
      <c r="S113" s="55">
        <f t="shared" si="99"/>
        <v>3910.2</v>
      </c>
      <c r="T113" s="55">
        <f t="shared" si="100"/>
        <v>1029</v>
      </c>
      <c r="U113" s="45"/>
      <c r="V113" s="46"/>
      <c r="W113" s="46">
        <v>3</v>
      </c>
      <c r="X113" s="46"/>
      <c r="Y113" s="46"/>
      <c r="Z113" s="83"/>
    </row>
    <row r="114" spans="1:32" customFormat="1" x14ac:dyDescent="0.45">
      <c r="A114" s="67">
        <f>$A112</f>
        <v>46040</v>
      </c>
      <c r="B114" s="68" t="s">
        <v>38</v>
      </c>
      <c r="C114" s="69" t="s">
        <v>39</v>
      </c>
      <c r="D114" s="70">
        <v>0</v>
      </c>
      <c r="E114" s="70">
        <v>0</v>
      </c>
      <c r="F114" s="70">
        <v>0</v>
      </c>
      <c r="G114" s="70">
        <v>0</v>
      </c>
      <c r="H114" s="73">
        <v>68</v>
      </c>
      <c r="I114" s="73">
        <v>88.4</v>
      </c>
      <c r="J114" s="73">
        <v>115.6</v>
      </c>
      <c r="K114" s="73">
        <v>68</v>
      </c>
      <c r="L114" s="73">
        <v>0</v>
      </c>
      <c r="M114" s="73">
        <f t="shared" si="97"/>
        <v>0</v>
      </c>
      <c r="N114" s="73">
        <f t="shared" si="98"/>
        <v>0</v>
      </c>
      <c r="O114" s="73">
        <f>IF($AE$1&lt;&gt;"",VLOOKUP($C114,EmpTbl!$B$1:$L$45,9,FALSE),VLOOKUP($C114,EmpTbl!$B$1:$L$45,2,FALSE))</f>
        <v>55</v>
      </c>
      <c r="P114" s="73">
        <f>IF($AE$1&lt;&gt;"",VLOOKUP($C114,EmpTbl!$B$1:$L$45,10,FALSE),VLOOKUP($C114,EmpTbl!$B$1:$L$45,3,FALSE))</f>
        <v>71.5</v>
      </c>
      <c r="Q114" s="73">
        <f>IF($AE$1&lt;&gt;"",VLOOKUP($C114,EmpTbl!$B$1:$L$45,10,FALSE),VLOOKUP($C114,EmpTbl!$B$1:$L$45,4,FALSE))</f>
        <v>93.5</v>
      </c>
      <c r="R114" s="73">
        <f>IF($AE$1&lt;&gt;"",VLOOKUP($C114,EmpTbl!$B$1:$L$45,9,FALSE),VLOOKUP($C114,EmpTbl!$B$1:$L$45,2,FALSE))</f>
        <v>55</v>
      </c>
      <c r="S114" s="73">
        <f t="shared" si="99"/>
        <v>0</v>
      </c>
      <c r="T114" s="73">
        <f t="shared" si="100"/>
        <v>0</v>
      </c>
      <c r="U114" s="70"/>
      <c r="V114" s="74"/>
      <c r="W114" s="74"/>
      <c r="X114" s="75"/>
      <c r="Y114" s="74"/>
    </row>
    <row r="115" spans="1:32" customFormat="1" x14ac:dyDescent="0.45">
      <c r="A115" s="67">
        <f>$A112</f>
        <v>46040</v>
      </c>
      <c r="B115" s="68" t="s">
        <v>40</v>
      </c>
      <c r="C115" s="69" t="s">
        <v>2</v>
      </c>
      <c r="D115" s="70">
        <v>40</v>
      </c>
      <c r="E115" s="70">
        <v>0</v>
      </c>
      <c r="F115" s="70">
        <v>0</v>
      </c>
      <c r="G115" s="70">
        <v>0</v>
      </c>
      <c r="H115" s="73">
        <v>68</v>
      </c>
      <c r="I115" s="73">
        <v>88.4</v>
      </c>
      <c r="J115" s="73">
        <v>115.6</v>
      </c>
      <c r="K115" s="73">
        <v>68</v>
      </c>
      <c r="L115" s="73">
        <v>0</v>
      </c>
      <c r="M115" s="73">
        <f t="shared" si="97"/>
        <v>40</v>
      </c>
      <c r="N115" s="73">
        <f t="shared" si="98"/>
        <v>2720</v>
      </c>
      <c r="O115" s="73">
        <f>IF($AE$1&lt;&gt;"",VLOOKUP($C115,EmpTbl!$B$1:$L$45,9,FALSE),VLOOKUP($C115,EmpTbl!$B$1:$L$45,2,FALSE))</f>
        <v>35</v>
      </c>
      <c r="P115" s="73">
        <f>IF($AE$1&lt;&gt;"",VLOOKUP($C115,EmpTbl!$B$1:$L$45,10,FALSE),VLOOKUP($C115,EmpTbl!$B$1:$L$45,3,FALSE))</f>
        <v>52.5</v>
      </c>
      <c r="Q115" s="73">
        <f>IF($AE$1&lt;&gt;"",VLOOKUP($C115,EmpTbl!$B$1:$L$45,10,FALSE),VLOOKUP($C115,EmpTbl!$B$1:$L$45,4,FALSE))</f>
        <v>70</v>
      </c>
      <c r="R115" s="73">
        <f>IF($AE$1&lt;&gt;"",VLOOKUP($C115,EmpTbl!$B$1:$L$45,9,FALSE),VLOOKUP($C115,EmpTbl!$B$1:$L$45,2,FALSE))</f>
        <v>35</v>
      </c>
      <c r="S115" s="73">
        <f t="shared" si="99"/>
        <v>1400</v>
      </c>
      <c r="T115" s="73">
        <f t="shared" si="100"/>
        <v>1320</v>
      </c>
      <c r="U115" s="70"/>
      <c r="V115" s="74"/>
      <c r="W115" s="74"/>
      <c r="X115" s="75"/>
      <c r="Y115" s="74"/>
    </row>
    <row r="116" spans="1:32" customFormat="1" x14ac:dyDescent="0.45">
      <c r="A116" s="67">
        <f>$A112</f>
        <v>46040</v>
      </c>
      <c r="B116" s="68" t="s">
        <v>41</v>
      </c>
      <c r="C116" s="69" t="s">
        <v>21</v>
      </c>
      <c r="D116" s="70">
        <v>40</v>
      </c>
      <c r="E116" s="70">
        <v>6</v>
      </c>
      <c r="F116" s="70">
        <v>0</v>
      </c>
      <c r="G116" s="70">
        <v>0</v>
      </c>
      <c r="H116" s="73">
        <v>68</v>
      </c>
      <c r="I116" s="73">
        <v>88.4</v>
      </c>
      <c r="J116" s="73">
        <v>115.6</v>
      </c>
      <c r="K116" s="73">
        <v>68</v>
      </c>
      <c r="L116" s="73">
        <v>0</v>
      </c>
      <c r="M116" s="73">
        <f t="shared" si="97"/>
        <v>46</v>
      </c>
      <c r="N116" s="73">
        <f t="shared" si="98"/>
        <v>3250.4</v>
      </c>
      <c r="O116" s="73">
        <f>IF($AE$1&lt;&gt;"",VLOOKUP($C116,EmpTbl!$B$1:$L$45,9,FALSE),VLOOKUP($C116,EmpTbl!$B$1:$L$45,2,FALSE))</f>
        <v>39</v>
      </c>
      <c r="P116" s="73">
        <f>IF($AE$1&lt;&gt;"",VLOOKUP($C116,EmpTbl!$B$1:$L$45,10,FALSE),VLOOKUP($C116,EmpTbl!$B$1:$L$45,3,FALSE))</f>
        <v>58.5</v>
      </c>
      <c r="Q116" s="73">
        <f>IF($AE$1&lt;&gt;"",VLOOKUP($C116,EmpTbl!$B$1:$L$45,10,FALSE),VLOOKUP($C116,EmpTbl!$B$1:$L$45,4,FALSE))</f>
        <v>78</v>
      </c>
      <c r="R116" s="73">
        <f>IF($AE$1&lt;&gt;"",VLOOKUP($C116,EmpTbl!$B$1:$L$45,9,FALSE),VLOOKUP($C116,EmpTbl!$B$1:$L$45,2,FALSE))</f>
        <v>39</v>
      </c>
      <c r="S116" s="73">
        <f t="shared" si="99"/>
        <v>1911</v>
      </c>
      <c r="T116" s="73">
        <f t="shared" si="100"/>
        <v>1339.4</v>
      </c>
      <c r="U116" s="70"/>
      <c r="V116" s="74"/>
      <c r="W116" s="74"/>
      <c r="X116" s="75"/>
      <c r="Y116" s="74"/>
    </row>
    <row r="117" spans="1:32" s="48" customFormat="1" x14ac:dyDescent="0.45">
      <c r="A117" s="42">
        <f>$A112</f>
        <v>46040</v>
      </c>
      <c r="B117" s="43" t="s">
        <v>44</v>
      </c>
      <c r="C117" s="44" t="s">
        <v>37</v>
      </c>
      <c r="D117" s="45">
        <v>40</v>
      </c>
      <c r="E117" s="45">
        <f>16.5-8.5</f>
        <v>8</v>
      </c>
      <c r="F117" s="45">
        <v>0</v>
      </c>
      <c r="G117" s="45">
        <v>8.5</v>
      </c>
      <c r="H117" s="55">
        <v>68</v>
      </c>
      <c r="I117" s="55">
        <v>88.4</v>
      </c>
      <c r="J117" s="55">
        <v>115.6</v>
      </c>
      <c r="K117" s="55">
        <v>68</v>
      </c>
      <c r="L117" s="55">
        <v>0</v>
      </c>
      <c r="M117" s="55">
        <f t="shared" si="97"/>
        <v>56.5</v>
      </c>
      <c r="N117" s="55">
        <f t="shared" si="98"/>
        <v>4005.2</v>
      </c>
      <c r="O117" s="55">
        <f>IF($AE$1&lt;&gt;"",VLOOKUP($C117,EmpTbl!$B$1:$L$45,9,FALSE),VLOOKUP($C117,EmpTbl!$B$1:$L$45,2,FALSE))</f>
        <v>36</v>
      </c>
      <c r="P117" s="55">
        <f>IF($AE$1&lt;&gt;"",VLOOKUP($C117,EmpTbl!$B$1:$L$45,10,FALSE),VLOOKUP($C117,EmpTbl!$B$1:$L$45,3,FALSE))</f>
        <v>54</v>
      </c>
      <c r="Q117" s="55">
        <f>IF($AE$1&lt;&gt;"",VLOOKUP($C117,EmpTbl!$B$1:$L$45,10,FALSE),VLOOKUP($C117,EmpTbl!$B$1:$L$45,4,FALSE))</f>
        <v>72</v>
      </c>
      <c r="R117" s="55">
        <f>IF($AE$1&lt;&gt;"",VLOOKUP($C117,EmpTbl!$B$1:$L$45,9,FALSE),VLOOKUP($C117,EmpTbl!$B$1:$L$45,2,FALSE))</f>
        <v>36</v>
      </c>
      <c r="S117" s="55">
        <f t="shared" si="99"/>
        <v>2178</v>
      </c>
      <c r="T117" s="55">
        <f t="shared" si="100"/>
        <v>1827.1999999999998</v>
      </c>
      <c r="U117" s="45"/>
      <c r="V117" s="46"/>
      <c r="W117" s="46">
        <v>5</v>
      </c>
      <c r="X117" s="47"/>
      <c r="Y117" s="46"/>
      <c r="Z117" s="71"/>
    </row>
    <row r="118" spans="1:32" customFormat="1" x14ac:dyDescent="0.45">
      <c r="A118" s="67">
        <f>$A112</f>
        <v>46040</v>
      </c>
      <c r="B118" s="68" t="s">
        <v>59</v>
      </c>
      <c r="C118" s="69" t="s">
        <v>58</v>
      </c>
      <c r="D118" s="70">
        <v>10.25</v>
      </c>
      <c r="E118" s="70">
        <v>0</v>
      </c>
      <c r="F118" s="70">
        <v>0</v>
      </c>
      <c r="G118" s="70">
        <v>0</v>
      </c>
      <c r="H118" s="73">
        <v>68</v>
      </c>
      <c r="I118" s="73">
        <v>88.4</v>
      </c>
      <c r="J118" s="73">
        <v>115.6</v>
      </c>
      <c r="K118" s="73">
        <v>68</v>
      </c>
      <c r="L118" s="73">
        <v>0</v>
      </c>
      <c r="M118" s="73">
        <f t="shared" ref="M118" si="101">SUM(D118:G118)</f>
        <v>10.25</v>
      </c>
      <c r="N118" s="73">
        <f t="shared" si="98"/>
        <v>697</v>
      </c>
      <c r="O118" s="73">
        <f>IF($AE$1&lt;&gt;"",VLOOKUP($C118,EmpTbl!$B$1:$L$45,9,FALSE),VLOOKUP($C118,EmpTbl!$B$1:$L$45,2,FALSE))</f>
        <v>36</v>
      </c>
      <c r="P118" s="73">
        <f>IF($AE$1&lt;&gt;"",VLOOKUP($C118,EmpTbl!$B$1:$L$45,10,FALSE),VLOOKUP($C118,EmpTbl!$B$1:$L$45,3,FALSE))</f>
        <v>54</v>
      </c>
      <c r="Q118" s="73">
        <f>IF($AE$1&lt;&gt;"",VLOOKUP($C118,EmpTbl!$B$1:$L$45,10,FALSE),VLOOKUP($C118,EmpTbl!$B$1:$L$45,4,FALSE))</f>
        <v>72</v>
      </c>
      <c r="R118" s="73">
        <f>IF($AE$1&lt;&gt;"",VLOOKUP($C118,EmpTbl!$B$1:$L$45,9,FALSE),VLOOKUP($C118,EmpTbl!$B$1:$L$45,2,FALSE))</f>
        <v>36</v>
      </c>
      <c r="S118" s="73">
        <f t="shared" si="99"/>
        <v>369</v>
      </c>
      <c r="T118" s="73">
        <f t="shared" si="100"/>
        <v>328</v>
      </c>
      <c r="U118" s="70"/>
      <c r="V118" s="74"/>
      <c r="W118" s="74"/>
      <c r="X118" s="75"/>
      <c r="Y118" s="74"/>
    </row>
    <row r="119" spans="1:32" s="48" customFormat="1" x14ac:dyDescent="0.45">
      <c r="A119" s="42">
        <f>$A112</f>
        <v>46040</v>
      </c>
      <c r="B119" s="43" t="s">
        <v>90</v>
      </c>
      <c r="C119" s="44" t="s">
        <v>94</v>
      </c>
      <c r="D119" s="45">
        <v>40</v>
      </c>
      <c r="E119" s="45">
        <f>20-12</f>
        <v>8</v>
      </c>
      <c r="F119" s="45">
        <v>0</v>
      </c>
      <c r="G119" s="45">
        <v>12</v>
      </c>
      <c r="H119" s="55">
        <v>68</v>
      </c>
      <c r="I119" s="55">
        <v>88.4</v>
      </c>
      <c r="J119" s="55">
        <v>115.6</v>
      </c>
      <c r="K119" s="55">
        <v>68</v>
      </c>
      <c r="L119" s="55">
        <v>0</v>
      </c>
      <c r="M119" s="55">
        <f t="shared" ref="M119:M120" si="102">SUM(D119:G119)</f>
        <v>60</v>
      </c>
      <c r="N119" s="55">
        <f t="shared" si="98"/>
        <v>4243.2</v>
      </c>
      <c r="O119" s="55">
        <f>IF($AE$1&lt;&gt;"",VLOOKUP($C119,EmpTbl!$B$1:$L$45,9,FALSE),VLOOKUP($C119,EmpTbl!$B$1:$L$45,2,FALSE))</f>
        <v>30.67</v>
      </c>
      <c r="P119" s="55">
        <f>IF($AE$1&lt;&gt;"",VLOOKUP($C119,EmpTbl!$B$1:$L$45,10,FALSE),VLOOKUP($C119,EmpTbl!$B$1:$L$45,3,FALSE))</f>
        <v>46.005000000000003</v>
      </c>
      <c r="Q119" s="55">
        <f>IF($AE$1&lt;&gt;"",VLOOKUP($C119,EmpTbl!$B$1:$L$45,10,FALSE),VLOOKUP($C119,EmpTbl!$B$1:$L$45,4,FALSE))</f>
        <v>61.34</v>
      </c>
      <c r="R119" s="55">
        <f>IF($AE$1&lt;&gt;"",VLOOKUP($C119,EmpTbl!$B$1:$L$45,9,FALSE),VLOOKUP($C119,EmpTbl!$B$1:$L$45,2,FALSE))</f>
        <v>30.67</v>
      </c>
      <c r="S119" s="55">
        <f t="shared" si="99"/>
        <v>1962.88</v>
      </c>
      <c r="T119" s="55">
        <f t="shared" si="100"/>
        <v>2280.3199999999997</v>
      </c>
      <c r="U119" s="45"/>
      <c r="V119" s="46"/>
      <c r="W119" s="46">
        <v>5</v>
      </c>
      <c r="X119" s="47">
        <v>2</v>
      </c>
      <c r="Y119" s="46">
        <v>1</v>
      </c>
      <c r="Z119" s="81" t="s">
        <v>275</v>
      </c>
    </row>
    <row r="120" spans="1:32" customFormat="1" x14ac:dyDescent="0.45">
      <c r="A120" s="67">
        <f>$A112</f>
        <v>46040</v>
      </c>
      <c r="B120" s="68" t="s">
        <v>90</v>
      </c>
      <c r="C120" s="69" t="s">
        <v>190</v>
      </c>
      <c r="D120" s="70">
        <v>40</v>
      </c>
      <c r="E120" s="70">
        <v>7.75</v>
      </c>
      <c r="F120" s="70">
        <v>0</v>
      </c>
      <c r="G120" s="70">
        <v>0</v>
      </c>
      <c r="H120" s="73">
        <v>68</v>
      </c>
      <c r="I120" s="73">
        <v>88.4</v>
      </c>
      <c r="J120" s="73">
        <v>115.6</v>
      </c>
      <c r="K120" s="73">
        <v>68</v>
      </c>
      <c r="L120" s="73">
        <v>0</v>
      </c>
      <c r="M120" s="73">
        <f t="shared" si="102"/>
        <v>47.75</v>
      </c>
      <c r="N120" s="73">
        <f t="shared" si="98"/>
        <v>3405.1</v>
      </c>
      <c r="O120" s="73">
        <f>IF($AE$1&lt;&gt;"",VLOOKUP($C120,EmpTbl!$B$1:$L$45,9,FALSE),VLOOKUP($C120,EmpTbl!$B$1:$L$45,2,FALSE))</f>
        <v>30</v>
      </c>
      <c r="P120" s="73">
        <f>IF($AE$1&lt;&gt;"",VLOOKUP($C120,EmpTbl!$B$1:$L$45,10,FALSE),VLOOKUP($C120,EmpTbl!$B$1:$L$45,3,FALSE))</f>
        <v>45</v>
      </c>
      <c r="Q120" s="73">
        <f>IF($AE$1&lt;&gt;"",VLOOKUP($C120,EmpTbl!$B$1:$L$45,10,FALSE),VLOOKUP($C120,EmpTbl!$B$1:$L$45,4,FALSE))</f>
        <v>60</v>
      </c>
      <c r="R120" s="73">
        <f>IF($AE$1&lt;&gt;"",VLOOKUP($C120,EmpTbl!$B$1:$L$45,9,FALSE),VLOOKUP($C120,EmpTbl!$B$1:$L$45,2,FALSE))</f>
        <v>30</v>
      </c>
      <c r="S120" s="73">
        <f t="shared" si="99"/>
        <v>1548.75</v>
      </c>
      <c r="T120" s="73">
        <f t="shared" si="100"/>
        <v>1856.35</v>
      </c>
      <c r="U120" s="79">
        <v>1</v>
      </c>
      <c r="V120" s="74"/>
      <c r="W120" s="74"/>
      <c r="X120" s="75"/>
      <c r="Y120" s="74"/>
    </row>
    <row r="121" spans="1:32" s="48" customFormat="1" x14ac:dyDescent="0.45">
      <c r="A121" s="42">
        <f>$A112</f>
        <v>46040</v>
      </c>
      <c r="B121" s="44" t="s">
        <v>186</v>
      </c>
      <c r="C121" s="44" t="s">
        <v>189</v>
      </c>
      <c r="D121" s="45">
        <v>40</v>
      </c>
      <c r="E121" s="45">
        <f>16.5-8.5</f>
        <v>8</v>
      </c>
      <c r="F121" s="45">
        <v>0</v>
      </c>
      <c r="G121" s="45">
        <v>8.5</v>
      </c>
      <c r="H121" s="55">
        <v>54</v>
      </c>
      <c r="I121" s="55">
        <v>70.2</v>
      </c>
      <c r="J121" s="55">
        <v>91.8</v>
      </c>
      <c r="K121" s="55">
        <v>54</v>
      </c>
      <c r="L121" s="55">
        <v>0</v>
      </c>
      <c r="M121" s="55">
        <f>SUM(D121:G121)</f>
        <v>56.5</v>
      </c>
      <c r="N121" s="55">
        <f>ROUND((D121*H121)+(E121*I121)+(F121*J121)+(G121*K121),2)</f>
        <v>3180.6</v>
      </c>
      <c r="O121" s="55">
        <f>IF($AE$1&lt;&gt;"",VLOOKUP($C121,EmpTbl!$B$1:$L$45,9,FALSE),VLOOKUP($C121,EmpTbl!$B$1:$L$45,2,FALSE))</f>
        <v>27</v>
      </c>
      <c r="P121" s="55">
        <f>IF($AE$1&lt;&gt;"",VLOOKUP($C121,EmpTbl!$B$1:$L$45,10,FALSE),VLOOKUP($C121,EmpTbl!$B$1:$L$45,3,FALSE))</f>
        <v>40.5</v>
      </c>
      <c r="Q121" s="55">
        <f>IF($AE$1&lt;&gt;"",VLOOKUP($C121,EmpTbl!$B$1:$L$45,10,FALSE),VLOOKUP($C121,EmpTbl!$B$1:$L$45,4,FALSE))</f>
        <v>54</v>
      </c>
      <c r="R121" s="55">
        <f>IF($AE$1&lt;&gt;"",VLOOKUP($C121,EmpTbl!$B$1:$L$45,9,FALSE),VLOOKUP($C121,EmpTbl!$B$1:$L$45,2,FALSE))</f>
        <v>27</v>
      </c>
      <c r="S121" s="55">
        <f>ROUND(O121*D121+P121*E121+Q121*F121+G121*R121,2)</f>
        <v>1633.5</v>
      </c>
      <c r="T121" s="55">
        <f>N121-S121</f>
        <v>1547.1</v>
      </c>
      <c r="U121" s="80"/>
      <c r="V121" s="46"/>
      <c r="W121" s="46">
        <v>5</v>
      </c>
      <c r="X121" s="47">
        <v>1</v>
      </c>
      <c r="Y121" s="46">
        <v>1</v>
      </c>
      <c r="Z121" s="48" t="s">
        <v>274</v>
      </c>
    </row>
    <row r="122" spans="1:32" s="48" customFormat="1" x14ac:dyDescent="0.45">
      <c r="A122" s="42">
        <f>A121+7</f>
        <v>46047</v>
      </c>
      <c r="B122" s="43" t="s">
        <v>91</v>
      </c>
      <c r="C122" s="44" t="s">
        <v>92</v>
      </c>
      <c r="D122" s="45">
        <v>48</v>
      </c>
      <c r="E122" s="45">
        <f>31-11</f>
        <v>20</v>
      </c>
      <c r="F122" s="45">
        <v>0</v>
      </c>
      <c r="G122" s="45">
        <v>11</v>
      </c>
      <c r="H122" s="55">
        <v>72</v>
      </c>
      <c r="I122" s="55">
        <v>93.600000000000009</v>
      </c>
      <c r="J122" s="55">
        <v>122.39999999999999</v>
      </c>
      <c r="K122" s="55">
        <v>72</v>
      </c>
      <c r="L122" s="55">
        <v>0</v>
      </c>
      <c r="M122" s="55">
        <f t="shared" ref="M122:M127" si="103">SUM(D122:G122)</f>
        <v>79</v>
      </c>
      <c r="N122" s="55">
        <f t="shared" ref="N122:N130" si="104">ROUND((D122*H122)+(E122*I122)+(F122*J122)+(G122*K122),2)</f>
        <v>6120</v>
      </c>
      <c r="O122" s="55">
        <f>IF($AE$1&lt;&gt;"",VLOOKUP($C122,EmpTbl!$B$1:$L$45,9,FALSE),VLOOKUP($C122,EmpTbl!$B$1:$L$45,2,FALSE))</f>
        <v>60</v>
      </c>
      <c r="P122" s="55">
        <f>IF($AE$1&lt;&gt;"",VLOOKUP($C122,EmpTbl!$B$1:$L$45,10,FALSE),VLOOKUP($C122,EmpTbl!$B$1:$L$45,3,FALSE))</f>
        <v>78</v>
      </c>
      <c r="Q122" s="55">
        <f>IF($AE$1&lt;&gt;"",VLOOKUP($C122,EmpTbl!$B$1:$L$45,10,FALSE),VLOOKUP($C122,EmpTbl!$B$1:$L$45,4,FALSE))</f>
        <v>102</v>
      </c>
      <c r="R122" s="55">
        <f>IF($AE$1&lt;&gt;"",VLOOKUP($C122,EmpTbl!$B$1:$L$45,9,FALSE),VLOOKUP($C122,EmpTbl!$B$1:$L$45,2,FALSE))</f>
        <v>60</v>
      </c>
      <c r="S122" s="55">
        <f t="shared" ref="S122:S130" si="105">ROUND(O122*D122+P122*E122+Q122*F122+G122*R122,2)</f>
        <v>5100</v>
      </c>
      <c r="T122" s="55">
        <f t="shared" ref="T122:T130" si="106">N122-S122</f>
        <v>1020</v>
      </c>
      <c r="U122" s="45"/>
      <c r="V122" s="46"/>
      <c r="W122" s="46">
        <v>7</v>
      </c>
      <c r="X122" s="47">
        <v>1</v>
      </c>
      <c r="Y122" s="46">
        <v>1</v>
      </c>
      <c r="Z122" s="81" t="s">
        <v>277</v>
      </c>
      <c r="AC122" s="82">
        <v>61.400836793559229</v>
      </c>
      <c r="AD122" s="82">
        <v>40.592475197312119</v>
      </c>
      <c r="AE122" s="82">
        <v>20.80836159624711</v>
      </c>
      <c r="AF122" s="82">
        <v>164.12075000000002</v>
      </c>
    </row>
    <row r="123" spans="1:32" s="48" customFormat="1" x14ac:dyDescent="0.45">
      <c r="A123" s="42">
        <f>$A122</f>
        <v>46047</v>
      </c>
      <c r="B123" s="43" t="s">
        <v>55</v>
      </c>
      <c r="C123" s="44" t="s">
        <v>3</v>
      </c>
      <c r="D123" s="45">
        <v>40</v>
      </c>
      <c r="E123" s="45">
        <f>28-6</f>
        <v>22</v>
      </c>
      <c r="F123" s="45">
        <v>12</v>
      </c>
      <c r="G123" s="45">
        <v>6</v>
      </c>
      <c r="H123" s="55">
        <v>72</v>
      </c>
      <c r="I123" s="55">
        <v>93.600000000000009</v>
      </c>
      <c r="J123" s="55">
        <v>122.39999999999999</v>
      </c>
      <c r="K123" s="55">
        <v>72</v>
      </c>
      <c r="L123" s="55">
        <v>0</v>
      </c>
      <c r="M123" s="55">
        <f t="shared" si="103"/>
        <v>80</v>
      </c>
      <c r="N123" s="55">
        <f t="shared" si="104"/>
        <v>6840</v>
      </c>
      <c r="O123" s="55">
        <f>IF($AE$1&lt;&gt;"",VLOOKUP($C123,EmpTbl!$B$1:$L$45,9,FALSE),VLOOKUP($C123,EmpTbl!$B$1:$L$45,2,FALSE))</f>
        <v>57</v>
      </c>
      <c r="P123" s="55">
        <f>IF($AE$1&lt;&gt;"",VLOOKUP($C123,EmpTbl!$B$1:$L$45,10,FALSE),VLOOKUP($C123,EmpTbl!$B$1:$L$45,3,FALSE))</f>
        <v>74.100000000000009</v>
      </c>
      <c r="Q123" s="55">
        <f>IF($AE$1&lt;&gt;"",VLOOKUP($C123,EmpTbl!$B$1:$L$45,10,FALSE),VLOOKUP($C123,EmpTbl!$B$1:$L$45,4,FALSE))</f>
        <v>96.899999999999991</v>
      </c>
      <c r="R123" s="55">
        <f>IF($AE$1&lt;&gt;"",VLOOKUP($C123,EmpTbl!$B$1:$L$45,9,FALSE),VLOOKUP($C123,EmpTbl!$B$1:$L$45,2,FALSE))</f>
        <v>57</v>
      </c>
      <c r="S123" s="55">
        <f t="shared" si="105"/>
        <v>5415</v>
      </c>
      <c r="T123" s="55">
        <f t="shared" si="106"/>
        <v>1425</v>
      </c>
      <c r="U123" s="45"/>
      <c r="V123" s="46"/>
      <c r="W123" s="46">
        <v>6</v>
      </c>
      <c r="X123" s="46"/>
      <c r="Y123" s="46"/>
      <c r="Z123" s="83"/>
    </row>
    <row r="124" spans="1:32" customFormat="1" x14ac:dyDescent="0.45">
      <c r="A124" s="67">
        <f>$A122</f>
        <v>46047</v>
      </c>
      <c r="B124" s="68" t="s">
        <v>38</v>
      </c>
      <c r="C124" s="69" t="s">
        <v>39</v>
      </c>
      <c r="D124" s="70">
        <v>0</v>
      </c>
      <c r="E124" s="70">
        <v>0</v>
      </c>
      <c r="F124" s="70">
        <v>0</v>
      </c>
      <c r="G124" s="70">
        <v>0</v>
      </c>
      <c r="H124" s="73">
        <v>68</v>
      </c>
      <c r="I124" s="73">
        <v>88.4</v>
      </c>
      <c r="J124" s="73">
        <v>115.6</v>
      </c>
      <c r="K124" s="73">
        <v>68</v>
      </c>
      <c r="L124" s="73">
        <v>0</v>
      </c>
      <c r="M124" s="73">
        <f t="shared" si="103"/>
        <v>0</v>
      </c>
      <c r="N124" s="73">
        <f t="shared" si="104"/>
        <v>0</v>
      </c>
      <c r="O124" s="73">
        <f>IF($AE$1&lt;&gt;"",VLOOKUP($C124,EmpTbl!$B$1:$L$45,9,FALSE),VLOOKUP($C124,EmpTbl!$B$1:$L$45,2,FALSE))</f>
        <v>55</v>
      </c>
      <c r="P124" s="73">
        <f>IF($AE$1&lt;&gt;"",VLOOKUP($C124,EmpTbl!$B$1:$L$45,10,FALSE),VLOOKUP($C124,EmpTbl!$B$1:$L$45,3,FALSE))</f>
        <v>71.5</v>
      </c>
      <c r="Q124" s="73">
        <f>IF($AE$1&lt;&gt;"",VLOOKUP($C124,EmpTbl!$B$1:$L$45,10,FALSE),VLOOKUP($C124,EmpTbl!$B$1:$L$45,4,FALSE))</f>
        <v>93.5</v>
      </c>
      <c r="R124" s="73">
        <f>IF($AE$1&lt;&gt;"",VLOOKUP($C124,EmpTbl!$B$1:$L$45,9,FALSE),VLOOKUP($C124,EmpTbl!$B$1:$L$45,2,FALSE))</f>
        <v>55</v>
      </c>
      <c r="S124" s="73">
        <f t="shared" si="105"/>
        <v>0</v>
      </c>
      <c r="T124" s="73">
        <f t="shared" si="106"/>
        <v>0</v>
      </c>
      <c r="U124" s="70"/>
      <c r="V124" s="74"/>
      <c r="W124" s="74"/>
      <c r="X124" s="75"/>
      <c r="Y124" s="74"/>
    </row>
    <row r="125" spans="1:32" customFormat="1" x14ac:dyDescent="0.45">
      <c r="A125" s="67">
        <f>$A122</f>
        <v>46047</v>
      </c>
      <c r="B125" s="68" t="s">
        <v>40</v>
      </c>
      <c r="C125" s="69" t="s">
        <v>2</v>
      </c>
      <c r="D125" s="70">
        <v>40</v>
      </c>
      <c r="E125" s="70">
        <v>0</v>
      </c>
      <c r="F125" s="70">
        <v>0</v>
      </c>
      <c r="G125" s="70">
        <v>0</v>
      </c>
      <c r="H125" s="73">
        <v>68</v>
      </c>
      <c r="I125" s="73">
        <v>88.4</v>
      </c>
      <c r="J125" s="73">
        <v>115.6</v>
      </c>
      <c r="K125" s="73">
        <v>68</v>
      </c>
      <c r="L125" s="73">
        <v>0</v>
      </c>
      <c r="M125" s="73">
        <f t="shared" si="103"/>
        <v>40</v>
      </c>
      <c r="N125" s="73">
        <f t="shared" si="104"/>
        <v>2720</v>
      </c>
      <c r="O125" s="73">
        <f>IF($AE$1&lt;&gt;"",VLOOKUP($C125,EmpTbl!$B$1:$L$45,9,FALSE),VLOOKUP($C125,EmpTbl!$B$1:$L$45,2,FALSE))</f>
        <v>35</v>
      </c>
      <c r="P125" s="73">
        <f>IF($AE$1&lt;&gt;"",VLOOKUP($C125,EmpTbl!$B$1:$L$45,10,FALSE),VLOOKUP($C125,EmpTbl!$B$1:$L$45,3,FALSE))</f>
        <v>52.5</v>
      </c>
      <c r="Q125" s="73">
        <f>IF($AE$1&lt;&gt;"",VLOOKUP($C125,EmpTbl!$B$1:$L$45,10,FALSE),VLOOKUP($C125,EmpTbl!$B$1:$L$45,4,FALSE))</f>
        <v>70</v>
      </c>
      <c r="R125" s="73">
        <f>IF($AE$1&lt;&gt;"",VLOOKUP($C125,EmpTbl!$B$1:$L$45,9,FALSE),VLOOKUP($C125,EmpTbl!$B$1:$L$45,2,FALSE))</f>
        <v>35</v>
      </c>
      <c r="S125" s="73">
        <f t="shared" si="105"/>
        <v>1400</v>
      </c>
      <c r="T125" s="73">
        <f t="shared" si="106"/>
        <v>1320</v>
      </c>
      <c r="U125" s="70"/>
      <c r="V125" s="74"/>
      <c r="W125" s="74"/>
      <c r="X125" s="75"/>
      <c r="Y125" s="74"/>
    </row>
    <row r="126" spans="1:32" s="48" customFormat="1" x14ac:dyDescent="0.45">
      <c r="A126" s="42">
        <f>$A122</f>
        <v>46047</v>
      </c>
      <c r="B126" s="43" t="s">
        <v>41</v>
      </c>
      <c r="C126" s="44" t="s">
        <v>21</v>
      </c>
      <c r="D126" s="45">
        <v>40</v>
      </c>
      <c r="E126" s="45">
        <f>18.5-4</f>
        <v>14.5</v>
      </c>
      <c r="F126" s="45">
        <v>12</v>
      </c>
      <c r="G126" s="45">
        <v>4</v>
      </c>
      <c r="H126" s="55">
        <v>68</v>
      </c>
      <c r="I126" s="55">
        <v>88.4</v>
      </c>
      <c r="J126" s="55">
        <v>115.6</v>
      </c>
      <c r="K126" s="55">
        <v>68</v>
      </c>
      <c r="L126" s="55">
        <v>0</v>
      </c>
      <c r="M126" s="55">
        <f t="shared" si="103"/>
        <v>70.5</v>
      </c>
      <c r="N126" s="55">
        <f t="shared" si="104"/>
        <v>5661</v>
      </c>
      <c r="O126" s="55">
        <f>IF($AE$1&lt;&gt;"",VLOOKUP($C126,EmpTbl!$B$1:$L$45,9,FALSE),VLOOKUP($C126,EmpTbl!$B$1:$L$45,2,FALSE))</f>
        <v>39</v>
      </c>
      <c r="P126" s="55">
        <f>IF($AE$1&lt;&gt;"",VLOOKUP($C126,EmpTbl!$B$1:$L$45,10,FALSE),VLOOKUP($C126,EmpTbl!$B$1:$L$45,3,FALSE))</f>
        <v>58.5</v>
      </c>
      <c r="Q126" s="55">
        <f>IF($AE$1&lt;&gt;"",VLOOKUP($C126,EmpTbl!$B$1:$L$45,10,FALSE),VLOOKUP($C126,EmpTbl!$B$1:$L$45,4,FALSE))</f>
        <v>78</v>
      </c>
      <c r="R126" s="55">
        <f>IF($AE$1&lt;&gt;"",VLOOKUP($C126,EmpTbl!$B$1:$L$45,9,FALSE),VLOOKUP($C126,EmpTbl!$B$1:$L$45,2,FALSE))</f>
        <v>39</v>
      </c>
      <c r="S126" s="55">
        <f t="shared" si="105"/>
        <v>3500.25</v>
      </c>
      <c r="T126" s="55">
        <f t="shared" si="106"/>
        <v>2160.75</v>
      </c>
      <c r="U126" s="45"/>
      <c r="V126" s="46"/>
      <c r="W126" s="46">
        <v>4</v>
      </c>
      <c r="X126" s="47"/>
      <c r="Y126" s="46"/>
    </row>
    <row r="127" spans="1:32" s="48" customFormat="1" x14ac:dyDescent="0.45">
      <c r="A127" s="42">
        <f>$A122</f>
        <v>46047</v>
      </c>
      <c r="B127" s="43" t="s">
        <v>44</v>
      </c>
      <c r="C127" s="44" t="s">
        <v>37</v>
      </c>
      <c r="D127" s="45">
        <v>40</v>
      </c>
      <c r="E127" s="45">
        <f>17.5-8</f>
        <v>9.5</v>
      </c>
      <c r="F127" s="45">
        <v>0</v>
      </c>
      <c r="G127" s="45">
        <v>8</v>
      </c>
      <c r="H127" s="55">
        <v>68</v>
      </c>
      <c r="I127" s="55">
        <v>88.4</v>
      </c>
      <c r="J127" s="55">
        <v>115.6</v>
      </c>
      <c r="K127" s="55">
        <v>68</v>
      </c>
      <c r="L127" s="55">
        <v>0</v>
      </c>
      <c r="M127" s="55">
        <f t="shared" si="103"/>
        <v>57.5</v>
      </c>
      <c r="N127" s="55">
        <f t="shared" si="104"/>
        <v>4103.8</v>
      </c>
      <c r="O127" s="55">
        <f>IF($AE$1&lt;&gt;"",VLOOKUP($C127,EmpTbl!$B$1:$L$45,9,FALSE),VLOOKUP($C127,EmpTbl!$B$1:$L$45,2,FALSE))</f>
        <v>36</v>
      </c>
      <c r="P127" s="55">
        <f>IF($AE$1&lt;&gt;"",VLOOKUP($C127,EmpTbl!$B$1:$L$45,10,FALSE),VLOOKUP($C127,EmpTbl!$B$1:$L$45,3,FALSE))</f>
        <v>54</v>
      </c>
      <c r="Q127" s="55">
        <f>IF($AE$1&lt;&gt;"",VLOOKUP($C127,EmpTbl!$B$1:$L$45,10,FALSE),VLOOKUP($C127,EmpTbl!$B$1:$L$45,4,FALSE))</f>
        <v>72</v>
      </c>
      <c r="R127" s="55">
        <f>IF($AE$1&lt;&gt;"",VLOOKUP($C127,EmpTbl!$B$1:$L$45,9,FALSE),VLOOKUP($C127,EmpTbl!$B$1:$L$45,2,FALSE))</f>
        <v>36</v>
      </c>
      <c r="S127" s="55">
        <f t="shared" si="105"/>
        <v>2241</v>
      </c>
      <c r="T127" s="55">
        <f t="shared" si="106"/>
        <v>1862.8000000000002</v>
      </c>
      <c r="U127" s="45"/>
      <c r="V127" s="46"/>
      <c r="W127" s="46">
        <v>3</v>
      </c>
      <c r="X127" s="47"/>
      <c r="Y127" s="46"/>
      <c r="Z127" s="71"/>
    </row>
    <row r="128" spans="1:32" customFormat="1" x14ac:dyDescent="0.45">
      <c r="A128" s="67">
        <f>$A122</f>
        <v>46047</v>
      </c>
      <c r="B128" s="68" t="s">
        <v>59</v>
      </c>
      <c r="C128" s="69" t="s">
        <v>58</v>
      </c>
      <c r="D128" s="70">
        <v>0</v>
      </c>
      <c r="E128" s="70">
        <v>0</v>
      </c>
      <c r="F128" s="70">
        <v>0</v>
      </c>
      <c r="G128" s="70">
        <v>0</v>
      </c>
      <c r="H128" s="73">
        <v>68</v>
      </c>
      <c r="I128" s="73">
        <v>88.4</v>
      </c>
      <c r="J128" s="73">
        <v>115.6</v>
      </c>
      <c r="K128" s="73">
        <v>68</v>
      </c>
      <c r="L128" s="73">
        <v>0</v>
      </c>
      <c r="M128" s="73">
        <f t="shared" ref="M128" si="107">SUM(D128:G128)</f>
        <v>0</v>
      </c>
      <c r="N128" s="73">
        <f t="shared" si="104"/>
        <v>0</v>
      </c>
      <c r="O128" s="73">
        <f>IF($AE$1&lt;&gt;"",VLOOKUP($C128,EmpTbl!$B$1:$L$45,9,FALSE),VLOOKUP($C128,EmpTbl!$B$1:$L$45,2,FALSE))</f>
        <v>36</v>
      </c>
      <c r="P128" s="73">
        <f>IF($AE$1&lt;&gt;"",VLOOKUP($C128,EmpTbl!$B$1:$L$45,10,FALSE),VLOOKUP($C128,EmpTbl!$B$1:$L$45,3,FALSE))</f>
        <v>54</v>
      </c>
      <c r="Q128" s="73">
        <f>IF($AE$1&lt;&gt;"",VLOOKUP($C128,EmpTbl!$B$1:$L$45,10,FALSE),VLOOKUP($C128,EmpTbl!$B$1:$L$45,4,FALSE))</f>
        <v>72</v>
      </c>
      <c r="R128" s="73">
        <f>IF($AE$1&lt;&gt;"",VLOOKUP($C128,EmpTbl!$B$1:$L$45,9,FALSE),VLOOKUP($C128,EmpTbl!$B$1:$L$45,2,FALSE))</f>
        <v>36</v>
      </c>
      <c r="S128" s="73">
        <f t="shared" si="105"/>
        <v>0</v>
      </c>
      <c r="T128" s="73">
        <f t="shared" si="106"/>
        <v>0</v>
      </c>
      <c r="U128" s="70"/>
      <c r="V128" s="74"/>
      <c r="W128" s="74"/>
      <c r="X128" s="75"/>
      <c r="Y128" s="74"/>
    </row>
    <row r="129" spans="1:32" s="48" customFormat="1" x14ac:dyDescent="0.45">
      <c r="A129" s="42">
        <f>$A122</f>
        <v>46047</v>
      </c>
      <c r="B129" s="43" t="s">
        <v>90</v>
      </c>
      <c r="C129" s="44" t="s">
        <v>94</v>
      </c>
      <c r="D129" s="45">
        <v>48</v>
      </c>
      <c r="E129" s="45">
        <f>31-11</f>
        <v>20</v>
      </c>
      <c r="F129" s="45">
        <v>0</v>
      </c>
      <c r="G129" s="45">
        <v>11</v>
      </c>
      <c r="H129" s="55">
        <v>68</v>
      </c>
      <c r="I129" s="55">
        <v>88.4</v>
      </c>
      <c r="J129" s="55">
        <v>115.6</v>
      </c>
      <c r="K129" s="55">
        <v>68</v>
      </c>
      <c r="L129" s="55">
        <v>0</v>
      </c>
      <c r="M129" s="55">
        <f t="shared" ref="M129:M130" si="108">SUM(D129:G129)</f>
        <v>79</v>
      </c>
      <c r="N129" s="55">
        <f t="shared" si="104"/>
        <v>5780</v>
      </c>
      <c r="O129" s="55">
        <f>IF($AE$1&lt;&gt;"",VLOOKUP($C129,EmpTbl!$B$1:$L$45,9,FALSE),VLOOKUP($C129,EmpTbl!$B$1:$L$45,2,FALSE))</f>
        <v>30.67</v>
      </c>
      <c r="P129" s="55">
        <f>IF($AE$1&lt;&gt;"",VLOOKUP($C129,EmpTbl!$B$1:$L$45,10,FALSE),VLOOKUP($C129,EmpTbl!$B$1:$L$45,3,FALSE))</f>
        <v>46.005000000000003</v>
      </c>
      <c r="Q129" s="55">
        <f>IF($AE$1&lt;&gt;"",VLOOKUP($C129,EmpTbl!$B$1:$L$45,10,FALSE),VLOOKUP($C129,EmpTbl!$B$1:$L$45,4,FALSE))</f>
        <v>61.34</v>
      </c>
      <c r="R129" s="55">
        <f>IF($AE$1&lt;&gt;"",VLOOKUP($C129,EmpTbl!$B$1:$L$45,9,FALSE),VLOOKUP($C129,EmpTbl!$B$1:$L$45,2,FALSE))</f>
        <v>30.67</v>
      </c>
      <c r="S129" s="55">
        <f t="shared" si="105"/>
        <v>2729.63</v>
      </c>
      <c r="T129" s="55">
        <f t="shared" si="106"/>
        <v>3050.37</v>
      </c>
      <c r="U129" s="45"/>
      <c r="V129" s="46"/>
      <c r="W129" s="46">
        <v>7</v>
      </c>
      <c r="X129" s="47">
        <v>1</v>
      </c>
      <c r="Y129" s="46">
        <v>1</v>
      </c>
      <c r="Z129" s="81" t="s">
        <v>276</v>
      </c>
    </row>
    <row r="130" spans="1:32" customFormat="1" x14ac:dyDescent="0.45">
      <c r="A130" s="67">
        <f>$A122</f>
        <v>46047</v>
      </c>
      <c r="B130" s="68" t="s">
        <v>90</v>
      </c>
      <c r="C130" s="69" t="s">
        <v>190</v>
      </c>
      <c r="D130" s="70">
        <v>40</v>
      </c>
      <c r="E130" s="70">
        <v>1.75</v>
      </c>
      <c r="F130" s="70">
        <v>0</v>
      </c>
      <c r="G130" s="70">
        <v>0</v>
      </c>
      <c r="H130" s="73">
        <v>68</v>
      </c>
      <c r="I130" s="73">
        <v>88.4</v>
      </c>
      <c r="J130" s="73">
        <v>115.6</v>
      </c>
      <c r="K130" s="73">
        <v>68</v>
      </c>
      <c r="L130" s="73">
        <v>0</v>
      </c>
      <c r="M130" s="73">
        <f t="shared" si="108"/>
        <v>41.75</v>
      </c>
      <c r="N130" s="73">
        <f t="shared" si="104"/>
        <v>2874.7</v>
      </c>
      <c r="O130" s="73">
        <f>IF($AE$1&lt;&gt;"",VLOOKUP($C130,EmpTbl!$B$1:$L$45,9,FALSE),VLOOKUP($C130,EmpTbl!$B$1:$L$45,2,FALSE))</f>
        <v>30</v>
      </c>
      <c r="P130" s="73">
        <f>IF($AE$1&lt;&gt;"",VLOOKUP($C130,EmpTbl!$B$1:$L$45,10,FALSE),VLOOKUP($C130,EmpTbl!$B$1:$L$45,3,FALSE))</f>
        <v>45</v>
      </c>
      <c r="Q130" s="73">
        <f>IF($AE$1&lt;&gt;"",VLOOKUP($C130,EmpTbl!$B$1:$L$45,10,FALSE),VLOOKUP($C130,EmpTbl!$B$1:$L$45,4,FALSE))</f>
        <v>60</v>
      </c>
      <c r="R130" s="73">
        <f>IF($AE$1&lt;&gt;"",VLOOKUP($C130,EmpTbl!$B$1:$L$45,9,FALSE),VLOOKUP($C130,EmpTbl!$B$1:$L$45,2,FALSE))</f>
        <v>30</v>
      </c>
      <c r="S130" s="73">
        <f t="shared" si="105"/>
        <v>1278.75</v>
      </c>
      <c r="T130" s="73">
        <f t="shared" si="106"/>
        <v>1595.9499999999998</v>
      </c>
      <c r="U130" s="79">
        <v>1</v>
      </c>
      <c r="V130" s="74"/>
      <c r="W130" s="74"/>
      <c r="X130" s="75"/>
      <c r="Y130" s="74"/>
    </row>
    <row r="131" spans="1:32" customFormat="1" x14ac:dyDescent="0.45">
      <c r="A131" s="67">
        <f>$A122</f>
        <v>46047</v>
      </c>
      <c r="B131" s="69" t="s">
        <v>186</v>
      </c>
      <c r="C131" s="69" t="s">
        <v>189</v>
      </c>
      <c r="D131" s="70">
        <v>40</v>
      </c>
      <c r="E131" s="70">
        <v>9.75</v>
      </c>
      <c r="F131" s="70">
        <v>0</v>
      </c>
      <c r="G131" s="70">
        <v>0</v>
      </c>
      <c r="H131" s="73">
        <v>54</v>
      </c>
      <c r="I131" s="73">
        <v>70.2</v>
      </c>
      <c r="J131" s="73">
        <v>91.8</v>
      </c>
      <c r="K131" s="73">
        <v>54</v>
      </c>
      <c r="L131" s="73">
        <v>0</v>
      </c>
      <c r="M131" s="73">
        <f>SUM(D131:G131)</f>
        <v>49.75</v>
      </c>
      <c r="N131" s="73">
        <f>ROUND((D131*H131)+(E131*I131)+(F131*J131)+(G131*K131),2)</f>
        <v>2844.45</v>
      </c>
      <c r="O131" s="73">
        <f>IF($AE$1&lt;&gt;"",VLOOKUP($C131,EmpTbl!$B$1:$L$45,9,FALSE),VLOOKUP($C131,EmpTbl!$B$1:$L$45,2,FALSE))</f>
        <v>27</v>
      </c>
      <c r="P131" s="73">
        <f>IF($AE$1&lt;&gt;"",VLOOKUP($C131,EmpTbl!$B$1:$L$45,10,FALSE),VLOOKUP($C131,EmpTbl!$B$1:$L$45,3,FALSE))</f>
        <v>40.5</v>
      </c>
      <c r="Q131" s="73">
        <f>IF($AE$1&lt;&gt;"",VLOOKUP($C131,EmpTbl!$B$1:$L$45,10,FALSE),VLOOKUP($C131,EmpTbl!$B$1:$L$45,4,FALSE))</f>
        <v>54</v>
      </c>
      <c r="R131" s="73">
        <f>IF($AE$1&lt;&gt;"",VLOOKUP($C131,EmpTbl!$B$1:$L$45,9,FALSE),VLOOKUP($C131,EmpTbl!$B$1:$L$45,2,FALSE))</f>
        <v>27</v>
      </c>
      <c r="S131" s="73">
        <f>ROUND(O131*D131+P131*E131+Q131*F131+G131*R131,2)</f>
        <v>1474.88</v>
      </c>
      <c r="T131" s="73">
        <f>N131-S131</f>
        <v>1369.5699999999997</v>
      </c>
      <c r="U131" s="79">
        <v>1</v>
      </c>
      <c r="V131" s="74"/>
      <c r="W131" s="74"/>
      <c r="X131" s="75"/>
      <c r="Y131" s="74"/>
    </row>
    <row r="132" spans="1:32" s="48" customFormat="1" x14ac:dyDescent="0.45">
      <c r="A132" s="42">
        <f>A131+7</f>
        <v>46054</v>
      </c>
      <c r="B132" s="43" t="s">
        <v>91</v>
      </c>
      <c r="C132" s="44" t="s">
        <v>92</v>
      </c>
      <c r="D132" s="45">
        <v>40</v>
      </c>
      <c r="E132" s="45">
        <f>15.75-11.75</f>
        <v>4</v>
      </c>
      <c r="F132" s="45">
        <v>0</v>
      </c>
      <c r="G132" s="45">
        <v>11.75</v>
      </c>
      <c r="H132" s="55">
        <v>72</v>
      </c>
      <c r="I132" s="55">
        <v>93.600000000000009</v>
      </c>
      <c r="J132" s="55">
        <v>122.39999999999999</v>
      </c>
      <c r="K132" s="55">
        <v>72</v>
      </c>
      <c r="L132" s="55">
        <v>0</v>
      </c>
      <c r="M132" s="55">
        <f t="shared" ref="M132:M137" si="109">SUM(D132:G132)</f>
        <v>55.75</v>
      </c>
      <c r="N132" s="55">
        <f t="shared" ref="N132:N140" si="110">ROUND((D132*H132)+(E132*I132)+(F132*J132)+(G132*K132),2)</f>
        <v>4100.3999999999996</v>
      </c>
      <c r="O132" s="55">
        <f>IF($AE$1&lt;&gt;"",VLOOKUP($C132,EmpTbl!$B$1:$L$45,9,FALSE),VLOOKUP($C132,EmpTbl!$B$1:$L$45,2,FALSE))</f>
        <v>60</v>
      </c>
      <c r="P132" s="55">
        <f>IF($AE$1&lt;&gt;"",VLOOKUP($C132,EmpTbl!$B$1:$L$45,10,FALSE),VLOOKUP($C132,EmpTbl!$B$1:$L$45,3,FALSE))</f>
        <v>78</v>
      </c>
      <c r="Q132" s="55">
        <f>IF($AE$1&lt;&gt;"",VLOOKUP($C132,EmpTbl!$B$1:$L$45,10,FALSE),VLOOKUP($C132,EmpTbl!$B$1:$L$45,4,FALSE))</f>
        <v>102</v>
      </c>
      <c r="R132" s="55">
        <f>IF($AE$1&lt;&gt;"",VLOOKUP($C132,EmpTbl!$B$1:$L$45,9,FALSE),VLOOKUP($C132,EmpTbl!$B$1:$L$45,2,FALSE))</f>
        <v>60</v>
      </c>
      <c r="S132" s="55">
        <f t="shared" ref="S132:S140" si="111">ROUND(O132*D132+P132*E132+Q132*F132+G132*R132,2)</f>
        <v>3417</v>
      </c>
      <c r="T132" s="55">
        <f t="shared" ref="T132:T140" si="112">N132-S132</f>
        <v>683.39999999999964</v>
      </c>
      <c r="U132" s="45"/>
      <c r="V132" s="46"/>
      <c r="W132" s="46">
        <v>4</v>
      </c>
      <c r="X132" s="47">
        <v>1</v>
      </c>
      <c r="Y132" s="46">
        <v>1</v>
      </c>
      <c r="Z132" s="84" t="s">
        <v>278</v>
      </c>
      <c r="AC132" s="82">
        <v>61.400836793559229</v>
      </c>
      <c r="AD132" s="82">
        <v>40.592475197312119</v>
      </c>
      <c r="AE132" s="82">
        <v>20.80836159624711</v>
      </c>
      <c r="AF132" s="82">
        <v>164.12075000000002</v>
      </c>
    </row>
    <row r="133" spans="1:32" s="48" customFormat="1" x14ac:dyDescent="0.45">
      <c r="A133" s="42">
        <f>$A132</f>
        <v>46054</v>
      </c>
      <c r="B133" s="43" t="s">
        <v>55</v>
      </c>
      <c r="C133" s="44" t="s">
        <v>3</v>
      </c>
      <c r="D133" s="45">
        <v>39</v>
      </c>
      <c r="E133" s="45">
        <v>0</v>
      </c>
      <c r="F133" s="45">
        <v>0</v>
      </c>
      <c r="G133" s="45">
        <v>4</v>
      </c>
      <c r="H133" s="55">
        <v>72</v>
      </c>
      <c r="I133" s="55">
        <v>93.600000000000009</v>
      </c>
      <c r="J133" s="55">
        <v>122.39999999999999</v>
      </c>
      <c r="K133" s="55">
        <v>72</v>
      </c>
      <c r="L133" s="55">
        <v>0</v>
      </c>
      <c r="M133" s="55">
        <f t="shared" si="109"/>
        <v>43</v>
      </c>
      <c r="N133" s="55">
        <f t="shared" si="110"/>
        <v>3096</v>
      </c>
      <c r="O133" s="55">
        <f>IF($AE$1&lt;&gt;"",VLOOKUP($C133,EmpTbl!$B$1:$L$45,9,FALSE),VLOOKUP($C133,EmpTbl!$B$1:$L$45,2,FALSE))</f>
        <v>57</v>
      </c>
      <c r="P133" s="55">
        <f>IF($AE$1&lt;&gt;"",VLOOKUP($C133,EmpTbl!$B$1:$L$45,10,FALSE),VLOOKUP($C133,EmpTbl!$B$1:$L$45,3,FALSE))</f>
        <v>74.100000000000009</v>
      </c>
      <c r="Q133" s="55">
        <f>IF($AE$1&lt;&gt;"",VLOOKUP($C133,EmpTbl!$B$1:$L$45,10,FALSE),VLOOKUP($C133,EmpTbl!$B$1:$L$45,4,FALSE))</f>
        <v>96.899999999999991</v>
      </c>
      <c r="R133" s="55">
        <f>IF($AE$1&lt;&gt;"",VLOOKUP($C133,EmpTbl!$B$1:$L$45,9,FALSE),VLOOKUP($C133,EmpTbl!$B$1:$L$45,2,FALSE))</f>
        <v>57</v>
      </c>
      <c r="S133" s="55">
        <f t="shared" si="111"/>
        <v>2451</v>
      </c>
      <c r="T133" s="55">
        <f t="shared" si="112"/>
        <v>645</v>
      </c>
      <c r="U133" s="45"/>
      <c r="V133" s="46"/>
      <c r="W133" s="46">
        <v>1</v>
      </c>
      <c r="X133" s="46"/>
      <c r="Y133" s="46"/>
      <c r="Z133" s="83"/>
    </row>
    <row r="134" spans="1:32" customFormat="1" x14ac:dyDescent="0.45">
      <c r="A134" s="67">
        <f>$A132</f>
        <v>46054</v>
      </c>
      <c r="B134" s="68" t="s">
        <v>38</v>
      </c>
      <c r="C134" s="69" t="s">
        <v>39</v>
      </c>
      <c r="D134" s="70">
        <v>0</v>
      </c>
      <c r="E134" s="70">
        <v>0</v>
      </c>
      <c r="F134" s="70">
        <v>0</v>
      </c>
      <c r="G134" s="70">
        <v>0</v>
      </c>
      <c r="H134" s="73">
        <v>68</v>
      </c>
      <c r="I134" s="73">
        <v>88.4</v>
      </c>
      <c r="J134" s="73">
        <v>115.6</v>
      </c>
      <c r="K134" s="73">
        <v>68</v>
      </c>
      <c r="L134" s="73">
        <v>0</v>
      </c>
      <c r="M134" s="73">
        <f t="shared" si="109"/>
        <v>0</v>
      </c>
      <c r="N134" s="73">
        <f t="shared" si="110"/>
        <v>0</v>
      </c>
      <c r="O134" s="73">
        <f>IF($AE$1&lt;&gt;"",VLOOKUP($C134,EmpTbl!$B$1:$L$45,9,FALSE),VLOOKUP($C134,EmpTbl!$B$1:$L$45,2,FALSE))</f>
        <v>55</v>
      </c>
      <c r="P134" s="73">
        <f>IF($AE$1&lt;&gt;"",VLOOKUP($C134,EmpTbl!$B$1:$L$45,10,FALSE),VLOOKUP($C134,EmpTbl!$B$1:$L$45,3,FALSE))</f>
        <v>71.5</v>
      </c>
      <c r="Q134" s="73">
        <f>IF($AE$1&lt;&gt;"",VLOOKUP($C134,EmpTbl!$B$1:$L$45,10,FALSE),VLOOKUP($C134,EmpTbl!$B$1:$L$45,4,FALSE))</f>
        <v>93.5</v>
      </c>
      <c r="R134" s="73">
        <f>IF($AE$1&lt;&gt;"",VLOOKUP($C134,EmpTbl!$B$1:$L$45,9,FALSE),VLOOKUP($C134,EmpTbl!$B$1:$L$45,2,FALSE))</f>
        <v>55</v>
      </c>
      <c r="S134" s="73">
        <f t="shared" si="111"/>
        <v>0</v>
      </c>
      <c r="T134" s="73">
        <f t="shared" si="112"/>
        <v>0</v>
      </c>
      <c r="U134" s="70"/>
      <c r="V134" s="74"/>
      <c r="W134" s="74"/>
      <c r="X134" s="75"/>
      <c r="Y134" s="74"/>
    </row>
    <row r="135" spans="1:32" customFormat="1" x14ac:dyDescent="0.45">
      <c r="A135" s="67">
        <f>$A132</f>
        <v>46054</v>
      </c>
      <c r="B135" s="68" t="s">
        <v>40</v>
      </c>
      <c r="C135" s="69" t="s">
        <v>2</v>
      </c>
      <c r="D135" s="70">
        <v>40</v>
      </c>
      <c r="E135" s="70">
        <v>0</v>
      </c>
      <c r="F135" s="70">
        <v>0</v>
      </c>
      <c r="G135" s="70">
        <v>0</v>
      </c>
      <c r="H135" s="73">
        <v>68</v>
      </c>
      <c r="I135" s="73">
        <v>88.4</v>
      </c>
      <c r="J135" s="73">
        <v>115.6</v>
      </c>
      <c r="K135" s="73">
        <v>68</v>
      </c>
      <c r="L135" s="73">
        <v>0</v>
      </c>
      <c r="M135" s="73">
        <f t="shared" si="109"/>
        <v>40</v>
      </c>
      <c r="N135" s="73">
        <f t="shared" si="110"/>
        <v>2720</v>
      </c>
      <c r="O135" s="73">
        <f>IF($AE$1&lt;&gt;"",VLOOKUP($C135,EmpTbl!$B$1:$L$45,9,FALSE),VLOOKUP($C135,EmpTbl!$B$1:$L$45,2,FALSE))</f>
        <v>35</v>
      </c>
      <c r="P135" s="73">
        <f>IF($AE$1&lt;&gt;"",VLOOKUP($C135,EmpTbl!$B$1:$L$45,10,FALSE),VLOOKUP($C135,EmpTbl!$B$1:$L$45,3,FALSE))</f>
        <v>52.5</v>
      </c>
      <c r="Q135" s="73">
        <f>IF($AE$1&lt;&gt;"",VLOOKUP($C135,EmpTbl!$B$1:$L$45,10,FALSE),VLOOKUP($C135,EmpTbl!$B$1:$L$45,4,FALSE))</f>
        <v>70</v>
      </c>
      <c r="R135" s="73">
        <f>IF($AE$1&lt;&gt;"",VLOOKUP($C135,EmpTbl!$B$1:$L$45,9,FALSE),VLOOKUP($C135,EmpTbl!$B$1:$L$45,2,FALSE))</f>
        <v>35</v>
      </c>
      <c r="S135" s="73">
        <f t="shared" si="111"/>
        <v>1400</v>
      </c>
      <c r="T135" s="73">
        <f t="shared" si="112"/>
        <v>1320</v>
      </c>
      <c r="U135" s="70"/>
      <c r="V135" s="74"/>
      <c r="W135" s="74"/>
      <c r="X135" s="75"/>
      <c r="Y135" s="74"/>
    </row>
    <row r="136" spans="1:32" s="48" customFormat="1" x14ac:dyDescent="0.45">
      <c r="A136" s="42">
        <f>$A132</f>
        <v>46054</v>
      </c>
      <c r="B136" s="43" t="s">
        <v>41</v>
      </c>
      <c r="C136" s="44" t="s">
        <v>21</v>
      </c>
      <c r="D136" s="45">
        <v>40</v>
      </c>
      <c r="E136" s="45">
        <f>6.25-4</f>
        <v>2.25</v>
      </c>
      <c r="F136" s="45">
        <v>0</v>
      </c>
      <c r="G136" s="45">
        <v>4</v>
      </c>
      <c r="H136" s="55">
        <v>68</v>
      </c>
      <c r="I136" s="55">
        <v>88.4</v>
      </c>
      <c r="J136" s="55">
        <v>115.6</v>
      </c>
      <c r="K136" s="55">
        <v>68</v>
      </c>
      <c r="L136" s="55">
        <v>0</v>
      </c>
      <c r="M136" s="55">
        <f t="shared" si="109"/>
        <v>46.25</v>
      </c>
      <c r="N136" s="55">
        <f t="shared" si="110"/>
        <v>3190.9</v>
      </c>
      <c r="O136" s="55">
        <f>IF($AE$1&lt;&gt;"",VLOOKUP($C136,EmpTbl!$B$1:$L$45,9,FALSE),VLOOKUP($C136,EmpTbl!$B$1:$L$45,2,FALSE))</f>
        <v>39</v>
      </c>
      <c r="P136" s="55">
        <f>IF($AE$1&lt;&gt;"",VLOOKUP($C136,EmpTbl!$B$1:$L$45,10,FALSE),VLOOKUP($C136,EmpTbl!$B$1:$L$45,3,FALSE))</f>
        <v>58.5</v>
      </c>
      <c r="Q136" s="55">
        <f>IF($AE$1&lt;&gt;"",VLOOKUP($C136,EmpTbl!$B$1:$L$45,10,FALSE),VLOOKUP($C136,EmpTbl!$B$1:$L$45,4,FALSE))</f>
        <v>78</v>
      </c>
      <c r="R136" s="55">
        <f>IF($AE$1&lt;&gt;"",VLOOKUP($C136,EmpTbl!$B$1:$L$45,9,FALSE),VLOOKUP($C136,EmpTbl!$B$1:$L$45,2,FALSE))</f>
        <v>39</v>
      </c>
      <c r="S136" s="55">
        <f t="shared" si="111"/>
        <v>1847.63</v>
      </c>
      <c r="T136" s="55">
        <f t="shared" si="112"/>
        <v>1343.27</v>
      </c>
      <c r="U136" s="45"/>
      <c r="V136" s="46"/>
      <c r="W136" s="46">
        <v>2</v>
      </c>
      <c r="X136" s="47"/>
      <c r="Y136" s="46"/>
    </row>
    <row r="137" spans="1:32" customFormat="1" x14ac:dyDescent="0.45">
      <c r="A137" s="67">
        <f>$A132</f>
        <v>46054</v>
      </c>
      <c r="B137" s="68" t="s">
        <v>44</v>
      </c>
      <c r="C137" s="69" t="s">
        <v>37</v>
      </c>
      <c r="D137" s="70">
        <v>40</v>
      </c>
      <c r="E137" s="70">
        <v>11.75</v>
      </c>
      <c r="F137" s="70">
        <v>0</v>
      </c>
      <c r="G137" s="70">
        <v>0</v>
      </c>
      <c r="H137" s="73">
        <v>68</v>
      </c>
      <c r="I137" s="73">
        <v>88.4</v>
      </c>
      <c r="J137" s="73">
        <v>115.6</v>
      </c>
      <c r="K137" s="73">
        <v>68</v>
      </c>
      <c r="L137" s="73">
        <v>0</v>
      </c>
      <c r="M137" s="73">
        <f t="shared" si="109"/>
        <v>51.75</v>
      </c>
      <c r="N137" s="73">
        <f t="shared" si="110"/>
        <v>3758.7</v>
      </c>
      <c r="O137" s="73">
        <f>IF($AE$1&lt;&gt;"",VLOOKUP($C137,EmpTbl!$B$1:$L$45,9,FALSE),VLOOKUP($C137,EmpTbl!$B$1:$L$45,2,FALSE))</f>
        <v>36</v>
      </c>
      <c r="P137" s="73">
        <f>IF($AE$1&lt;&gt;"",VLOOKUP($C137,EmpTbl!$B$1:$L$45,10,FALSE),VLOOKUP($C137,EmpTbl!$B$1:$L$45,3,FALSE))</f>
        <v>54</v>
      </c>
      <c r="Q137" s="73">
        <f>IF($AE$1&lt;&gt;"",VLOOKUP($C137,EmpTbl!$B$1:$L$45,10,FALSE),VLOOKUP($C137,EmpTbl!$B$1:$L$45,4,FALSE))</f>
        <v>72</v>
      </c>
      <c r="R137" s="73">
        <f>IF($AE$1&lt;&gt;"",VLOOKUP($C137,EmpTbl!$B$1:$L$45,9,FALSE),VLOOKUP($C137,EmpTbl!$B$1:$L$45,2,FALSE))</f>
        <v>36</v>
      </c>
      <c r="S137" s="73">
        <f t="shared" si="111"/>
        <v>2074.5</v>
      </c>
      <c r="T137" s="73">
        <f t="shared" si="112"/>
        <v>1684.1999999999998</v>
      </c>
      <c r="U137" s="70"/>
      <c r="V137" s="74"/>
      <c r="W137" s="74"/>
      <c r="X137" s="75"/>
      <c r="Y137" s="74"/>
      <c r="Z137" s="78"/>
    </row>
    <row r="138" spans="1:32" s="48" customFormat="1" x14ac:dyDescent="0.45">
      <c r="A138" s="42">
        <f>$A132</f>
        <v>46054</v>
      </c>
      <c r="B138" s="43" t="s">
        <v>59</v>
      </c>
      <c r="C138" s="44" t="s">
        <v>58</v>
      </c>
      <c r="D138" s="45">
        <f>33.25-3</f>
        <v>30.25</v>
      </c>
      <c r="E138" s="45">
        <v>0</v>
      </c>
      <c r="F138" s="45">
        <v>0</v>
      </c>
      <c r="G138" s="45">
        <v>3</v>
      </c>
      <c r="H138" s="55">
        <v>68</v>
      </c>
      <c r="I138" s="55">
        <v>88.4</v>
      </c>
      <c r="J138" s="55">
        <v>115.6</v>
      </c>
      <c r="K138" s="55">
        <v>68</v>
      </c>
      <c r="L138" s="55">
        <v>0</v>
      </c>
      <c r="M138" s="55">
        <f t="shared" ref="M138" si="113">SUM(D138:G138)</f>
        <v>33.25</v>
      </c>
      <c r="N138" s="55">
        <f t="shared" si="110"/>
        <v>2261</v>
      </c>
      <c r="O138" s="55">
        <f>IF($AE$1&lt;&gt;"",VLOOKUP($C138,EmpTbl!$B$1:$L$45,9,FALSE),VLOOKUP($C138,EmpTbl!$B$1:$L$45,2,FALSE))</f>
        <v>36</v>
      </c>
      <c r="P138" s="55">
        <f>IF($AE$1&lt;&gt;"",VLOOKUP($C138,EmpTbl!$B$1:$L$45,10,FALSE),VLOOKUP($C138,EmpTbl!$B$1:$L$45,3,FALSE))</f>
        <v>54</v>
      </c>
      <c r="Q138" s="55">
        <f>IF($AE$1&lt;&gt;"",VLOOKUP($C138,EmpTbl!$B$1:$L$45,10,FALSE),VLOOKUP($C138,EmpTbl!$B$1:$L$45,4,FALSE))</f>
        <v>72</v>
      </c>
      <c r="R138" s="55">
        <f>IF($AE$1&lt;&gt;"",VLOOKUP($C138,EmpTbl!$B$1:$L$45,9,FALSE),VLOOKUP($C138,EmpTbl!$B$1:$L$45,2,FALSE))</f>
        <v>36</v>
      </c>
      <c r="S138" s="55">
        <f t="shared" si="111"/>
        <v>1197</v>
      </c>
      <c r="T138" s="55">
        <f t="shared" si="112"/>
        <v>1064</v>
      </c>
      <c r="U138" s="45"/>
      <c r="V138" s="46"/>
      <c r="W138" s="46"/>
      <c r="X138" s="47"/>
      <c r="Y138" s="46"/>
    </row>
    <row r="139" spans="1:32" s="48" customFormat="1" x14ac:dyDescent="0.45">
      <c r="A139" s="42">
        <f>$A132</f>
        <v>46054</v>
      </c>
      <c r="B139" s="43" t="s">
        <v>90</v>
      </c>
      <c r="C139" s="44" t="s">
        <v>94</v>
      </c>
      <c r="D139" s="45">
        <v>40</v>
      </c>
      <c r="E139" s="45">
        <f>17.75-11.75</f>
        <v>6</v>
      </c>
      <c r="F139" s="45">
        <v>0</v>
      </c>
      <c r="G139" s="45">
        <v>11.75</v>
      </c>
      <c r="H139" s="55">
        <v>68</v>
      </c>
      <c r="I139" s="55">
        <v>88.4</v>
      </c>
      <c r="J139" s="55">
        <v>115.6</v>
      </c>
      <c r="K139" s="55">
        <v>68</v>
      </c>
      <c r="L139" s="55">
        <v>0</v>
      </c>
      <c r="M139" s="55">
        <f t="shared" ref="M139:M140" si="114">SUM(D139:G139)</f>
        <v>57.75</v>
      </c>
      <c r="N139" s="55">
        <f t="shared" si="110"/>
        <v>4049.4</v>
      </c>
      <c r="O139" s="55">
        <f>IF($AE$1&lt;&gt;"",VLOOKUP($C139,EmpTbl!$B$1:$L$45,9,FALSE),VLOOKUP($C139,EmpTbl!$B$1:$L$45,2,FALSE))</f>
        <v>30.67</v>
      </c>
      <c r="P139" s="55">
        <f>IF($AE$1&lt;&gt;"",VLOOKUP($C139,EmpTbl!$B$1:$L$45,10,FALSE),VLOOKUP($C139,EmpTbl!$B$1:$L$45,3,FALSE))</f>
        <v>46.005000000000003</v>
      </c>
      <c r="Q139" s="55">
        <f>IF($AE$1&lt;&gt;"",VLOOKUP($C139,EmpTbl!$B$1:$L$45,10,FALSE),VLOOKUP($C139,EmpTbl!$B$1:$L$45,4,FALSE))</f>
        <v>61.34</v>
      </c>
      <c r="R139" s="55">
        <f>IF($AE$1&lt;&gt;"",VLOOKUP($C139,EmpTbl!$B$1:$L$45,9,FALSE),VLOOKUP($C139,EmpTbl!$B$1:$L$45,2,FALSE))</f>
        <v>30.67</v>
      </c>
      <c r="S139" s="55">
        <f t="shared" si="111"/>
        <v>1863.2</v>
      </c>
      <c r="T139" s="55">
        <f t="shared" si="112"/>
        <v>2186.1999999999998</v>
      </c>
      <c r="U139" s="45"/>
      <c r="V139" s="46"/>
      <c r="W139" s="46">
        <v>4</v>
      </c>
      <c r="X139" s="47">
        <v>1</v>
      </c>
      <c r="Y139" s="46">
        <v>1</v>
      </c>
      <c r="Z139" s="84" t="s">
        <v>278</v>
      </c>
    </row>
    <row r="140" spans="1:32" customFormat="1" x14ac:dyDescent="0.45">
      <c r="A140" s="67">
        <f>$A132</f>
        <v>46054</v>
      </c>
      <c r="B140" s="68" t="s">
        <v>90</v>
      </c>
      <c r="C140" s="69" t="s">
        <v>190</v>
      </c>
      <c r="D140" s="70">
        <v>40</v>
      </c>
      <c r="E140" s="70">
        <v>2</v>
      </c>
      <c r="F140" s="70">
        <v>0</v>
      </c>
      <c r="G140" s="70">
        <v>0</v>
      </c>
      <c r="H140" s="73">
        <v>68</v>
      </c>
      <c r="I140" s="73">
        <v>88.4</v>
      </c>
      <c r="J140" s="73">
        <v>115.6</v>
      </c>
      <c r="K140" s="73">
        <v>68</v>
      </c>
      <c r="L140" s="73">
        <v>0</v>
      </c>
      <c r="M140" s="73">
        <f t="shared" si="114"/>
        <v>42</v>
      </c>
      <c r="N140" s="73">
        <f t="shared" si="110"/>
        <v>2896.8</v>
      </c>
      <c r="O140" s="73">
        <f>IF($AE$1&lt;&gt;"",VLOOKUP($C140,EmpTbl!$B$1:$L$45,9,FALSE),VLOOKUP($C140,EmpTbl!$B$1:$L$45,2,FALSE))</f>
        <v>30</v>
      </c>
      <c r="P140" s="73">
        <f>IF($AE$1&lt;&gt;"",VLOOKUP($C140,EmpTbl!$B$1:$L$45,10,FALSE),VLOOKUP($C140,EmpTbl!$B$1:$L$45,3,FALSE))</f>
        <v>45</v>
      </c>
      <c r="Q140" s="73">
        <f>IF($AE$1&lt;&gt;"",VLOOKUP($C140,EmpTbl!$B$1:$L$45,10,FALSE),VLOOKUP($C140,EmpTbl!$B$1:$L$45,4,FALSE))</f>
        <v>60</v>
      </c>
      <c r="R140" s="73">
        <f>IF($AE$1&lt;&gt;"",VLOOKUP($C140,EmpTbl!$B$1:$L$45,9,FALSE),VLOOKUP($C140,EmpTbl!$B$1:$L$45,2,FALSE))</f>
        <v>30</v>
      </c>
      <c r="S140" s="73">
        <f t="shared" si="111"/>
        <v>1290</v>
      </c>
      <c r="T140" s="73">
        <f t="shared" si="112"/>
        <v>1606.8000000000002</v>
      </c>
      <c r="U140" s="79">
        <v>2</v>
      </c>
      <c r="V140" s="74"/>
      <c r="W140" s="74"/>
      <c r="X140" s="75"/>
      <c r="Y140" s="74"/>
    </row>
    <row r="141" spans="1:32" customFormat="1" x14ac:dyDescent="0.45">
      <c r="A141" s="67">
        <f>$A132</f>
        <v>46054</v>
      </c>
      <c r="B141" s="69" t="s">
        <v>186</v>
      </c>
      <c r="C141" s="69" t="s">
        <v>189</v>
      </c>
      <c r="D141" s="70">
        <v>40</v>
      </c>
      <c r="E141" s="70">
        <v>10.5</v>
      </c>
      <c r="F141" s="70">
        <v>0</v>
      </c>
      <c r="G141" s="70">
        <v>0</v>
      </c>
      <c r="H141" s="73">
        <v>54</v>
      </c>
      <c r="I141" s="73">
        <v>70.2</v>
      </c>
      <c r="J141" s="73">
        <v>91.8</v>
      </c>
      <c r="K141" s="73">
        <v>54</v>
      </c>
      <c r="L141" s="73">
        <v>0</v>
      </c>
      <c r="M141" s="73">
        <f>SUM(D141:G141)</f>
        <v>50.5</v>
      </c>
      <c r="N141" s="73">
        <f>ROUND((D141*H141)+(E141*I141)+(F141*J141)+(G141*K141),2)</f>
        <v>2897.1</v>
      </c>
      <c r="O141" s="73">
        <f>IF($AE$1&lt;&gt;"",VLOOKUP($C141,EmpTbl!$B$1:$L$45,9,FALSE),VLOOKUP($C141,EmpTbl!$B$1:$L$45,2,FALSE))</f>
        <v>27</v>
      </c>
      <c r="P141" s="73">
        <f>IF($AE$1&lt;&gt;"",VLOOKUP($C141,EmpTbl!$B$1:$L$45,10,FALSE),VLOOKUP($C141,EmpTbl!$B$1:$L$45,3,FALSE))</f>
        <v>40.5</v>
      </c>
      <c r="Q141" s="73">
        <f>IF($AE$1&lt;&gt;"",VLOOKUP($C141,EmpTbl!$B$1:$L$45,10,FALSE),VLOOKUP($C141,EmpTbl!$B$1:$L$45,4,FALSE))</f>
        <v>54</v>
      </c>
      <c r="R141" s="73">
        <f>IF($AE$1&lt;&gt;"",VLOOKUP($C141,EmpTbl!$B$1:$L$45,9,FALSE),VLOOKUP($C141,EmpTbl!$B$1:$L$45,2,FALSE))</f>
        <v>27</v>
      </c>
      <c r="S141" s="73">
        <f>ROUND(O141*D141+P141*E141+Q141*F141+G141*R141,2)</f>
        <v>1505.25</v>
      </c>
      <c r="T141" s="73">
        <f>N141-S141</f>
        <v>1391.85</v>
      </c>
      <c r="U141" s="79">
        <v>1</v>
      </c>
      <c r="V141" s="74"/>
      <c r="W141" s="74"/>
      <c r="X141" s="75"/>
      <c r="Y141" s="74"/>
    </row>
    <row r="142" spans="1:32" s="48" customFormat="1" x14ac:dyDescent="0.45">
      <c r="A142" s="42">
        <f>A141+7</f>
        <v>46061</v>
      </c>
      <c r="B142" s="43" t="s">
        <v>91</v>
      </c>
      <c r="C142" s="44" t="s">
        <v>92</v>
      </c>
      <c r="D142" s="45">
        <v>40</v>
      </c>
      <c r="E142" s="45">
        <f>18.5-8.5</f>
        <v>10</v>
      </c>
      <c r="F142" s="45">
        <v>0</v>
      </c>
      <c r="G142" s="45">
        <v>8.5</v>
      </c>
      <c r="H142" s="55">
        <v>72</v>
      </c>
      <c r="I142" s="55">
        <v>93.600000000000009</v>
      </c>
      <c r="J142" s="55">
        <v>122.39999999999999</v>
      </c>
      <c r="K142" s="55">
        <v>72</v>
      </c>
      <c r="L142" s="55">
        <v>0</v>
      </c>
      <c r="M142" s="55">
        <f t="shared" ref="M142:M147" si="115">SUM(D142:G142)</f>
        <v>58.5</v>
      </c>
      <c r="N142" s="55">
        <f t="shared" ref="N142:N150" si="116">ROUND((D142*H142)+(E142*I142)+(F142*J142)+(G142*K142),2)</f>
        <v>4428</v>
      </c>
      <c r="O142" s="55">
        <f>IF($AE$1&lt;&gt;"",VLOOKUP($C142,EmpTbl!$B$1:$L$45,9,FALSE),VLOOKUP($C142,EmpTbl!$B$1:$L$45,2,FALSE))</f>
        <v>60</v>
      </c>
      <c r="P142" s="55">
        <f>IF($AE$1&lt;&gt;"",VLOOKUP($C142,EmpTbl!$B$1:$L$45,10,FALSE),VLOOKUP($C142,EmpTbl!$B$1:$L$45,3,FALSE))</f>
        <v>78</v>
      </c>
      <c r="Q142" s="55">
        <f>IF($AE$1&lt;&gt;"",VLOOKUP($C142,EmpTbl!$B$1:$L$45,10,FALSE),VLOOKUP($C142,EmpTbl!$B$1:$L$45,4,FALSE))</f>
        <v>102</v>
      </c>
      <c r="R142" s="55">
        <f>IF($AE$1&lt;&gt;"",VLOOKUP($C142,EmpTbl!$B$1:$L$45,9,FALSE),VLOOKUP($C142,EmpTbl!$B$1:$L$45,2,FALSE))</f>
        <v>60</v>
      </c>
      <c r="S142" s="55">
        <f t="shared" ref="S142:S150" si="117">ROUND(O142*D142+P142*E142+Q142*F142+G142*R142,2)</f>
        <v>3690</v>
      </c>
      <c r="T142" s="55">
        <f t="shared" ref="T142:T150" si="118">N142-S142</f>
        <v>738</v>
      </c>
      <c r="U142" s="45"/>
      <c r="V142" s="46"/>
      <c r="W142" s="46">
        <v>6</v>
      </c>
      <c r="X142" s="47"/>
      <c r="Y142" s="46"/>
      <c r="Z142" s="84"/>
      <c r="AC142" s="82">
        <v>61.400836793559229</v>
      </c>
      <c r="AD142" s="82">
        <v>40.592475197312119</v>
      </c>
      <c r="AE142" s="82">
        <v>20.80836159624711</v>
      </c>
      <c r="AF142" s="82">
        <v>164.12075000000002</v>
      </c>
    </row>
    <row r="143" spans="1:32" customFormat="1" x14ac:dyDescent="0.45">
      <c r="A143" s="67">
        <f>$A142</f>
        <v>46061</v>
      </c>
      <c r="B143" s="68" t="s">
        <v>55</v>
      </c>
      <c r="C143" s="69" t="s">
        <v>3</v>
      </c>
      <c r="D143" s="70">
        <v>39</v>
      </c>
      <c r="E143" s="70">
        <v>0</v>
      </c>
      <c r="F143" s="70">
        <v>0</v>
      </c>
      <c r="G143" s="70">
        <v>0</v>
      </c>
      <c r="H143" s="73">
        <v>72</v>
      </c>
      <c r="I143" s="73">
        <v>93.600000000000009</v>
      </c>
      <c r="J143" s="73">
        <v>122.39999999999999</v>
      </c>
      <c r="K143" s="73">
        <v>72</v>
      </c>
      <c r="L143" s="73">
        <v>0</v>
      </c>
      <c r="M143" s="73">
        <f t="shared" si="115"/>
        <v>39</v>
      </c>
      <c r="N143" s="73">
        <f t="shared" si="116"/>
        <v>2808</v>
      </c>
      <c r="O143" s="73">
        <f>IF($AE$1&lt;&gt;"",VLOOKUP($C143,EmpTbl!$B$1:$L$45,9,FALSE),VLOOKUP($C143,EmpTbl!$B$1:$L$45,2,FALSE))</f>
        <v>57</v>
      </c>
      <c r="P143" s="73">
        <f>IF($AE$1&lt;&gt;"",VLOOKUP($C143,EmpTbl!$B$1:$L$45,10,FALSE),VLOOKUP($C143,EmpTbl!$B$1:$L$45,3,FALSE))</f>
        <v>74.100000000000009</v>
      </c>
      <c r="Q143" s="73">
        <f>IF($AE$1&lt;&gt;"",VLOOKUP($C143,EmpTbl!$B$1:$L$45,10,FALSE),VLOOKUP($C143,EmpTbl!$B$1:$L$45,4,FALSE))</f>
        <v>96.899999999999991</v>
      </c>
      <c r="R143" s="73">
        <f>IF($AE$1&lt;&gt;"",VLOOKUP($C143,EmpTbl!$B$1:$L$45,9,FALSE),VLOOKUP($C143,EmpTbl!$B$1:$L$45,2,FALSE))</f>
        <v>57</v>
      </c>
      <c r="S143" s="73">
        <f t="shared" si="117"/>
        <v>2223</v>
      </c>
      <c r="T143" s="73">
        <f t="shared" si="118"/>
        <v>585</v>
      </c>
      <c r="U143" s="70"/>
      <c r="V143" s="74"/>
      <c r="W143" s="74"/>
      <c r="X143" s="74"/>
      <c r="Y143" s="74"/>
      <c r="Z143" s="19"/>
    </row>
    <row r="144" spans="1:32" customFormat="1" x14ac:dyDescent="0.45">
      <c r="A144" s="67">
        <f>$A142</f>
        <v>46061</v>
      </c>
      <c r="B144" s="68" t="s">
        <v>38</v>
      </c>
      <c r="C144" s="69" t="s">
        <v>39</v>
      </c>
      <c r="D144" s="70">
        <v>0</v>
      </c>
      <c r="E144" s="70">
        <v>0</v>
      </c>
      <c r="F144" s="70">
        <v>0</v>
      </c>
      <c r="G144" s="70">
        <v>0</v>
      </c>
      <c r="H144" s="73">
        <v>68</v>
      </c>
      <c r="I144" s="73">
        <v>88.4</v>
      </c>
      <c r="J144" s="73">
        <v>115.6</v>
      </c>
      <c r="K144" s="73">
        <v>68</v>
      </c>
      <c r="L144" s="73">
        <v>0</v>
      </c>
      <c r="M144" s="73">
        <f t="shared" si="115"/>
        <v>0</v>
      </c>
      <c r="N144" s="73">
        <f t="shared" si="116"/>
        <v>0</v>
      </c>
      <c r="O144" s="73">
        <f>IF($AE$1&lt;&gt;"",VLOOKUP($C144,EmpTbl!$B$1:$L$45,9,FALSE),VLOOKUP($C144,EmpTbl!$B$1:$L$45,2,FALSE))</f>
        <v>55</v>
      </c>
      <c r="P144" s="73">
        <f>IF($AE$1&lt;&gt;"",VLOOKUP($C144,EmpTbl!$B$1:$L$45,10,FALSE),VLOOKUP($C144,EmpTbl!$B$1:$L$45,3,FALSE))</f>
        <v>71.5</v>
      </c>
      <c r="Q144" s="73">
        <f>IF($AE$1&lt;&gt;"",VLOOKUP($C144,EmpTbl!$B$1:$L$45,10,FALSE),VLOOKUP($C144,EmpTbl!$B$1:$L$45,4,FALSE))</f>
        <v>93.5</v>
      </c>
      <c r="R144" s="73">
        <f>IF($AE$1&lt;&gt;"",VLOOKUP($C144,EmpTbl!$B$1:$L$45,9,FALSE),VLOOKUP($C144,EmpTbl!$B$1:$L$45,2,FALSE))</f>
        <v>55</v>
      </c>
      <c r="S144" s="73">
        <f t="shared" si="117"/>
        <v>0</v>
      </c>
      <c r="T144" s="73">
        <f t="shared" si="118"/>
        <v>0</v>
      </c>
      <c r="U144" s="70"/>
      <c r="V144" s="74"/>
      <c r="W144" s="74"/>
      <c r="X144" s="75"/>
      <c r="Y144" s="74"/>
    </row>
    <row r="145" spans="1:32" customFormat="1" x14ac:dyDescent="0.45">
      <c r="A145" s="67">
        <f>$A142</f>
        <v>46061</v>
      </c>
      <c r="B145" s="68" t="s">
        <v>40</v>
      </c>
      <c r="C145" s="69" t="s">
        <v>2</v>
      </c>
      <c r="D145" s="70">
        <v>40</v>
      </c>
      <c r="E145" s="70">
        <v>0</v>
      </c>
      <c r="F145" s="70">
        <v>0</v>
      </c>
      <c r="G145" s="70">
        <v>0</v>
      </c>
      <c r="H145" s="73">
        <v>68</v>
      </c>
      <c r="I145" s="73">
        <v>88.4</v>
      </c>
      <c r="J145" s="73">
        <v>115.6</v>
      </c>
      <c r="K145" s="73">
        <v>68</v>
      </c>
      <c r="L145" s="73">
        <v>0</v>
      </c>
      <c r="M145" s="73">
        <f t="shared" si="115"/>
        <v>40</v>
      </c>
      <c r="N145" s="73">
        <f t="shared" si="116"/>
        <v>2720</v>
      </c>
      <c r="O145" s="73">
        <f>IF($AE$1&lt;&gt;"",VLOOKUP($C145,EmpTbl!$B$1:$L$45,9,FALSE),VLOOKUP($C145,EmpTbl!$B$1:$L$45,2,FALSE))</f>
        <v>35</v>
      </c>
      <c r="P145" s="73">
        <f>IF($AE$1&lt;&gt;"",VLOOKUP($C145,EmpTbl!$B$1:$L$45,10,FALSE),VLOOKUP($C145,EmpTbl!$B$1:$L$45,3,FALSE))</f>
        <v>52.5</v>
      </c>
      <c r="Q145" s="73">
        <f>IF($AE$1&lt;&gt;"",VLOOKUP($C145,EmpTbl!$B$1:$L$45,10,FALSE),VLOOKUP($C145,EmpTbl!$B$1:$L$45,4,FALSE))</f>
        <v>70</v>
      </c>
      <c r="R145" s="73">
        <f>IF($AE$1&lt;&gt;"",VLOOKUP($C145,EmpTbl!$B$1:$L$45,9,FALSE),VLOOKUP($C145,EmpTbl!$B$1:$L$45,2,FALSE))</f>
        <v>35</v>
      </c>
      <c r="S145" s="73">
        <f t="shared" si="117"/>
        <v>1400</v>
      </c>
      <c r="T145" s="73">
        <f t="shared" si="118"/>
        <v>1320</v>
      </c>
      <c r="U145" s="70"/>
      <c r="V145" s="74"/>
      <c r="W145" s="74"/>
      <c r="X145" s="75"/>
      <c r="Y145" s="74"/>
    </row>
    <row r="146" spans="1:32" customFormat="1" x14ac:dyDescent="0.45">
      <c r="A146" s="67">
        <f>$A142</f>
        <v>46061</v>
      </c>
      <c r="B146" s="68" t="s">
        <v>41</v>
      </c>
      <c r="C146" s="69" t="s">
        <v>21</v>
      </c>
      <c r="D146" s="70">
        <v>40</v>
      </c>
      <c r="E146" s="70">
        <v>13.25</v>
      </c>
      <c r="F146" s="70">
        <v>0</v>
      </c>
      <c r="G146" s="70">
        <v>0</v>
      </c>
      <c r="H146" s="73">
        <v>68</v>
      </c>
      <c r="I146" s="73">
        <v>88.4</v>
      </c>
      <c r="J146" s="73">
        <v>115.6</v>
      </c>
      <c r="K146" s="73">
        <v>68</v>
      </c>
      <c r="L146" s="73">
        <v>0</v>
      </c>
      <c r="M146" s="73">
        <f t="shared" si="115"/>
        <v>53.25</v>
      </c>
      <c r="N146" s="73">
        <f t="shared" si="116"/>
        <v>3891.3</v>
      </c>
      <c r="O146" s="73">
        <f>IF($AE$1&lt;&gt;"",VLOOKUP($C146,EmpTbl!$B$1:$L$45,9,FALSE),VLOOKUP($C146,EmpTbl!$B$1:$L$45,2,FALSE))</f>
        <v>39</v>
      </c>
      <c r="P146" s="73">
        <f>IF($AE$1&lt;&gt;"",VLOOKUP($C146,EmpTbl!$B$1:$L$45,10,FALSE),VLOOKUP($C146,EmpTbl!$B$1:$L$45,3,FALSE))</f>
        <v>58.5</v>
      </c>
      <c r="Q146" s="73">
        <f>IF($AE$1&lt;&gt;"",VLOOKUP($C146,EmpTbl!$B$1:$L$45,10,FALSE),VLOOKUP($C146,EmpTbl!$B$1:$L$45,4,FALSE))</f>
        <v>78</v>
      </c>
      <c r="R146" s="73">
        <f>IF($AE$1&lt;&gt;"",VLOOKUP($C146,EmpTbl!$B$1:$L$45,9,FALSE),VLOOKUP($C146,EmpTbl!$B$1:$L$45,2,FALSE))</f>
        <v>39</v>
      </c>
      <c r="S146" s="73">
        <f t="shared" si="117"/>
        <v>2335.13</v>
      </c>
      <c r="T146" s="73">
        <f t="shared" si="118"/>
        <v>1556.17</v>
      </c>
      <c r="U146" s="70"/>
      <c r="V146" s="74"/>
      <c r="W146" s="74"/>
      <c r="X146" s="75"/>
      <c r="Y146" s="74"/>
    </row>
    <row r="147" spans="1:32" customFormat="1" x14ac:dyDescent="0.45">
      <c r="A147" s="67">
        <f>$A142</f>
        <v>46061</v>
      </c>
      <c r="B147" s="68" t="s">
        <v>44</v>
      </c>
      <c r="C147" s="69" t="s">
        <v>37</v>
      </c>
      <c r="D147" s="70">
        <v>40</v>
      </c>
      <c r="E147" s="70">
        <v>5</v>
      </c>
      <c r="F147" s="70">
        <v>0</v>
      </c>
      <c r="G147" s="70">
        <v>0</v>
      </c>
      <c r="H147" s="73">
        <v>68</v>
      </c>
      <c r="I147" s="73">
        <v>88.4</v>
      </c>
      <c r="J147" s="73">
        <v>115.6</v>
      </c>
      <c r="K147" s="73">
        <v>68</v>
      </c>
      <c r="L147" s="73">
        <v>0</v>
      </c>
      <c r="M147" s="73">
        <f t="shared" si="115"/>
        <v>45</v>
      </c>
      <c r="N147" s="73">
        <f t="shared" si="116"/>
        <v>3162</v>
      </c>
      <c r="O147" s="73">
        <f>IF($AE$1&lt;&gt;"",VLOOKUP($C147,EmpTbl!$B$1:$L$45,9,FALSE),VLOOKUP($C147,EmpTbl!$B$1:$L$45,2,FALSE))</f>
        <v>36</v>
      </c>
      <c r="P147" s="73">
        <f>IF($AE$1&lt;&gt;"",VLOOKUP($C147,EmpTbl!$B$1:$L$45,10,FALSE),VLOOKUP($C147,EmpTbl!$B$1:$L$45,3,FALSE))</f>
        <v>54</v>
      </c>
      <c r="Q147" s="73">
        <f>IF($AE$1&lt;&gt;"",VLOOKUP($C147,EmpTbl!$B$1:$L$45,10,FALSE),VLOOKUP($C147,EmpTbl!$B$1:$L$45,4,FALSE))</f>
        <v>72</v>
      </c>
      <c r="R147" s="73">
        <f>IF($AE$1&lt;&gt;"",VLOOKUP($C147,EmpTbl!$B$1:$L$45,9,FALSE),VLOOKUP($C147,EmpTbl!$B$1:$L$45,2,FALSE))</f>
        <v>36</v>
      </c>
      <c r="S147" s="73">
        <f t="shared" si="117"/>
        <v>1710</v>
      </c>
      <c r="T147" s="73">
        <f t="shared" si="118"/>
        <v>1452</v>
      </c>
      <c r="U147" s="70"/>
      <c r="V147" s="74"/>
      <c r="W147" s="74"/>
      <c r="X147" s="75"/>
      <c r="Y147" s="74"/>
      <c r="Z147" s="78"/>
    </row>
    <row r="148" spans="1:32" s="48" customFormat="1" x14ac:dyDescent="0.45">
      <c r="A148" s="42">
        <f>$A142</f>
        <v>46061</v>
      </c>
      <c r="B148" s="43" t="s">
        <v>59</v>
      </c>
      <c r="C148" s="44" t="s">
        <v>58</v>
      </c>
      <c r="D148" s="45">
        <v>40</v>
      </c>
      <c r="E148" s="45">
        <f>29-9</f>
        <v>20</v>
      </c>
      <c r="F148" s="45">
        <v>12</v>
      </c>
      <c r="G148" s="45">
        <v>9</v>
      </c>
      <c r="H148" s="55">
        <v>68</v>
      </c>
      <c r="I148" s="55">
        <v>88.4</v>
      </c>
      <c r="J148" s="55">
        <v>115.6</v>
      </c>
      <c r="K148" s="55">
        <v>68</v>
      </c>
      <c r="L148" s="55">
        <v>0</v>
      </c>
      <c r="M148" s="55">
        <f t="shared" ref="M148" si="119">SUM(D148:G148)</f>
        <v>81</v>
      </c>
      <c r="N148" s="55">
        <f t="shared" si="116"/>
        <v>6487.2</v>
      </c>
      <c r="O148" s="55">
        <f>IF($AE$1&lt;&gt;"",VLOOKUP($C148,EmpTbl!$B$1:$L$45,9,FALSE),VLOOKUP($C148,EmpTbl!$B$1:$L$45,2,FALSE))</f>
        <v>36</v>
      </c>
      <c r="P148" s="55">
        <f>IF($AE$1&lt;&gt;"",VLOOKUP($C148,EmpTbl!$B$1:$L$45,10,FALSE),VLOOKUP($C148,EmpTbl!$B$1:$L$45,3,FALSE))</f>
        <v>54</v>
      </c>
      <c r="Q148" s="55">
        <f>IF($AE$1&lt;&gt;"",VLOOKUP($C148,EmpTbl!$B$1:$L$45,10,FALSE),VLOOKUP($C148,EmpTbl!$B$1:$L$45,4,FALSE))</f>
        <v>72</v>
      </c>
      <c r="R148" s="55">
        <f>IF($AE$1&lt;&gt;"",VLOOKUP($C148,EmpTbl!$B$1:$L$45,9,FALSE),VLOOKUP($C148,EmpTbl!$B$1:$L$45,2,FALSE))</f>
        <v>36</v>
      </c>
      <c r="S148" s="55">
        <f t="shared" si="117"/>
        <v>3708</v>
      </c>
      <c r="T148" s="55">
        <f t="shared" si="118"/>
        <v>2779.2</v>
      </c>
      <c r="U148" s="45"/>
      <c r="V148" s="46"/>
      <c r="W148" s="46">
        <v>7</v>
      </c>
      <c r="X148" s="47">
        <v>1</v>
      </c>
      <c r="Y148" s="46">
        <v>1</v>
      </c>
      <c r="Z148" s="48" t="s">
        <v>279</v>
      </c>
    </row>
    <row r="149" spans="1:32" customFormat="1" x14ac:dyDescent="0.45">
      <c r="A149" s="67">
        <f>$A142</f>
        <v>46061</v>
      </c>
      <c r="B149" s="68" t="s">
        <v>90</v>
      </c>
      <c r="C149" s="69" t="s">
        <v>94</v>
      </c>
      <c r="D149" s="70">
        <v>40</v>
      </c>
      <c r="E149" s="70">
        <v>6.5</v>
      </c>
      <c r="F149" s="70">
        <v>0</v>
      </c>
      <c r="G149" s="70">
        <v>0</v>
      </c>
      <c r="H149" s="73">
        <v>68</v>
      </c>
      <c r="I149" s="73">
        <v>88.4</v>
      </c>
      <c r="J149" s="73">
        <v>115.6</v>
      </c>
      <c r="K149" s="73">
        <v>68</v>
      </c>
      <c r="L149" s="73">
        <v>0</v>
      </c>
      <c r="M149" s="73">
        <f t="shared" ref="M149:M150" si="120">SUM(D149:G149)</f>
        <v>46.5</v>
      </c>
      <c r="N149" s="73">
        <f t="shared" si="116"/>
        <v>3294.6</v>
      </c>
      <c r="O149" s="73">
        <f>IF($AE$1&lt;&gt;"",VLOOKUP($C149,EmpTbl!$B$1:$L$45,9,FALSE),VLOOKUP($C149,EmpTbl!$B$1:$L$45,2,FALSE))</f>
        <v>30.67</v>
      </c>
      <c r="P149" s="73">
        <f>IF($AE$1&lt;&gt;"",VLOOKUP($C149,EmpTbl!$B$1:$L$45,10,FALSE),VLOOKUP($C149,EmpTbl!$B$1:$L$45,3,FALSE))</f>
        <v>46.005000000000003</v>
      </c>
      <c r="Q149" s="73">
        <f>IF($AE$1&lt;&gt;"",VLOOKUP($C149,EmpTbl!$B$1:$L$45,10,FALSE),VLOOKUP($C149,EmpTbl!$B$1:$L$45,4,FALSE))</f>
        <v>61.34</v>
      </c>
      <c r="R149" s="73">
        <f>IF($AE$1&lt;&gt;"",VLOOKUP($C149,EmpTbl!$B$1:$L$45,9,FALSE),VLOOKUP($C149,EmpTbl!$B$1:$L$45,2,FALSE))</f>
        <v>30.67</v>
      </c>
      <c r="S149" s="73">
        <f t="shared" si="117"/>
        <v>1525.83</v>
      </c>
      <c r="T149" s="73">
        <f t="shared" si="118"/>
        <v>1768.77</v>
      </c>
      <c r="U149" s="70">
        <v>2</v>
      </c>
      <c r="V149" s="74"/>
      <c r="W149" s="74"/>
      <c r="X149" s="75"/>
      <c r="Y149" s="74"/>
      <c r="Z149" s="85"/>
    </row>
    <row r="150" spans="1:32" s="48" customFormat="1" x14ac:dyDescent="0.45">
      <c r="A150" s="42">
        <f>$A142</f>
        <v>46061</v>
      </c>
      <c r="B150" s="43" t="s">
        <v>90</v>
      </c>
      <c r="C150" s="44" t="s">
        <v>190</v>
      </c>
      <c r="D150" s="45">
        <v>40</v>
      </c>
      <c r="E150" s="45">
        <f>17.75-8.5</f>
        <v>9.25</v>
      </c>
      <c r="F150" s="45">
        <v>0</v>
      </c>
      <c r="G150" s="45">
        <v>8.5</v>
      </c>
      <c r="H150" s="55">
        <v>68</v>
      </c>
      <c r="I150" s="55">
        <v>88.4</v>
      </c>
      <c r="J150" s="55">
        <v>115.6</v>
      </c>
      <c r="K150" s="55">
        <v>68</v>
      </c>
      <c r="L150" s="55">
        <v>0</v>
      </c>
      <c r="M150" s="55">
        <f t="shared" si="120"/>
        <v>57.75</v>
      </c>
      <c r="N150" s="55">
        <f t="shared" si="116"/>
        <v>4115.7</v>
      </c>
      <c r="O150" s="55">
        <f>IF($AE$1&lt;&gt;"",VLOOKUP($C150,EmpTbl!$B$1:$L$45,9,FALSE),VLOOKUP($C150,EmpTbl!$B$1:$L$45,2,FALSE))</f>
        <v>30</v>
      </c>
      <c r="P150" s="55">
        <f>IF($AE$1&lt;&gt;"",VLOOKUP($C150,EmpTbl!$B$1:$L$45,10,FALSE),VLOOKUP($C150,EmpTbl!$B$1:$L$45,3,FALSE))</f>
        <v>45</v>
      </c>
      <c r="Q150" s="55">
        <f>IF($AE$1&lt;&gt;"",VLOOKUP($C150,EmpTbl!$B$1:$L$45,10,FALSE),VLOOKUP($C150,EmpTbl!$B$1:$L$45,4,FALSE))</f>
        <v>60</v>
      </c>
      <c r="R150" s="55">
        <f>IF($AE$1&lt;&gt;"",VLOOKUP($C150,EmpTbl!$B$1:$L$45,9,FALSE),VLOOKUP($C150,EmpTbl!$B$1:$L$45,2,FALSE))</f>
        <v>30</v>
      </c>
      <c r="S150" s="55">
        <f t="shared" si="117"/>
        <v>1871.25</v>
      </c>
      <c r="T150" s="55">
        <f t="shared" si="118"/>
        <v>2244.4499999999998</v>
      </c>
      <c r="U150" s="80"/>
      <c r="V150" s="46"/>
      <c r="W150" s="46">
        <v>6</v>
      </c>
      <c r="X150" s="47"/>
      <c r="Y150" s="46"/>
    </row>
    <row r="151" spans="1:32" customFormat="1" x14ac:dyDescent="0.45">
      <c r="A151" s="67">
        <f>$A142</f>
        <v>46061</v>
      </c>
      <c r="B151" s="69" t="s">
        <v>186</v>
      </c>
      <c r="C151" s="69" t="s">
        <v>189</v>
      </c>
      <c r="D151" s="70">
        <v>40</v>
      </c>
      <c r="E151" s="70">
        <v>4.75</v>
      </c>
      <c r="F151" s="70">
        <v>0</v>
      </c>
      <c r="G151" s="70">
        <v>0</v>
      </c>
      <c r="H151" s="73">
        <v>54</v>
      </c>
      <c r="I151" s="73">
        <v>70.2</v>
      </c>
      <c r="J151" s="73">
        <v>91.8</v>
      </c>
      <c r="K151" s="73">
        <v>54</v>
      </c>
      <c r="L151" s="73">
        <v>0</v>
      </c>
      <c r="M151" s="73">
        <f>SUM(D151:G151)</f>
        <v>44.75</v>
      </c>
      <c r="N151" s="73">
        <f>ROUND((D151*H151)+(E151*I151)+(F151*J151)+(G151*K151),2)</f>
        <v>2493.4499999999998</v>
      </c>
      <c r="O151" s="73">
        <f>IF($AE$1&lt;&gt;"",VLOOKUP($C151,EmpTbl!$B$1:$L$45,9,FALSE),VLOOKUP($C151,EmpTbl!$B$1:$L$45,2,FALSE))</f>
        <v>27</v>
      </c>
      <c r="P151" s="73">
        <f>IF($AE$1&lt;&gt;"",VLOOKUP($C151,EmpTbl!$B$1:$L$45,10,FALSE),VLOOKUP($C151,EmpTbl!$B$1:$L$45,3,FALSE))</f>
        <v>40.5</v>
      </c>
      <c r="Q151" s="73">
        <f>IF($AE$1&lt;&gt;"",VLOOKUP($C151,EmpTbl!$B$1:$L$45,10,FALSE),VLOOKUP($C151,EmpTbl!$B$1:$L$45,4,FALSE))</f>
        <v>54</v>
      </c>
      <c r="R151" s="73">
        <f>IF($AE$1&lt;&gt;"",VLOOKUP($C151,EmpTbl!$B$1:$L$45,9,FALSE),VLOOKUP($C151,EmpTbl!$B$1:$L$45,2,FALSE))</f>
        <v>27</v>
      </c>
      <c r="S151" s="73">
        <f>ROUND(O151*D151+P151*E151+Q151*F151+G151*R151,2)</f>
        <v>1272.3800000000001</v>
      </c>
      <c r="T151" s="73">
        <f>N151-S151</f>
        <v>1221.0699999999997</v>
      </c>
      <c r="U151" s="79"/>
      <c r="V151" s="74"/>
      <c r="W151" s="74"/>
      <c r="X151" s="75"/>
      <c r="Y151" s="74"/>
    </row>
    <row r="152" spans="1:32" customFormat="1" x14ac:dyDescent="0.45">
      <c r="A152" s="67">
        <f>A151+7</f>
        <v>46068</v>
      </c>
      <c r="B152" s="68" t="s">
        <v>91</v>
      </c>
      <c r="C152" s="69" t="s">
        <v>92</v>
      </c>
      <c r="D152" s="70">
        <v>40</v>
      </c>
      <c r="E152" s="70">
        <v>4.75</v>
      </c>
      <c r="F152" s="70">
        <v>0</v>
      </c>
      <c r="G152" s="70">
        <v>0</v>
      </c>
      <c r="H152" s="73">
        <v>72</v>
      </c>
      <c r="I152" s="73">
        <v>93.600000000000009</v>
      </c>
      <c r="J152" s="73">
        <v>122.39999999999999</v>
      </c>
      <c r="K152" s="73">
        <v>72</v>
      </c>
      <c r="L152" s="73">
        <v>0</v>
      </c>
      <c r="M152" s="73">
        <f t="shared" ref="M152:M157" si="121">SUM(D152:G152)</f>
        <v>44.75</v>
      </c>
      <c r="N152" s="73">
        <f t="shared" ref="N152:N160" si="122">ROUND((D152*H152)+(E152*I152)+(F152*J152)+(G152*K152),2)</f>
        <v>3324.6</v>
      </c>
      <c r="O152" s="73">
        <f>IF($AE$1&lt;&gt;"",VLOOKUP($C152,EmpTbl!$B$1:$L$45,9,FALSE),VLOOKUP($C152,EmpTbl!$B$1:$L$45,2,FALSE))</f>
        <v>60</v>
      </c>
      <c r="P152" s="73">
        <f>IF($AE$1&lt;&gt;"",VLOOKUP($C152,EmpTbl!$B$1:$L$45,10,FALSE),VLOOKUP($C152,EmpTbl!$B$1:$L$45,3,FALSE))</f>
        <v>78</v>
      </c>
      <c r="Q152" s="73">
        <f>IF($AE$1&lt;&gt;"",VLOOKUP($C152,EmpTbl!$B$1:$L$45,10,FALSE),VLOOKUP($C152,EmpTbl!$B$1:$L$45,4,FALSE))</f>
        <v>102</v>
      </c>
      <c r="R152" s="73">
        <f>IF($AE$1&lt;&gt;"",VLOOKUP($C152,EmpTbl!$B$1:$L$45,9,FALSE),VLOOKUP($C152,EmpTbl!$B$1:$L$45,2,FALSE))</f>
        <v>60</v>
      </c>
      <c r="S152" s="73">
        <f t="shared" ref="S152:S160" si="123">ROUND(O152*D152+P152*E152+Q152*F152+G152*R152,2)</f>
        <v>2770.5</v>
      </c>
      <c r="T152" s="73">
        <f t="shared" ref="T152:T160" si="124">N152-S152</f>
        <v>554.09999999999991</v>
      </c>
      <c r="U152" s="70"/>
      <c r="V152" s="74"/>
      <c r="W152" s="74"/>
      <c r="X152" s="75"/>
      <c r="Y152" s="74"/>
      <c r="Z152" s="85"/>
      <c r="AC152" s="77">
        <v>61.400836793559229</v>
      </c>
      <c r="AD152" s="77">
        <v>40.592475197312119</v>
      </c>
      <c r="AE152" s="77">
        <v>20.80836159624711</v>
      </c>
      <c r="AF152" s="77">
        <v>164.12075000000002</v>
      </c>
    </row>
    <row r="153" spans="1:32" customFormat="1" x14ac:dyDescent="0.45">
      <c r="A153" s="67">
        <f>$A152</f>
        <v>46068</v>
      </c>
      <c r="B153" s="68" t="s">
        <v>55</v>
      </c>
      <c r="C153" s="69" t="s">
        <v>3</v>
      </c>
      <c r="D153" s="70">
        <v>24</v>
      </c>
      <c r="E153" s="70">
        <v>0</v>
      </c>
      <c r="F153" s="70">
        <v>0</v>
      </c>
      <c r="G153" s="70">
        <v>0</v>
      </c>
      <c r="H153" s="73">
        <v>72</v>
      </c>
      <c r="I153" s="73">
        <v>93.600000000000009</v>
      </c>
      <c r="J153" s="73">
        <v>122.39999999999999</v>
      </c>
      <c r="K153" s="73">
        <v>72</v>
      </c>
      <c r="L153" s="73">
        <v>0</v>
      </c>
      <c r="M153" s="73">
        <f t="shared" si="121"/>
        <v>24</v>
      </c>
      <c r="N153" s="73">
        <f t="shared" si="122"/>
        <v>1728</v>
      </c>
      <c r="O153" s="73">
        <f>IF($AE$1&lt;&gt;"",VLOOKUP($C153,EmpTbl!$B$1:$L$45,9,FALSE),VLOOKUP($C153,EmpTbl!$B$1:$L$45,2,FALSE))</f>
        <v>57</v>
      </c>
      <c r="P153" s="73">
        <f>IF($AE$1&lt;&gt;"",VLOOKUP($C153,EmpTbl!$B$1:$L$45,10,FALSE),VLOOKUP($C153,EmpTbl!$B$1:$L$45,3,FALSE))</f>
        <v>74.100000000000009</v>
      </c>
      <c r="Q153" s="73">
        <f>IF($AE$1&lt;&gt;"",VLOOKUP($C153,EmpTbl!$B$1:$L$45,10,FALSE),VLOOKUP($C153,EmpTbl!$B$1:$L$45,4,FALSE))</f>
        <v>96.899999999999991</v>
      </c>
      <c r="R153" s="73">
        <f>IF($AE$1&lt;&gt;"",VLOOKUP($C153,EmpTbl!$B$1:$L$45,9,FALSE),VLOOKUP($C153,EmpTbl!$B$1:$L$45,2,FALSE))</f>
        <v>57</v>
      </c>
      <c r="S153" s="73">
        <f t="shared" si="123"/>
        <v>1368</v>
      </c>
      <c r="T153" s="73">
        <f t="shared" si="124"/>
        <v>360</v>
      </c>
      <c r="U153" s="70"/>
      <c r="V153" s="74"/>
      <c r="W153" s="74"/>
      <c r="X153" s="74"/>
      <c r="Y153" s="74"/>
      <c r="Z153" s="19"/>
    </row>
    <row r="154" spans="1:32" customFormat="1" x14ac:dyDescent="0.45">
      <c r="A154" s="67">
        <f>$A152</f>
        <v>46068</v>
      </c>
      <c r="B154" s="68" t="s">
        <v>38</v>
      </c>
      <c r="C154" s="69" t="s">
        <v>39</v>
      </c>
      <c r="D154" s="70">
        <v>0</v>
      </c>
      <c r="E154" s="70">
        <v>0</v>
      </c>
      <c r="F154" s="70">
        <v>0</v>
      </c>
      <c r="G154" s="70">
        <v>0</v>
      </c>
      <c r="H154" s="86">
        <v>72</v>
      </c>
      <c r="I154" s="86">
        <v>93.600000000000009</v>
      </c>
      <c r="J154" s="86">
        <v>122.39999999999999</v>
      </c>
      <c r="K154" s="86">
        <v>72</v>
      </c>
      <c r="L154" s="73">
        <v>0</v>
      </c>
      <c r="M154" s="73">
        <f t="shared" si="121"/>
        <v>0</v>
      </c>
      <c r="N154" s="73">
        <f t="shared" si="122"/>
        <v>0</v>
      </c>
      <c r="O154" s="73">
        <f>IF($AE$1&lt;&gt;"",VLOOKUP($C154,EmpTbl!$B$1:$L$45,9,FALSE),VLOOKUP($C154,EmpTbl!$B$1:$L$45,2,FALSE))</f>
        <v>55</v>
      </c>
      <c r="P154" s="73">
        <f>IF($AE$1&lt;&gt;"",VLOOKUP($C154,EmpTbl!$B$1:$L$45,10,FALSE),VLOOKUP($C154,EmpTbl!$B$1:$L$45,3,FALSE))</f>
        <v>71.5</v>
      </c>
      <c r="Q154" s="73">
        <f>IF($AE$1&lt;&gt;"",VLOOKUP($C154,EmpTbl!$B$1:$L$45,10,FALSE),VLOOKUP($C154,EmpTbl!$B$1:$L$45,4,FALSE))</f>
        <v>93.5</v>
      </c>
      <c r="R154" s="73">
        <f>IF($AE$1&lt;&gt;"",VLOOKUP($C154,EmpTbl!$B$1:$L$45,9,FALSE),VLOOKUP($C154,EmpTbl!$B$1:$L$45,2,FALSE))</f>
        <v>55</v>
      </c>
      <c r="S154" s="73">
        <f t="shared" si="123"/>
        <v>0</v>
      </c>
      <c r="T154" s="73">
        <f t="shared" si="124"/>
        <v>0</v>
      </c>
      <c r="U154" s="70"/>
      <c r="V154" s="74"/>
      <c r="W154" s="74"/>
      <c r="X154" s="75"/>
      <c r="Y154" s="74"/>
    </row>
    <row r="155" spans="1:32" customFormat="1" x14ac:dyDescent="0.45">
      <c r="A155" s="67">
        <f>$A152</f>
        <v>46068</v>
      </c>
      <c r="B155" s="68" t="s">
        <v>40</v>
      </c>
      <c r="C155" s="69" t="s">
        <v>2</v>
      </c>
      <c r="D155" s="70">
        <v>40</v>
      </c>
      <c r="E155" s="70">
        <v>0</v>
      </c>
      <c r="F155" s="70">
        <v>0</v>
      </c>
      <c r="G155" s="70">
        <v>0</v>
      </c>
      <c r="H155" s="86">
        <v>72</v>
      </c>
      <c r="I155" s="86">
        <v>93.600000000000009</v>
      </c>
      <c r="J155" s="86">
        <v>122.39999999999999</v>
      </c>
      <c r="K155" s="86">
        <v>72</v>
      </c>
      <c r="L155" s="73">
        <v>0</v>
      </c>
      <c r="M155" s="73">
        <f t="shared" si="121"/>
        <v>40</v>
      </c>
      <c r="N155" s="73">
        <f t="shared" si="122"/>
        <v>2880</v>
      </c>
      <c r="O155" s="73">
        <f>IF($AE$1&lt;&gt;"",VLOOKUP($C155,EmpTbl!$B$1:$L$45,9,FALSE),VLOOKUP($C155,EmpTbl!$B$1:$L$45,2,FALSE))</f>
        <v>35</v>
      </c>
      <c r="P155" s="73">
        <f>IF($AE$1&lt;&gt;"",VLOOKUP($C155,EmpTbl!$B$1:$L$45,10,FALSE),VLOOKUP($C155,EmpTbl!$B$1:$L$45,3,FALSE))</f>
        <v>52.5</v>
      </c>
      <c r="Q155" s="73">
        <f>IF($AE$1&lt;&gt;"",VLOOKUP($C155,EmpTbl!$B$1:$L$45,10,FALSE),VLOOKUP($C155,EmpTbl!$B$1:$L$45,4,FALSE))</f>
        <v>70</v>
      </c>
      <c r="R155" s="73">
        <f>IF($AE$1&lt;&gt;"",VLOOKUP($C155,EmpTbl!$B$1:$L$45,9,FALSE),VLOOKUP($C155,EmpTbl!$B$1:$L$45,2,FALSE))</f>
        <v>35</v>
      </c>
      <c r="S155" s="73">
        <f t="shared" si="123"/>
        <v>1400</v>
      </c>
      <c r="T155" s="73">
        <f t="shared" si="124"/>
        <v>1480</v>
      </c>
      <c r="U155" s="70"/>
      <c r="V155" s="74"/>
      <c r="W155" s="74"/>
      <c r="X155" s="75"/>
      <c r="Y155" s="74"/>
    </row>
    <row r="156" spans="1:32" customFormat="1" x14ac:dyDescent="0.45">
      <c r="A156" s="67">
        <f>$A152</f>
        <v>46068</v>
      </c>
      <c r="B156" s="68" t="s">
        <v>41</v>
      </c>
      <c r="C156" s="69" t="s">
        <v>21</v>
      </c>
      <c r="D156" s="70">
        <v>40</v>
      </c>
      <c r="E156" s="70">
        <v>16.25</v>
      </c>
      <c r="F156" s="70">
        <v>0</v>
      </c>
      <c r="G156" s="70">
        <v>0</v>
      </c>
      <c r="H156" s="86">
        <v>72</v>
      </c>
      <c r="I156" s="86">
        <v>93.600000000000009</v>
      </c>
      <c r="J156" s="86">
        <v>122.39999999999999</v>
      </c>
      <c r="K156" s="86">
        <v>72</v>
      </c>
      <c r="L156" s="73">
        <v>0</v>
      </c>
      <c r="M156" s="73">
        <f t="shared" si="121"/>
        <v>56.25</v>
      </c>
      <c r="N156" s="73">
        <f t="shared" si="122"/>
        <v>4401</v>
      </c>
      <c r="O156" s="73">
        <f>IF($AE$1&lt;&gt;"",VLOOKUP($C156,EmpTbl!$B$1:$L$45,9,FALSE),VLOOKUP($C156,EmpTbl!$B$1:$L$45,2,FALSE))</f>
        <v>39</v>
      </c>
      <c r="P156" s="73">
        <f>IF($AE$1&lt;&gt;"",VLOOKUP($C156,EmpTbl!$B$1:$L$45,10,FALSE),VLOOKUP($C156,EmpTbl!$B$1:$L$45,3,FALSE))</f>
        <v>58.5</v>
      </c>
      <c r="Q156" s="73">
        <f>IF($AE$1&lt;&gt;"",VLOOKUP($C156,EmpTbl!$B$1:$L$45,10,FALSE),VLOOKUP($C156,EmpTbl!$B$1:$L$45,4,FALSE))</f>
        <v>78</v>
      </c>
      <c r="R156" s="73">
        <f>IF($AE$1&lt;&gt;"",VLOOKUP($C156,EmpTbl!$B$1:$L$45,9,FALSE),VLOOKUP($C156,EmpTbl!$B$1:$L$45,2,FALSE))</f>
        <v>39</v>
      </c>
      <c r="S156" s="73">
        <f t="shared" si="123"/>
        <v>2510.63</v>
      </c>
      <c r="T156" s="73">
        <f t="shared" si="124"/>
        <v>1890.37</v>
      </c>
      <c r="U156" s="70"/>
      <c r="V156" s="74"/>
      <c r="W156" s="74"/>
      <c r="X156" s="75"/>
      <c r="Y156" s="74"/>
    </row>
    <row r="157" spans="1:32" s="48" customFormat="1" x14ac:dyDescent="0.45">
      <c r="A157" s="42">
        <f>$A152</f>
        <v>46068</v>
      </c>
      <c r="B157" s="43" t="s">
        <v>44</v>
      </c>
      <c r="C157" s="44" t="s">
        <v>37</v>
      </c>
      <c r="D157" s="45">
        <v>40</v>
      </c>
      <c r="E157" s="45">
        <f>21.5-4</f>
        <v>17.5</v>
      </c>
      <c r="F157" s="45">
        <v>8</v>
      </c>
      <c r="G157" s="45">
        <v>4</v>
      </c>
      <c r="H157" s="87">
        <v>72</v>
      </c>
      <c r="I157" s="87">
        <v>93.600000000000009</v>
      </c>
      <c r="J157" s="87">
        <v>122.39999999999999</v>
      </c>
      <c r="K157" s="87">
        <v>72</v>
      </c>
      <c r="L157" s="55">
        <v>0</v>
      </c>
      <c r="M157" s="55">
        <f t="shared" si="121"/>
        <v>69.5</v>
      </c>
      <c r="N157" s="55">
        <f t="shared" si="122"/>
        <v>5785.2</v>
      </c>
      <c r="O157" s="55">
        <f>IF($AE$1&lt;&gt;"",VLOOKUP($C157,EmpTbl!$B$1:$L$45,9,FALSE),VLOOKUP($C157,EmpTbl!$B$1:$L$45,2,FALSE))</f>
        <v>36</v>
      </c>
      <c r="P157" s="55">
        <f>IF($AE$1&lt;&gt;"",VLOOKUP($C157,EmpTbl!$B$1:$L$45,10,FALSE),VLOOKUP($C157,EmpTbl!$B$1:$L$45,3,FALSE))</f>
        <v>54</v>
      </c>
      <c r="Q157" s="55">
        <f>IF($AE$1&lt;&gt;"",VLOOKUP($C157,EmpTbl!$B$1:$L$45,10,FALSE),VLOOKUP($C157,EmpTbl!$B$1:$L$45,4,FALSE))</f>
        <v>72</v>
      </c>
      <c r="R157" s="55">
        <f>IF($AE$1&lt;&gt;"",VLOOKUP($C157,EmpTbl!$B$1:$L$45,9,FALSE),VLOOKUP($C157,EmpTbl!$B$1:$L$45,2,FALSE))</f>
        <v>36</v>
      </c>
      <c r="S157" s="55">
        <f t="shared" si="123"/>
        <v>3105</v>
      </c>
      <c r="T157" s="55">
        <f t="shared" si="124"/>
        <v>2680.2</v>
      </c>
      <c r="U157" s="45"/>
      <c r="V157" s="46"/>
      <c r="W157" s="46">
        <v>2</v>
      </c>
      <c r="X157" s="47"/>
      <c r="Y157" s="46"/>
      <c r="Z157" s="71"/>
    </row>
    <row r="158" spans="1:32" s="48" customFormat="1" x14ac:dyDescent="0.45">
      <c r="A158" s="42">
        <f>$A152</f>
        <v>46068</v>
      </c>
      <c r="B158" s="43" t="s">
        <v>59</v>
      </c>
      <c r="C158" s="44" t="s">
        <v>58</v>
      </c>
      <c r="D158" s="45">
        <v>40</v>
      </c>
      <c r="E158" s="45">
        <f>17.5-9.5</f>
        <v>8</v>
      </c>
      <c r="F158" s="45">
        <v>0</v>
      </c>
      <c r="G158" s="45">
        <v>9.5</v>
      </c>
      <c r="H158" s="87">
        <v>72</v>
      </c>
      <c r="I158" s="87">
        <v>93.600000000000009</v>
      </c>
      <c r="J158" s="87">
        <v>122.39999999999999</v>
      </c>
      <c r="K158" s="87">
        <v>72</v>
      </c>
      <c r="L158" s="55">
        <v>0</v>
      </c>
      <c r="M158" s="55">
        <f t="shared" ref="M158" si="125">SUM(D158:G158)</f>
        <v>57.5</v>
      </c>
      <c r="N158" s="55">
        <f t="shared" si="122"/>
        <v>4312.8</v>
      </c>
      <c r="O158" s="55">
        <f>IF($AE$1&lt;&gt;"",VLOOKUP($C158,EmpTbl!$B$1:$L$45,9,FALSE),VLOOKUP($C158,EmpTbl!$B$1:$L$45,2,FALSE))</f>
        <v>36</v>
      </c>
      <c r="P158" s="55">
        <f>IF($AE$1&lt;&gt;"",VLOOKUP($C158,EmpTbl!$B$1:$L$45,10,FALSE),VLOOKUP($C158,EmpTbl!$B$1:$L$45,3,FALSE))</f>
        <v>54</v>
      </c>
      <c r="Q158" s="55">
        <f>IF($AE$1&lt;&gt;"",VLOOKUP($C158,EmpTbl!$B$1:$L$45,10,FALSE),VLOOKUP($C158,EmpTbl!$B$1:$L$45,4,FALSE))</f>
        <v>72</v>
      </c>
      <c r="R158" s="55">
        <f>IF($AE$1&lt;&gt;"",VLOOKUP($C158,EmpTbl!$B$1:$L$45,9,FALSE),VLOOKUP($C158,EmpTbl!$B$1:$L$45,2,FALSE))</f>
        <v>36</v>
      </c>
      <c r="S158" s="55">
        <f t="shared" si="123"/>
        <v>2214</v>
      </c>
      <c r="T158" s="55">
        <f t="shared" si="124"/>
        <v>2098.8000000000002</v>
      </c>
      <c r="U158" s="45"/>
      <c r="V158" s="46"/>
      <c r="W158" s="46">
        <v>5</v>
      </c>
      <c r="X158" s="47">
        <v>1</v>
      </c>
      <c r="Y158" s="46">
        <v>1</v>
      </c>
      <c r="Z158" s="48" t="s">
        <v>280</v>
      </c>
    </row>
    <row r="159" spans="1:32" customFormat="1" x14ac:dyDescent="0.45">
      <c r="A159" s="67">
        <f>$A152</f>
        <v>46068</v>
      </c>
      <c r="B159" s="68" t="s">
        <v>90</v>
      </c>
      <c r="C159" s="69" t="s">
        <v>94</v>
      </c>
      <c r="D159" s="70">
        <v>40</v>
      </c>
      <c r="E159" s="70">
        <v>8.25</v>
      </c>
      <c r="F159" s="70">
        <v>8</v>
      </c>
      <c r="G159" s="70">
        <v>0</v>
      </c>
      <c r="H159" s="86">
        <v>72</v>
      </c>
      <c r="I159" s="86">
        <v>93.600000000000009</v>
      </c>
      <c r="J159" s="86">
        <v>122.39999999999999</v>
      </c>
      <c r="K159" s="86">
        <v>72</v>
      </c>
      <c r="L159" s="73">
        <v>0</v>
      </c>
      <c r="M159" s="73">
        <f t="shared" ref="M159:M160" si="126">SUM(D159:G159)</f>
        <v>56.25</v>
      </c>
      <c r="N159" s="73">
        <f t="shared" si="122"/>
        <v>4631.3999999999996</v>
      </c>
      <c r="O159" s="73">
        <f>IF($AE$1&lt;&gt;"",VLOOKUP($C159,EmpTbl!$B$1:$L$45,9,FALSE),VLOOKUP($C159,EmpTbl!$B$1:$L$45,2,FALSE))</f>
        <v>30.67</v>
      </c>
      <c r="P159" s="73">
        <f>IF($AE$1&lt;&gt;"",VLOOKUP($C159,EmpTbl!$B$1:$L$45,10,FALSE),VLOOKUP($C159,EmpTbl!$B$1:$L$45,3,FALSE))</f>
        <v>46.005000000000003</v>
      </c>
      <c r="Q159" s="73">
        <f>IF($AE$1&lt;&gt;"",VLOOKUP($C159,EmpTbl!$B$1:$L$45,10,FALSE),VLOOKUP($C159,EmpTbl!$B$1:$L$45,4,FALSE))</f>
        <v>61.34</v>
      </c>
      <c r="R159" s="73">
        <f>IF($AE$1&lt;&gt;"",VLOOKUP($C159,EmpTbl!$B$1:$L$45,9,FALSE),VLOOKUP($C159,EmpTbl!$B$1:$L$45,2,FALSE))</f>
        <v>30.67</v>
      </c>
      <c r="S159" s="73">
        <f t="shared" si="123"/>
        <v>2097.06</v>
      </c>
      <c r="T159" s="73">
        <f t="shared" si="124"/>
        <v>2534.3399999999997</v>
      </c>
      <c r="U159" s="70"/>
      <c r="V159" s="74"/>
      <c r="W159" s="74"/>
      <c r="X159" s="75"/>
      <c r="Y159" s="74"/>
      <c r="Z159" s="85"/>
    </row>
    <row r="160" spans="1:32" customFormat="1" x14ac:dyDescent="0.45">
      <c r="A160" s="67">
        <f>$A152</f>
        <v>46068</v>
      </c>
      <c r="B160" s="68" t="s">
        <v>90</v>
      </c>
      <c r="C160" s="69" t="s">
        <v>190</v>
      </c>
      <c r="D160" s="70">
        <v>40</v>
      </c>
      <c r="E160" s="70">
        <v>11</v>
      </c>
      <c r="F160" s="70">
        <v>8</v>
      </c>
      <c r="G160" s="70">
        <v>0</v>
      </c>
      <c r="H160" s="86">
        <v>72</v>
      </c>
      <c r="I160" s="86">
        <v>93.600000000000009</v>
      </c>
      <c r="J160" s="86">
        <v>122.39999999999999</v>
      </c>
      <c r="K160" s="86">
        <v>72</v>
      </c>
      <c r="L160" s="73">
        <v>0</v>
      </c>
      <c r="M160" s="73">
        <f t="shared" si="126"/>
        <v>59</v>
      </c>
      <c r="N160" s="73">
        <f t="shared" si="122"/>
        <v>4888.8</v>
      </c>
      <c r="O160" s="73">
        <f>IF($AE$1&lt;&gt;"",VLOOKUP($C160,EmpTbl!$B$1:$L$45,9,FALSE),VLOOKUP($C160,EmpTbl!$B$1:$L$45,2,FALSE))</f>
        <v>30</v>
      </c>
      <c r="P160" s="73">
        <f>IF($AE$1&lt;&gt;"",VLOOKUP($C160,EmpTbl!$B$1:$L$45,10,FALSE),VLOOKUP($C160,EmpTbl!$B$1:$L$45,3,FALSE))</f>
        <v>45</v>
      </c>
      <c r="Q160" s="73">
        <f>IF($AE$1&lt;&gt;"",VLOOKUP($C160,EmpTbl!$B$1:$L$45,10,FALSE),VLOOKUP($C160,EmpTbl!$B$1:$L$45,4,FALSE))</f>
        <v>60</v>
      </c>
      <c r="R160" s="73">
        <f>IF($AE$1&lt;&gt;"",VLOOKUP($C160,EmpTbl!$B$1:$L$45,9,FALSE),VLOOKUP($C160,EmpTbl!$B$1:$L$45,2,FALSE))</f>
        <v>30</v>
      </c>
      <c r="S160" s="73">
        <f t="shared" si="123"/>
        <v>2175</v>
      </c>
      <c r="T160" s="73">
        <f t="shared" si="124"/>
        <v>2713.8</v>
      </c>
      <c r="U160" s="79"/>
      <c r="V160" s="74"/>
      <c r="W160" s="74"/>
      <c r="X160" s="75"/>
      <c r="Y160" s="74"/>
    </row>
    <row r="161" spans="1:32" customFormat="1" x14ac:dyDescent="0.45">
      <c r="A161" s="67">
        <f>$A152</f>
        <v>46068</v>
      </c>
      <c r="B161" s="69" t="s">
        <v>186</v>
      </c>
      <c r="C161" s="69" t="s">
        <v>189</v>
      </c>
      <c r="D161" s="70">
        <v>40</v>
      </c>
      <c r="E161" s="70">
        <v>18</v>
      </c>
      <c r="F161" s="70">
        <v>8</v>
      </c>
      <c r="G161" s="70">
        <v>0</v>
      </c>
      <c r="H161" s="73">
        <v>54</v>
      </c>
      <c r="I161" s="73">
        <v>70.2</v>
      </c>
      <c r="J161" s="73">
        <v>91.8</v>
      </c>
      <c r="K161" s="73">
        <v>54</v>
      </c>
      <c r="L161" s="73">
        <v>0</v>
      </c>
      <c r="M161" s="73">
        <f>SUM(D161:G161)</f>
        <v>66</v>
      </c>
      <c r="N161" s="73">
        <f>ROUND((D161*H161)+(E161*I161)+(F161*J161)+(G161*K161),2)</f>
        <v>4158</v>
      </c>
      <c r="O161" s="73">
        <f>IF($AE$1&lt;&gt;"",VLOOKUP($C161,EmpTbl!$B$1:$L$45,9,FALSE),VLOOKUP($C161,EmpTbl!$B$1:$L$45,2,FALSE))</f>
        <v>27</v>
      </c>
      <c r="P161" s="73">
        <f>IF($AE$1&lt;&gt;"",VLOOKUP($C161,EmpTbl!$B$1:$L$45,10,FALSE),VLOOKUP($C161,EmpTbl!$B$1:$L$45,3,FALSE))</f>
        <v>40.5</v>
      </c>
      <c r="Q161" s="73">
        <f>IF($AE$1&lt;&gt;"",VLOOKUP($C161,EmpTbl!$B$1:$L$45,10,FALSE),VLOOKUP($C161,EmpTbl!$B$1:$L$45,4,FALSE))</f>
        <v>54</v>
      </c>
      <c r="R161" s="73">
        <f>IF($AE$1&lt;&gt;"",VLOOKUP($C161,EmpTbl!$B$1:$L$45,9,FALSE),VLOOKUP($C161,EmpTbl!$B$1:$L$45,2,FALSE))</f>
        <v>27</v>
      </c>
      <c r="S161" s="73">
        <f>ROUND(O161*D161+P161*E161+Q161*F161+G161*R161,2)</f>
        <v>2241</v>
      </c>
      <c r="T161" s="73">
        <f>N161-S161</f>
        <v>1917</v>
      </c>
      <c r="U161" s="79"/>
      <c r="V161" s="74"/>
      <c r="W161" s="74"/>
      <c r="X161" s="75"/>
      <c r="Y161" s="74"/>
    </row>
    <row r="162" spans="1:32" customFormat="1" x14ac:dyDescent="0.45">
      <c r="A162" s="67">
        <f>A161+7</f>
        <v>46075</v>
      </c>
      <c r="B162" s="68" t="s">
        <v>91</v>
      </c>
      <c r="C162" s="69" t="s">
        <v>92</v>
      </c>
      <c r="D162" s="70">
        <v>40</v>
      </c>
      <c r="E162" s="70">
        <v>7.5</v>
      </c>
      <c r="F162" s="70">
        <v>0</v>
      </c>
      <c r="G162" s="70">
        <v>0</v>
      </c>
      <c r="H162" s="73">
        <v>72</v>
      </c>
      <c r="I162" s="73">
        <v>93.600000000000009</v>
      </c>
      <c r="J162" s="73">
        <v>122.39999999999999</v>
      </c>
      <c r="K162" s="73">
        <v>72</v>
      </c>
      <c r="L162" s="73">
        <v>0</v>
      </c>
      <c r="M162" s="73">
        <f t="shared" ref="M162:M167" si="127">SUM(D162:G162)</f>
        <v>47.5</v>
      </c>
      <c r="N162" s="73">
        <f t="shared" ref="N162:N170" si="128">ROUND((D162*H162)+(E162*I162)+(F162*J162)+(G162*K162),2)</f>
        <v>3582</v>
      </c>
      <c r="O162" s="73">
        <f>IF($AE$1&lt;&gt;"",VLOOKUP($C162,EmpTbl!$B$1:$L$45,9,FALSE),VLOOKUP($C162,EmpTbl!$B$1:$L$45,2,FALSE))</f>
        <v>60</v>
      </c>
      <c r="P162" s="73">
        <f>IF($AE$1&lt;&gt;"",VLOOKUP($C162,EmpTbl!$B$1:$L$45,10,FALSE),VLOOKUP($C162,EmpTbl!$B$1:$L$45,3,FALSE))</f>
        <v>78</v>
      </c>
      <c r="Q162" s="73">
        <f>IF($AE$1&lt;&gt;"",VLOOKUP($C162,EmpTbl!$B$1:$L$45,10,FALSE),VLOOKUP($C162,EmpTbl!$B$1:$L$45,4,FALSE))</f>
        <v>102</v>
      </c>
      <c r="R162" s="73">
        <f>IF($AE$1&lt;&gt;"",VLOOKUP($C162,EmpTbl!$B$1:$L$45,9,FALSE),VLOOKUP($C162,EmpTbl!$B$1:$L$45,2,FALSE))</f>
        <v>60</v>
      </c>
      <c r="S162" s="73">
        <f t="shared" ref="S162:S170" si="129">ROUND(O162*D162+P162*E162+Q162*F162+G162*R162,2)</f>
        <v>2985</v>
      </c>
      <c r="T162" s="73">
        <f t="shared" ref="T162:T170" si="130">N162-S162</f>
        <v>597</v>
      </c>
      <c r="U162" s="70"/>
      <c r="V162" s="74"/>
      <c r="W162" s="74"/>
      <c r="X162" s="75"/>
      <c r="Y162" s="74"/>
      <c r="Z162" s="85"/>
      <c r="AC162" s="77">
        <v>61.400836793559229</v>
      </c>
      <c r="AD162" s="77">
        <v>40.592475197312119</v>
      </c>
      <c r="AE162" s="77">
        <v>20.80836159624711</v>
      </c>
      <c r="AF162" s="77">
        <v>164.12075000000002</v>
      </c>
    </row>
    <row r="163" spans="1:32" customFormat="1" x14ac:dyDescent="0.45">
      <c r="A163" s="67">
        <f>$A162</f>
        <v>46075</v>
      </c>
      <c r="B163" s="68" t="s">
        <v>55</v>
      </c>
      <c r="C163" s="69" t="s">
        <v>3</v>
      </c>
      <c r="D163" s="70">
        <v>0</v>
      </c>
      <c r="E163" s="70">
        <v>0</v>
      </c>
      <c r="F163" s="70">
        <v>0</v>
      </c>
      <c r="G163" s="70">
        <v>0</v>
      </c>
      <c r="H163" s="73">
        <v>72</v>
      </c>
      <c r="I163" s="73">
        <v>93.600000000000009</v>
      </c>
      <c r="J163" s="73">
        <v>122.39999999999999</v>
      </c>
      <c r="K163" s="73">
        <v>72</v>
      </c>
      <c r="L163" s="73">
        <v>0</v>
      </c>
      <c r="M163" s="73">
        <f t="shared" si="127"/>
        <v>0</v>
      </c>
      <c r="N163" s="73">
        <f t="shared" si="128"/>
        <v>0</v>
      </c>
      <c r="O163" s="73">
        <f>IF($AE$1&lt;&gt;"",VLOOKUP($C163,EmpTbl!$B$1:$L$45,9,FALSE),VLOOKUP($C163,EmpTbl!$B$1:$L$45,2,FALSE))</f>
        <v>57</v>
      </c>
      <c r="P163" s="73">
        <f>IF($AE$1&lt;&gt;"",VLOOKUP($C163,EmpTbl!$B$1:$L$45,10,FALSE),VLOOKUP($C163,EmpTbl!$B$1:$L$45,3,FALSE))</f>
        <v>74.100000000000009</v>
      </c>
      <c r="Q163" s="73">
        <f>IF($AE$1&lt;&gt;"",VLOOKUP($C163,EmpTbl!$B$1:$L$45,10,FALSE),VLOOKUP($C163,EmpTbl!$B$1:$L$45,4,FALSE))</f>
        <v>96.899999999999991</v>
      </c>
      <c r="R163" s="73">
        <f>IF($AE$1&lt;&gt;"",VLOOKUP($C163,EmpTbl!$B$1:$L$45,9,FALSE),VLOOKUP($C163,EmpTbl!$B$1:$L$45,2,FALSE))</f>
        <v>57</v>
      </c>
      <c r="S163" s="73">
        <f t="shared" si="129"/>
        <v>0</v>
      </c>
      <c r="T163" s="73">
        <f t="shared" si="130"/>
        <v>0</v>
      </c>
      <c r="U163" s="70"/>
      <c r="V163" s="74"/>
      <c r="W163" s="74"/>
      <c r="X163" s="74"/>
      <c r="Y163" s="74"/>
      <c r="Z163" s="19"/>
    </row>
    <row r="164" spans="1:32" customFormat="1" x14ac:dyDescent="0.45">
      <c r="A164" s="67">
        <f>$A162</f>
        <v>46075</v>
      </c>
      <c r="B164" s="68" t="s">
        <v>38</v>
      </c>
      <c r="C164" s="69" t="s">
        <v>39</v>
      </c>
      <c r="D164" s="70">
        <v>0</v>
      </c>
      <c r="E164" s="70">
        <v>0</v>
      </c>
      <c r="F164" s="70">
        <v>0</v>
      </c>
      <c r="G164" s="70">
        <v>0</v>
      </c>
      <c r="H164" s="88">
        <v>72</v>
      </c>
      <c r="I164" s="88">
        <v>93.600000000000009</v>
      </c>
      <c r="J164" s="88">
        <v>122.39999999999999</v>
      </c>
      <c r="K164" s="88">
        <v>72</v>
      </c>
      <c r="L164" s="73">
        <v>0</v>
      </c>
      <c r="M164" s="73">
        <f t="shared" si="127"/>
        <v>0</v>
      </c>
      <c r="N164" s="73">
        <f t="shared" si="128"/>
        <v>0</v>
      </c>
      <c r="O164" s="73">
        <f>IF($AE$1&lt;&gt;"",VLOOKUP($C164,EmpTbl!$B$1:$L$45,9,FALSE),VLOOKUP($C164,EmpTbl!$B$1:$L$45,2,FALSE))</f>
        <v>55</v>
      </c>
      <c r="P164" s="73">
        <f>IF($AE$1&lt;&gt;"",VLOOKUP($C164,EmpTbl!$B$1:$L$45,10,FALSE),VLOOKUP($C164,EmpTbl!$B$1:$L$45,3,FALSE))</f>
        <v>71.5</v>
      </c>
      <c r="Q164" s="73">
        <f>IF($AE$1&lt;&gt;"",VLOOKUP($C164,EmpTbl!$B$1:$L$45,10,FALSE),VLOOKUP($C164,EmpTbl!$B$1:$L$45,4,FALSE))</f>
        <v>93.5</v>
      </c>
      <c r="R164" s="73">
        <f>IF($AE$1&lt;&gt;"",VLOOKUP($C164,EmpTbl!$B$1:$L$45,9,FALSE),VLOOKUP($C164,EmpTbl!$B$1:$L$45,2,FALSE))</f>
        <v>55</v>
      </c>
      <c r="S164" s="73">
        <f t="shared" si="129"/>
        <v>0</v>
      </c>
      <c r="T164" s="73">
        <f t="shared" si="130"/>
        <v>0</v>
      </c>
      <c r="U164" s="70"/>
      <c r="V164" s="74"/>
      <c r="W164" s="74"/>
      <c r="X164" s="75"/>
      <c r="Y164" s="74"/>
    </row>
    <row r="165" spans="1:32" customFormat="1" x14ac:dyDescent="0.45">
      <c r="A165" s="67">
        <f>$A162</f>
        <v>46075</v>
      </c>
      <c r="B165" s="68" t="s">
        <v>40</v>
      </c>
      <c r="C165" s="69" t="s">
        <v>2</v>
      </c>
      <c r="D165" s="70">
        <v>35</v>
      </c>
      <c r="E165" s="70">
        <v>0</v>
      </c>
      <c r="F165" s="70">
        <v>0</v>
      </c>
      <c r="G165" s="70">
        <v>0</v>
      </c>
      <c r="H165" s="88">
        <v>72</v>
      </c>
      <c r="I165" s="88">
        <v>93.600000000000009</v>
      </c>
      <c r="J165" s="88">
        <v>122.39999999999999</v>
      </c>
      <c r="K165" s="88">
        <v>72</v>
      </c>
      <c r="L165" s="73">
        <v>0</v>
      </c>
      <c r="M165" s="73">
        <f t="shared" si="127"/>
        <v>35</v>
      </c>
      <c r="N165" s="73">
        <f t="shared" si="128"/>
        <v>2520</v>
      </c>
      <c r="O165" s="73">
        <f>IF($AE$1&lt;&gt;"",VLOOKUP($C165,EmpTbl!$B$1:$L$45,9,FALSE),VLOOKUP($C165,EmpTbl!$B$1:$L$45,2,FALSE))</f>
        <v>35</v>
      </c>
      <c r="P165" s="73">
        <f>IF($AE$1&lt;&gt;"",VLOOKUP($C165,EmpTbl!$B$1:$L$45,10,FALSE),VLOOKUP($C165,EmpTbl!$B$1:$L$45,3,FALSE))</f>
        <v>52.5</v>
      </c>
      <c r="Q165" s="73">
        <f>IF($AE$1&lt;&gt;"",VLOOKUP($C165,EmpTbl!$B$1:$L$45,10,FALSE),VLOOKUP($C165,EmpTbl!$B$1:$L$45,4,FALSE))</f>
        <v>70</v>
      </c>
      <c r="R165" s="73">
        <f>IF($AE$1&lt;&gt;"",VLOOKUP($C165,EmpTbl!$B$1:$L$45,9,FALSE),VLOOKUP($C165,EmpTbl!$B$1:$L$45,2,FALSE))</f>
        <v>35</v>
      </c>
      <c r="S165" s="73">
        <f t="shared" si="129"/>
        <v>1225</v>
      </c>
      <c r="T165" s="73">
        <f t="shared" si="130"/>
        <v>1295</v>
      </c>
      <c r="U165" s="70"/>
      <c r="V165" s="74"/>
      <c r="W165" s="74"/>
      <c r="X165" s="75"/>
      <c r="Y165" s="74"/>
    </row>
    <row r="166" spans="1:32" customFormat="1" x14ac:dyDescent="0.45">
      <c r="A166" s="67">
        <f>$A162</f>
        <v>46075</v>
      </c>
      <c r="B166" s="68" t="s">
        <v>41</v>
      </c>
      <c r="C166" s="69" t="s">
        <v>21</v>
      </c>
      <c r="D166" s="70">
        <v>40</v>
      </c>
      <c r="E166" s="70">
        <v>14.25</v>
      </c>
      <c r="F166" s="70">
        <v>0</v>
      </c>
      <c r="G166" s="70">
        <v>0</v>
      </c>
      <c r="H166" s="88">
        <v>72</v>
      </c>
      <c r="I166" s="88">
        <v>93.600000000000009</v>
      </c>
      <c r="J166" s="88">
        <v>122.39999999999999</v>
      </c>
      <c r="K166" s="88">
        <v>72</v>
      </c>
      <c r="L166" s="73">
        <v>0</v>
      </c>
      <c r="M166" s="73">
        <f t="shared" si="127"/>
        <v>54.25</v>
      </c>
      <c r="N166" s="73">
        <f t="shared" si="128"/>
        <v>4213.8</v>
      </c>
      <c r="O166" s="73">
        <f>IF($AE$1&lt;&gt;"",VLOOKUP($C166,EmpTbl!$B$1:$L$45,9,FALSE),VLOOKUP($C166,EmpTbl!$B$1:$L$45,2,FALSE))</f>
        <v>39</v>
      </c>
      <c r="P166" s="73">
        <f>IF($AE$1&lt;&gt;"",VLOOKUP($C166,EmpTbl!$B$1:$L$45,10,FALSE),VLOOKUP($C166,EmpTbl!$B$1:$L$45,3,FALSE))</f>
        <v>58.5</v>
      </c>
      <c r="Q166" s="73">
        <f>IF($AE$1&lt;&gt;"",VLOOKUP($C166,EmpTbl!$B$1:$L$45,10,FALSE),VLOOKUP($C166,EmpTbl!$B$1:$L$45,4,FALSE))</f>
        <v>78</v>
      </c>
      <c r="R166" s="73">
        <f>IF($AE$1&lt;&gt;"",VLOOKUP($C166,EmpTbl!$B$1:$L$45,9,FALSE),VLOOKUP($C166,EmpTbl!$B$1:$L$45,2,FALSE))</f>
        <v>39</v>
      </c>
      <c r="S166" s="73">
        <f t="shared" si="129"/>
        <v>2393.63</v>
      </c>
      <c r="T166" s="73">
        <f t="shared" si="130"/>
        <v>1820.17</v>
      </c>
      <c r="U166" s="70"/>
      <c r="V166" s="74"/>
      <c r="W166" s="74"/>
      <c r="X166" s="75"/>
      <c r="Y166" s="74"/>
    </row>
    <row r="167" spans="1:32" customFormat="1" x14ac:dyDescent="0.45">
      <c r="A167" s="67">
        <f>$A162</f>
        <v>46075</v>
      </c>
      <c r="B167" s="68" t="s">
        <v>44</v>
      </c>
      <c r="C167" s="69" t="s">
        <v>37</v>
      </c>
      <c r="D167" s="70">
        <v>40</v>
      </c>
      <c r="E167" s="70">
        <v>9.25</v>
      </c>
      <c r="F167" s="70">
        <v>0</v>
      </c>
      <c r="G167" s="70">
        <v>0</v>
      </c>
      <c r="H167" s="88">
        <v>72</v>
      </c>
      <c r="I167" s="88">
        <v>93.600000000000009</v>
      </c>
      <c r="J167" s="88">
        <v>122.39999999999999</v>
      </c>
      <c r="K167" s="88">
        <v>72</v>
      </c>
      <c r="L167" s="73">
        <v>0</v>
      </c>
      <c r="M167" s="73">
        <f t="shared" si="127"/>
        <v>49.25</v>
      </c>
      <c r="N167" s="73">
        <f t="shared" si="128"/>
        <v>3745.8</v>
      </c>
      <c r="O167" s="73">
        <f>IF($AE$1&lt;&gt;"",VLOOKUP($C167,EmpTbl!$B$1:$L$45,9,FALSE),VLOOKUP($C167,EmpTbl!$B$1:$L$45,2,FALSE))</f>
        <v>36</v>
      </c>
      <c r="P167" s="73">
        <f>IF($AE$1&lt;&gt;"",VLOOKUP($C167,EmpTbl!$B$1:$L$45,10,FALSE),VLOOKUP($C167,EmpTbl!$B$1:$L$45,3,FALSE))</f>
        <v>54</v>
      </c>
      <c r="Q167" s="73">
        <f>IF($AE$1&lt;&gt;"",VLOOKUP($C167,EmpTbl!$B$1:$L$45,10,FALSE),VLOOKUP($C167,EmpTbl!$B$1:$L$45,4,FALSE))</f>
        <v>72</v>
      </c>
      <c r="R167" s="73">
        <f>IF($AE$1&lt;&gt;"",VLOOKUP($C167,EmpTbl!$B$1:$L$45,9,FALSE),VLOOKUP($C167,EmpTbl!$B$1:$L$45,2,FALSE))</f>
        <v>36</v>
      </c>
      <c r="S167" s="73">
        <f t="shared" si="129"/>
        <v>1939.5</v>
      </c>
      <c r="T167" s="73">
        <f t="shared" si="130"/>
        <v>1806.3000000000002</v>
      </c>
      <c r="U167" s="70"/>
      <c r="V167" s="74"/>
      <c r="W167" s="74"/>
      <c r="X167" s="75"/>
      <c r="Y167" s="74"/>
      <c r="Z167" s="78"/>
    </row>
    <row r="168" spans="1:32" s="48" customFormat="1" x14ac:dyDescent="0.45">
      <c r="A168" s="42">
        <f>$A162</f>
        <v>46075</v>
      </c>
      <c r="B168" s="43" t="s">
        <v>59</v>
      </c>
      <c r="C168" s="44" t="s">
        <v>58</v>
      </c>
      <c r="D168" s="45">
        <f>23.5-12</f>
        <v>11.5</v>
      </c>
      <c r="E168" s="45">
        <v>0</v>
      </c>
      <c r="F168" s="45">
        <v>0</v>
      </c>
      <c r="G168" s="45">
        <v>12</v>
      </c>
      <c r="H168" s="87">
        <v>72</v>
      </c>
      <c r="I168" s="87">
        <v>93.600000000000009</v>
      </c>
      <c r="J168" s="87">
        <v>122.39999999999999</v>
      </c>
      <c r="K168" s="87">
        <v>72</v>
      </c>
      <c r="L168" s="55">
        <v>0</v>
      </c>
      <c r="M168" s="55">
        <f t="shared" ref="M168" si="131">SUM(D168:G168)</f>
        <v>23.5</v>
      </c>
      <c r="N168" s="55">
        <f t="shared" si="128"/>
        <v>1692</v>
      </c>
      <c r="O168" s="55">
        <f>IF($AE$1&lt;&gt;"",VLOOKUP($C168,EmpTbl!$B$1:$L$45,9,FALSE),VLOOKUP($C168,EmpTbl!$B$1:$L$45,2,FALSE))</f>
        <v>36</v>
      </c>
      <c r="P168" s="55">
        <f>IF($AE$1&lt;&gt;"",VLOOKUP($C168,EmpTbl!$B$1:$L$45,10,FALSE),VLOOKUP($C168,EmpTbl!$B$1:$L$45,3,FALSE))</f>
        <v>54</v>
      </c>
      <c r="Q168" s="55">
        <f>IF($AE$1&lt;&gt;"",VLOOKUP($C168,EmpTbl!$B$1:$L$45,10,FALSE),VLOOKUP($C168,EmpTbl!$B$1:$L$45,4,FALSE))</f>
        <v>72</v>
      </c>
      <c r="R168" s="55">
        <f>IF($AE$1&lt;&gt;"",VLOOKUP($C168,EmpTbl!$B$1:$L$45,9,FALSE),VLOOKUP($C168,EmpTbl!$B$1:$L$45,2,FALSE))</f>
        <v>36</v>
      </c>
      <c r="S168" s="55">
        <f t="shared" si="129"/>
        <v>846</v>
      </c>
      <c r="T168" s="55">
        <f t="shared" si="130"/>
        <v>846</v>
      </c>
      <c r="U168" s="45"/>
      <c r="V168" s="46"/>
      <c r="W168" s="46">
        <v>2</v>
      </c>
      <c r="X168" s="47"/>
      <c r="Y168" s="46"/>
    </row>
    <row r="169" spans="1:32" customFormat="1" x14ac:dyDescent="0.45">
      <c r="A169" s="67">
        <f>$A162</f>
        <v>46075</v>
      </c>
      <c r="B169" s="68" t="s">
        <v>90</v>
      </c>
      <c r="C169" s="69" t="s">
        <v>94</v>
      </c>
      <c r="D169" s="70">
        <v>40</v>
      </c>
      <c r="E169" s="70">
        <v>10.5</v>
      </c>
      <c r="F169" s="70">
        <v>0</v>
      </c>
      <c r="G169" s="70">
        <v>0</v>
      </c>
      <c r="H169" s="88">
        <v>72</v>
      </c>
      <c r="I169" s="88">
        <v>93.600000000000009</v>
      </c>
      <c r="J169" s="88">
        <v>122.39999999999999</v>
      </c>
      <c r="K169" s="88">
        <v>72</v>
      </c>
      <c r="L169" s="73">
        <v>0</v>
      </c>
      <c r="M169" s="73">
        <f t="shared" ref="M169:M170" si="132">SUM(D169:G169)</f>
        <v>50.5</v>
      </c>
      <c r="N169" s="73">
        <f t="shared" si="128"/>
        <v>3862.8</v>
      </c>
      <c r="O169" s="73">
        <f>IF($AE$1&lt;&gt;"",VLOOKUP($C169,EmpTbl!$B$1:$L$45,9,FALSE),VLOOKUP($C169,EmpTbl!$B$1:$L$45,2,FALSE))</f>
        <v>30.67</v>
      </c>
      <c r="P169" s="73">
        <f>IF($AE$1&lt;&gt;"",VLOOKUP($C169,EmpTbl!$B$1:$L$45,10,FALSE),VLOOKUP($C169,EmpTbl!$B$1:$L$45,3,FALSE))</f>
        <v>46.005000000000003</v>
      </c>
      <c r="Q169" s="73">
        <f>IF($AE$1&lt;&gt;"",VLOOKUP($C169,EmpTbl!$B$1:$L$45,10,FALSE),VLOOKUP($C169,EmpTbl!$B$1:$L$45,4,FALSE))</f>
        <v>61.34</v>
      </c>
      <c r="R169" s="73">
        <f>IF($AE$1&lt;&gt;"",VLOOKUP($C169,EmpTbl!$B$1:$L$45,9,FALSE),VLOOKUP($C169,EmpTbl!$B$1:$L$45,2,FALSE))</f>
        <v>30.67</v>
      </c>
      <c r="S169" s="73">
        <f t="shared" si="129"/>
        <v>1709.85</v>
      </c>
      <c r="T169" s="73">
        <f t="shared" si="130"/>
        <v>2152.9500000000003</v>
      </c>
      <c r="U169" s="70"/>
      <c r="V169" s="74"/>
      <c r="W169" s="74"/>
      <c r="X169" s="75"/>
      <c r="Y169" s="74"/>
      <c r="Z169" s="85"/>
    </row>
    <row r="170" spans="1:32" customFormat="1" x14ac:dyDescent="0.45">
      <c r="A170" s="67">
        <f>$A162</f>
        <v>46075</v>
      </c>
      <c r="B170" s="68" t="s">
        <v>90</v>
      </c>
      <c r="C170" s="69" t="s">
        <v>190</v>
      </c>
      <c r="D170" s="70">
        <v>37.5</v>
      </c>
      <c r="E170" s="70">
        <v>4.75</v>
      </c>
      <c r="F170" s="70">
        <v>0</v>
      </c>
      <c r="G170" s="70">
        <v>0</v>
      </c>
      <c r="H170" s="88">
        <v>72</v>
      </c>
      <c r="I170" s="88">
        <v>93.600000000000009</v>
      </c>
      <c r="J170" s="88">
        <v>122.39999999999999</v>
      </c>
      <c r="K170" s="88">
        <v>72</v>
      </c>
      <c r="L170" s="73">
        <v>0</v>
      </c>
      <c r="M170" s="73">
        <f t="shared" si="132"/>
        <v>42.25</v>
      </c>
      <c r="N170" s="73">
        <f t="shared" si="128"/>
        <v>3144.6</v>
      </c>
      <c r="O170" s="73">
        <f>IF($AE$1&lt;&gt;"",VLOOKUP($C170,EmpTbl!$B$1:$L$45,9,FALSE),VLOOKUP($C170,EmpTbl!$B$1:$L$45,2,FALSE))</f>
        <v>30</v>
      </c>
      <c r="P170" s="73">
        <f>IF($AE$1&lt;&gt;"",VLOOKUP($C170,EmpTbl!$B$1:$L$45,10,FALSE),VLOOKUP($C170,EmpTbl!$B$1:$L$45,3,FALSE))</f>
        <v>45</v>
      </c>
      <c r="Q170" s="73">
        <f>IF($AE$1&lt;&gt;"",VLOOKUP($C170,EmpTbl!$B$1:$L$45,10,FALSE),VLOOKUP($C170,EmpTbl!$B$1:$L$45,4,FALSE))</f>
        <v>60</v>
      </c>
      <c r="R170" s="73">
        <f>IF($AE$1&lt;&gt;"",VLOOKUP($C170,EmpTbl!$B$1:$L$45,9,FALSE),VLOOKUP($C170,EmpTbl!$B$1:$L$45,2,FALSE))</f>
        <v>30</v>
      </c>
      <c r="S170" s="73">
        <f t="shared" si="129"/>
        <v>1338.75</v>
      </c>
      <c r="T170" s="73">
        <f t="shared" si="130"/>
        <v>1805.85</v>
      </c>
      <c r="U170" s="79"/>
      <c r="V170" s="74"/>
      <c r="W170" s="74"/>
      <c r="X170" s="75"/>
      <c r="Y170" s="74"/>
    </row>
    <row r="171" spans="1:32" customFormat="1" x14ac:dyDescent="0.45">
      <c r="A171" s="67">
        <f>$A162</f>
        <v>46075</v>
      </c>
      <c r="B171" s="69" t="s">
        <v>186</v>
      </c>
      <c r="C171" s="69" t="s">
        <v>189</v>
      </c>
      <c r="D171" s="70">
        <v>40</v>
      </c>
      <c r="E171" s="70">
        <v>13.75</v>
      </c>
      <c r="F171" s="70">
        <v>0</v>
      </c>
      <c r="G171" s="70">
        <v>0</v>
      </c>
      <c r="H171" s="73">
        <v>54</v>
      </c>
      <c r="I171" s="73">
        <v>70.2</v>
      </c>
      <c r="J171" s="73">
        <v>91.8</v>
      </c>
      <c r="K171" s="73">
        <v>54</v>
      </c>
      <c r="L171" s="73">
        <v>2</v>
      </c>
      <c r="M171" s="73">
        <f>SUM(D171:G171)</f>
        <v>53.75</v>
      </c>
      <c r="N171" s="73">
        <f>ROUND((D171*H171)+(E171*I171)+(F171*J171)+(G171*K171),2)</f>
        <v>3125.25</v>
      </c>
      <c r="O171" s="73">
        <f>IF($AE$1&lt;&gt;"",VLOOKUP($C171,EmpTbl!$B$1:$L$45,9,FALSE),VLOOKUP($C171,EmpTbl!$B$1:$L$45,2,FALSE))</f>
        <v>27</v>
      </c>
      <c r="P171" s="73">
        <f>IF($AE$1&lt;&gt;"",VLOOKUP($C171,EmpTbl!$B$1:$L$45,10,FALSE),VLOOKUP($C171,EmpTbl!$B$1:$L$45,3,FALSE))</f>
        <v>40.5</v>
      </c>
      <c r="Q171" s="73">
        <f>IF($AE$1&lt;&gt;"",VLOOKUP($C171,EmpTbl!$B$1:$L$45,10,FALSE),VLOOKUP($C171,EmpTbl!$B$1:$L$45,4,FALSE))</f>
        <v>54</v>
      </c>
      <c r="R171" s="73">
        <f>IF($AE$1&lt;&gt;"",VLOOKUP($C171,EmpTbl!$B$1:$L$45,9,FALSE),VLOOKUP($C171,EmpTbl!$B$1:$L$45,2,FALSE))</f>
        <v>27</v>
      </c>
      <c r="S171" s="73">
        <f>ROUND(O171*D171+P171*E171+Q171*F171+G171*R171,2)</f>
        <v>1636.88</v>
      </c>
      <c r="T171" s="73">
        <f>N171-S171</f>
        <v>1488.37</v>
      </c>
      <c r="U171" s="79"/>
      <c r="V171" s="74"/>
      <c r="W171" s="74"/>
      <c r="X171" s="75"/>
      <c r="Y171" s="74"/>
    </row>
    <row r="172" spans="1:32" customFormat="1" x14ac:dyDescent="0.45">
      <c r="A172" s="67">
        <f>A171+7</f>
        <v>46082</v>
      </c>
      <c r="B172" s="68" t="s">
        <v>91</v>
      </c>
      <c r="C172" s="69" t="s">
        <v>92</v>
      </c>
      <c r="D172" s="70">
        <v>40</v>
      </c>
      <c r="E172" s="70">
        <v>7</v>
      </c>
      <c r="F172" s="70">
        <v>0</v>
      </c>
      <c r="G172" s="70">
        <v>0</v>
      </c>
      <c r="H172" s="73">
        <v>72</v>
      </c>
      <c r="I172" s="73">
        <v>93.600000000000009</v>
      </c>
      <c r="J172" s="73">
        <v>122.39999999999999</v>
      </c>
      <c r="K172" s="73">
        <v>72</v>
      </c>
      <c r="L172" s="73">
        <v>0</v>
      </c>
      <c r="M172" s="73">
        <f t="shared" ref="M172:M177" si="133">SUM(D172:G172)</f>
        <v>47</v>
      </c>
      <c r="N172" s="73">
        <f t="shared" ref="N172:N180" si="134">ROUND((D172*H172)+(E172*I172)+(F172*J172)+(G172*K172),2)</f>
        <v>3535.2</v>
      </c>
      <c r="O172" s="73">
        <f>IF($AE$1&lt;&gt;"",VLOOKUP($C172,EmpTbl!$B$1:$L$45,9,FALSE),VLOOKUP($C172,EmpTbl!$B$1:$L$45,2,FALSE))</f>
        <v>60</v>
      </c>
      <c r="P172" s="73">
        <f>IF($AE$1&lt;&gt;"",VLOOKUP($C172,EmpTbl!$B$1:$L$45,10,FALSE),VLOOKUP($C172,EmpTbl!$B$1:$L$45,3,FALSE))</f>
        <v>78</v>
      </c>
      <c r="Q172" s="73">
        <f>IF($AE$1&lt;&gt;"",VLOOKUP($C172,EmpTbl!$B$1:$L$45,10,FALSE),VLOOKUP($C172,EmpTbl!$B$1:$L$45,4,FALSE))</f>
        <v>102</v>
      </c>
      <c r="R172" s="73">
        <f>IF($AE$1&lt;&gt;"",VLOOKUP($C172,EmpTbl!$B$1:$L$45,9,FALSE),VLOOKUP($C172,EmpTbl!$B$1:$L$45,2,FALSE))</f>
        <v>60</v>
      </c>
      <c r="S172" s="73">
        <f t="shared" ref="S172:S180" si="135">ROUND(O172*D172+P172*E172+Q172*F172+G172*R172,2)</f>
        <v>2946</v>
      </c>
      <c r="T172" s="73">
        <f t="shared" ref="T172:T180" si="136">N172-S172</f>
        <v>589.19999999999982</v>
      </c>
      <c r="U172" s="70"/>
      <c r="V172" s="74"/>
      <c r="W172" s="74"/>
      <c r="X172" s="75"/>
      <c r="Y172" s="74"/>
      <c r="Z172" s="85"/>
      <c r="AC172" s="77">
        <v>61.400836793559229</v>
      </c>
      <c r="AD172" s="77">
        <v>40.592475197312119</v>
      </c>
      <c r="AE172" s="77">
        <v>20.80836159624711</v>
      </c>
      <c r="AF172" s="77">
        <v>164.12075000000002</v>
      </c>
    </row>
    <row r="173" spans="1:32" customFormat="1" x14ac:dyDescent="0.45">
      <c r="A173" s="67">
        <f>$A172</f>
        <v>46082</v>
      </c>
      <c r="B173" s="68" t="s">
        <v>55</v>
      </c>
      <c r="C173" s="69" t="s">
        <v>3</v>
      </c>
      <c r="D173" s="70">
        <v>0</v>
      </c>
      <c r="E173" s="70">
        <v>0</v>
      </c>
      <c r="F173" s="70">
        <v>0</v>
      </c>
      <c r="G173" s="70">
        <v>0</v>
      </c>
      <c r="H173" s="73">
        <v>72</v>
      </c>
      <c r="I173" s="73">
        <v>93.600000000000009</v>
      </c>
      <c r="J173" s="73">
        <v>122.39999999999999</v>
      </c>
      <c r="K173" s="73">
        <v>72</v>
      </c>
      <c r="L173" s="73">
        <v>0</v>
      </c>
      <c r="M173" s="73">
        <f t="shared" si="133"/>
        <v>0</v>
      </c>
      <c r="N173" s="73">
        <f t="shared" si="134"/>
        <v>0</v>
      </c>
      <c r="O173" s="73">
        <f>IF($AE$1&lt;&gt;"",VLOOKUP($C173,EmpTbl!$B$1:$L$45,9,FALSE),VLOOKUP($C173,EmpTbl!$B$1:$L$45,2,FALSE))</f>
        <v>57</v>
      </c>
      <c r="P173" s="73">
        <f>IF($AE$1&lt;&gt;"",VLOOKUP($C173,EmpTbl!$B$1:$L$45,10,FALSE),VLOOKUP($C173,EmpTbl!$B$1:$L$45,3,FALSE))</f>
        <v>74.100000000000009</v>
      </c>
      <c r="Q173" s="73">
        <f>IF($AE$1&lt;&gt;"",VLOOKUP($C173,EmpTbl!$B$1:$L$45,10,FALSE),VLOOKUP($C173,EmpTbl!$B$1:$L$45,4,FALSE))</f>
        <v>96.899999999999991</v>
      </c>
      <c r="R173" s="73">
        <f>IF($AE$1&lt;&gt;"",VLOOKUP($C173,EmpTbl!$B$1:$L$45,9,FALSE),VLOOKUP($C173,EmpTbl!$B$1:$L$45,2,FALSE))</f>
        <v>57</v>
      </c>
      <c r="S173" s="73">
        <f t="shared" si="135"/>
        <v>0</v>
      </c>
      <c r="T173" s="73">
        <f t="shared" si="136"/>
        <v>0</v>
      </c>
      <c r="U173" s="70"/>
      <c r="V173" s="74"/>
      <c r="W173" s="74"/>
      <c r="X173" s="74"/>
      <c r="Y173" s="74"/>
      <c r="Z173" s="19"/>
    </row>
    <row r="174" spans="1:32" customFormat="1" x14ac:dyDescent="0.45">
      <c r="A174" s="67">
        <f>$A172</f>
        <v>46082</v>
      </c>
      <c r="B174" s="68" t="s">
        <v>38</v>
      </c>
      <c r="C174" s="69" t="s">
        <v>39</v>
      </c>
      <c r="D174" s="70">
        <v>0</v>
      </c>
      <c r="E174" s="70">
        <v>0</v>
      </c>
      <c r="F174" s="70">
        <v>0</v>
      </c>
      <c r="G174" s="70">
        <v>0</v>
      </c>
      <c r="H174" s="88">
        <v>72</v>
      </c>
      <c r="I174" s="88">
        <v>93.600000000000009</v>
      </c>
      <c r="J174" s="88">
        <v>122.39999999999999</v>
      </c>
      <c r="K174" s="88">
        <v>72</v>
      </c>
      <c r="L174" s="73">
        <v>0</v>
      </c>
      <c r="M174" s="73">
        <f t="shared" si="133"/>
        <v>0</v>
      </c>
      <c r="N174" s="73">
        <f t="shared" si="134"/>
        <v>0</v>
      </c>
      <c r="O174" s="73">
        <f>IF($AE$1&lt;&gt;"",VLOOKUP($C174,EmpTbl!$B$1:$L$45,9,FALSE),VLOOKUP($C174,EmpTbl!$B$1:$L$45,2,FALSE))</f>
        <v>55</v>
      </c>
      <c r="P174" s="73">
        <f>IF($AE$1&lt;&gt;"",VLOOKUP($C174,EmpTbl!$B$1:$L$45,10,FALSE),VLOOKUP($C174,EmpTbl!$B$1:$L$45,3,FALSE))</f>
        <v>71.5</v>
      </c>
      <c r="Q174" s="73">
        <f>IF($AE$1&lt;&gt;"",VLOOKUP($C174,EmpTbl!$B$1:$L$45,10,FALSE),VLOOKUP($C174,EmpTbl!$B$1:$L$45,4,FALSE))</f>
        <v>93.5</v>
      </c>
      <c r="R174" s="73">
        <f>IF($AE$1&lt;&gt;"",VLOOKUP($C174,EmpTbl!$B$1:$L$45,9,FALSE),VLOOKUP($C174,EmpTbl!$B$1:$L$45,2,FALSE))</f>
        <v>55</v>
      </c>
      <c r="S174" s="73">
        <f t="shared" si="135"/>
        <v>0</v>
      </c>
      <c r="T174" s="73">
        <f t="shared" si="136"/>
        <v>0</v>
      </c>
      <c r="U174" s="70"/>
      <c r="V174" s="74"/>
      <c r="W174" s="74"/>
      <c r="X174" s="75"/>
      <c r="Y174" s="74"/>
    </row>
    <row r="175" spans="1:32" customFormat="1" x14ac:dyDescent="0.45">
      <c r="A175" s="67">
        <f>$A172</f>
        <v>46082</v>
      </c>
      <c r="B175" s="68" t="s">
        <v>40</v>
      </c>
      <c r="C175" s="69" t="s">
        <v>2</v>
      </c>
      <c r="D175" s="70">
        <v>40</v>
      </c>
      <c r="E175" s="70">
        <v>0</v>
      </c>
      <c r="F175" s="70">
        <v>0</v>
      </c>
      <c r="G175" s="70">
        <v>0</v>
      </c>
      <c r="H175" s="88">
        <v>72</v>
      </c>
      <c r="I175" s="88">
        <v>93.600000000000009</v>
      </c>
      <c r="J175" s="88">
        <v>122.39999999999999</v>
      </c>
      <c r="K175" s="88">
        <v>72</v>
      </c>
      <c r="L175" s="73">
        <v>0</v>
      </c>
      <c r="M175" s="73">
        <f t="shared" si="133"/>
        <v>40</v>
      </c>
      <c r="N175" s="73">
        <f t="shared" si="134"/>
        <v>2880</v>
      </c>
      <c r="O175" s="73">
        <f>IF($AE$1&lt;&gt;"",VLOOKUP($C175,EmpTbl!$B$1:$L$45,9,FALSE),VLOOKUP($C175,EmpTbl!$B$1:$L$45,2,FALSE))</f>
        <v>35</v>
      </c>
      <c r="P175" s="73">
        <f>IF($AE$1&lt;&gt;"",VLOOKUP($C175,EmpTbl!$B$1:$L$45,10,FALSE),VLOOKUP($C175,EmpTbl!$B$1:$L$45,3,FALSE))</f>
        <v>52.5</v>
      </c>
      <c r="Q175" s="73">
        <f>IF($AE$1&lt;&gt;"",VLOOKUP($C175,EmpTbl!$B$1:$L$45,10,FALSE),VLOOKUP($C175,EmpTbl!$B$1:$L$45,4,FALSE))</f>
        <v>70</v>
      </c>
      <c r="R175" s="73">
        <f>IF($AE$1&lt;&gt;"",VLOOKUP($C175,EmpTbl!$B$1:$L$45,9,FALSE),VLOOKUP($C175,EmpTbl!$B$1:$L$45,2,FALSE))</f>
        <v>35</v>
      </c>
      <c r="S175" s="73">
        <f t="shared" si="135"/>
        <v>1400</v>
      </c>
      <c r="T175" s="73">
        <f t="shared" si="136"/>
        <v>1480</v>
      </c>
      <c r="U175" s="70"/>
      <c r="V175" s="74"/>
      <c r="W175" s="74"/>
      <c r="X175" s="75"/>
      <c r="Y175" s="74"/>
    </row>
    <row r="176" spans="1:32" customFormat="1" x14ac:dyDescent="0.45">
      <c r="A176" s="67">
        <f>$A172</f>
        <v>46082</v>
      </c>
      <c r="B176" s="68" t="s">
        <v>41</v>
      </c>
      <c r="C176" s="69" t="s">
        <v>21</v>
      </c>
      <c r="D176" s="70">
        <v>40</v>
      </c>
      <c r="E176" s="70">
        <v>6.25</v>
      </c>
      <c r="F176" s="70">
        <v>0</v>
      </c>
      <c r="G176" s="70">
        <v>0</v>
      </c>
      <c r="H176" s="88">
        <v>72</v>
      </c>
      <c r="I176" s="88">
        <v>93.600000000000009</v>
      </c>
      <c r="J176" s="88">
        <v>122.39999999999999</v>
      </c>
      <c r="K176" s="88">
        <v>72</v>
      </c>
      <c r="L176" s="73">
        <v>0</v>
      </c>
      <c r="M176" s="73">
        <f t="shared" si="133"/>
        <v>46.25</v>
      </c>
      <c r="N176" s="73">
        <f t="shared" si="134"/>
        <v>3465</v>
      </c>
      <c r="O176" s="73">
        <f>IF($AE$1&lt;&gt;"",VLOOKUP($C176,EmpTbl!$B$1:$L$45,9,FALSE),VLOOKUP($C176,EmpTbl!$B$1:$L$45,2,FALSE))</f>
        <v>39</v>
      </c>
      <c r="P176" s="73">
        <f>IF($AE$1&lt;&gt;"",VLOOKUP($C176,EmpTbl!$B$1:$L$45,10,FALSE),VLOOKUP($C176,EmpTbl!$B$1:$L$45,3,FALSE))</f>
        <v>58.5</v>
      </c>
      <c r="Q176" s="73">
        <f>IF($AE$1&lt;&gt;"",VLOOKUP($C176,EmpTbl!$B$1:$L$45,10,FALSE),VLOOKUP($C176,EmpTbl!$B$1:$L$45,4,FALSE))</f>
        <v>78</v>
      </c>
      <c r="R176" s="73">
        <f>IF($AE$1&lt;&gt;"",VLOOKUP($C176,EmpTbl!$B$1:$L$45,9,FALSE),VLOOKUP($C176,EmpTbl!$B$1:$L$45,2,FALSE))</f>
        <v>39</v>
      </c>
      <c r="S176" s="73">
        <f t="shared" si="135"/>
        <v>1925.63</v>
      </c>
      <c r="T176" s="73">
        <f t="shared" si="136"/>
        <v>1539.37</v>
      </c>
      <c r="U176" s="70"/>
      <c r="V176" s="74"/>
      <c r="W176" s="74"/>
      <c r="X176" s="75"/>
      <c r="Y176" s="74"/>
    </row>
    <row r="177" spans="1:32" s="48" customFormat="1" x14ac:dyDescent="0.45">
      <c r="A177" s="42">
        <f>$A172</f>
        <v>46082</v>
      </c>
      <c r="B177" s="43" t="s">
        <v>44</v>
      </c>
      <c r="C177" s="44" t="s">
        <v>37</v>
      </c>
      <c r="D177" s="45">
        <f>40-12</f>
        <v>28</v>
      </c>
      <c r="E177" s="45">
        <v>9</v>
      </c>
      <c r="F177" s="45">
        <v>12</v>
      </c>
      <c r="G177" s="45">
        <v>15.5</v>
      </c>
      <c r="H177" s="87">
        <v>72</v>
      </c>
      <c r="I177" s="87">
        <v>93.600000000000009</v>
      </c>
      <c r="J177" s="87">
        <v>122.39999999999999</v>
      </c>
      <c r="K177" s="87">
        <v>72</v>
      </c>
      <c r="L177" s="55">
        <v>0</v>
      </c>
      <c r="M177" s="55">
        <f t="shared" si="133"/>
        <v>64.5</v>
      </c>
      <c r="N177" s="55">
        <f t="shared" si="134"/>
        <v>5443.2</v>
      </c>
      <c r="O177" s="55">
        <f>IF($AE$1&lt;&gt;"",VLOOKUP($C177,EmpTbl!$B$1:$L$45,9,FALSE),VLOOKUP($C177,EmpTbl!$B$1:$L$45,2,FALSE))</f>
        <v>36</v>
      </c>
      <c r="P177" s="55">
        <f>IF($AE$1&lt;&gt;"",VLOOKUP($C177,EmpTbl!$B$1:$L$45,10,FALSE),VLOOKUP($C177,EmpTbl!$B$1:$L$45,3,FALSE))</f>
        <v>54</v>
      </c>
      <c r="Q177" s="55">
        <f>IF($AE$1&lt;&gt;"",VLOOKUP($C177,EmpTbl!$B$1:$L$45,10,FALSE),VLOOKUP($C177,EmpTbl!$B$1:$L$45,4,FALSE))</f>
        <v>72</v>
      </c>
      <c r="R177" s="55">
        <f>IF($AE$1&lt;&gt;"",VLOOKUP($C177,EmpTbl!$B$1:$L$45,9,FALSE),VLOOKUP($C177,EmpTbl!$B$1:$L$45,2,FALSE))</f>
        <v>36</v>
      </c>
      <c r="S177" s="55">
        <f t="shared" si="135"/>
        <v>2916</v>
      </c>
      <c r="T177" s="55">
        <f t="shared" si="136"/>
        <v>2527.1999999999998</v>
      </c>
      <c r="U177" s="45"/>
      <c r="V177" s="46"/>
      <c r="W177" s="46">
        <v>3</v>
      </c>
      <c r="X177" s="47">
        <v>1</v>
      </c>
      <c r="Y177" s="46">
        <v>1</v>
      </c>
      <c r="Z177" s="71" t="s">
        <v>281</v>
      </c>
    </row>
    <row r="178" spans="1:32" customFormat="1" x14ac:dyDescent="0.45">
      <c r="A178" s="67">
        <f>$A172</f>
        <v>46082</v>
      </c>
      <c r="B178" s="68" t="s">
        <v>59</v>
      </c>
      <c r="C178" s="69" t="s">
        <v>58</v>
      </c>
      <c r="D178" s="70">
        <v>0</v>
      </c>
      <c r="E178" s="70">
        <v>0</v>
      </c>
      <c r="F178" s="70">
        <v>0</v>
      </c>
      <c r="G178" s="70">
        <v>0</v>
      </c>
      <c r="H178" s="88">
        <v>72</v>
      </c>
      <c r="I178" s="88">
        <v>93.600000000000009</v>
      </c>
      <c r="J178" s="88">
        <v>122.39999999999999</v>
      </c>
      <c r="K178" s="88">
        <v>72</v>
      </c>
      <c r="L178" s="73">
        <v>0</v>
      </c>
      <c r="M178" s="73">
        <f t="shared" ref="M178" si="137">SUM(D178:G178)</f>
        <v>0</v>
      </c>
      <c r="N178" s="73">
        <f t="shared" si="134"/>
        <v>0</v>
      </c>
      <c r="O178" s="73">
        <f>IF($AE$1&lt;&gt;"",VLOOKUP($C178,EmpTbl!$B$1:$L$45,9,FALSE),VLOOKUP($C178,EmpTbl!$B$1:$L$45,2,FALSE))</f>
        <v>36</v>
      </c>
      <c r="P178" s="73">
        <f>IF($AE$1&lt;&gt;"",VLOOKUP($C178,EmpTbl!$B$1:$L$45,10,FALSE),VLOOKUP($C178,EmpTbl!$B$1:$L$45,3,FALSE))</f>
        <v>54</v>
      </c>
      <c r="Q178" s="73">
        <f>IF($AE$1&lt;&gt;"",VLOOKUP($C178,EmpTbl!$B$1:$L$45,10,FALSE),VLOOKUP($C178,EmpTbl!$B$1:$L$45,4,FALSE))</f>
        <v>72</v>
      </c>
      <c r="R178" s="73">
        <f>IF($AE$1&lt;&gt;"",VLOOKUP($C178,EmpTbl!$B$1:$L$45,9,FALSE),VLOOKUP($C178,EmpTbl!$B$1:$L$45,2,FALSE))</f>
        <v>36</v>
      </c>
      <c r="S178" s="73">
        <f t="shared" si="135"/>
        <v>0</v>
      </c>
      <c r="T178" s="73">
        <f t="shared" si="136"/>
        <v>0</v>
      </c>
      <c r="U178" s="70"/>
      <c r="V178" s="74"/>
      <c r="W178" s="74"/>
      <c r="X178" s="75"/>
      <c r="Y178" s="74"/>
    </row>
    <row r="179" spans="1:32" customFormat="1" x14ac:dyDescent="0.45">
      <c r="A179" s="67">
        <f>$A172</f>
        <v>46082</v>
      </c>
      <c r="B179" s="68" t="s">
        <v>90</v>
      </c>
      <c r="C179" s="69" t="s">
        <v>94</v>
      </c>
      <c r="D179" s="70">
        <v>40</v>
      </c>
      <c r="E179" s="70">
        <v>2.5</v>
      </c>
      <c r="F179" s="70">
        <v>0</v>
      </c>
      <c r="G179" s="70">
        <v>0</v>
      </c>
      <c r="H179" s="88">
        <v>72</v>
      </c>
      <c r="I179" s="88">
        <v>93.600000000000009</v>
      </c>
      <c r="J179" s="88">
        <v>122.39999999999999</v>
      </c>
      <c r="K179" s="88">
        <v>72</v>
      </c>
      <c r="L179" s="73">
        <v>0</v>
      </c>
      <c r="M179" s="73">
        <f t="shared" ref="M179:M180" si="138">SUM(D179:G179)</f>
        <v>42.5</v>
      </c>
      <c r="N179" s="73">
        <f t="shared" si="134"/>
        <v>3114</v>
      </c>
      <c r="O179" s="73">
        <f>IF($AE$1&lt;&gt;"",VLOOKUP($C179,EmpTbl!$B$1:$L$45,9,FALSE),VLOOKUP($C179,EmpTbl!$B$1:$L$45,2,FALSE))</f>
        <v>30.67</v>
      </c>
      <c r="P179" s="73">
        <f>IF($AE$1&lt;&gt;"",VLOOKUP($C179,EmpTbl!$B$1:$L$45,10,FALSE),VLOOKUP($C179,EmpTbl!$B$1:$L$45,3,FALSE))</f>
        <v>46.005000000000003</v>
      </c>
      <c r="Q179" s="73">
        <f>IF($AE$1&lt;&gt;"",VLOOKUP($C179,EmpTbl!$B$1:$L$45,10,FALSE),VLOOKUP($C179,EmpTbl!$B$1:$L$45,4,FALSE))</f>
        <v>61.34</v>
      </c>
      <c r="R179" s="73">
        <f>IF($AE$1&lt;&gt;"",VLOOKUP($C179,EmpTbl!$B$1:$L$45,9,FALSE),VLOOKUP($C179,EmpTbl!$B$1:$L$45,2,FALSE))</f>
        <v>30.67</v>
      </c>
      <c r="S179" s="73">
        <f t="shared" si="135"/>
        <v>1341.81</v>
      </c>
      <c r="T179" s="73">
        <f t="shared" si="136"/>
        <v>1772.19</v>
      </c>
      <c r="U179" s="70"/>
      <c r="V179" s="74"/>
      <c r="W179" s="74"/>
      <c r="X179" s="75"/>
      <c r="Y179" s="74"/>
      <c r="Z179" s="85"/>
    </row>
    <row r="180" spans="1:32" s="48" customFormat="1" x14ac:dyDescent="0.45">
      <c r="A180" s="42">
        <f>$A172</f>
        <v>46082</v>
      </c>
      <c r="B180" s="43" t="s">
        <v>90</v>
      </c>
      <c r="C180" s="44" t="s">
        <v>190</v>
      </c>
      <c r="D180" s="45">
        <f>25-4</f>
        <v>21</v>
      </c>
      <c r="E180" s="45">
        <v>0</v>
      </c>
      <c r="F180" s="45">
        <v>8</v>
      </c>
      <c r="G180" s="45">
        <v>4</v>
      </c>
      <c r="H180" s="87">
        <v>72</v>
      </c>
      <c r="I180" s="87">
        <v>93.600000000000009</v>
      </c>
      <c r="J180" s="87">
        <v>122.39999999999999</v>
      </c>
      <c r="K180" s="87">
        <v>72</v>
      </c>
      <c r="L180" s="55">
        <v>0</v>
      </c>
      <c r="M180" s="55">
        <f t="shared" si="138"/>
        <v>33</v>
      </c>
      <c r="N180" s="55">
        <f t="shared" si="134"/>
        <v>2779.2</v>
      </c>
      <c r="O180" s="55">
        <f>IF($AE$1&lt;&gt;"",VLOOKUP($C180,EmpTbl!$B$1:$L$45,9,FALSE),VLOOKUP($C180,EmpTbl!$B$1:$L$45,2,FALSE))</f>
        <v>30</v>
      </c>
      <c r="P180" s="55">
        <f>IF($AE$1&lt;&gt;"",VLOOKUP($C180,EmpTbl!$B$1:$L$45,10,FALSE),VLOOKUP($C180,EmpTbl!$B$1:$L$45,3,FALSE))</f>
        <v>45</v>
      </c>
      <c r="Q180" s="55">
        <f>IF($AE$1&lt;&gt;"",VLOOKUP($C180,EmpTbl!$B$1:$L$45,10,FALSE),VLOOKUP($C180,EmpTbl!$B$1:$L$45,4,FALSE))</f>
        <v>60</v>
      </c>
      <c r="R180" s="55">
        <f>IF($AE$1&lt;&gt;"",VLOOKUP($C180,EmpTbl!$B$1:$L$45,9,FALSE),VLOOKUP($C180,EmpTbl!$B$1:$L$45,2,FALSE))</f>
        <v>30</v>
      </c>
      <c r="S180" s="55">
        <f t="shared" si="135"/>
        <v>1230</v>
      </c>
      <c r="T180" s="55">
        <f t="shared" si="136"/>
        <v>1549.1999999999998</v>
      </c>
      <c r="U180" s="80"/>
      <c r="V180" s="46"/>
      <c r="W180" s="46"/>
      <c r="X180" s="47"/>
      <c r="Y180" s="46"/>
    </row>
    <row r="181" spans="1:32" customFormat="1" x14ac:dyDescent="0.45">
      <c r="A181" s="67">
        <f>$A172</f>
        <v>46082</v>
      </c>
      <c r="B181" s="69" t="s">
        <v>186</v>
      </c>
      <c r="C181" s="69" t="s">
        <v>189</v>
      </c>
      <c r="D181" s="70">
        <v>40</v>
      </c>
      <c r="E181" s="70">
        <v>9</v>
      </c>
      <c r="F181" s="70">
        <v>0</v>
      </c>
      <c r="G181" s="70">
        <v>0</v>
      </c>
      <c r="H181" s="73">
        <v>54</v>
      </c>
      <c r="I181" s="73">
        <v>70.2</v>
      </c>
      <c r="J181" s="73">
        <v>91.8</v>
      </c>
      <c r="K181" s="73">
        <v>54</v>
      </c>
      <c r="L181" s="73">
        <v>2</v>
      </c>
      <c r="M181" s="73">
        <f>SUM(D181:G181)</f>
        <v>49</v>
      </c>
      <c r="N181" s="73">
        <f>ROUND((D181*H181)+(E181*I181)+(F181*J181)+(G181*K181),2)</f>
        <v>2791.8</v>
      </c>
      <c r="O181" s="73">
        <f>IF($AE$1&lt;&gt;"",VLOOKUP($C181,EmpTbl!$B$1:$L$45,9,FALSE),VLOOKUP($C181,EmpTbl!$B$1:$L$45,2,FALSE))</f>
        <v>27</v>
      </c>
      <c r="P181" s="73">
        <f>IF($AE$1&lt;&gt;"",VLOOKUP($C181,EmpTbl!$B$1:$L$45,10,FALSE),VLOOKUP($C181,EmpTbl!$B$1:$L$45,3,FALSE))</f>
        <v>40.5</v>
      </c>
      <c r="Q181" s="73">
        <f>IF($AE$1&lt;&gt;"",VLOOKUP($C181,EmpTbl!$B$1:$L$45,10,FALSE),VLOOKUP($C181,EmpTbl!$B$1:$L$45,4,FALSE))</f>
        <v>54</v>
      </c>
      <c r="R181" s="73">
        <f>IF($AE$1&lt;&gt;"",VLOOKUP($C181,EmpTbl!$B$1:$L$45,9,FALSE),VLOOKUP($C181,EmpTbl!$B$1:$L$45,2,FALSE))</f>
        <v>27</v>
      </c>
      <c r="S181" s="73">
        <f>ROUND(O181*D181+P181*E181+Q181*F181+G181*R181,2)</f>
        <v>1444.5</v>
      </c>
      <c r="T181" s="73">
        <f>N181-S181</f>
        <v>1347.3000000000002</v>
      </c>
      <c r="U181" s="79"/>
      <c r="V181" s="74"/>
      <c r="W181" s="74"/>
      <c r="X181" s="75"/>
      <c r="Y181" s="74"/>
    </row>
    <row r="182" spans="1:32" customFormat="1" x14ac:dyDescent="0.45">
      <c r="A182" s="67">
        <f>A181+7</f>
        <v>46089</v>
      </c>
      <c r="B182" s="68" t="s">
        <v>91</v>
      </c>
      <c r="C182" s="69" t="s">
        <v>92</v>
      </c>
      <c r="D182" s="70">
        <v>40</v>
      </c>
      <c r="E182" s="70">
        <v>4</v>
      </c>
      <c r="F182" s="70">
        <v>0</v>
      </c>
      <c r="G182" s="70">
        <v>0</v>
      </c>
      <c r="H182" s="73">
        <v>72</v>
      </c>
      <c r="I182" s="73">
        <v>93.600000000000009</v>
      </c>
      <c r="J182" s="73">
        <v>122.39999999999999</v>
      </c>
      <c r="K182" s="73">
        <v>72</v>
      </c>
      <c r="L182" s="73">
        <v>0</v>
      </c>
      <c r="M182" s="73">
        <f t="shared" ref="M182:M187" si="139">SUM(D182:G182)</f>
        <v>44</v>
      </c>
      <c r="N182" s="73">
        <f t="shared" ref="N182:N190" si="140">ROUND((D182*H182)+(E182*I182)+(F182*J182)+(G182*K182),2)</f>
        <v>3254.4</v>
      </c>
      <c r="O182" s="73">
        <f>IF($AE$1&lt;&gt;"",VLOOKUP($C182,EmpTbl!$B$1:$L$45,9,FALSE),VLOOKUP($C182,EmpTbl!$B$1:$L$45,2,FALSE))</f>
        <v>60</v>
      </c>
      <c r="P182" s="73">
        <f>IF($AE$1&lt;&gt;"",VLOOKUP($C182,EmpTbl!$B$1:$L$45,10,FALSE),VLOOKUP($C182,EmpTbl!$B$1:$L$45,3,FALSE))</f>
        <v>78</v>
      </c>
      <c r="Q182" s="73">
        <f>IF($AE$1&lt;&gt;"",VLOOKUP($C182,EmpTbl!$B$1:$L$45,10,FALSE),VLOOKUP($C182,EmpTbl!$B$1:$L$45,4,FALSE))</f>
        <v>102</v>
      </c>
      <c r="R182" s="73">
        <f>IF($AE$1&lt;&gt;"",VLOOKUP($C182,EmpTbl!$B$1:$L$45,9,FALSE),VLOOKUP($C182,EmpTbl!$B$1:$L$45,2,FALSE))</f>
        <v>60</v>
      </c>
      <c r="S182" s="73">
        <f t="shared" ref="S182:S190" si="141">ROUND(O182*D182+P182*E182+Q182*F182+G182*R182,2)</f>
        <v>2712</v>
      </c>
      <c r="T182" s="73">
        <f t="shared" ref="T182:T190" si="142">N182-S182</f>
        <v>542.40000000000009</v>
      </c>
      <c r="U182" s="70"/>
      <c r="V182" s="74"/>
      <c r="W182" s="74"/>
      <c r="X182" s="75"/>
      <c r="Y182" s="74"/>
      <c r="Z182" s="85"/>
      <c r="AC182" s="77">
        <v>61.400836793559229</v>
      </c>
      <c r="AD182" s="77">
        <v>40.592475197312119</v>
      </c>
      <c r="AE182" s="77">
        <v>20.80836159624711</v>
      </c>
      <c r="AF182" s="77">
        <v>164.12075000000002</v>
      </c>
    </row>
    <row r="183" spans="1:32" customFormat="1" x14ac:dyDescent="0.45">
      <c r="A183" s="67">
        <f>$A182</f>
        <v>46089</v>
      </c>
      <c r="B183" s="68" t="s">
        <v>55</v>
      </c>
      <c r="C183" s="69" t="s">
        <v>3</v>
      </c>
      <c r="D183" s="70">
        <v>24.75</v>
      </c>
      <c r="E183" s="70">
        <v>0</v>
      </c>
      <c r="F183" s="70">
        <v>0</v>
      </c>
      <c r="G183" s="70">
        <v>0</v>
      </c>
      <c r="H183" s="73">
        <v>72</v>
      </c>
      <c r="I183" s="73">
        <v>93.600000000000009</v>
      </c>
      <c r="J183" s="73">
        <v>122.39999999999999</v>
      </c>
      <c r="K183" s="73">
        <v>72</v>
      </c>
      <c r="L183" s="73">
        <v>0</v>
      </c>
      <c r="M183" s="73">
        <f t="shared" si="139"/>
        <v>24.75</v>
      </c>
      <c r="N183" s="73">
        <f t="shared" si="140"/>
        <v>1782</v>
      </c>
      <c r="O183" s="73">
        <f>IF($AE$1&lt;&gt;"",VLOOKUP($C183,EmpTbl!$B$1:$L$45,9,FALSE),VLOOKUP($C183,EmpTbl!$B$1:$L$45,2,FALSE))</f>
        <v>57</v>
      </c>
      <c r="P183" s="73">
        <f>IF($AE$1&lt;&gt;"",VLOOKUP($C183,EmpTbl!$B$1:$L$45,10,FALSE),VLOOKUP($C183,EmpTbl!$B$1:$L$45,3,FALSE))</f>
        <v>74.100000000000009</v>
      </c>
      <c r="Q183" s="73">
        <f>IF($AE$1&lt;&gt;"",VLOOKUP($C183,EmpTbl!$B$1:$L$45,10,FALSE),VLOOKUP($C183,EmpTbl!$B$1:$L$45,4,FALSE))</f>
        <v>96.899999999999991</v>
      </c>
      <c r="R183" s="73">
        <f>IF($AE$1&lt;&gt;"",VLOOKUP($C183,EmpTbl!$B$1:$L$45,9,FALSE),VLOOKUP($C183,EmpTbl!$B$1:$L$45,2,FALSE))</f>
        <v>57</v>
      </c>
      <c r="S183" s="73">
        <f t="shared" si="141"/>
        <v>1410.75</v>
      </c>
      <c r="T183" s="73">
        <f t="shared" si="142"/>
        <v>371.25</v>
      </c>
      <c r="U183" s="70"/>
      <c r="V183" s="74"/>
      <c r="W183" s="74"/>
      <c r="X183" s="74"/>
      <c r="Y183" s="74"/>
      <c r="Z183" s="19"/>
    </row>
    <row r="184" spans="1:32" customFormat="1" x14ac:dyDescent="0.45">
      <c r="A184" s="67">
        <f>$A182</f>
        <v>46089</v>
      </c>
      <c r="B184" s="68" t="s">
        <v>38</v>
      </c>
      <c r="C184" s="69" t="s">
        <v>39</v>
      </c>
      <c r="D184" s="70">
        <v>0</v>
      </c>
      <c r="E184" s="70">
        <v>0</v>
      </c>
      <c r="F184" s="70">
        <v>0</v>
      </c>
      <c r="G184" s="70">
        <v>0</v>
      </c>
      <c r="H184" s="88">
        <v>72</v>
      </c>
      <c r="I184" s="88">
        <v>93.600000000000009</v>
      </c>
      <c r="J184" s="88">
        <v>122.39999999999999</v>
      </c>
      <c r="K184" s="88">
        <v>72</v>
      </c>
      <c r="L184" s="73">
        <v>0</v>
      </c>
      <c r="M184" s="73">
        <f t="shared" si="139"/>
        <v>0</v>
      </c>
      <c r="N184" s="73">
        <f t="shared" si="140"/>
        <v>0</v>
      </c>
      <c r="O184" s="73">
        <f>IF($AE$1&lt;&gt;"",VLOOKUP($C184,EmpTbl!$B$1:$L$45,9,FALSE),VLOOKUP($C184,EmpTbl!$B$1:$L$45,2,FALSE))</f>
        <v>55</v>
      </c>
      <c r="P184" s="73">
        <f>IF($AE$1&lt;&gt;"",VLOOKUP($C184,EmpTbl!$B$1:$L$45,10,FALSE),VLOOKUP($C184,EmpTbl!$B$1:$L$45,3,FALSE))</f>
        <v>71.5</v>
      </c>
      <c r="Q184" s="73">
        <f>IF($AE$1&lt;&gt;"",VLOOKUP($C184,EmpTbl!$B$1:$L$45,10,FALSE),VLOOKUP($C184,EmpTbl!$B$1:$L$45,4,FALSE))</f>
        <v>93.5</v>
      </c>
      <c r="R184" s="73">
        <f>IF($AE$1&lt;&gt;"",VLOOKUP($C184,EmpTbl!$B$1:$L$45,9,FALSE),VLOOKUP($C184,EmpTbl!$B$1:$L$45,2,FALSE))</f>
        <v>55</v>
      </c>
      <c r="S184" s="73">
        <f t="shared" si="141"/>
        <v>0</v>
      </c>
      <c r="T184" s="73">
        <f t="shared" si="142"/>
        <v>0</v>
      </c>
      <c r="U184" s="70"/>
      <c r="V184" s="74"/>
      <c r="W184" s="74"/>
      <c r="X184" s="75"/>
      <c r="Y184" s="74"/>
    </row>
    <row r="185" spans="1:32" customFormat="1" x14ac:dyDescent="0.45">
      <c r="A185" s="67">
        <f>$A182</f>
        <v>46089</v>
      </c>
      <c r="B185" s="68" t="s">
        <v>40</v>
      </c>
      <c r="C185" s="69" t="s">
        <v>2</v>
      </c>
      <c r="D185" s="70">
        <v>40</v>
      </c>
      <c r="E185" s="70">
        <v>4</v>
      </c>
      <c r="F185" s="70">
        <v>0</v>
      </c>
      <c r="G185" s="70">
        <v>0</v>
      </c>
      <c r="H185" s="88">
        <v>72</v>
      </c>
      <c r="I185" s="88">
        <v>93.600000000000009</v>
      </c>
      <c r="J185" s="88">
        <v>122.39999999999999</v>
      </c>
      <c r="K185" s="88">
        <v>72</v>
      </c>
      <c r="L185" s="73">
        <v>0</v>
      </c>
      <c r="M185" s="73">
        <f t="shared" si="139"/>
        <v>44</v>
      </c>
      <c r="N185" s="73">
        <f t="shared" si="140"/>
        <v>3254.4</v>
      </c>
      <c r="O185" s="73">
        <f>IF($AE$1&lt;&gt;"",VLOOKUP($C185,EmpTbl!$B$1:$L$45,9,FALSE),VLOOKUP($C185,EmpTbl!$B$1:$L$45,2,FALSE))</f>
        <v>35</v>
      </c>
      <c r="P185" s="73">
        <f>IF($AE$1&lt;&gt;"",VLOOKUP($C185,EmpTbl!$B$1:$L$45,10,FALSE),VLOOKUP($C185,EmpTbl!$B$1:$L$45,3,FALSE))</f>
        <v>52.5</v>
      </c>
      <c r="Q185" s="73">
        <f>IF($AE$1&lt;&gt;"",VLOOKUP($C185,EmpTbl!$B$1:$L$45,10,FALSE),VLOOKUP($C185,EmpTbl!$B$1:$L$45,4,FALSE))</f>
        <v>70</v>
      </c>
      <c r="R185" s="73">
        <f>IF($AE$1&lt;&gt;"",VLOOKUP($C185,EmpTbl!$B$1:$L$45,9,FALSE),VLOOKUP($C185,EmpTbl!$B$1:$L$45,2,FALSE))</f>
        <v>35</v>
      </c>
      <c r="S185" s="73">
        <f t="shared" si="141"/>
        <v>1610</v>
      </c>
      <c r="T185" s="73">
        <f t="shared" si="142"/>
        <v>1644.4</v>
      </c>
      <c r="U185" s="70"/>
      <c r="V185" s="74"/>
      <c r="W185" s="74"/>
      <c r="X185" s="75"/>
      <c r="Y185" s="74"/>
    </row>
    <row r="186" spans="1:32" customFormat="1" x14ac:dyDescent="0.45">
      <c r="A186" s="67">
        <f>$A182</f>
        <v>46089</v>
      </c>
      <c r="B186" s="68" t="s">
        <v>41</v>
      </c>
      <c r="C186" s="69" t="s">
        <v>21</v>
      </c>
      <c r="D186" s="70">
        <v>32</v>
      </c>
      <c r="E186" s="70">
        <v>0</v>
      </c>
      <c r="F186" s="70">
        <v>0</v>
      </c>
      <c r="G186" s="70">
        <v>0</v>
      </c>
      <c r="H186" s="88">
        <v>72</v>
      </c>
      <c r="I186" s="88">
        <v>93.600000000000009</v>
      </c>
      <c r="J186" s="88">
        <v>122.39999999999999</v>
      </c>
      <c r="K186" s="88">
        <v>72</v>
      </c>
      <c r="L186" s="73">
        <v>0</v>
      </c>
      <c r="M186" s="73">
        <f t="shared" si="139"/>
        <v>32</v>
      </c>
      <c r="N186" s="73">
        <f t="shared" si="140"/>
        <v>2304</v>
      </c>
      <c r="O186" s="73">
        <f>IF($AE$1&lt;&gt;"",VLOOKUP($C186,EmpTbl!$B$1:$L$45,9,FALSE),VLOOKUP($C186,EmpTbl!$B$1:$L$45,2,FALSE))</f>
        <v>39</v>
      </c>
      <c r="P186" s="73">
        <f>IF($AE$1&lt;&gt;"",VLOOKUP($C186,EmpTbl!$B$1:$L$45,10,FALSE),VLOOKUP($C186,EmpTbl!$B$1:$L$45,3,FALSE))</f>
        <v>58.5</v>
      </c>
      <c r="Q186" s="73">
        <f>IF($AE$1&lt;&gt;"",VLOOKUP($C186,EmpTbl!$B$1:$L$45,10,FALSE),VLOOKUP($C186,EmpTbl!$B$1:$L$45,4,FALSE))</f>
        <v>78</v>
      </c>
      <c r="R186" s="73">
        <f>IF($AE$1&lt;&gt;"",VLOOKUP($C186,EmpTbl!$B$1:$L$45,9,FALSE),VLOOKUP($C186,EmpTbl!$B$1:$L$45,2,FALSE))</f>
        <v>39</v>
      </c>
      <c r="S186" s="73">
        <f t="shared" si="141"/>
        <v>1248</v>
      </c>
      <c r="T186" s="73">
        <f t="shared" si="142"/>
        <v>1056</v>
      </c>
      <c r="U186" s="70"/>
      <c r="V186" s="74"/>
      <c r="W186" s="74"/>
      <c r="X186" s="75"/>
      <c r="Y186" s="74"/>
    </row>
    <row r="187" spans="1:32" s="48" customFormat="1" x14ac:dyDescent="0.45">
      <c r="A187" s="42">
        <f>$A182</f>
        <v>46089</v>
      </c>
      <c r="B187" s="43" t="s">
        <v>44</v>
      </c>
      <c r="C187" s="44" t="s">
        <v>37</v>
      </c>
      <c r="D187" s="45">
        <f>40-9.5</f>
        <v>30.5</v>
      </c>
      <c r="E187" s="45">
        <v>0</v>
      </c>
      <c r="F187" s="45">
        <v>0</v>
      </c>
      <c r="G187" s="45">
        <v>13</v>
      </c>
      <c r="H187" s="87">
        <v>72</v>
      </c>
      <c r="I187" s="87">
        <v>93.600000000000009</v>
      </c>
      <c r="J187" s="87">
        <v>122.39999999999999</v>
      </c>
      <c r="K187" s="87">
        <v>72</v>
      </c>
      <c r="L187" s="55">
        <v>0</v>
      </c>
      <c r="M187" s="55">
        <f t="shared" si="139"/>
        <v>43.5</v>
      </c>
      <c r="N187" s="55">
        <f t="shared" si="140"/>
        <v>3132</v>
      </c>
      <c r="O187" s="55">
        <f>IF($AE$1&lt;&gt;"",VLOOKUP($C187,EmpTbl!$B$1:$L$45,9,FALSE),VLOOKUP($C187,EmpTbl!$B$1:$L$45,2,FALSE))</f>
        <v>36</v>
      </c>
      <c r="P187" s="55">
        <f>IF($AE$1&lt;&gt;"",VLOOKUP($C187,EmpTbl!$B$1:$L$45,10,FALSE),VLOOKUP($C187,EmpTbl!$B$1:$L$45,3,FALSE))</f>
        <v>54</v>
      </c>
      <c r="Q187" s="55">
        <f>IF($AE$1&lt;&gt;"",VLOOKUP($C187,EmpTbl!$B$1:$L$45,10,FALSE),VLOOKUP($C187,EmpTbl!$B$1:$L$45,4,FALSE))</f>
        <v>72</v>
      </c>
      <c r="R187" s="55">
        <f>IF($AE$1&lt;&gt;"",VLOOKUP($C187,EmpTbl!$B$1:$L$45,9,FALSE),VLOOKUP($C187,EmpTbl!$B$1:$L$45,2,FALSE))</f>
        <v>36</v>
      </c>
      <c r="S187" s="55">
        <f t="shared" si="141"/>
        <v>1566</v>
      </c>
      <c r="T187" s="55">
        <f t="shared" si="142"/>
        <v>1566</v>
      </c>
      <c r="U187" s="45"/>
      <c r="V187" s="46"/>
      <c r="W187" s="46">
        <v>4</v>
      </c>
      <c r="X187" s="47">
        <v>1</v>
      </c>
      <c r="Y187" s="46">
        <v>1</v>
      </c>
      <c r="Z187" s="71" t="s">
        <v>283</v>
      </c>
    </row>
    <row r="188" spans="1:32" customFormat="1" x14ac:dyDescent="0.45">
      <c r="A188" s="67">
        <f>$A182</f>
        <v>46089</v>
      </c>
      <c r="B188" s="68" t="s">
        <v>59</v>
      </c>
      <c r="C188" s="69" t="s">
        <v>58</v>
      </c>
      <c r="D188" s="70">
        <v>0</v>
      </c>
      <c r="E188" s="70">
        <v>0</v>
      </c>
      <c r="F188" s="70">
        <v>0</v>
      </c>
      <c r="G188" s="70">
        <v>0</v>
      </c>
      <c r="H188" s="88">
        <v>72</v>
      </c>
      <c r="I188" s="88">
        <v>93.600000000000009</v>
      </c>
      <c r="J188" s="88">
        <v>122.39999999999999</v>
      </c>
      <c r="K188" s="88">
        <v>72</v>
      </c>
      <c r="L188" s="73">
        <v>0</v>
      </c>
      <c r="M188" s="73">
        <f t="shared" ref="M188" si="143">SUM(D188:G188)</f>
        <v>0</v>
      </c>
      <c r="N188" s="73">
        <f t="shared" si="140"/>
        <v>0</v>
      </c>
      <c r="O188" s="73">
        <f>IF($AE$1&lt;&gt;"",VLOOKUP($C188,EmpTbl!$B$1:$L$45,9,FALSE),VLOOKUP($C188,EmpTbl!$B$1:$L$45,2,FALSE))</f>
        <v>36</v>
      </c>
      <c r="P188" s="73">
        <f>IF($AE$1&lt;&gt;"",VLOOKUP($C188,EmpTbl!$B$1:$L$45,10,FALSE),VLOOKUP($C188,EmpTbl!$B$1:$L$45,3,FALSE))</f>
        <v>54</v>
      </c>
      <c r="Q188" s="73">
        <f>IF($AE$1&lt;&gt;"",VLOOKUP($C188,EmpTbl!$B$1:$L$45,10,FALSE),VLOOKUP($C188,EmpTbl!$B$1:$L$45,4,FALSE))</f>
        <v>72</v>
      </c>
      <c r="R188" s="73">
        <f>IF($AE$1&lt;&gt;"",VLOOKUP($C188,EmpTbl!$B$1:$L$45,9,FALSE),VLOOKUP($C188,EmpTbl!$B$1:$L$45,2,FALSE))</f>
        <v>36</v>
      </c>
      <c r="S188" s="73">
        <f t="shared" si="141"/>
        <v>0</v>
      </c>
      <c r="T188" s="73">
        <f t="shared" si="142"/>
        <v>0</v>
      </c>
      <c r="U188" s="70"/>
      <c r="V188" s="74"/>
      <c r="W188" s="74"/>
      <c r="X188" s="75"/>
      <c r="Y188" s="74"/>
    </row>
    <row r="189" spans="1:32" customFormat="1" x14ac:dyDescent="0.45">
      <c r="A189" s="67">
        <f>$A182</f>
        <v>46089</v>
      </c>
      <c r="B189" s="68" t="s">
        <v>90</v>
      </c>
      <c r="C189" s="69" t="s">
        <v>94</v>
      </c>
      <c r="D189" s="70">
        <v>40</v>
      </c>
      <c r="E189" s="70">
        <v>3</v>
      </c>
      <c r="F189" s="70">
        <v>0</v>
      </c>
      <c r="G189" s="70">
        <v>0</v>
      </c>
      <c r="H189" s="88">
        <v>72</v>
      </c>
      <c r="I189" s="88">
        <v>93.600000000000009</v>
      </c>
      <c r="J189" s="88">
        <v>122.39999999999999</v>
      </c>
      <c r="K189" s="88">
        <v>72</v>
      </c>
      <c r="L189" s="73">
        <v>0</v>
      </c>
      <c r="M189" s="73">
        <f t="shared" ref="M189:M190" si="144">SUM(D189:G189)</f>
        <v>43</v>
      </c>
      <c r="N189" s="73">
        <f t="shared" si="140"/>
        <v>3160.8</v>
      </c>
      <c r="O189" s="73">
        <f>IF($AE$1&lt;&gt;"",VLOOKUP($C189,EmpTbl!$B$1:$L$45,9,FALSE),VLOOKUP($C189,EmpTbl!$B$1:$L$45,2,FALSE))</f>
        <v>30.67</v>
      </c>
      <c r="P189" s="73">
        <f>IF($AE$1&lt;&gt;"",VLOOKUP($C189,EmpTbl!$B$1:$L$45,10,FALSE),VLOOKUP($C189,EmpTbl!$B$1:$L$45,3,FALSE))</f>
        <v>46.005000000000003</v>
      </c>
      <c r="Q189" s="73">
        <f>IF($AE$1&lt;&gt;"",VLOOKUP($C189,EmpTbl!$B$1:$L$45,10,FALSE),VLOOKUP($C189,EmpTbl!$B$1:$L$45,4,FALSE))</f>
        <v>61.34</v>
      </c>
      <c r="R189" s="73">
        <f>IF($AE$1&lt;&gt;"",VLOOKUP($C189,EmpTbl!$B$1:$L$45,9,FALSE),VLOOKUP($C189,EmpTbl!$B$1:$L$45,2,FALSE))</f>
        <v>30.67</v>
      </c>
      <c r="S189" s="73">
        <f t="shared" si="141"/>
        <v>1364.82</v>
      </c>
      <c r="T189" s="73">
        <f t="shared" si="142"/>
        <v>1795.9800000000002</v>
      </c>
      <c r="U189" s="70"/>
      <c r="V189" s="74"/>
      <c r="W189" s="74"/>
      <c r="X189" s="75"/>
      <c r="Y189" s="74"/>
      <c r="Z189" s="85"/>
    </row>
    <row r="190" spans="1:32" s="48" customFormat="1" x14ac:dyDescent="0.45">
      <c r="A190" s="42">
        <f>$A182</f>
        <v>46089</v>
      </c>
      <c r="B190" s="43" t="s">
        <v>90</v>
      </c>
      <c r="C190" s="44" t="s">
        <v>190</v>
      </c>
      <c r="D190" s="45">
        <v>39</v>
      </c>
      <c r="E190" s="45">
        <v>12</v>
      </c>
      <c r="F190" s="45">
        <v>12</v>
      </c>
      <c r="G190" s="45">
        <v>5</v>
      </c>
      <c r="H190" s="87">
        <v>72</v>
      </c>
      <c r="I190" s="87">
        <v>93.600000000000009</v>
      </c>
      <c r="J190" s="87">
        <v>122.39999999999999</v>
      </c>
      <c r="K190" s="87">
        <v>72</v>
      </c>
      <c r="L190" s="55">
        <v>0</v>
      </c>
      <c r="M190" s="55">
        <f t="shared" si="144"/>
        <v>68</v>
      </c>
      <c r="N190" s="55">
        <f t="shared" si="140"/>
        <v>5760</v>
      </c>
      <c r="O190" s="55">
        <f>IF($AE$1&lt;&gt;"",VLOOKUP($C190,EmpTbl!$B$1:$L$45,9,FALSE),VLOOKUP($C190,EmpTbl!$B$1:$L$45,2,FALSE))</f>
        <v>30</v>
      </c>
      <c r="P190" s="55">
        <f>IF($AE$1&lt;&gt;"",VLOOKUP($C190,EmpTbl!$B$1:$L$45,10,FALSE),VLOOKUP($C190,EmpTbl!$B$1:$L$45,3,FALSE))</f>
        <v>45</v>
      </c>
      <c r="Q190" s="55">
        <f>IF($AE$1&lt;&gt;"",VLOOKUP($C190,EmpTbl!$B$1:$L$45,10,FALSE),VLOOKUP($C190,EmpTbl!$B$1:$L$45,4,FALSE))</f>
        <v>60</v>
      </c>
      <c r="R190" s="55">
        <f>IF($AE$1&lt;&gt;"",VLOOKUP($C190,EmpTbl!$B$1:$L$45,9,FALSE),VLOOKUP($C190,EmpTbl!$B$1:$L$45,2,FALSE))</f>
        <v>30</v>
      </c>
      <c r="S190" s="55">
        <f t="shared" si="141"/>
        <v>2580</v>
      </c>
      <c r="T190" s="55">
        <f t="shared" si="142"/>
        <v>3180</v>
      </c>
      <c r="U190" s="80"/>
      <c r="V190" s="46"/>
      <c r="W190" s="46">
        <v>3</v>
      </c>
      <c r="X190" s="47">
        <v>1</v>
      </c>
      <c r="Y190" s="46"/>
      <c r="Z190" s="71" t="s">
        <v>282</v>
      </c>
    </row>
    <row r="191" spans="1:32" customFormat="1" x14ac:dyDescent="0.45">
      <c r="A191" s="67">
        <f>$A182</f>
        <v>46089</v>
      </c>
      <c r="B191" s="69" t="s">
        <v>186</v>
      </c>
      <c r="C191" s="69" t="s">
        <v>189</v>
      </c>
      <c r="D191" s="70">
        <v>40</v>
      </c>
      <c r="E191" s="70">
        <v>4</v>
      </c>
      <c r="F191" s="70">
        <v>0</v>
      </c>
      <c r="G191" s="70">
        <v>0</v>
      </c>
      <c r="H191" s="73">
        <v>54</v>
      </c>
      <c r="I191" s="73">
        <v>70.2</v>
      </c>
      <c r="J191" s="73">
        <v>91.8</v>
      </c>
      <c r="K191" s="73">
        <v>54</v>
      </c>
      <c r="L191" s="73">
        <v>2</v>
      </c>
      <c r="M191" s="73">
        <f>SUM(D191:G191)</f>
        <v>44</v>
      </c>
      <c r="N191" s="73">
        <f>ROUND((D191*H191)+(E191*I191)+(F191*J191)+(G191*K191),2)</f>
        <v>2440.8000000000002</v>
      </c>
      <c r="O191" s="73">
        <f>IF($AE$1&lt;&gt;"",VLOOKUP($C191,EmpTbl!$B$1:$L$45,9,FALSE),VLOOKUP($C191,EmpTbl!$B$1:$L$45,2,FALSE))</f>
        <v>27</v>
      </c>
      <c r="P191" s="73">
        <f>IF($AE$1&lt;&gt;"",VLOOKUP($C191,EmpTbl!$B$1:$L$45,10,FALSE),VLOOKUP($C191,EmpTbl!$B$1:$L$45,3,FALSE))</f>
        <v>40.5</v>
      </c>
      <c r="Q191" s="73">
        <f>IF($AE$1&lt;&gt;"",VLOOKUP($C191,EmpTbl!$B$1:$L$45,10,FALSE),VLOOKUP($C191,EmpTbl!$B$1:$L$45,4,FALSE))</f>
        <v>54</v>
      </c>
      <c r="R191" s="73">
        <f>IF($AE$1&lt;&gt;"",VLOOKUP($C191,EmpTbl!$B$1:$L$45,9,FALSE),VLOOKUP($C191,EmpTbl!$B$1:$L$45,2,FALSE))</f>
        <v>27</v>
      </c>
      <c r="S191" s="73">
        <f>ROUND(O191*D191+P191*E191+Q191*F191+G191*R191,2)</f>
        <v>1242</v>
      </c>
      <c r="T191" s="73">
        <f>N191-S191</f>
        <v>1198.8000000000002</v>
      </c>
      <c r="U191" s="79"/>
      <c r="V191" s="74"/>
      <c r="W191" s="74"/>
      <c r="X191" s="75"/>
      <c r="Y191" s="74"/>
    </row>
    <row r="192" spans="1:32" customFormat="1" x14ac:dyDescent="0.45">
      <c r="A192" s="67">
        <f>A191+7</f>
        <v>46096</v>
      </c>
      <c r="B192" s="68" t="s">
        <v>91</v>
      </c>
      <c r="C192" s="69" t="s">
        <v>92</v>
      </c>
      <c r="D192" s="70">
        <v>40</v>
      </c>
      <c r="E192" s="70">
        <v>16</v>
      </c>
      <c r="F192" s="70">
        <v>0</v>
      </c>
      <c r="G192" s="70">
        <v>0</v>
      </c>
      <c r="H192" s="73">
        <v>72</v>
      </c>
      <c r="I192" s="73">
        <v>93.600000000000009</v>
      </c>
      <c r="J192" s="73">
        <v>122.39999999999999</v>
      </c>
      <c r="K192" s="73">
        <v>72</v>
      </c>
      <c r="L192" s="73">
        <v>0</v>
      </c>
      <c r="M192" s="73">
        <f t="shared" ref="M192:M197" si="145">SUM(D192:G192)</f>
        <v>56</v>
      </c>
      <c r="N192" s="73">
        <f t="shared" ref="N192:N200" si="146">ROUND((D192*H192)+(E192*I192)+(F192*J192)+(G192*K192),2)</f>
        <v>4377.6000000000004</v>
      </c>
      <c r="O192" s="73">
        <f>IF($AE$1&lt;&gt;"",VLOOKUP($C192,EmpTbl!$B$1:$L$45,9,FALSE),VLOOKUP($C192,EmpTbl!$B$1:$L$45,2,FALSE))</f>
        <v>60</v>
      </c>
      <c r="P192" s="73">
        <f>IF($AE$1&lt;&gt;"",VLOOKUP($C192,EmpTbl!$B$1:$L$45,10,FALSE),VLOOKUP($C192,EmpTbl!$B$1:$L$45,3,FALSE))</f>
        <v>78</v>
      </c>
      <c r="Q192" s="73">
        <f>IF($AE$1&lt;&gt;"",VLOOKUP($C192,EmpTbl!$B$1:$L$45,10,FALSE),VLOOKUP($C192,EmpTbl!$B$1:$L$45,4,FALSE))</f>
        <v>102</v>
      </c>
      <c r="R192" s="73">
        <f>IF($AE$1&lt;&gt;"",VLOOKUP($C192,EmpTbl!$B$1:$L$45,9,FALSE),VLOOKUP($C192,EmpTbl!$B$1:$L$45,2,FALSE))</f>
        <v>60</v>
      </c>
      <c r="S192" s="73">
        <f t="shared" ref="S192:S200" si="147">ROUND(O192*D192+P192*E192+Q192*F192+G192*R192,2)</f>
        <v>3648</v>
      </c>
      <c r="T192" s="73">
        <f t="shared" ref="T192:T200" si="148">N192-S192</f>
        <v>729.60000000000036</v>
      </c>
      <c r="U192" s="70"/>
      <c r="V192" s="74"/>
      <c r="W192" s="74"/>
      <c r="X192" s="75"/>
      <c r="Y192" s="74"/>
      <c r="Z192" s="85"/>
      <c r="AC192" s="77">
        <v>61.400836793559229</v>
      </c>
      <c r="AD192" s="77">
        <v>40.592475197312119</v>
      </c>
      <c r="AE192" s="77">
        <v>20.80836159624711</v>
      </c>
      <c r="AF192" s="77">
        <v>164.12075000000002</v>
      </c>
    </row>
    <row r="193" spans="1:32" customFormat="1" x14ac:dyDescent="0.45">
      <c r="A193" s="67">
        <f>$A192</f>
        <v>46096</v>
      </c>
      <c r="B193" s="68" t="s">
        <v>55</v>
      </c>
      <c r="C193" s="69" t="s">
        <v>3</v>
      </c>
      <c r="D193" s="70">
        <v>40</v>
      </c>
      <c r="E193" s="70">
        <v>5</v>
      </c>
      <c r="F193" s="70">
        <v>0</v>
      </c>
      <c r="G193" s="70">
        <v>0</v>
      </c>
      <c r="H193" s="73">
        <v>72</v>
      </c>
      <c r="I193" s="73">
        <v>93.600000000000009</v>
      </c>
      <c r="J193" s="73">
        <v>122.39999999999999</v>
      </c>
      <c r="K193" s="73">
        <v>72</v>
      </c>
      <c r="L193" s="73">
        <v>0</v>
      </c>
      <c r="M193" s="73">
        <f t="shared" si="145"/>
        <v>45</v>
      </c>
      <c r="N193" s="73">
        <f t="shared" si="146"/>
        <v>3348</v>
      </c>
      <c r="O193" s="73">
        <f>IF($AE$1&lt;&gt;"",VLOOKUP($C193,EmpTbl!$B$1:$L$45,9,FALSE),VLOOKUP($C193,EmpTbl!$B$1:$L$45,2,FALSE))</f>
        <v>57</v>
      </c>
      <c r="P193" s="73">
        <f>IF($AE$1&lt;&gt;"",VLOOKUP($C193,EmpTbl!$B$1:$L$45,10,FALSE),VLOOKUP($C193,EmpTbl!$B$1:$L$45,3,FALSE))</f>
        <v>74.100000000000009</v>
      </c>
      <c r="Q193" s="73">
        <f>IF($AE$1&lt;&gt;"",VLOOKUP($C193,EmpTbl!$B$1:$L$45,10,FALSE),VLOOKUP($C193,EmpTbl!$B$1:$L$45,4,FALSE))</f>
        <v>96.899999999999991</v>
      </c>
      <c r="R193" s="73">
        <f>IF($AE$1&lt;&gt;"",VLOOKUP($C193,EmpTbl!$B$1:$L$45,9,FALSE),VLOOKUP($C193,EmpTbl!$B$1:$L$45,2,FALSE))</f>
        <v>57</v>
      </c>
      <c r="S193" s="73">
        <f t="shared" si="147"/>
        <v>2650.5</v>
      </c>
      <c r="T193" s="73">
        <f t="shared" si="148"/>
        <v>697.5</v>
      </c>
      <c r="U193" s="70"/>
      <c r="V193" s="74"/>
      <c r="W193" s="74"/>
      <c r="X193" s="74"/>
      <c r="Y193" s="74"/>
      <c r="Z193" s="19"/>
    </row>
    <row r="194" spans="1:32" customFormat="1" x14ac:dyDescent="0.45">
      <c r="A194" s="67">
        <f>$A192</f>
        <v>46096</v>
      </c>
      <c r="B194" s="68" t="s">
        <v>38</v>
      </c>
      <c r="C194" s="69" t="s">
        <v>39</v>
      </c>
      <c r="D194" s="70">
        <v>0</v>
      </c>
      <c r="E194" s="70">
        <v>0</v>
      </c>
      <c r="F194" s="70">
        <v>0</v>
      </c>
      <c r="G194" s="70">
        <v>0</v>
      </c>
      <c r="H194" s="88">
        <v>72</v>
      </c>
      <c r="I194" s="88">
        <v>93.600000000000009</v>
      </c>
      <c r="J194" s="88">
        <v>122.39999999999999</v>
      </c>
      <c r="K194" s="88">
        <v>72</v>
      </c>
      <c r="L194" s="73">
        <v>0</v>
      </c>
      <c r="M194" s="73">
        <f t="shared" si="145"/>
        <v>0</v>
      </c>
      <c r="N194" s="73">
        <f t="shared" si="146"/>
        <v>0</v>
      </c>
      <c r="O194" s="73">
        <f>IF($AE$1&lt;&gt;"",VLOOKUP($C194,EmpTbl!$B$1:$L$45,9,FALSE),VLOOKUP($C194,EmpTbl!$B$1:$L$45,2,FALSE))</f>
        <v>55</v>
      </c>
      <c r="P194" s="73">
        <f>IF($AE$1&lt;&gt;"",VLOOKUP($C194,EmpTbl!$B$1:$L$45,10,FALSE),VLOOKUP($C194,EmpTbl!$B$1:$L$45,3,FALSE))</f>
        <v>71.5</v>
      </c>
      <c r="Q194" s="73">
        <f>IF($AE$1&lt;&gt;"",VLOOKUP($C194,EmpTbl!$B$1:$L$45,10,FALSE),VLOOKUP($C194,EmpTbl!$B$1:$L$45,4,FALSE))</f>
        <v>93.5</v>
      </c>
      <c r="R194" s="73">
        <f>IF($AE$1&lt;&gt;"",VLOOKUP($C194,EmpTbl!$B$1:$L$45,9,FALSE),VLOOKUP($C194,EmpTbl!$B$1:$L$45,2,FALSE))</f>
        <v>55</v>
      </c>
      <c r="S194" s="73">
        <f t="shared" si="147"/>
        <v>0</v>
      </c>
      <c r="T194" s="73">
        <f t="shared" si="148"/>
        <v>0</v>
      </c>
      <c r="U194" s="70"/>
      <c r="V194" s="74"/>
      <c r="W194" s="74"/>
      <c r="X194" s="75"/>
      <c r="Y194" s="74"/>
    </row>
    <row r="195" spans="1:32" customFormat="1" x14ac:dyDescent="0.45">
      <c r="A195" s="67">
        <f>$A192</f>
        <v>46096</v>
      </c>
      <c r="B195" s="68" t="s">
        <v>40</v>
      </c>
      <c r="C195" s="69" t="s">
        <v>2</v>
      </c>
      <c r="D195" s="70">
        <v>40</v>
      </c>
      <c r="E195" s="70">
        <v>0</v>
      </c>
      <c r="F195" s="70">
        <v>0</v>
      </c>
      <c r="G195" s="70">
        <v>0</v>
      </c>
      <c r="H195" s="88">
        <v>72</v>
      </c>
      <c r="I195" s="88">
        <v>93.600000000000009</v>
      </c>
      <c r="J195" s="88">
        <v>122.39999999999999</v>
      </c>
      <c r="K195" s="88">
        <v>72</v>
      </c>
      <c r="L195" s="73">
        <v>0</v>
      </c>
      <c r="M195" s="73">
        <f t="shared" si="145"/>
        <v>40</v>
      </c>
      <c r="N195" s="73">
        <f t="shared" si="146"/>
        <v>2880</v>
      </c>
      <c r="O195" s="73">
        <f>IF($AE$1&lt;&gt;"",VLOOKUP($C195,EmpTbl!$B$1:$L$45,9,FALSE),VLOOKUP($C195,EmpTbl!$B$1:$L$45,2,FALSE))</f>
        <v>35</v>
      </c>
      <c r="P195" s="73">
        <f>IF($AE$1&lt;&gt;"",VLOOKUP($C195,EmpTbl!$B$1:$L$45,10,FALSE),VLOOKUP($C195,EmpTbl!$B$1:$L$45,3,FALSE))</f>
        <v>52.5</v>
      </c>
      <c r="Q195" s="73">
        <f>IF($AE$1&lt;&gt;"",VLOOKUP($C195,EmpTbl!$B$1:$L$45,10,FALSE),VLOOKUP($C195,EmpTbl!$B$1:$L$45,4,FALSE))</f>
        <v>70</v>
      </c>
      <c r="R195" s="73">
        <f>IF($AE$1&lt;&gt;"",VLOOKUP($C195,EmpTbl!$B$1:$L$45,9,FALSE),VLOOKUP($C195,EmpTbl!$B$1:$L$45,2,FALSE))</f>
        <v>35</v>
      </c>
      <c r="S195" s="73">
        <f t="shared" si="147"/>
        <v>1400</v>
      </c>
      <c r="T195" s="73">
        <f t="shared" si="148"/>
        <v>1480</v>
      </c>
      <c r="U195" s="70"/>
      <c r="V195" s="74"/>
      <c r="W195" s="74"/>
      <c r="X195" s="75"/>
      <c r="Y195" s="74"/>
    </row>
    <row r="196" spans="1:32" s="48" customFormat="1" x14ac:dyDescent="0.45">
      <c r="A196" s="42">
        <f>$A192</f>
        <v>46096</v>
      </c>
      <c r="B196" s="43" t="s">
        <v>41</v>
      </c>
      <c r="C196" s="44" t="s">
        <v>21</v>
      </c>
      <c r="D196" s="45">
        <v>40</v>
      </c>
      <c r="E196" s="45">
        <v>28.5</v>
      </c>
      <c r="F196" s="45">
        <v>12</v>
      </c>
      <c r="G196" s="45">
        <v>3.5</v>
      </c>
      <c r="H196" s="87">
        <v>72</v>
      </c>
      <c r="I196" s="87">
        <v>93.600000000000009</v>
      </c>
      <c r="J196" s="87">
        <v>122.39999999999999</v>
      </c>
      <c r="K196" s="87">
        <v>72</v>
      </c>
      <c r="L196" s="55">
        <v>0</v>
      </c>
      <c r="M196" s="55">
        <f t="shared" si="145"/>
        <v>84</v>
      </c>
      <c r="N196" s="55">
        <f t="shared" si="146"/>
        <v>7268.4</v>
      </c>
      <c r="O196" s="55">
        <f>IF($AE$1&lt;&gt;"",VLOOKUP($C196,EmpTbl!$B$1:$L$45,9,FALSE),VLOOKUP($C196,EmpTbl!$B$1:$L$45,2,FALSE))</f>
        <v>39</v>
      </c>
      <c r="P196" s="55">
        <f>IF($AE$1&lt;&gt;"",VLOOKUP($C196,EmpTbl!$B$1:$L$45,10,FALSE),VLOOKUP($C196,EmpTbl!$B$1:$L$45,3,FALSE))</f>
        <v>58.5</v>
      </c>
      <c r="Q196" s="55">
        <f>IF($AE$1&lt;&gt;"",VLOOKUP($C196,EmpTbl!$B$1:$L$45,10,FALSE),VLOOKUP($C196,EmpTbl!$B$1:$L$45,4,FALSE))</f>
        <v>78</v>
      </c>
      <c r="R196" s="55">
        <f>IF($AE$1&lt;&gt;"",VLOOKUP($C196,EmpTbl!$B$1:$L$45,9,FALSE),VLOOKUP($C196,EmpTbl!$B$1:$L$45,2,FALSE))</f>
        <v>39</v>
      </c>
      <c r="S196" s="55">
        <f t="shared" si="147"/>
        <v>4299.75</v>
      </c>
      <c r="T196" s="55">
        <f t="shared" si="148"/>
        <v>2968.6499999999996</v>
      </c>
      <c r="U196" s="45"/>
      <c r="V196" s="46"/>
      <c r="W196" s="46">
        <v>7</v>
      </c>
      <c r="X196" s="47"/>
      <c r="Y196" s="46"/>
    </row>
    <row r="197" spans="1:32" s="48" customFormat="1" x14ac:dyDescent="0.45">
      <c r="A197" s="42">
        <f>$A192</f>
        <v>46096</v>
      </c>
      <c r="B197" s="43" t="s">
        <v>44</v>
      </c>
      <c r="C197" s="44" t="s">
        <v>37</v>
      </c>
      <c r="D197" s="45">
        <v>40</v>
      </c>
      <c r="E197" s="45">
        <v>28.5</v>
      </c>
      <c r="F197" s="45">
        <v>12</v>
      </c>
      <c r="G197" s="45">
        <v>3.5</v>
      </c>
      <c r="H197" s="87">
        <v>72</v>
      </c>
      <c r="I197" s="87">
        <v>93.600000000000009</v>
      </c>
      <c r="J197" s="87">
        <v>122.39999999999999</v>
      </c>
      <c r="K197" s="87">
        <v>72</v>
      </c>
      <c r="L197" s="55">
        <v>0</v>
      </c>
      <c r="M197" s="55">
        <f t="shared" si="145"/>
        <v>84</v>
      </c>
      <c r="N197" s="55">
        <f t="shared" si="146"/>
        <v>7268.4</v>
      </c>
      <c r="O197" s="55">
        <f>IF($AE$1&lt;&gt;"",VLOOKUP($C197,EmpTbl!$B$1:$L$45,9,FALSE),VLOOKUP($C197,EmpTbl!$B$1:$L$45,2,FALSE))</f>
        <v>36</v>
      </c>
      <c r="P197" s="55">
        <f>IF($AE$1&lt;&gt;"",VLOOKUP($C197,EmpTbl!$B$1:$L$45,10,FALSE),VLOOKUP($C197,EmpTbl!$B$1:$L$45,3,FALSE))</f>
        <v>54</v>
      </c>
      <c r="Q197" s="55">
        <f>IF($AE$1&lt;&gt;"",VLOOKUP($C197,EmpTbl!$B$1:$L$45,10,FALSE),VLOOKUP($C197,EmpTbl!$B$1:$L$45,4,FALSE))</f>
        <v>72</v>
      </c>
      <c r="R197" s="55">
        <f>IF($AE$1&lt;&gt;"",VLOOKUP($C197,EmpTbl!$B$1:$L$45,9,FALSE),VLOOKUP($C197,EmpTbl!$B$1:$L$45,2,FALSE))</f>
        <v>36</v>
      </c>
      <c r="S197" s="55">
        <f t="shared" si="147"/>
        <v>3969</v>
      </c>
      <c r="T197" s="55">
        <f t="shared" si="148"/>
        <v>3299.3999999999996</v>
      </c>
      <c r="U197" s="45"/>
      <c r="V197" s="46"/>
      <c r="W197" s="46">
        <v>7</v>
      </c>
      <c r="X197" s="47"/>
      <c r="Y197" s="46"/>
    </row>
    <row r="198" spans="1:32" customFormat="1" x14ac:dyDescent="0.45">
      <c r="A198" s="67">
        <f>$A192</f>
        <v>46096</v>
      </c>
      <c r="B198" s="68" t="s">
        <v>59</v>
      </c>
      <c r="C198" s="69" t="s">
        <v>58</v>
      </c>
      <c r="D198" s="70">
        <v>0</v>
      </c>
      <c r="E198" s="70">
        <v>0</v>
      </c>
      <c r="F198" s="70">
        <v>0</v>
      </c>
      <c r="G198" s="70">
        <v>0</v>
      </c>
      <c r="H198" s="88">
        <v>72</v>
      </c>
      <c r="I198" s="88">
        <v>93.600000000000009</v>
      </c>
      <c r="J198" s="88">
        <v>122.39999999999999</v>
      </c>
      <c r="K198" s="88">
        <v>72</v>
      </c>
      <c r="L198" s="73">
        <v>0</v>
      </c>
      <c r="M198" s="73">
        <f t="shared" ref="M198" si="149">SUM(D198:G198)</f>
        <v>0</v>
      </c>
      <c r="N198" s="73">
        <f t="shared" si="146"/>
        <v>0</v>
      </c>
      <c r="O198" s="73">
        <f>IF($AE$1&lt;&gt;"",VLOOKUP($C198,EmpTbl!$B$1:$L$45,9,FALSE),VLOOKUP($C198,EmpTbl!$B$1:$L$45,2,FALSE))</f>
        <v>36</v>
      </c>
      <c r="P198" s="73">
        <f>IF($AE$1&lt;&gt;"",VLOOKUP($C198,EmpTbl!$B$1:$L$45,10,FALSE),VLOOKUP($C198,EmpTbl!$B$1:$L$45,3,FALSE))</f>
        <v>54</v>
      </c>
      <c r="Q198" s="73">
        <f>IF($AE$1&lt;&gt;"",VLOOKUP($C198,EmpTbl!$B$1:$L$45,10,FALSE),VLOOKUP($C198,EmpTbl!$B$1:$L$45,4,FALSE))</f>
        <v>72</v>
      </c>
      <c r="R198" s="73">
        <f>IF($AE$1&lt;&gt;"",VLOOKUP($C198,EmpTbl!$B$1:$L$45,9,FALSE),VLOOKUP($C198,EmpTbl!$B$1:$L$45,2,FALSE))</f>
        <v>36</v>
      </c>
      <c r="S198" s="73">
        <f t="shared" si="147"/>
        <v>0</v>
      </c>
      <c r="T198" s="73">
        <f t="shared" si="148"/>
        <v>0</v>
      </c>
      <c r="U198" s="70"/>
      <c r="V198" s="74"/>
      <c r="W198" s="74"/>
      <c r="X198" s="75"/>
      <c r="Y198" s="74"/>
    </row>
    <row r="199" spans="1:32" s="48" customFormat="1" x14ac:dyDescent="0.45">
      <c r="A199" s="42">
        <f>$A192</f>
        <v>46096</v>
      </c>
      <c r="B199" s="43" t="s">
        <v>90</v>
      </c>
      <c r="C199" s="44" t="s">
        <v>94</v>
      </c>
      <c r="D199" s="45">
        <v>40</v>
      </c>
      <c r="E199" s="45">
        <f>24-3.5</f>
        <v>20.5</v>
      </c>
      <c r="F199" s="45">
        <v>12</v>
      </c>
      <c r="G199" s="45">
        <v>3.5</v>
      </c>
      <c r="H199" s="87">
        <v>72</v>
      </c>
      <c r="I199" s="87">
        <v>93.600000000000009</v>
      </c>
      <c r="J199" s="87">
        <v>122.39999999999999</v>
      </c>
      <c r="K199" s="87">
        <v>72</v>
      </c>
      <c r="L199" s="55">
        <v>0</v>
      </c>
      <c r="M199" s="55">
        <f t="shared" ref="M199:M200" si="150">SUM(D199:G199)</f>
        <v>76</v>
      </c>
      <c r="N199" s="55">
        <f t="shared" si="146"/>
        <v>6519.6</v>
      </c>
      <c r="O199" s="55">
        <f>IF($AE$1&lt;&gt;"",VLOOKUP($C199,EmpTbl!$B$1:$L$45,9,FALSE),VLOOKUP($C199,EmpTbl!$B$1:$L$45,2,FALSE))</f>
        <v>30.67</v>
      </c>
      <c r="P199" s="55">
        <f>IF($AE$1&lt;&gt;"",VLOOKUP($C199,EmpTbl!$B$1:$L$45,10,FALSE),VLOOKUP($C199,EmpTbl!$B$1:$L$45,3,FALSE))</f>
        <v>46.005000000000003</v>
      </c>
      <c r="Q199" s="55">
        <f>IF($AE$1&lt;&gt;"",VLOOKUP($C199,EmpTbl!$B$1:$L$45,10,FALSE),VLOOKUP($C199,EmpTbl!$B$1:$L$45,4,FALSE))</f>
        <v>61.34</v>
      </c>
      <c r="R199" s="55">
        <f>IF($AE$1&lt;&gt;"",VLOOKUP($C199,EmpTbl!$B$1:$L$45,9,FALSE),VLOOKUP($C199,EmpTbl!$B$1:$L$45,2,FALSE))</f>
        <v>30.67</v>
      </c>
      <c r="S199" s="55">
        <f t="shared" si="147"/>
        <v>3013.33</v>
      </c>
      <c r="T199" s="55">
        <f t="shared" si="148"/>
        <v>3506.2700000000004</v>
      </c>
      <c r="U199" s="45"/>
      <c r="V199" s="46"/>
      <c r="W199" s="46">
        <v>5</v>
      </c>
      <c r="X199" s="47"/>
      <c r="Y199" s="46"/>
      <c r="Z199" s="84"/>
    </row>
    <row r="200" spans="1:32" s="48" customFormat="1" x14ac:dyDescent="0.45">
      <c r="A200" s="42">
        <f>$A192</f>
        <v>46096</v>
      </c>
      <c r="B200" s="43" t="s">
        <v>90</v>
      </c>
      <c r="C200" s="44" t="s">
        <v>190</v>
      </c>
      <c r="D200" s="45">
        <v>40</v>
      </c>
      <c r="E200" s="45">
        <f>14.5-7</f>
        <v>7.5</v>
      </c>
      <c r="F200" s="45">
        <v>0</v>
      </c>
      <c r="G200" s="45">
        <v>7</v>
      </c>
      <c r="H200" s="87">
        <v>72</v>
      </c>
      <c r="I200" s="87">
        <v>93.600000000000009</v>
      </c>
      <c r="J200" s="87">
        <v>122.39999999999999</v>
      </c>
      <c r="K200" s="87">
        <v>72</v>
      </c>
      <c r="L200" s="55">
        <v>0</v>
      </c>
      <c r="M200" s="55">
        <f t="shared" si="150"/>
        <v>54.5</v>
      </c>
      <c r="N200" s="55">
        <f t="shared" si="146"/>
        <v>4086</v>
      </c>
      <c r="O200" s="55">
        <f>IF($AE$1&lt;&gt;"",VLOOKUP($C200,EmpTbl!$B$1:$L$45,9,FALSE),VLOOKUP($C200,EmpTbl!$B$1:$L$45,2,FALSE))</f>
        <v>30</v>
      </c>
      <c r="P200" s="55">
        <f>IF($AE$1&lt;&gt;"",VLOOKUP($C200,EmpTbl!$B$1:$L$45,10,FALSE),VLOOKUP($C200,EmpTbl!$B$1:$L$45,3,FALSE))</f>
        <v>45</v>
      </c>
      <c r="Q200" s="55">
        <f>IF($AE$1&lt;&gt;"",VLOOKUP($C200,EmpTbl!$B$1:$L$45,10,FALSE),VLOOKUP($C200,EmpTbl!$B$1:$L$45,4,FALSE))</f>
        <v>60</v>
      </c>
      <c r="R200" s="55">
        <f>IF($AE$1&lt;&gt;"",VLOOKUP($C200,EmpTbl!$B$1:$L$45,9,FALSE),VLOOKUP($C200,EmpTbl!$B$1:$L$45,2,FALSE))</f>
        <v>30</v>
      </c>
      <c r="S200" s="55">
        <f t="shared" si="147"/>
        <v>1747.5</v>
      </c>
      <c r="T200" s="55">
        <f t="shared" si="148"/>
        <v>2338.5</v>
      </c>
      <c r="U200" s="80"/>
      <c r="V200" s="46"/>
      <c r="W200" s="46">
        <v>5</v>
      </c>
      <c r="X200" s="47">
        <v>1</v>
      </c>
      <c r="Y200" s="46">
        <v>1</v>
      </c>
      <c r="Z200" s="89">
        <f>35*1.3811</f>
        <v>48.338499999999996</v>
      </c>
    </row>
    <row r="201" spans="1:32" s="48" customFormat="1" x14ac:dyDescent="0.45">
      <c r="A201" s="42">
        <f>$A192</f>
        <v>46096</v>
      </c>
      <c r="B201" s="44" t="s">
        <v>186</v>
      </c>
      <c r="C201" s="44" t="s">
        <v>189</v>
      </c>
      <c r="D201" s="45">
        <v>40</v>
      </c>
      <c r="E201" s="45">
        <f>7.5-3</f>
        <v>4.5</v>
      </c>
      <c r="F201" s="45">
        <v>7.5</v>
      </c>
      <c r="G201" s="45">
        <v>3</v>
      </c>
      <c r="H201" s="55">
        <v>54</v>
      </c>
      <c r="I201" s="55">
        <v>70.2</v>
      </c>
      <c r="J201" s="55">
        <v>91.8</v>
      </c>
      <c r="K201" s="55">
        <v>54</v>
      </c>
      <c r="L201" s="55">
        <v>2</v>
      </c>
      <c r="M201" s="55">
        <f>SUM(D201:G201)</f>
        <v>55</v>
      </c>
      <c r="N201" s="55">
        <f>ROUND((D201*H201)+(E201*I201)+(F201*J201)+(G201*K201),2)</f>
        <v>3326.4</v>
      </c>
      <c r="O201" s="55">
        <f>IF($AE$1&lt;&gt;"",VLOOKUP($C201,EmpTbl!$B$1:$L$45,9,FALSE),VLOOKUP($C201,EmpTbl!$B$1:$L$45,2,FALSE))</f>
        <v>27</v>
      </c>
      <c r="P201" s="55">
        <f>IF($AE$1&lt;&gt;"",VLOOKUP($C201,EmpTbl!$B$1:$L$45,10,FALSE),VLOOKUP($C201,EmpTbl!$B$1:$L$45,3,FALSE))</f>
        <v>40.5</v>
      </c>
      <c r="Q201" s="55">
        <f>IF($AE$1&lt;&gt;"",VLOOKUP($C201,EmpTbl!$B$1:$L$45,10,FALSE),VLOOKUP($C201,EmpTbl!$B$1:$L$45,4,FALSE))</f>
        <v>54</v>
      </c>
      <c r="R201" s="55">
        <f>IF($AE$1&lt;&gt;"",VLOOKUP($C201,EmpTbl!$B$1:$L$45,9,FALSE),VLOOKUP($C201,EmpTbl!$B$1:$L$45,2,FALSE))</f>
        <v>27</v>
      </c>
      <c r="S201" s="55">
        <f>ROUND(O201*D201+P201*E201+Q201*F201+G201*R201,2)</f>
        <v>1748.25</v>
      </c>
      <c r="T201" s="55">
        <f>N201-S201</f>
        <v>1578.15</v>
      </c>
      <c r="U201" s="80"/>
      <c r="V201" s="46"/>
      <c r="W201" s="46">
        <v>3</v>
      </c>
      <c r="X201" s="47"/>
      <c r="Y201" s="46"/>
    </row>
    <row r="202" spans="1:32" customFormat="1" x14ac:dyDescent="0.45">
      <c r="A202" s="67">
        <f>A201+7</f>
        <v>46103</v>
      </c>
      <c r="B202" s="68" t="s">
        <v>91</v>
      </c>
      <c r="C202" s="69" t="s">
        <v>92</v>
      </c>
      <c r="D202" s="70">
        <v>39</v>
      </c>
      <c r="E202" s="70">
        <v>0</v>
      </c>
      <c r="F202" s="70">
        <v>0</v>
      </c>
      <c r="G202" s="70">
        <v>0</v>
      </c>
      <c r="H202" s="73">
        <v>72</v>
      </c>
      <c r="I202" s="73">
        <v>93.600000000000009</v>
      </c>
      <c r="J202" s="73">
        <v>122.39999999999999</v>
      </c>
      <c r="K202" s="73">
        <v>72</v>
      </c>
      <c r="L202" s="73">
        <v>0</v>
      </c>
      <c r="M202" s="73">
        <f t="shared" ref="M202:M207" si="151">SUM(D202:G202)</f>
        <v>39</v>
      </c>
      <c r="N202" s="73">
        <f t="shared" ref="N202:N209" si="152">ROUND((D202*H202)+(E202*I202)+(F202*J202)+(G202*K202),2)</f>
        <v>2808</v>
      </c>
      <c r="O202" s="73">
        <f>IF($AE$1&lt;&gt;"",VLOOKUP($C202,EmpTbl!$B$1:$L$45,9,FALSE),VLOOKUP($C202,EmpTbl!$B$1:$L$45,2,FALSE))</f>
        <v>60</v>
      </c>
      <c r="P202" s="73">
        <f>IF($AE$1&lt;&gt;"",VLOOKUP($C202,EmpTbl!$B$1:$L$45,10,FALSE),VLOOKUP($C202,EmpTbl!$B$1:$L$45,3,FALSE))</f>
        <v>78</v>
      </c>
      <c r="Q202" s="73">
        <f>IF($AE$1&lt;&gt;"",VLOOKUP($C202,EmpTbl!$B$1:$L$45,10,FALSE),VLOOKUP($C202,EmpTbl!$B$1:$L$45,4,FALSE))</f>
        <v>102</v>
      </c>
      <c r="R202" s="73">
        <f>IF($AE$1&lt;&gt;"",VLOOKUP($C202,EmpTbl!$B$1:$L$45,9,FALSE),VLOOKUP($C202,EmpTbl!$B$1:$L$45,2,FALSE))</f>
        <v>60</v>
      </c>
      <c r="S202" s="73">
        <f t="shared" ref="S202:S209" si="153">ROUND(O202*D202+P202*E202+Q202*F202+G202*R202,2)</f>
        <v>2340</v>
      </c>
      <c r="T202" s="73">
        <f t="shared" ref="T202:T209" si="154">N202-S202</f>
        <v>468</v>
      </c>
      <c r="U202" s="70"/>
      <c r="V202" s="74"/>
      <c r="W202" s="74"/>
      <c r="X202" s="75"/>
      <c r="Y202" s="74"/>
      <c r="Z202" s="85"/>
      <c r="AC202" s="77">
        <v>61.400836793559229</v>
      </c>
      <c r="AD202" s="77">
        <v>40.592475197312119</v>
      </c>
      <c r="AE202" s="77">
        <v>20.80836159624711</v>
      </c>
      <c r="AF202" s="77">
        <v>164.12075000000002</v>
      </c>
    </row>
    <row r="203" spans="1:32" customFormat="1" x14ac:dyDescent="0.45">
      <c r="A203" s="67">
        <f>$A202</f>
        <v>46103</v>
      </c>
      <c r="B203" s="68" t="s">
        <v>55</v>
      </c>
      <c r="C203" s="69" t="s">
        <v>3</v>
      </c>
      <c r="D203" s="70">
        <v>40</v>
      </c>
      <c r="E203" s="70">
        <v>0</v>
      </c>
      <c r="F203" s="70">
        <v>0</v>
      </c>
      <c r="G203" s="70">
        <v>0</v>
      </c>
      <c r="H203" s="73">
        <v>72</v>
      </c>
      <c r="I203" s="73">
        <v>93.600000000000009</v>
      </c>
      <c r="J203" s="73">
        <v>122.39999999999999</v>
      </c>
      <c r="K203" s="73">
        <v>72</v>
      </c>
      <c r="L203" s="73">
        <v>0</v>
      </c>
      <c r="M203" s="73">
        <f t="shared" si="151"/>
        <v>40</v>
      </c>
      <c r="N203" s="73">
        <f t="shared" si="152"/>
        <v>2880</v>
      </c>
      <c r="O203" s="73">
        <f>IF($AE$1&lt;&gt;"",VLOOKUP($C203,EmpTbl!$B$1:$L$45,9,FALSE),VLOOKUP($C203,EmpTbl!$B$1:$L$45,2,FALSE))</f>
        <v>57</v>
      </c>
      <c r="P203" s="73">
        <f>IF($AE$1&lt;&gt;"",VLOOKUP($C203,EmpTbl!$B$1:$L$45,10,FALSE),VLOOKUP($C203,EmpTbl!$B$1:$L$45,3,FALSE))</f>
        <v>74.100000000000009</v>
      </c>
      <c r="Q203" s="73">
        <f>IF($AE$1&lt;&gt;"",VLOOKUP($C203,EmpTbl!$B$1:$L$45,10,FALSE),VLOOKUP($C203,EmpTbl!$B$1:$L$45,4,FALSE))</f>
        <v>96.899999999999991</v>
      </c>
      <c r="R203" s="73">
        <f>IF($AE$1&lt;&gt;"",VLOOKUP($C203,EmpTbl!$B$1:$L$45,9,FALSE),VLOOKUP($C203,EmpTbl!$B$1:$L$45,2,FALSE))</f>
        <v>57</v>
      </c>
      <c r="S203" s="73">
        <f t="shared" si="153"/>
        <v>2280</v>
      </c>
      <c r="T203" s="73">
        <f t="shared" si="154"/>
        <v>600</v>
      </c>
      <c r="U203" s="70"/>
      <c r="V203" s="74"/>
      <c r="W203" s="74"/>
      <c r="X203" s="74"/>
      <c r="Y203" s="74"/>
      <c r="Z203" s="19"/>
    </row>
    <row r="204" spans="1:32" customFormat="1" x14ac:dyDescent="0.45">
      <c r="A204" s="67">
        <f>$A202</f>
        <v>46103</v>
      </c>
      <c r="B204" s="68" t="s">
        <v>38</v>
      </c>
      <c r="C204" s="69" t="s">
        <v>39</v>
      </c>
      <c r="D204" s="70">
        <v>0</v>
      </c>
      <c r="E204" s="70">
        <v>0</v>
      </c>
      <c r="F204" s="70">
        <v>0</v>
      </c>
      <c r="G204" s="70">
        <v>0</v>
      </c>
      <c r="H204" s="88">
        <v>72</v>
      </c>
      <c r="I204" s="88">
        <v>93.600000000000009</v>
      </c>
      <c r="J204" s="88">
        <v>122.39999999999999</v>
      </c>
      <c r="K204" s="88">
        <v>72</v>
      </c>
      <c r="L204" s="73">
        <v>0</v>
      </c>
      <c r="M204" s="73">
        <f t="shared" si="151"/>
        <v>0</v>
      </c>
      <c r="N204" s="73">
        <f t="shared" si="152"/>
        <v>0</v>
      </c>
      <c r="O204" s="73">
        <f>IF($AE$1&lt;&gt;"",VLOOKUP($C204,EmpTbl!$B$1:$L$45,9,FALSE),VLOOKUP($C204,EmpTbl!$B$1:$L$45,2,FALSE))</f>
        <v>55</v>
      </c>
      <c r="P204" s="73">
        <f>IF($AE$1&lt;&gt;"",VLOOKUP($C204,EmpTbl!$B$1:$L$45,10,FALSE),VLOOKUP($C204,EmpTbl!$B$1:$L$45,3,FALSE))</f>
        <v>71.5</v>
      </c>
      <c r="Q204" s="73">
        <f>IF($AE$1&lt;&gt;"",VLOOKUP($C204,EmpTbl!$B$1:$L$45,10,FALSE),VLOOKUP($C204,EmpTbl!$B$1:$L$45,4,FALSE))</f>
        <v>93.5</v>
      </c>
      <c r="R204" s="73">
        <f>IF($AE$1&lt;&gt;"",VLOOKUP($C204,EmpTbl!$B$1:$L$45,9,FALSE),VLOOKUP($C204,EmpTbl!$B$1:$L$45,2,FALSE))</f>
        <v>55</v>
      </c>
      <c r="S204" s="73">
        <f t="shared" si="153"/>
        <v>0</v>
      </c>
      <c r="T204" s="73">
        <f t="shared" si="154"/>
        <v>0</v>
      </c>
      <c r="U204" s="70"/>
      <c r="V204" s="74"/>
      <c r="W204" s="74"/>
      <c r="X204" s="75"/>
      <c r="Y204" s="74"/>
    </row>
    <row r="205" spans="1:32" customFormat="1" x14ac:dyDescent="0.45">
      <c r="A205" s="67">
        <f>$A202</f>
        <v>46103</v>
      </c>
      <c r="B205" s="68" t="s">
        <v>40</v>
      </c>
      <c r="C205" s="69" t="s">
        <v>2</v>
      </c>
      <c r="D205" s="70">
        <v>40</v>
      </c>
      <c r="E205" s="70">
        <v>0</v>
      </c>
      <c r="F205" s="70">
        <v>0</v>
      </c>
      <c r="G205" s="70">
        <v>0</v>
      </c>
      <c r="H205" s="88">
        <v>72</v>
      </c>
      <c r="I205" s="88">
        <v>93.600000000000009</v>
      </c>
      <c r="J205" s="88">
        <v>122.39999999999999</v>
      </c>
      <c r="K205" s="88">
        <v>72</v>
      </c>
      <c r="L205" s="73">
        <v>0</v>
      </c>
      <c r="M205" s="73">
        <f t="shared" si="151"/>
        <v>40</v>
      </c>
      <c r="N205" s="73">
        <f t="shared" si="152"/>
        <v>2880</v>
      </c>
      <c r="O205" s="73">
        <f>IF($AE$1&lt;&gt;"",VLOOKUP($C205,EmpTbl!$B$1:$L$45,9,FALSE),VLOOKUP($C205,EmpTbl!$B$1:$L$45,2,FALSE))</f>
        <v>35</v>
      </c>
      <c r="P205" s="73">
        <f>IF($AE$1&lt;&gt;"",VLOOKUP($C205,EmpTbl!$B$1:$L$45,10,FALSE),VLOOKUP($C205,EmpTbl!$B$1:$L$45,3,FALSE))</f>
        <v>52.5</v>
      </c>
      <c r="Q205" s="73">
        <f>IF($AE$1&lt;&gt;"",VLOOKUP($C205,EmpTbl!$B$1:$L$45,10,FALSE),VLOOKUP($C205,EmpTbl!$B$1:$L$45,4,FALSE))</f>
        <v>70</v>
      </c>
      <c r="R205" s="73">
        <f>IF($AE$1&lt;&gt;"",VLOOKUP($C205,EmpTbl!$B$1:$L$45,9,FALSE),VLOOKUP($C205,EmpTbl!$B$1:$L$45,2,FALSE))</f>
        <v>35</v>
      </c>
      <c r="S205" s="73">
        <f t="shared" si="153"/>
        <v>1400</v>
      </c>
      <c r="T205" s="73">
        <f t="shared" si="154"/>
        <v>1480</v>
      </c>
      <c r="U205" s="70"/>
      <c r="V205" s="74"/>
      <c r="W205" s="74"/>
      <c r="X205" s="75"/>
      <c r="Y205" s="74"/>
    </row>
    <row r="206" spans="1:32" s="48" customFormat="1" x14ac:dyDescent="0.45">
      <c r="A206" s="42">
        <f>$A202</f>
        <v>46103</v>
      </c>
      <c r="B206" s="43" t="s">
        <v>41</v>
      </c>
      <c r="C206" s="44" t="s">
        <v>21</v>
      </c>
      <c r="D206" s="45">
        <v>38</v>
      </c>
      <c r="E206" s="45">
        <v>0</v>
      </c>
      <c r="F206" s="45">
        <v>12</v>
      </c>
      <c r="G206" s="45">
        <v>8</v>
      </c>
      <c r="H206" s="87">
        <v>72</v>
      </c>
      <c r="I206" s="87">
        <v>93.600000000000009</v>
      </c>
      <c r="J206" s="87">
        <v>122.39999999999999</v>
      </c>
      <c r="K206" s="87">
        <v>72</v>
      </c>
      <c r="L206" s="55">
        <v>0</v>
      </c>
      <c r="M206" s="55">
        <f t="shared" si="151"/>
        <v>58</v>
      </c>
      <c r="N206" s="55">
        <f t="shared" si="152"/>
        <v>4780.8</v>
      </c>
      <c r="O206" s="55">
        <f>IF($AE$1&lt;&gt;"",VLOOKUP($C206,EmpTbl!$B$1:$L$45,9,FALSE),VLOOKUP($C206,EmpTbl!$B$1:$L$45,2,FALSE))</f>
        <v>39</v>
      </c>
      <c r="P206" s="55">
        <f>IF($AE$1&lt;&gt;"",VLOOKUP($C206,EmpTbl!$B$1:$L$45,10,FALSE),VLOOKUP($C206,EmpTbl!$B$1:$L$45,3,FALSE))</f>
        <v>58.5</v>
      </c>
      <c r="Q206" s="55">
        <f>IF($AE$1&lt;&gt;"",VLOOKUP($C206,EmpTbl!$B$1:$L$45,10,FALSE),VLOOKUP($C206,EmpTbl!$B$1:$L$45,4,FALSE))</f>
        <v>78</v>
      </c>
      <c r="R206" s="55">
        <f>IF($AE$1&lt;&gt;"",VLOOKUP($C206,EmpTbl!$B$1:$L$45,9,FALSE),VLOOKUP($C206,EmpTbl!$B$1:$L$45,2,FALSE))</f>
        <v>39</v>
      </c>
      <c r="S206" s="55">
        <f t="shared" si="153"/>
        <v>2730</v>
      </c>
      <c r="T206" s="55">
        <f t="shared" si="154"/>
        <v>2050.8000000000002</v>
      </c>
      <c r="U206" s="45"/>
      <c r="V206" s="46"/>
      <c r="W206" s="46">
        <v>5</v>
      </c>
      <c r="X206" s="47"/>
      <c r="Y206" s="46"/>
    </row>
    <row r="207" spans="1:32" s="48" customFormat="1" x14ac:dyDescent="0.45">
      <c r="A207" s="42">
        <f>$A202</f>
        <v>46103</v>
      </c>
      <c r="B207" s="43" t="s">
        <v>44</v>
      </c>
      <c r="C207" s="44" t="s">
        <v>37</v>
      </c>
      <c r="D207" s="45">
        <v>37</v>
      </c>
      <c r="E207" s="45">
        <v>0</v>
      </c>
      <c r="F207" s="45">
        <v>12</v>
      </c>
      <c r="G207" s="45">
        <v>8</v>
      </c>
      <c r="H207" s="87">
        <v>72</v>
      </c>
      <c r="I207" s="87">
        <v>93.600000000000009</v>
      </c>
      <c r="J207" s="87">
        <v>122.39999999999999</v>
      </c>
      <c r="K207" s="87">
        <v>72</v>
      </c>
      <c r="L207" s="55">
        <v>0</v>
      </c>
      <c r="M207" s="55">
        <f t="shared" si="151"/>
        <v>57</v>
      </c>
      <c r="N207" s="55">
        <f t="shared" si="152"/>
        <v>4708.8</v>
      </c>
      <c r="O207" s="55">
        <f>IF($AE$1&lt;&gt;"",VLOOKUP($C207,EmpTbl!$B$1:$L$45,9,FALSE),VLOOKUP($C207,EmpTbl!$B$1:$L$45,2,FALSE))</f>
        <v>36</v>
      </c>
      <c r="P207" s="55">
        <f>IF($AE$1&lt;&gt;"",VLOOKUP($C207,EmpTbl!$B$1:$L$45,10,FALSE),VLOOKUP($C207,EmpTbl!$B$1:$L$45,3,FALSE))</f>
        <v>54</v>
      </c>
      <c r="Q207" s="55">
        <f>IF($AE$1&lt;&gt;"",VLOOKUP($C207,EmpTbl!$B$1:$L$45,10,FALSE),VLOOKUP($C207,EmpTbl!$B$1:$L$45,4,FALSE))</f>
        <v>72</v>
      </c>
      <c r="R207" s="55">
        <f>IF($AE$1&lt;&gt;"",VLOOKUP($C207,EmpTbl!$B$1:$L$45,9,FALSE),VLOOKUP($C207,EmpTbl!$B$1:$L$45,2,FALSE))</f>
        <v>36</v>
      </c>
      <c r="S207" s="55">
        <f t="shared" si="153"/>
        <v>2484</v>
      </c>
      <c r="T207" s="55">
        <f t="shared" si="154"/>
        <v>2224.8000000000002</v>
      </c>
      <c r="U207" s="45"/>
      <c r="V207" s="46"/>
      <c r="W207" s="46">
        <v>5</v>
      </c>
      <c r="X207" s="47"/>
      <c r="Y207" s="46"/>
    </row>
    <row r="208" spans="1:32" s="48" customFormat="1" x14ac:dyDescent="0.45">
      <c r="A208" s="42">
        <f>$A202</f>
        <v>46103</v>
      </c>
      <c r="B208" s="43" t="s">
        <v>90</v>
      </c>
      <c r="C208" s="44" t="s">
        <v>94</v>
      </c>
      <c r="D208" s="45">
        <v>40</v>
      </c>
      <c r="E208" s="45">
        <f>10-3.5</f>
        <v>6.5</v>
      </c>
      <c r="F208" s="45">
        <v>0</v>
      </c>
      <c r="G208" s="45">
        <v>3.5</v>
      </c>
      <c r="H208" s="87">
        <v>72</v>
      </c>
      <c r="I208" s="87">
        <v>93.600000000000009</v>
      </c>
      <c r="J208" s="87">
        <v>122.39999999999999</v>
      </c>
      <c r="K208" s="87">
        <v>72</v>
      </c>
      <c r="L208" s="55">
        <v>0</v>
      </c>
      <c r="M208" s="55">
        <f t="shared" ref="M208:M209" si="155">SUM(D208:G208)</f>
        <v>50</v>
      </c>
      <c r="N208" s="55">
        <f t="shared" si="152"/>
        <v>3740.4</v>
      </c>
      <c r="O208" s="55">
        <f>IF($AE$1&lt;&gt;"",VLOOKUP($C208,EmpTbl!$B$1:$L$45,9,FALSE),VLOOKUP($C208,EmpTbl!$B$1:$L$45,2,FALSE))</f>
        <v>30.67</v>
      </c>
      <c r="P208" s="55">
        <f>IF($AE$1&lt;&gt;"",VLOOKUP($C208,EmpTbl!$B$1:$L$45,10,FALSE),VLOOKUP($C208,EmpTbl!$B$1:$L$45,3,FALSE))</f>
        <v>46.005000000000003</v>
      </c>
      <c r="Q208" s="55">
        <f>IF($AE$1&lt;&gt;"",VLOOKUP($C208,EmpTbl!$B$1:$L$45,10,FALSE),VLOOKUP($C208,EmpTbl!$B$1:$L$45,4,FALSE))</f>
        <v>61.34</v>
      </c>
      <c r="R208" s="55">
        <f>IF($AE$1&lt;&gt;"",VLOOKUP($C208,EmpTbl!$B$1:$L$45,9,FALSE),VLOOKUP($C208,EmpTbl!$B$1:$L$45,2,FALSE))</f>
        <v>30.67</v>
      </c>
      <c r="S208" s="55">
        <f t="shared" si="153"/>
        <v>1633.18</v>
      </c>
      <c r="T208" s="55">
        <f t="shared" si="154"/>
        <v>2107.2200000000003</v>
      </c>
      <c r="U208" s="45"/>
      <c r="V208" s="46"/>
      <c r="W208" s="46">
        <v>3</v>
      </c>
      <c r="X208" s="47"/>
      <c r="Y208" s="46"/>
      <c r="Z208" s="84"/>
    </row>
    <row r="209" spans="1:32" s="48" customFormat="1" x14ac:dyDescent="0.45">
      <c r="A209" s="42">
        <f>$A202</f>
        <v>46103</v>
      </c>
      <c r="B209" s="43" t="s">
        <v>90</v>
      </c>
      <c r="C209" s="44" t="s">
        <v>190</v>
      </c>
      <c r="D209" s="45">
        <v>34</v>
      </c>
      <c r="E209" s="45">
        <v>0</v>
      </c>
      <c r="F209" s="45">
        <v>0</v>
      </c>
      <c r="G209" s="45">
        <v>14</v>
      </c>
      <c r="H209" s="87">
        <v>72</v>
      </c>
      <c r="I209" s="87">
        <v>93.600000000000009</v>
      </c>
      <c r="J209" s="87">
        <v>122.39999999999999</v>
      </c>
      <c r="K209" s="87">
        <v>72</v>
      </c>
      <c r="L209" s="55">
        <v>0</v>
      </c>
      <c r="M209" s="55">
        <f t="shared" si="155"/>
        <v>48</v>
      </c>
      <c r="N209" s="55">
        <f t="shared" si="152"/>
        <v>3456</v>
      </c>
      <c r="O209" s="55">
        <f>IF($AE$1&lt;&gt;"",VLOOKUP($C209,EmpTbl!$B$1:$L$45,9,FALSE),VLOOKUP($C209,EmpTbl!$B$1:$L$45,2,FALSE))</f>
        <v>30</v>
      </c>
      <c r="P209" s="55">
        <f>IF($AE$1&lt;&gt;"",VLOOKUP($C209,EmpTbl!$B$1:$L$45,10,FALSE),VLOOKUP($C209,EmpTbl!$B$1:$L$45,3,FALSE))</f>
        <v>45</v>
      </c>
      <c r="Q209" s="55">
        <f>IF($AE$1&lt;&gt;"",VLOOKUP($C209,EmpTbl!$B$1:$L$45,10,FALSE),VLOOKUP($C209,EmpTbl!$B$1:$L$45,4,FALSE))</f>
        <v>60</v>
      </c>
      <c r="R209" s="55">
        <f>IF($AE$1&lt;&gt;"",VLOOKUP($C209,EmpTbl!$B$1:$L$45,9,FALSE),VLOOKUP($C209,EmpTbl!$B$1:$L$45,2,FALSE))</f>
        <v>30</v>
      </c>
      <c r="S209" s="55">
        <f t="shared" si="153"/>
        <v>1440</v>
      </c>
      <c r="T209" s="55">
        <f t="shared" si="154"/>
        <v>2016</v>
      </c>
      <c r="U209" s="80"/>
      <c r="V209" s="46"/>
      <c r="W209" s="46">
        <v>3</v>
      </c>
      <c r="X209" s="47">
        <v>1</v>
      </c>
      <c r="Y209" s="46">
        <v>1</v>
      </c>
      <c r="Z209" s="89" t="s">
        <v>284</v>
      </c>
    </row>
    <row r="210" spans="1:32" s="48" customFormat="1" x14ac:dyDescent="0.45">
      <c r="A210" s="42">
        <f>$A202</f>
        <v>46103</v>
      </c>
      <c r="B210" s="44" t="s">
        <v>186</v>
      </c>
      <c r="C210" s="44" t="s">
        <v>189</v>
      </c>
      <c r="D210" s="45">
        <v>40</v>
      </c>
      <c r="E210" s="45">
        <f>20-2.5</f>
        <v>17.5</v>
      </c>
      <c r="F210" s="45">
        <v>1.5</v>
      </c>
      <c r="G210" s="45">
        <v>2.5</v>
      </c>
      <c r="H210" s="55">
        <v>72</v>
      </c>
      <c r="I210" s="55">
        <v>93.600000000000009</v>
      </c>
      <c r="J210" s="55">
        <v>122.39999999999999</v>
      </c>
      <c r="K210" s="55">
        <v>72</v>
      </c>
      <c r="L210" s="55">
        <v>2</v>
      </c>
      <c r="M210" s="55">
        <f>SUM(D210:G210)</f>
        <v>61.5</v>
      </c>
      <c r="N210" s="55">
        <f>ROUND((D210*H210)+(E210*I210)+(F210*J210)+(G210*K210),2)</f>
        <v>4881.6000000000004</v>
      </c>
      <c r="O210" s="55">
        <f>IF($AE$1&lt;&gt;"",VLOOKUP($C210,EmpTbl!$B$1:$L$45,9,FALSE),VLOOKUP($C210,EmpTbl!$B$1:$L$45,2,FALSE))</f>
        <v>27</v>
      </c>
      <c r="P210" s="55">
        <f>IF($AE$1&lt;&gt;"",VLOOKUP($C210,EmpTbl!$B$1:$L$45,10,FALSE),VLOOKUP($C210,EmpTbl!$B$1:$L$45,3,FALSE))</f>
        <v>40.5</v>
      </c>
      <c r="Q210" s="55">
        <f>IF($AE$1&lt;&gt;"",VLOOKUP($C210,EmpTbl!$B$1:$L$45,10,FALSE),VLOOKUP($C210,EmpTbl!$B$1:$L$45,4,FALSE))</f>
        <v>54</v>
      </c>
      <c r="R210" s="55">
        <f>IF($AE$1&lt;&gt;"",VLOOKUP($C210,EmpTbl!$B$1:$L$45,9,FALSE),VLOOKUP($C210,EmpTbl!$B$1:$L$45,2,FALSE))</f>
        <v>27</v>
      </c>
      <c r="S210" s="55">
        <f>ROUND(O210*D210+P210*E210+Q210*F210+G210*R210,2)</f>
        <v>1937.25</v>
      </c>
      <c r="T210" s="55">
        <f>N210-S210</f>
        <v>2944.3500000000004</v>
      </c>
      <c r="U210" s="80"/>
      <c r="V210" s="46"/>
      <c r="W210" s="46">
        <v>5</v>
      </c>
      <c r="X210" s="47"/>
      <c r="Y210" s="46"/>
    </row>
    <row r="211" spans="1:32" customFormat="1" x14ac:dyDescent="0.45">
      <c r="A211" s="67">
        <f>A210+7</f>
        <v>46110</v>
      </c>
      <c r="B211" s="68" t="s">
        <v>91</v>
      </c>
      <c r="C211" s="69" t="s">
        <v>92</v>
      </c>
      <c r="D211" s="70">
        <v>40</v>
      </c>
      <c r="E211" s="70">
        <v>9</v>
      </c>
      <c r="F211" s="70">
        <v>0</v>
      </c>
      <c r="G211" s="70">
        <v>0</v>
      </c>
      <c r="H211" s="73">
        <v>72</v>
      </c>
      <c r="I211" s="73">
        <v>93.600000000000009</v>
      </c>
      <c r="J211" s="73">
        <v>122.39999999999999</v>
      </c>
      <c r="K211" s="73">
        <v>72</v>
      </c>
      <c r="L211" s="73">
        <v>0</v>
      </c>
      <c r="M211" s="73">
        <f t="shared" ref="M211:M218" si="156">SUM(D211:G211)</f>
        <v>49</v>
      </c>
      <c r="N211" s="73">
        <f t="shared" ref="N211:N218" si="157">ROUND((D211*H211)+(E211*I211)+(F211*J211)+(G211*K211),2)</f>
        <v>3722.4</v>
      </c>
      <c r="O211" s="73">
        <f>IF($AE$1&lt;&gt;"",VLOOKUP($C211,EmpTbl!$B$1:$L$45,9,FALSE),VLOOKUP($C211,EmpTbl!$B$1:$L$45,2,FALSE))</f>
        <v>60</v>
      </c>
      <c r="P211" s="73">
        <f>IF($AE$1&lt;&gt;"",VLOOKUP($C211,EmpTbl!$B$1:$L$45,10,FALSE),VLOOKUP($C211,EmpTbl!$B$1:$L$45,3,FALSE))</f>
        <v>78</v>
      </c>
      <c r="Q211" s="73">
        <f>IF($AE$1&lt;&gt;"",VLOOKUP($C211,EmpTbl!$B$1:$L$45,10,FALSE),VLOOKUP($C211,EmpTbl!$B$1:$L$45,4,FALSE))</f>
        <v>102</v>
      </c>
      <c r="R211" s="73">
        <f>IF($AE$1&lt;&gt;"",VLOOKUP($C211,EmpTbl!$B$1:$L$45,9,FALSE),VLOOKUP($C211,EmpTbl!$B$1:$L$45,2,FALSE))</f>
        <v>60</v>
      </c>
      <c r="S211" s="73">
        <f t="shared" ref="S211:S218" si="158">ROUND(O211*D211+P211*E211+Q211*F211+G211*R211,2)</f>
        <v>3102</v>
      </c>
      <c r="T211" s="73">
        <f t="shared" ref="T211:T218" si="159">N211-S211</f>
        <v>620.40000000000009</v>
      </c>
      <c r="U211" s="70"/>
      <c r="V211" s="74"/>
      <c r="W211" s="74"/>
      <c r="X211" s="75"/>
      <c r="Y211" s="74"/>
      <c r="Z211" s="85"/>
      <c r="AC211" s="77">
        <v>61.400836793559229</v>
      </c>
      <c r="AD211" s="77">
        <v>40.592475197312119</v>
      </c>
      <c r="AE211" s="77">
        <v>20.80836159624711</v>
      </c>
      <c r="AF211" s="77">
        <v>164.12075000000002</v>
      </c>
    </row>
    <row r="212" spans="1:32" customFormat="1" x14ac:dyDescent="0.45">
      <c r="A212" s="67">
        <f>$A211</f>
        <v>46110</v>
      </c>
      <c r="B212" s="68" t="s">
        <v>55</v>
      </c>
      <c r="C212" s="69" t="s">
        <v>3</v>
      </c>
      <c r="D212" s="70">
        <v>40</v>
      </c>
      <c r="E212" s="70">
        <v>0</v>
      </c>
      <c r="F212" s="70">
        <v>0</v>
      </c>
      <c r="G212" s="70">
        <v>0</v>
      </c>
      <c r="H212" s="73">
        <v>72</v>
      </c>
      <c r="I212" s="73">
        <v>93.600000000000009</v>
      </c>
      <c r="J212" s="73">
        <v>122.39999999999999</v>
      </c>
      <c r="K212" s="73">
        <v>72</v>
      </c>
      <c r="L212" s="73">
        <v>0</v>
      </c>
      <c r="M212" s="73">
        <f t="shared" si="156"/>
        <v>40</v>
      </c>
      <c r="N212" s="73">
        <f t="shared" si="157"/>
        <v>2880</v>
      </c>
      <c r="O212" s="73">
        <f>IF($AE$1&lt;&gt;"",VLOOKUP($C212,EmpTbl!$B$1:$L$45,9,FALSE),VLOOKUP($C212,EmpTbl!$B$1:$L$45,2,FALSE))</f>
        <v>57</v>
      </c>
      <c r="P212" s="73">
        <f>IF($AE$1&lt;&gt;"",VLOOKUP($C212,EmpTbl!$B$1:$L$45,10,FALSE),VLOOKUP($C212,EmpTbl!$B$1:$L$45,3,FALSE))</f>
        <v>74.100000000000009</v>
      </c>
      <c r="Q212" s="73">
        <f>IF($AE$1&lt;&gt;"",VLOOKUP($C212,EmpTbl!$B$1:$L$45,10,FALSE),VLOOKUP($C212,EmpTbl!$B$1:$L$45,4,FALSE))</f>
        <v>96.899999999999991</v>
      </c>
      <c r="R212" s="73">
        <f>IF($AE$1&lt;&gt;"",VLOOKUP($C212,EmpTbl!$B$1:$L$45,9,FALSE),VLOOKUP($C212,EmpTbl!$B$1:$L$45,2,FALSE))</f>
        <v>57</v>
      </c>
      <c r="S212" s="73">
        <f t="shared" si="158"/>
        <v>2280</v>
      </c>
      <c r="T212" s="73">
        <f t="shared" si="159"/>
        <v>600</v>
      </c>
      <c r="U212" s="70"/>
      <c r="V212" s="74"/>
      <c r="W212" s="74"/>
      <c r="X212" s="74"/>
      <c r="Y212" s="74"/>
      <c r="Z212" s="19"/>
    </row>
    <row r="213" spans="1:32" customFormat="1" x14ac:dyDescent="0.45">
      <c r="A213" s="67">
        <f>$A211</f>
        <v>46110</v>
      </c>
      <c r="B213" s="68" t="s">
        <v>38</v>
      </c>
      <c r="C213" s="69" t="s">
        <v>39</v>
      </c>
      <c r="D213" s="70">
        <v>0</v>
      </c>
      <c r="E213" s="70">
        <v>0</v>
      </c>
      <c r="F213" s="70">
        <v>0</v>
      </c>
      <c r="G213" s="70">
        <v>0</v>
      </c>
      <c r="H213" s="88">
        <v>72</v>
      </c>
      <c r="I213" s="88">
        <v>93.600000000000009</v>
      </c>
      <c r="J213" s="88">
        <v>122.39999999999999</v>
      </c>
      <c r="K213" s="88">
        <v>72</v>
      </c>
      <c r="L213" s="73">
        <v>0</v>
      </c>
      <c r="M213" s="73">
        <f t="shared" si="156"/>
        <v>0</v>
      </c>
      <c r="N213" s="73">
        <f t="shared" si="157"/>
        <v>0</v>
      </c>
      <c r="O213" s="73">
        <f>IF($AE$1&lt;&gt;"",VLOOKUP($C213,EmpTbl!$B$1:$L$45,9,FALSE),VLOOKUP($C213,EmpTbl!$B$1:$L$45,2,FALSE))</f>
        <v>55</v>
      </c>
      <c r="P213" s="73">
        <f>IF($AE$1&lt;&gt;"",VLOOKUP($C213,EmpTbl!$B$1:$L$45,10,FALSE),VLOOKUP($C213,EmpTbl!$B$1:$L$45,3,FALSE))</f>
        <v>71.5</v>
      </c>
      <c r="Q213" s="73">
        <f>IF($AE$1&lt;&gt;"",VLOOKUP($C213,EmpTbl!$B$1:$L$45,10,FALSE),VLOOKUP($C213,EmpTbl!$B$1:$L$45,4,FALSE))</f>
        <v>93.5</v>
      </c>
      <c r="R213" s="73">
        <f>IF($AE$1&lt;&gt;"",VLOOKUP($C213,EmpTbl!$B$1:$L$45,9,FALSE),VLOOKUP($C213,EmpTbl!$B$1:$L$45,2,FALSE))</f>
        <v>55</v>
      </c>
      <c r="S213" s="73">
        <f t="shared" si="158"/>
        <v>0</v>
      </c>
      <c r="T213" s="73">
        <f t="shared" si="159"/>
        <v>0</v>
      </c>
      <c r="U213" s="70"/>
      <c r="V213" s="74"/>
      <c r="W213" s="74"/>
      <c r="X213" s="75"/>
      <c r="Y213" s="74"/>
    </row>
    <row r="214" spans="1:32" customFormat="1" x14ac:dyDescent="0.45">
      <c r="A214" s="67">
        <f>$A211</f>
        <v>46110</v>
      </c>
      <c r="B214" s="68" t="s">
        <v>40</v>
      </c>
      <c r="C214" s="69" t="s">
        <v>2</v>
      </c>
      <c r="D214" s="70">
        <v>33.75</v>
      </c>
      <c r="E214" s="70">
        <v>0</v>
      </c>
      <c r="F214" s="70">
        <v>0</v>
      </c>
      <c r="G214" s="70">
        <v>0</v>
      </c>
      <c r="H214" s="88">
        <v>72</v>
      </c>
      <c r="I214" s="88">
        <v>93.600000000000009</v>
      </c>
      <c r="J214" s="88">
        <v>122.39999999999999</v>
      </c>
      <c r="K214" s="88">
        <v>72</v>
      </c>
      <c r="L214" s="73">
        <v>0</v>
      </c>
      <c r="M214" s="73">
        <f t="shared" si="156"/>
        <v>33.75</v>
      </c>
      <c r="N214" s="73">
        <f t="shared" si="157"/>
        <v>2430</v>
      </c>
      <c r="O214" s="73">
        <f>IF($AE$1&lt;&gt;"",VLOOKUP($C214,EmpTbl!$B$1:$L$45,9,FALSE),VLOOKUP($C214,EmpTbl!$B$1:$L$45,2,FALSE))</f>
        <v>35</v>
      </c>
      <c r="P214" s="73">
        <f>IF($AE$1&lt;&gt;"",VLOOKUP($C214,EmpTbl!$B$1:$L$45,10,FALSE),VLOOKUP($C214,EmpTbl!$B$1:$L$45,3,FALSE))</f>
        <v>52.5</v>
      </c>
      <c r="Q214" s="73">
        <f>IF($AE$1&lt;&gt;"",VLOOKUP($C214,EmpTbl!$B$1:$L$45,10,FALSE),VLOOKUP($C214,EmpTbl!$B$1:$L$45,4,FALSE))</f>
        <v>70</v>
      </c>
      <c r="R214" s="73">
        <f>IF($AE$1&lt;&gt;"",VLOOKUP($C214,EmpTbl!$B$1:$L$45,9,FALSE),VLOOKUP($C214,EmpTbl!$B$1:$L$45,2,FALSE))</f>
        <v>35</v>
      </c>
      <c r="S214" s="73">
        <f t="shared" si="158"/>
        <v>1181.25</v>
      </c>
      <c r="T214" s="73">
        <f t="shared" si="159"/>
        <v>1248.75</v>
      </c>
      <c r="U214" s="70"/>
      <c r="V214" s="74"/>
      <c r="W214" s="74"/>
      <c r="X214" s="75"/>
      <c r="Y214" s="74"/>
    </row>
    <row r="215" spans="1:32" s="48" customFormat="1" x14ac:dyDescent="0.45">
      <c r="A215" s="42">
        <f>$A211</f>
        <v>46110</v>
      </c>
      <c r="B215" s="43" t="s">
        <v>41</v>
      </c>
      <c r="C215" s="44" t="s">
        <v>21</v>
      </c>
      <c r="D215" s="45">
        <v>40</v>
      </c>
      <c r="E215" s="45">
        <v>32</v>
      </c>
      <c r="F215" s="45">
        <v>12</v>
      </c>
      <c r="G215" s="45">
        <v>0</v>
      </c>
      <c r="H215" s="87">
        <v>72</v>
      </c>
      <c r="I215" s="87">
        <v>93.600000000000009</v>
      </c>
      <c r="J215" s="87">
        <v>122.39999999999999</v>
      </c>
      <c r="K215" s="87">
        <v>72</v>
      </c>
      <c r="L215" s="55">
        <v>0</v>
      </c>
      <c r="M215" s="55">
        <f t="shared" si="156"/>
        <v>84</v>
      </c>
      <c r="N215" s="55">
        <f t="shared" si="157"/>
        <v>7344</v>
      </c>
      <c r="O215" s="55">
        <f>IF($AE$1&lt;&gt;"",VLOOKUP($C215,EmpTbl!$B$1:$L$45,9,FALSE),VLOOKUP($C215,EmpTbl!$B$1:$L$45,2,FALSE))</f>
        <v>39</v>
      </c>
      <c r="P215" s="55">
        <f>IF($AE$1&lt;&gt;"",VLOOKUP($C215,EmpTbl!$B$1:$L$45,10,FALSE),VLOOKUP($C215,EmpTbl!$B$1:$L$45,3,FALSE))</f>
        <v>58.5</v>
      </c>
      <c r="Q215" s="55">
        <f>IF($AE$1&lt;&gt;"",VLOOKUP($C215,EmpTbl!$B$1:$L$45,10,FALSE),VLOOKUP($C215,EmpTbl!$B$1:$L$45,4,FALSE))</f>
        <v>78</v>
      </c>
      <c r="R215" s="55">
        <f>IF($AE$1&lt;&gt;"",VLOOKUP($C215,EmpTbl!$B$1:$L$45,9,FALSE),VLOOKUP($C215,EmpTbl!$B$1:$L$45,2,FALSE))</f>
        <v>39</v>
      </c>
      <c r="S215" s="55">
        <f t="shared" si="158"/>
        <v>4368</v>
      </c>
      <c r="T215" s="55">
        <f t="shared" si="159"/>
        <v>2976</v>
      </c>
      <c r="U215" s="45"/>
      <c r="V215" s="46"/>
      <c r="W215" s="46">
        <v>7</v>
      </c>
      <c r="X215" s="47"/>
      <c r="Y215" s="46"/>
    </row>
    <row r="216" spans="1:32" s="48" customFormat="1" x14ac:dyDescent="0.45">
      <c r="A216" s="42">
        <f>$A211</f>
        <v>46110</v>
      </c>
      <c r="B216" s="43" t="s">
        <v>44</v>
      </c>
      <c r="C216" s="44" t="s">
        <v>37</v>
      </c>
      <c r="D216" s="45">
        <f>33.5-3.5</f>
        <v>30</v>
      </c>
      <c r="E216" s="45">
        <v>0</v>
      </c>
      <c r="F216" s="45">
        <v>0</v>
      </c>
      <c r="G216" s="45">
        <v>3.5</v>
      </c>
      <c r="H216" s="87">
        <v>72</v>
      </c>
      <c r="I216" s="87">
        <v>93.600000000000009</v>
      </c>
      <c r="J216" s="87">
        <v>122.39999999999999</v>
      </c>
      <c r="K216" s="87">
        <v>72</v>
      </c>
      <c r="L216" s="55">
        <v>0</v>
      </c>
      <c r="M216" s="55">
        <f t="shared" si="156"/>
        <v>33.5</v>
      </c>
      <c r="N216" s="55">
        <f t="shared" si="157"/>
        <v>2412</v>
      </c>
      <c r="O216" s="55">
        <f>IF($AE$1&lt;&gt;"",VLOOKUP($C216,EmpTbl!$B$1:$L$45,9,FALSE),VLOOKUP($C216,EmpTbl!$B$1:$L$45,2,FALSE))</f>
        <v>36</v>
      </c>
      <c r="P216" s="55">
        <f>IF($AE$1&lt;&gt;"",VLOOKUP($C216,EmpTbl!$B$1:$L$45,10,FALSE),VLOOKUP($C216,EmpTbl!$B$1:$L$45,3,FALSE))</f>
        <v>54</v>
      </c>
      <c r="Q216" s="55">
        <f>IF($AE$1&lt;&gt;"",VLOOKUP($C216,EmpTbl!$B$1:$L$45,10,FALSE),VLOOKUP($C216,EmpTbl!$B$1:$L$45,4,FALSE))</f>
        <v>72</v>
      </c>
      <c r="R216" s="55">
        <f>IF($AE$1&lt;&gt;"",VLOOKUP($C216,EmpTbl!$B$1:$L$45,9,FALSE),VLOOKUP($C216,EmpTbl!$B$1:$L$45,2,FALSE))</f>
        <v>36</v>
      </c>
      <c r="S216" s="55">
        <f t="shared" si="158"/>
        <v>1206</v>
      </c>
      <c r="T216" s="55">
        <f t="shared" si="159"/>
        <v>1206</v>
      </c>
      <c r="U216" s="45"/>
      <c r="V216" s="46"/>
      <c r="W216" s="46">
        <v>3</v>
      </c>
      <c r="X216" s="47"/>
      <c r="Y216" s="46"/>
    </row>
    <row r="217" spans="1:32" s="48" customFormat="1" x14ac:dyDescent="0.45">
      <c r="A217" s="42">
        <f>$A211</f>
        <v>46110</v>
      </c>
      <c r="B217" s="43" t="s">
        <v>90</v>
      </c>
      <c r="C217" s="44" t="s">
        <v>94</v>
      </c>
      <c r="D217" s="45">
        <f>40-2.5</f>
        <v>37.5</v>
      </c>
      <c r="E217" s="45">
        <v>0</v>
      </c>
      <c r="F217" s="45">
        <v>0</v>
      </c>
      <c r="G217" s="45">
        <v>8</v>
      </c>
      <c r="H217" s="87">
        <v>72</v>
      </c>
      <c r="I217" s="87">
        <v>93.600000000000009</v>
      </c>
      <c r="J217" s="87">
        <v>122.39999999999999</v>
      </c>
      <c r="K217" s="87">
        <v>72</v>
      </c>
      <c r="L217" s="55">
        <v>0</v>
      </c>
      <c r="M217" s="55">
        <f t="shared" si="156"/>
        <v>45.5</v>
      </c>
      <c r="N217" s="55">
        <f t="shared" si="157"/>
        <v>3276</v>
      </c>
      <c r="O217" s="55">
        <f>IF($AE$1&lt;&gt;"",VLOOKUP($C217,EmpTbl!$B$1:$L$45,9,FALSE),VLOOKUP($C217,EmpTbl!$B$1:$L$45,2,FALSE))</f>
        <v>30.67</v>
      </c>
      <c r="P217" s="55">
        <f>IF($AE$1&lt;&gt;"",VLOOKUP($C217,EmpTbl!$B$1:$L$45,10,FALSE),VLOOKUP($C217,EmpTbl!$B$1:$L$45,3,FALSE))</f>
        <v>46.005000000000003</v>
      </c>
      <c r="Q217" s="55">
        <f>IF($AE$1&lt;&gt;"",VLOOKUP($C217,EmpTbl!$B$1:$L$45,10,FALSE),VLOOKUP($C217,EmpTbl!$B$1:$L$45,4,FALSE))</f>
        <v>61.34</v>
      </c>
      <c r="R217" s="55">
        <f>IF($AE$1&lt;&gt;"",VLOOKUP($C217,EmpTbl!$B$1:$L$45,9,FALSE),VLOOKUP($C217,EmpTbl!$B$1:$L$45,2,FALSE))</f>
        <v>30.67</v>
      </c>
      <c r="S217" s="55">
        <f t="shared" si="158"/>
        <v>1395.49</v>
      </c>
      <c r="T217" s="55">
        <f t="shared" si="159"/>
        <v>1880.51</v>
      </c>
      <c r="U217" s="45"/>
      <c r="V217" s="46"/>
      <c r="W217" s="46">
        <v>4</v>
      </c>
      <c r="X217" s="47"/>
      <c r="Y217" s="46"/>
      <c r="Z217" s="84"/>
    </row>
    <row r="218" spans="1:32" s="48" customFormat="1" x14ac:dyDescent="0.45">
      <c r="A218" s="42">
        <f>$A211</f>
        <v>46110</v>
      </c>
      <c r="B218" s="43" t="s">
        <v>90</v>
      </c>
      <c r="C218" s="44" t="s">
        <v>190</v>
      </c>
      <c r="D218" s="45">
        <v>40</v>
      </c>
      <c r="E218" s="45">
        <f>20.75-15.5</f>
        <v>5.25</v>
      </c>
      <c r="F218" s="45">
        <v>12</v>
      </c>
      <c r="G218" s="45">
        <v>15.5</v>
      </c>
      <c r="H218" s="87">
        <v>72</v>
      </c>
      <c r="I218" s="87">
        <v>93.600000000000009</v>
      </c>
      <c r="J218" s="87">
        <v>122.39999999999999</v>
      </c>
      <c r="K218" s="87">
        <v>72</v>
      </c>
      <c r="L218" s="55">
        <v>0</v>
      </c>
      <c r="M218" s="55">
        <f t="shared" si="156"/>
        <v>72.75</v>
      </c>
      <c r="N218" s="55">
        <f t="shared" si="157"/>
        <v>5956.2</v>
      </c>
      <c r="O218" s="55">
        <f>IF($AE$1&lt;&gt;"",VLOOKUP($C218,EmpTbl!$B$1:$L$45,9,FALSE),VLOOKUP($C218,EmpTbl!$B$1:$L$45,2,FALSE))</f>
        <v>30</v>
      </c>
      <c r="P218" s="55">
        <f>IF($AE$1&lt;&gt;"",VLOOKUP($C218,EmpTbl!$B$1:$L$45,10,FALSE),VLOOKUP($C218,EmpTbl!$B$1:$L$45,3,FALSE))</f>
        <v>45</v>
      </c>
      <c r="Q218" s="55">
        <f>IF($AE$1&lt;&gt;"",VLOOKUP($C218,EmpTbl!$B$1:$L$45,10,FALSE),VLOOKUP($C218,EmpTbl!$B$1:$L$45,4,FALSE))</f>
        <v>60</v>
      </c>
      <c r="R218" s="55">
        <f>IF($AE$1&lt;&gt;"",VLOOKUP($C218,EmpTbl!$B$1:$L$45,9,FALSE),VLOOKUP($C218,EmpTbl!$B$1:$L$45,2,FALSE))</f>
        <v>30</v>
      </c>
      <c r="S218" s="55">
        <f t="shared" si="158"/>
        <v>2621.25</v>
      </c>
      <c r="T218" s="55">
        <f t="shared" si="159"/>
        <v>3334.95</v>
      </c>
      <c r="U218" s="80"/>
      <c r="V218" s="46"/>
      <c r="W218" s="46">
        <v>6</v>
      </c>
      <c r="X218" s="47"/>
      <c r="Y218" s="46"/>
      <c r="Z218" s="89" t="s">
        <v>286</v>
      </c>
    </row>
    <row r="219" spans="1:32" customFormat="1" x14ac:dyDescent="0.45">
      <c r="A219" s="67">
        <f>$A211</f>
        <v>46110</v>
      </c>
      <c r="B219" s="69" t="s">
        <v>186</v>
      </c>
      <c r="C219" s="69" t="s">
        <v>189</v>
      </c>
      <c r="D219" s="70">
        <v>34</v>
      </c>
      <c r="E219" s="70">
        <v>0</v>
      </c>
      <c r="F219" s="70">
        <v>0</v>
      </c>
      <c r="G219" s="70">
        <v>0</v>
      </c>
      <c r="H219" s="73">
        <v>72</v>
      </c>
      <c r="I219" s="73">
        <v>93.600000000000009</v>
      </c>
      <c r="J219" s="73">
        <v>122.39999999999999</v>
      </c>
      <c r="K219" s="73">
        <v>72</v>
      </c>
      <c r="L219" s="73">
        <v>2</v>
      </c>
      <c r="M219" s="73">
        <f>SUM(D219:G219)</f>
        <v>34</v>
      </c>
      <c r="N219" s="73">
        <f>ROUND((D219*H219)+(E219*I219)+(F219*J219)+(G219*K219),2)</f>
        <v>2448</v>
      </c>
      <c r="O219" s="73">
        <f>IF($AE$1&lt;&gt;"",VLOOKUP($C219,EmpTbl!$B$1:$L$45,9,FALSE),VLOOKUP($C219,EmpTbl!$B$1:$L$45,2,FALSE))</f>
        <v>27</v>
      </c>
      <c r="P219" s="73">
        <f>IF($AE$1&lt;&gt;"",VLOOKUP($C219,EmpTbl!$B$1:$L$45,10,FALSE),VLOOKUP($C219,EmpTbl!$B$1:$L$45,3,FALSE))</f>
        <v>40.5</v>
      </c>
      <c r="Q219" s="73">
        <f>IF($AE$1&lt;&gt;"",VLOOKUP($C219,EmpTbl!$B$1:$L$45,10,FALSE),VLOOKUP($C219,EmpTbl!$B$1:$L$45,4,FALSE))</f>
        <v>54</v>
      </c>
      <c r="R219" s="73">
        <f>IF($AE$1&lt;&gt;"",VLOOKUP($C219,EmpTbl!$B$1:$L$45,9,FALSE),VLOOKUP($C219,EmpTbl!$B$1:$L$45,2,FALSE))</f>
        <v>27</v>
      </c>
      <c r="S219" s="73">
        <f>ROUND(O219*D219+P219*E219+Q219*F219+G219*R219,2)</f>
        <v>918</v>
      </c>
      <c r="T219" s="73">
        <f>N219-S219</f>
        <v>1530</v>
      </c>
      <c r="U219" s="79"/>
      <c r="V219" s="74"/>
      <c r="W219" s="74"/>
      <c r="X219" s="75"/>
      <c r="Y219" s="74"/>
    </row>
  </sheetData>
  <pageMargins left="0.7" right="0.7" top="0.75" bottom="0.75" header="0.3" footer="0.3"/>
  <pageSetup scale="31" fitToHeight="0" orientation="portrait" horizont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X17"/>
  <sheetViews>
    <sheetView workbookViewId="0">
      <selection activeCell="K19" sqref="K19"/>
    </sheetView>
  </sheetViews>
  <sheetFormatPr defaultColWidth="9.1328125" defaultRowHeight="14.25" x14ac:dyDescent="0.45"/>
  <cols>
    <col min="1" max="1" width="7.265625" style="14" bestFit="1" customWidth="1"/>
    <col min="2" max="2" width="26.1328125" style="14" bestFit="1" customWidth="1"/>
    <col min="3" max="4" width="5.59765625" style="14" bestFit="1" customWidth="1"/>
    <col min="5" max="5" width="6.1328125" style="14" bestFit="1" customWidth="1"/>
    <col min="6" max="6" width="5.59765625" style="14" customWidth="1"/>
    <col min="7" max="7" width="6" style="14" bestFit="1" customWidth="1"/>
    <col min="8" max="8" width="5" style="14" bestFit="1" customWidth="1"/>
    <col min="9" max="9" width="5.59765625" style="14" bestFit="1" customWidth="1"/>
    <col min="10" max="12" width="7.265625" style="14" bestFit="1" customWidth="1"/>
    <col min="13" max="13" width="5.3984375" style="14" bestFit="1" customWidth="1"/>
    <col min="14" max="16384" width="9.1328125" style="14"/>
  </cols>
  <sheetData>
    <row r="1" spans="1:24" x14ac:dyDescent="0.45">
      <c r="A1" s="12" t="s">
        <v>0</v>
      </c>
      <c r="B1" s="12" t="s">
        <v>1</v>
      </c>
      <c r="C1" s="12" t="s">
        <v>5</v>
      </c>
      <c r="D1" s="12" t="s">
        <v>6</v>
      </c>
      <c r="E1" s="12" t="s">
        <v>7</v>
      </c>
      <c r="F1" s="41" t="s">
        <v>180</v>
      </c>
      <c r="G1" s="13" t="s">
        <v>48</v>
      </c>
      <c r="H1" s="13" t="s">
        <v>49</v>
      </c>
      <c r="I1" s="13" t="s">
        <v>50</v>
      </c>
      <c r="J1" s="12" t="s">
        <v>51</v>
      </c>
      <c r="K1" s="12" t="s">
        <v>52</v>
      </c>
      <c r="L1" s="12" t="s">
        <v>53</v>
      </c>
      <c r="M1" t="s">
        <v>64</v>
      </c>
      <c r="O1" s="21" t="s">
        <v>60</v>
      </c>
      <c r="P1" s="22">
        <v>2.74</v>
      </c>
      <c r="Q1" s="21" t="s">
        <v>61</v>
      </c>
      <c r="R1" s="23">
        <v>9.8699999999999992</v>
      </c>
      <c r="S1" s="22" t="s">
        <v>62</v>
      </c>
      <c r="T1" s="22">
        <v>69.959999999999994</v>
      </c>
      <c r="U1" s="22" t="s">
        <v>63</v>
      </c>
      <c r="V1" s="24">
        <v>0.06</v>
      </c>
      <c r="W1" s="21" t="s">
        <v>64</v>
      </c>
      <c r="X1" s="24">
        <v>0.05</v>
      </c>
    </row>
    <row r="2" spans="1:24" x14ac:dyDescent="0.45">
      <c r="A2" s="27" t="s">
        <v>91</v>
      </c>
      <c r="B2" s="27" t="s">
        <v>92</v>
      </c>
      <c r="C2" s="28">
        <v>60</v>
      </c>
      <c r="D2" s="28">
        <f>C2*1.3</f>
        <v>78</v>
      </c>
      <c r="E2" s="28">
        <f t="shared" ref="E2" si="0">C2*1.7</f>
        <v>102</v>
      </c>
      <c r="F2" s="28">
        <v>60</v>
      </c>
      <c r="G2" s="16">
        <f t="shared" ref="G2:G4" si="1">$P$1+$R$1</f>
        <v>12.61</v>
      </c>
      <c r="H2" s="13">
        <v>0</v>
      </c>
      <c r="I2" s="16">
        <v>0</v>
      </c>
      <c r="J2" s="28">
        <f t="shared" ref="J2:L3" si="2">C2+G2</f>
        <v>72.61</v>
      </c>
      <c r="K2" s="28">
        <f t="shared" si="2"/>
        <v>78</v>
      </c>
      <c r="L2" s="28">
        <f t="shared" si="2"/>
        <v>102</v>
      </c>
      <c r="M2" s="29">
        <v>0</v>
      </c>
      <c r="O2"/>
      <c r="P2" s="33"/>
      <c r="Q2"/>
      <c r="R2" s="38"/>
      <c r="S2" s="33"/>
      <c r="T2" s="33"/>
      <c r="U2" s="33"/>
      <c r="V2" s="39"/>
      <c r="W2"/>
      <c r="X2" s="39"/>
    </row>
    <row r="3" spans="1:24" x14ac:dyDescent="0.45">
      <c r="A3" s="27" t="s">
        <v>55</v>
      </c>
      <c r="B3" s="27" t="s">
        <v>3</v>
      </c>
      <c r="C3" s="28">
        <v>57</v>
      </c>
      <c r="D3" s="28">
        <f>C3*1.3</f>
        <v>74.100000000000009</v>
      </c>
      <c r="E3" s="28">
        <f>C3*1.7</f>
        <v>96.899999999999991</v>
      </c>
      <c r="F3" s="28">
        <v>57</v>
      </c>
      <c r="G3" s="16">
        <f t="shared" si="1"/>
        <v>12.61</v>
      </c>
      <c r="H3" s="13">
        <v>0</v>
      </c>
      <c r="I3" s="16">
        <v>0</v>
      </c>
      <c r="J3" s="28">
        <f t="shared" si="2"/>
        <v>69.61</v>
      </c>
      <c r="K3" s="28">
        <f t="shared" si="2"/>
        <v>74.100000000000009</v>
      </c>
      <c r="L3" s="28">
        <f t="shared" si="2"/>
        <v>96.899999999999991</v>
      </c>
      <c r="M3" s="29">
        <v>0</v>
      </c>
    </row>
    <row r="4" spans="1:24" x14ac:dyDescent="0.45">
      <c r="A4" s="27" t="s">
        <v>43</v>
      </c>
      <c r="B4" s="27" t="s">
        <v>42</v>
      </c>
      <c r="C4" s="28">
        <v>47</v>
      </c>
      <c r="D4" s="28">
        <f t="shared" ref="D4" si="3">C4*1.3</f>
        <v>61.1</v>
      </c>
      <c r="E4" s="28">
        <f t="shared" ref="E4" si="4">C4*1.7</f>
        <v>79.899999999999991</v>
      </c>
      <c r="F4" s="28">
        <v>47</v>
      </c>
      <c r="G4" s="16">
        <f t="shared" si="1"/>
        <v>12.61</v>
      </c>
      <c r="H4" s="13">
        <v>0</v>
      </c>
      <c r="I4" s="16">
        <v>0</v>
      </c>
      <c r="J4" s="28">
        <f t="shared" ref="J4" si="5">C4+G4</f>
        <v>59.61</v>
      </c>
      <c r="K4" s="28">
        <f t="shared" ref="K4" si="6">D4+H4</f>
        <v>61.1</v>
      </c>
      <c r="L4" s="28">
        <f t="shared" ref="L4" si="7">E4+I4</f>
        <v>79.899999999999991</v>
      </c>
      <c r="M4" s="29">
        <v>0</v>
      </c>
    </row>
    <row r="5" spans="1:24" x14ac:dyDescent="0.45">
      <c r="A5" s="27" t="s">
        <v>66</v>
      </c>
      <c r="B5" s="27" t="s">
        <v>67</v>
      </c>
      <c r="C5" s="28">
        <v>45</v>
      </c>
      <c r="D5" s="28">
        <f t="shared" ref="D5" si="8">C5*1.3</f>
        <v>58.5</v>
      </c>
      <c r="E5" s="28">
        <f t="shared" ref="E5" si="9">C5*1.7</f>
        <v>76.5</v>
      </c>
      <c r="F5" s="28">
        <v>45</v>
      </c>
      <c r="G5" s="16">
        <f>$P$1+$R$1</f>
        <v>12.61</v>
      </c>
      <c r="H5" s="13">
        <v>0</v>
      </c>
      <c r="I5" s="16">
        <v>0</v>
      </c>
      <c r="J5" s="28">
        <f t="shared" ref="J5" si="10">C5+G5</f>
        <v>57.61</v>
      </c>
      <c r="K5" s="28">
        <f t="shared" ref="K5" si="11">D5+H5</f>
        <v>58.5</v>
      </c>
      <c r="L5" s="28">
        <f t="shared" ref="L5" si="12">E5+I5</f>
        <v>76.5</v>
      </c>
      <c r="M5" s="29">
        <v>0</v>
      </c>
    </row>
    <row r="6" spans="1:24" x14ac:dyDescent="0.45">
      <c r="A6" s="12" t="s">
        <v>38</v>
      </c>
      <c r="B6" s="12" t="s">
        <v>39</v>
      </c>
      <c r="C6" s="15">
        <v>55</v>
      </c>
      <c r="D6" s="15">
        <f>C6*1.3</f>
        <v>71.5</v>
      </c>
      <c r="E6" s="15">
        <f>C6*1.7</f>
        <v>93.5</v>
      </c>
      <c r="F6" s="15">
        <v>55</v>
      </c>
      <c r="G6" s="16">
        <f>$P$1+$R$1</f>
        <v>12.61</v>
      </c>
      <c r="H6" s="13">
        <v>0</v>
      </c>
      <c r="I6" s="16">
        <v>0</v>
      </c>
      <c r="J6" s="15">
        <f t="shared" ref="J6:L7" si="13">C6+G6</f>
        <v>67.61</v>
      </c>
      <c r="K6" s="15">
        <f t="shared" si="13"/>
        <v>71.5</v>
      </c>
      <c r="L6" s="15">
        <f t="shared" si="13"/>
        <v>93.5</v>
      </c>
      <c r="M6" s="30">
        <v>0</v>
      </c>
    </row>
    <row r="7" spans="1:24" x14ac:dyDescent="0.45">
      <c r="A7" s="12" t="s">
        <v>46</v>
      </c>
      <c r="B7" s="12" t="s">
        <v>4</v>
      </c>
      <c r="C7" s="15">
        <v>55</v>
      </c>
      <c r="D7" s="15">
        <f t="shared" ref="D7" si="14">C7*1.3</f>
        <v>71.5</v>
      </c>
      <c r="E7" s="15">
        <f>C7*1.7</f>
        <v>93.5</v>
      </c>
      <c r="F7" s="15">
        <v>55</v>
      </c>
      <c r="G7" s="16">
        <f>$P$1+$R$1</f>
        <v>12.61</v>
      </c>
      <c r="H7" s="13">
        <v>0</v>
      </c>
      <c r="I7" s="16">
        <v>0</v>
      </c>
      <c r="J7" s="15">
        <f t="shared" si="13"/>
        <v>67.61</v>
      </c>
      <c r="K7" s="15">
        <f t="shared" si="13"/>
        <v>71.5</v>
      </c>
      <c r="L7" s="15">
        <f t="shared" si="13"/>
        <v>93.5</v>
      </c>
      <c r="M7" s="30">
        <v>0</v>
      </c>
    </row>
    <row r="8" spans="1:24" x14ac:dyDescent="0.45">
      <c r="A8" s="25" t="s">
        <v>40</v>
      </c>
      <c r="B8" s="25" t="s">
        <v>2</v>
      </c>
      <c r="C8" s="26">
        <v>35</v>
      </c>
      <c r="D8" s="26">
        <f t="shared" ref="D8:D11" si="15">C8*1.5</f>
        <v>52.5</v>
      </c>
      <c r="E8" s="26">
        <f t="shared" ref="E8:E11" si="16">C8*2</f>
        <v>70</v>
      </c>
      <c r="F8" s="26">
        <f>C8</f>
        <v>35</v>
      </c>
      <c r="G8" s="16">
        <f>$P$1+$R$1+($T$1/40/52)+(C8*$V$1)+(C8*M8)</f>
        <v>16.143634615384613</v>
      </c>
      <c r="H8" s="16">
        <f>(D8*$V$1)</f>
        <v>3.15</v>
      </c>
      <c r="I8" s="16">
        <f>(E8*$V$1)</f>
        <v>4.2</v>
      </c>
      <c r="J8" s="26">
        <f t="shared" ref="J8:J13" si="17">C8+G8</f>
        <v>51.143634615384613</v>
      </c>
      <c r="K8" s="26">
        <f t="shared" ref="K8:K13" si="18">D8+H8</f>
        <v>55.65</v>
      </c>
      <c r="L8" s="26">
        <f t="shared" ref="L8:L13" si="19">E8+I8</f>
        <v>74.2</v>
      </c>
      <c r="M8" s="31">
        <v>0.04</v>
      </c>
    </row>
    <row r="9" spans="1:24" x14ac:dyDescent="0.45">
      <c r="A9" s="25" t="s">
        <v>59</v>
      </c>
      <c r="B9" s="25" t="s">
        <v>58</v>
      </c>
      <c r="C9" s="26">
        <v>36</v>
      </c>
      <c r="D9" s="26">
        <f t="shared" si="15"/>
        <v>54</v>
      </c>
      <c r="E9" s="26">
        <f t="shared" si="16"/>
        <v>72</v>
      </c>
      <c r="F9" s="26">
        <f t="shared" ref="F9:F14" si="20">C9</f>
        <v>36</v>
      </c>
      <c r="G9" s="16">
        <f t="shared" ref="G9" si="21">$P$1+$R$1+($T$1/40/52)+(C9*$V$1)+(C9*M9)</f>
        <v>16.063634615384615</v>
      </c>
      <c r="H9" s="16">
        <f t="shared" ref="H9" si="22">(D9*$V$1)</f>
        <v>3.2399999999999998</v>
      </c>
      <c r="I9" s="16">
        <f t="shared" ref="I9" si="23">(E9*$V$1)</f>
        <v>4.32</v>
      </c>
      <c r="J9" s="26">
        <f t="shared" si="17"/>
        <v>52.063634615384615</v>
      </c>
      <c r="K9" s="26">
        <f t="shared" si="18"/>
        <v>57.24</v>
      </c>
      <c r="L9" s="26">
        <f t="shared" si="19"/>
        <v>76.319999999999993</v>
      </c>
      <c r="M9" s="31">
        <v>3.5000000000000003E-2</v>
      </c>
    </row>
    <row r="10" spans="1:24" x14ac:dyDescent="0.45">
      <c r="A10" s="25" t="s">
        <v>41</v>
      </c>
      <c r="B10" s="25" t="s">
        <v>21</v>
      </c>
      <c r="C10" s="26">
        <v>39</v>
      </c>
      <c r="D10" s="26">
        <f t="shared" si="15"/>
        <v>58.5</v>
      </c>
      <c r="E10" s="26">
        <f t="shared" si="16"/>
        <v>78</v>
      </c>
      <c r="F10" s="26">
        <f t="shared" si="20"/>
        <v>39</v>
      </c>
      <c r="G10" s="16">
        <f>$P$1+$R$1+($T$1/40/52)+(C10*$V$1)+(C10*M10)</f>
        <v>16.543634615384615</v>
      </c>
      <c r="H10" s="16">
        <f>(D10*$V$1)</f>
        <v>3.51</v>
      </c>
      <c r="I10" s="16">
        <f>(E10*$V$1)</f>
        <v>4.68</v>
      </c>
      <c r="J10" s="26">
        <f t="shared" si="17"/>
        <v>55.543634615384619</v>
      </c>
      <c r="K10" s="26">
        <f t="shared" si="18"/>
        <v>62.01</v>
      </c>
      <c r="L10" s="26">
        <f t="shared" si="19"/>
        <v>82.68</v>
      </c>
      <c r="M10" s="31">
        <v>0.04</v>
      </c>
    </row>
    <row r="11" spans="1:24" x14ac:dyDescent="0.45">
      <c r="A11" s="25" t="s">
        <v>44</v>
      </c>
      <c r="B11" s="25" t="s">
        <v>37</v>
      </c>
      <c r="C11" s="26">
        <v>36</v>
      </c>
      <c r="D11" s="26">
        <f t="shared" si="15"/>
        <v>54</v>
      </c>
      <c r="E11" s="26">
        <f t="shared" si="16"/>
        <v>72</v>
      </c>
      <c r="F11" s="26">
        <f t="shared" si="20"/>
        <v>36</v>
      </c>
      <c r="G11" s="16">
        <f t="shared" ref="G11:G14" si="24">$P$1+$R$1+($T$1/40/52)+(C11*$V$1)+(C11*M11)</f>
        <v>16.243634615384615</v>
      </c>
      <c r="H11" s="16">
        <f t="shared" ref="H11:H14" si="25">(D11*$V$1)</f>
        <v>3.2399999999999998</v>
      </c>
      <c r="I11" s="16">
        <f t="shared" ref="I11:I14" si="26">(E11*$V$1)</f>
        <v>4.32</v>
      </c>
      <c r="J11" s="26">
        <f t="shared" si="17"/>
        <v>52.243634615384615</v>
      </c>
      <c r="K11" s="26">
        <f t="shared" si="18"/>
        <v>57.24</v>
      </c>
      <c r="L11" s="26">
        <f t="shared" si="19"/>
        <v>76.319999999999993</v>
      </c>
      <c r="M11" s="31">
        <v>0.04</v>
      </c>
    </row>
    <row r="12" spans="1:24" x14ac:dyDescent="0.45">
      <c r="A12" s="25" t="s">
        <v>95</v>
      </c>
      <c r="B12" s="25" t="s">
        <v>94</v>
      </c>
      <c r="C12" s="26">
        <v>30.67</v>
      </c>
      <c r="D12" s="26">
        <f t="shared" ref="D12:D14" si="27">C12*1.5</f>
        <v>46.005000000000003</v>
      </c>
      <c r="E12" s="26">
        <f t="shared" ref="E12:E14" si="28">C12*2</f>
        <v>61.34</v>
      </c>
      <c r="F12" s="26">
        <f t="shared" si="20"/>
        <v>30.67</v>
      </c>
      <c r="G12" s="16">
        <f t="shared" si="24"/>
        <v>14.483834615384614</v>
      </c>
      <c r="H12" s="16">
        <f t="shared" si="25"/>
        <v>2.7603</v>
      </c>
      <c r="I12" s="16">
        <f t="shared" si="26"/>
        <v>3.6804000000000001</v>
      </c>
      <c r="J12" s="26">
        <f t="shared" si="17"/>
        <v>45.153834615384618</v>
      </c>
      <c r="K12" s="26">
        <f t="shared" si="18"/>
        <v>48.765300000000003</v>
      </c>
      <c r="L12" s="26">
        <f t="shared" si="19"/>
        <v>65.020400000000009</v>
      </c>
      <c r="M12" s="31">
        <v>0</v>
      </c>
    </row>
    <row r="13" spans="1:24" x14ac:dyDescent="0.45">
      <c r="A13" s="25" t="s">
        <v>187</v>
      </c>
      <c r="B13" s="25" t="s">
        <v>189</v>
      </c>
      <c r="C13" s="26">
        <v>27</v>
      </c>
      <c r="D13" s="26">
        <f t="shared" si="27"/>
        <v>40.5</v>
      </c>
      <c r="E13" s="26">
        <f t="shared" si="28"/>
        <v>54</v>
      </c>
      <c r="F13" s="26">
        <f t="shared" si="20"/>
        <v>27</v>
      </c>
      <c r="G13" s="16">
        <f t="shared" si="24"/>
        <v>14.263634615384614</v>
      </c>
      <c r="H13" s="16">
        <f t="shared" si="25"/>
        <v>2.4299999999999997</v>
      </c>
      <c r="I13" s="16">
        <f t="shared" si="26"/>
        <v>3.2399999999999998</v>
      </c>
      <c r="J13" s="26">
        <f t="shared" si="17"/>
        <v>41.263634615384618</v>
      </c>
      <c r="K13" s="26">
        <f t="shared" si="18"/>
        <v>42.93</v>
      </c>
      <c r="L13" s="26">
        <f t="shared" si="19"/>
        <v>57.24</v>
      </c>
      <c r="M13" s="31">
        <v>0</v>
      </c>
    </row>
    <row r="14" spans="1:24" x14ac:dyDescent="0.45">
      <c r="A14" s="25" t="s">
        <v>186</v>
      </c>
      <c r="B14" s="25" t="s">
        <v>263</v>
      </c>
      <c r="C14" s="26">
        <v>28</v>
      </c>
      <c r="D14" s="26">
        <f t="shared" si="27"/>
        <v>42</v>
      </c>
      <c r="E14" s="26">
        <f t="shared" si="28"/>
        <v>56</v>
      </c>
      <c r="F14" s="26">
        <f t="shared" si="20"/>
        <v>28</v>
      </c>
      <c r="G14" s="16">
        <f t="shared" si="24"/>
        <v>14.323634615384615</v>
      </c>
      <c r="H14" s="16">
        <f t="shared" si="25"/>
        <v>2.52</v>
      </c>
      <c r="I14" s="16">
        <f t="shared" si="26"/>
        <v>3.36</v>
      </c>
      <c r="J14" s="26">
        <f t="shared" ref="J14" si="29">C14+G14</f>
        <v>42.323634615384613</v>
      </c>
      <c r="K14" s="26">
        <f t="shared" ref="K14" si="30">D14+H14</f>
        <v>44.52</v>
      </c>
      <c r="L14" s="26">
        <f t="shared" ref="L14" si="31">E14+I14</f>
        <v>59.36</v>
      </c>
      <c r="M14" s="31">
        <v>0</v>
      </c>
    </row>
    <row r="15" spans="1:24" x14ac:dyDescent="0.45">
      <c r="A15" s="25" t="s">
        <v>186</v>
      </c>
      <c r="B15" s="25" t="s">
        <v>190</v>
      </c>
      <c r="C15" s="26">
        <v>30</v>
      </c>
      <c r="D15" s="26">
        <f t="shared" ref="D15" si="32">C15*1.5</f>
        <v>45</v>
      </c>
      <c r="E15" s="26">
        <f t="shared" ref="E15" si="33">C15*2</f>
        <v>60</v>
      </c>
      <c r="F15" s="26">
        <f t="shared" ref="F15" si="34">C15</f>
        <v>30</v>
      </c>
      <c r="G15" s="16">
        <f t="shared" ref="G15" si="35">$P$1+$R$1+($T$1/40/52)+(C15*$V$1)+(C15*M15)</f>
        <v>14.443634615384614</v>
      </c>
      <c r="H15" s="16">
        <f t="shared" ref="H15" si="36">(D15*$V$1)</f>
        <v>2.6999999999999997</v>
      </c>
      <c r="I15" s="16">
        <f t="shared" ref="I15" si="37">(E15*$V$1)</f>
        <v>3.5999999999999996</v>
      </c>
      <c r="J15" s="26">
        <f t="shared" ref="J15" si="38">C15+G15</f>
        <v>44.44363461538461</v>
      </c>
      <c r="K15" s="26">
        <f t="shared" ref="K15" si="39">D15+H15</f>
        <v>47.7</v>
      </c>
      <c r="L15" s="26">
        <f t="shared" ref="L15" si="40">E15+I15</f>
        <v>63.6</v>
      </c>
      <c r="M15" s="31">
        <v>0</v>
      </c>
    </row>
    <row r="17" spans="15:24" x14ac:dyDescent="0.45">
      <c r="O17"/>
      <c r="P17" s="33"/>
      <c r="Q17"/>
      <c r="R17" s="38"/>
      <c r="S17" s="33"/>
      <c r="T17" s="33"/>
      <c r="U17" s="33"/>
      <c r="V17" s="39"/>
      <c r="W17"/>
      <c r="X17" s="39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030544-1D4C-46D2-8142-6FB12190A854}">
  <sheetPr codeName="Sheet8"/>
  <dimension ref="A1:B46"/>
  <sheetViews>
    <sheetView workbookViewId="0">
      <selection activeCell="D2" sqref="D2"/>
    </sheetView>
  </sheetViews>
  <sheetFormatPr defaultRowHeight="14.25" x14ac:dyDescent="0.45"/>
  <cols>
    <col min="1" max="1" width="13.265625" bestFit="1" customWidth="1"/>
    <col min="2" max="2" width="11" bestFit="1" customWidth="1"/>
  </cols>
  <sheetData>
    <row r="1" spans="1:2" x14ac:dyDescent="0.45">
      <c r="A1" t="s">
        <v>93</v>
      </c>
      <c r="B1" t="s">
        <v>252</v>
      </c>
    </row>
    <row r="2" spans="1:2" x14ac:dyDescent="0.45">
      <c r="A2" s="40">
        <v>355.77099999999996</v>
      </c>
      <c r="B2" s="66">
        <f>AVERAGE($A$2:A2)</f>
        <v>355.77099999999996</v>
      </c>
    </row>
    <row r="3" spans="1:2" x14ac:dyDescent="0.45">
      <c r="A3" s="40">
        <v>333.58550000000002</v>
      </c>
      <c r="B3" s="66">
        <f>AVERAGE($A$2:A3)</f>
        <v>344.67824999999999</v>
      </c>
    </row>
    <row r="4" spans="1:2" x14ac:dyDescent="0.45">
      <c r="A4" s="40">
        <v>347.68025</v>
      </c>
      <c r="B4" s="66">
        <f>AVERAGE($A$2:A4)</f>
        <v>345.67891666666668</v>
      </c>
    </row>
    <row r="5" spans="1:2" x14ac:dyDescent="0.45">
      <c r="A5" s="40">
        <v>362.78799999999995</v>
      </c>
      <c r="B5" s="66">
        <f>AVERAGE($A$2:A5)</f>
        <v>349.9561875</v>
      </c>
    </row>
    <row r="6" spans="1:2" x14ac:dyDescent="0.45">
      <c r="A6" s="40">
        <v>277.97099999999995</v>
      </c>
      <c r="B6" s="5">
        <f>AVERAGE(A2:A6)</f>
        <v>335.55914999999999</v>
      </c>
    </row>
    <row r="7" spans="1:2" x14ac:dyDescent="0.45">
      <c r="A7" s="40">
        <v>319.69800000000004</v>
      </c>
      <c r="B7" s="5">
        <f t="shared" ref="B7:B25" si="0">AVERAGE(A3:A7)</f>
        <v>328.34455000000003</v>
      </c>
    </row>
    <row r="8" spans="1:2" x14ac:dyDescent="0.45">
      <c r="A8" s="40">
        <v>333.21524999999997</v>
      </c>
      <c r="B8" s="5">
        <f t="shared" si="0"/>
        <v>328.27049999999997</v>
      </c>
    </row>
    <row r="9" spans="1:2" x14ac:dyDescent="0.45">
      <c r="A9" s="40">
        <v>267.83474999999999</v>
      </c>
      <c r="B9" s="5">
        <f t="shared" si="0"/>
        <v>312.30139999999994</v>
      </c>
    </row>
    <row r="10" spans="1:2" x14ac:dyDescent="0.45">
      <c r="A10" s="40">
        <v>61.796749999999996</v>
      </c>
      <c r="B10" s="5">
        <f t="shared" si="0"/>
        <v>252.10315</v>
      </c>
    </row>
    <row r="11" spans="1:2" x14ac:dyDescent="0.45">
      <c r="A11" s="40">
        <v>211.214</v>
      </c>
      <c r="B11" s="5">
        <f t="shared" si="0"/>
        <v>238.75174999999999</v>
      </c>
    </row>
    <row r="12" spans="1:2" x14ac:dyDescent="0.45">
      <c r="A12" s="40">
        <v>282.52325000000002</v>
      </c>
      <c r="B12" s="5">
        <f t="shared" si="0"/>
        <v>231.31679999999997</v>
      </c>
    </row>
    <row r="13" spans="1:2" x14ac:dyDescent="0.45">
      <c r="A13" s="40">
        <v>291.61450000000002</v>
      </c>
      <c r="B13" s="5">
        <f t="shared" si="0"/>
        <v>222.99664999999996</v>
      </c>
    </row>
    <row r="14" spans="1:2" x14ac:dyDescent="0.45">
      <c r="A14" s="40">
        <v>326.46300000000002</v>
      </c>
      <c r="B14" s="5">
        <f t="shared" si="0"/>
        <v>234.72229999999999</v>
      </c>
    </row>
    <row r="15" spans="1:2" x14ac:dyDescent="0.45">
      <c r="A15" s="40">
        <v>342.51150000000007</v>
      </c>
      <c r="B15" s="5">
        <f t="shared" si="0"/>
        <v>290.86525</v>
      </c>
    </row>
    <row r="16" spans="1:2" x14ac:dyDescent="0.45">
      <c r="A16" s="40">
        <v>312.88824999999991</v>
      </c>
      <c r="B16" s="5">
        <f t="shared" si="0"/>
        <v>311.20010000000002</v>
      </c>
    </row>
    <row r="17" spans="1:2" x14ac:dyDescent="0.45">
      <c r="A17" s="40">
        <v>355.459</v>
      </c>
      <c r="B17" s="5">
        <f t="shared" si="0"/>
        <v>325.78725000000003</v>
      </c>
    </row>
    <row r="18" spans="1:2" x14ac:dyDescent="0.45">
      <c r="A18" s="40">
        <v>388.26524999999998</v>
      </c>
      <c r="B18" s="5">
        <f t="shared" si="0"/>
        <v>345.11739999999998</v>
      </c>
    </row>
    <row r="19" spans="1:2" x14ac:dyDescent="0.45">
      <c r="A19" s="40">
        <v>352.63524999999993</v>
      </c>
      <c r="B19" s="5">
        <f t="shared" si="0"/>
        <v>350.35185000000001</v>
      </c>
    </row>
    <row r="20" spans="1:2" x14ac:dyDescent="0.45">
      <c r="A20" s="40">
        <v>347.61700000000002</v>
      </c>
      <c r="B20" s="5">
        <f t="shared" si="0"/>
        <v>351.37295</v>
      </c>
    </row>
    <row r="21" spans="1:2" x14ac:dyDescent="0.45">
      <c r="A21" s="40">
        <v>478.64350000000002</v>
      </c>
      <c r="B21" s="5">
        <f t="shared" si="0"/>
        <v>384.524</v>
      </c>
    </row>
    <row r="22" spans="1:2" x14ac:dyDescent="0.45">
      <c r="A22" s="40">
        <v>360.68074999999999</v>
      </c>
      <c r="B22" s="5">
        <f t="shared" si="0"/>
        <v>385.56835000000001</v>
      </c>
    </row>
    <row r="23" spans="1:2" x14ac:dyDescent="0.45">
      <c r="A23" s="40">
        <v>262.09125000000006</v>
      </c>
      <c r="B23" s="5">
        <f t="shared" si="0"/>
        <v>360.33355</v>
      </c>
    </row>
    <row r="24" spans="1:2" x14ac:dyDescent="0.45">
      <c r="A24" s="40">
        <v>343.67699999999996</v>
      </c>
      <c r="B24" s="5">
        <f t="shared" si="0"/>
        <v>358.54190000000006</v>
      </c>
    </row>
    <row r="25" spans="1:2" x14ac:dyDescent="0.45">
      <c r="A25" s="40">
        <v>339.62074999999999</v>
      </c>
      <c r="B25" s="5">
        <f t="shared" si="0"/>
        <v>356.94265000000001</v>
      </c>
    </row>
    <row r="26" spans="1:2" x14ac:dyDescent="0.45">
      <c r="A26" s="40">
        <v>328.05874999999997</v>
      </c>
      <c r="B26" s="5">
        <f>AVERAGE(A22:A26)</f>
        <v>326.82569999999998</v>
      </c>
    </row>
    <row r="27" spans="1:2" x14ac:dyDescent="0.45">
      <c r="A27" s="40"/>
      <c r="B27" s="5"/>
    </row>
    <row r="28" spans="1:2" x14ac:dyDescent="0.45">
      <c r="A28" s="40"/>
      <c r="B28" s="5"/>
    </row>
    <row r="29" spans="1:2" x14ac:dyDescent="0.45">
      <c r="A29" s="40"/>
      <c r="B29" s="5"/>
    </row>
    <row r="30" spans="1:2" x14ac:dyDescent="0.45">
      <c r="A30" s="40"/>
      <c r="B30" s="5"/>
    </row>
    <row r="31" spans="1:2" x14ac:dyDescent="0.45">
      <c r="A31" s="40"/>
      <c r="B31" s="5"/>
    </row>
    <row r="32" spans="1:2" x14ac:dyDescent="0.45">
      <c r="A32" s="40"/>
      <c r="B32" s="5"/>
    </row>
    <row r="33" spans="1:2" x14ac:dyDescent="0.45">
      <c r="A33" s="40"/>
      <c r="B33" s="5"/>
    </row>
    <row r="34" spans="1:2" x14ac:dyDescent="0.45">
      <c r="A34" s="40"/>
      <c r="B34" s="5"/>
    </row>
    <row r="35" spans="1:2" x14ac:dyDescent="0.45">
      <c r="A35" s="40"/>
      <c r="B35" s="5"/>
    </row>
    <row r="36" spans="1:2" x14ac:dyDescent="0.45">
      <c r="A36" s="5"/>
      <c r="B36" s="5"/>
    </row>
    <row r="37" spans="1:2" x14ac:dyDescent="0.45">
      <c r="A37" s="5"/>
      <c r="B37" s="5"/>
    </row>
    <row r="38" spans="1:2" x14ac:dyDescent="0.45">
      <c r="A38" s="5"/>
      <c r="B38" s="5"/>
    </row>
    <row r="39" spans="1:2" x14ac:dyDescent="0.45">
      <c r="A39" s="5"/>
      <c r="B39" s="5"/>
    </row>
    <row r="40" spans="1:2" x14ac:dyDescent="0.45">
      <c r="A40" s="5"/>
      <c r="B40" s="5"/>
    </row>
    <row r="41" spans="1:2" x14ac:dyDescent="0.45">
      <c r="A41" s="5"/>
      <c r="B41" s="5"/>
    </row>
    <row r="42" spans="1:2" x14ac:dyDescent="0.45">
      <c r="A42" s="5"/>
      <c r="B42" s="5"/>
    </row>
    <row r="43" spans="1:2" x14ac:dyDescent="0.45">
      <c r="A43" s="5"/>
      <c r="B43" s="5"/>
    </row>
    <row r="44" spans="1:2" x14ac:dyDescent="0.45">
      <c r="A44" s="5"/>
      <c r="B44" s="5"/>
    </row>
    <row r="45" spans="1:2" x14ac:dyDescent="0.45">
      <c r="A45" s="5"/>
      <c r="B45" s="5"/>
    </row>
    <row r="46" spans="1:2" x14ac:dyDescent="0.45">
      <c r="A46" s="5"/>
      <c r="B46" s="5"/>
    </row>
  </sheetData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8CFE4-EF64-4B2C-B944-0F2C4015126B}">
  <sheetPr codeName="Sheet9"/>
  <dimension ref="A1:D27"/>
  <sheetViews>
    <sheetView workbookViewId="0">
      <selection activeCell="A28" sqref="A28"/>
    </sheetView>
  </sheetViews>
  <sheetFormatPr defaultRowHeight="14.25" x14ac:dyDescent="0.45"/>
  <cols>
    <col min="1" max="1" width="13.73046875" bestFit="1" customWidth="1"/>
    <col min="2" max="2" width="30.265625" bestFit="1" customWidth="1"/>
  </cols>
  <sheetData>
    <row r="1" spans="1:3" x14ac:dyDescent="0.45">
      <c r="A1" t="s">
        <v>157</v>
      </c>
      <c r="B1" t="s">
        <v>135</v>
      </c>
      <c r="C1" s="34">
        <v>35.35</v>
      </c>
    </row>
    <row r="2" spans="1:3" x14ac:dyDescent="0.45">
      <c r="A2" t="s">
        <v>158</v>
      </c>
      <c r="B2" t="s">
        <v>136</v>
      </c>
      <c r="C2" s="34">
        <v>45.96</v>
      </c>
    </row>
    <row r="3" spans="1:3" x14ac:dyDescent="0.45">
      <c r="A3" t="s">
        <v>159</v>
      </c>
      <c r="B3" t="s">
        <v>137</v>
      </c>
      <c r="C3" s="34">
        <v>60.1</v>
      </c>
    </row>
    <row r="4" spans="1:3" x14ac:dyDescent="0.45">
      <c r="A4" t="s">
        <v>160</v>
      </c>
      <c r="B4" t="s">
        <v>150</v>
      </c>
      <c r="C4" s="34">
        <v>35.35</v>
      </c>
    </row>
    <row r="6" spans="1:3" x14ac:dyDescent="0.45">
      <c r="A6" t="s">
        <v>161</v>
      </c>
      <c r="B6" t="s">
        <v>138</v>
      </c>
      <c r="C6" s="34">
        <v>40.71</v>
      </c>
    </row>
    <row r="7" spans="1:3" x14ac:dyDescent="0.45">
      <c r="A7" t="s">
        <v>162</v>
      </c>
      <c r="B7" t="s">
        <v>139</v>
      </c>
      <c r="C7" s="34">
        <v>52.92</v>
      </c>
    </row>
    <row r="8" spans="1:3" x14ac:dyDescent="0.45">
      <c r="A8" t="s">
        <v>163</v>
      </c>
      <c r="B8" t="s">
        <v>140</v>
      </c>
      <c r="C8" s="34">
        <v>69.2</v>
      </c>
    </row>
    <row r="9" spans="1:3" x14ac:dyDescent="0.45">
      <c r="A9" t="s">
        <v>164</v>
      </c>
      <c r="B9" t="s">
        <v>154</v>
      </c>
      <c r="C9" s="34">
        <v>40.71</v>
      </c>
    </row>
    <row r="11" spans="1:3" x14ac:dyDescent="0.45">
      <c r="A11" t="s">
        <v>165</v>
      </c>
      <c r="B11" t="s">
        <v>141</v>
      </c>
      <c r="C11" s="34">
        <v>48.21</v>
      </c>
    </row>
    <row r="12" spans="1:3" x14ac:dyDescent="0.45">
      <c r="A12" t="s">
        <v>166</v>
      </c>
      <c r="B12" t="s">
        <v>142</v>
      </c>
      <c r="C12" s="34">
        <v>62.67</v>
      </c>
    </row>
    <row r="13" spans="1:3" x14ac:dyDescent="0.45">
      <c r="A13" t="s">
        <v>167</v>
      </c>
      <c r="B13" t="s">
        <v>143</v>
      </c>
      <c r="C13" s="34">
        <v>81.95</v>
      </c>
    </row>
    <row r="14" spans="1:3" x14ac:dyDescent="0.45">
      <c r="A14" t="s">
        <v>168</v>
      </c>
      <c r="B14" t="s">
        <v>153</v>
      </c>
      <c r="C14" s="34">
        <v>48.21</v>
      </c>
    </row>
    <row r="16" spans="1:3" x14ac:dyDescent="0.45">
      <c r="A16" t="s">
        <v>169</v>
      </c>
      <c r="B16" t="s">
        <v>144</v>
      </c>
      <c r="C16" s="34">
        <v>55.7</v>
      </c>
    </row>
    <row r="17" spans="1:4" x14ac:dyDescent="0.45">
      <c r="A17" t="s">
        <v>170</v>
      </c>
      <c r="B17" t="s">
        <v>145</v>
      </c>
      <c r="C17" s="34">
        <v>72.41</v>
      </c>
    </row>
    <row r="18" spans="1:4" x14ac:dyDescent="0.45">
      <c r="A18" t="s">
        <v>171</v>
      </c>
      <c r="B18" t="s">
        <v>146</v>
      </c>
      <c r="C18" s="34">
        <v>94.7</v>
      </c>
    </row>
    <row r="19" spans="1:4" x14ac:dyDescent="0.45">
      <c r="A19" t="s">
        <v>172</v>
      </c>
      <c r="B19" t="s">
        <v>152</v>
      </c>
      <c r="C19" s="34">
        <v>55.7</v>
      </c>
    </row>
    <row r="21" spans="1:4" x14ac:dyDescent="0.45">
      <c r="A21" t="s">
        <v>173</v>
      </c>
      <c r="B21" t="s">
        <v>147</v>
      </c>
      <c r="C21" s="34">
        <v>63.63</v>
      </c>
    </row>
    <row r="22" spans="1:4" x14ac:dyDescent="0.45">
      <c r="A22" t="s">
        <v>174</v>
      </c>
      <c r="B22" t="s">
        <v>148</v>
      </c>
      <c r="C22" s="34">
        <v>82.72</v>
      </c>
    </row>
    <row r="23" spans="1:4" x14ac:dyDescent="0.45">
      <c r="A23" t="s">
        <v>175</v>
      </c>
      <c r="B23" t="s">
        <v>149</v>
      </c>
      <c r="C23" s="34">
        <v>108.17</v>
      </c>
    </row>
    <row r="24" spans="1:4" x14ac:dyDescent="0.45">
      <c r="A24" t="s">
        <v>176</v>
      </c>
      <c r="B24" t="s">
        <v>151</v>
      </c>
      <c r="C24" s="34">
        <v>63.63</v>
      </c>
    </row>
    <row r="26" spans="1:4" x14ac:dyDescent="0.45">
      <c r="A26" t="s">
        <v>177</v>
      </c>
      <c r="B26" t="s">
        <v>155</v>
      </c>
      <c r="C26" s="34">
        <v>58</v>
      </c>
      <c r="D26">
        <v>5874</v>
      </c>
    </row>
    <row r="27" spans="1:4" x14ac:dyDescent="0.45">
      <c r="A27" t="s">
        <v>178</v>
      </c>
      <c r="B27" t="s">
        <v>156</v>
      </c>
      <c r="C27" s="34">
        <v>1</v>
      </c>
      <c r="D27">
        <v>5874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D50BF-0A44-4943-B336-AF258511914B}">
  <sheetPr codeName="Sheet10"/>
  <dimension ref="A1:L10"/>
  <sheetViews>
    <sheetView workbookViewId="0">
      <selection activeCell="I27" sqref="I27"/>
    </sheetView>
  </sheetViews>
  <sheetFormatPr defaultRowHeight="14.25" x14ac:dyDescent="0.45"/>
  <sheetData>
    <row r="1" spans="1:12" s="14" customFormat="1" x14ac:dyDescent="0.45">
      <c r="A1" s="25" t="s">
        <v>47</v>
      </c>
      <c r="B1" s="25" t="s">
        <v>85</v>
      </c>
      <c r="C1" s="26">
        <v>26</v>
      </c>
      <c r="D1" s="26">
        <f t="shared" ref="D1:D10" si="0">C1*1.5</f>
        <v>39</v>
      </c>
      <c r="E1" s="26">
        <f t="shared" ref="E1:E10" si="1">C1*2</f>
        <v>52</v>
      </c>
      <c r="F1" s="16">
        <f>EmpTbl!$P$1+EmpTbl!$R$1+(EmpTbl!$T$1/40/52)+(C1*EmpTbl!$V$1)+(C1*L1)</f>
        <v>15.113634615384616</v>
      </c>
      <c r="G1" s="16">
        <f>(D1*EmpTbl!$V$1)</f>
        <v>2.34</v>
      </c>
      <c r="H1" s="16">
        <f>(E1*EmpTbl!$V$1)</f>
        <v>3.12</v>
      </c>
      <c r="I1" s="26">
        <f t="shared" ref="I1:I10" si="2">C1+F1</f>
        <v>41.113634615384612</v>
      </c>
      <c r="J1" s="26">
        <f t="shared" ref="J1:J10" si="3">D1+G1</f>
        <v>41.34</v>
      </c>
      <c r="K1" s="26">
        <f t="shared" ref="K1:K10" si="4">E1+H1</f>
        <v>55.12</v>
      </c>
      <c r="L1" s="31">
        <v>3.5000000000000003E-2</v>
      </c>
    </row>
    <row r="2" spans="1:12" s="14" customFormat="1" x14ac:dyDescent="0.45">
      <c r="A2" s="25" t="s">
        <v>41</v>
      </c>
      <c r="B2" s="25" t="s">
        <v>86</v>
      </c>
      <c r="C2" s="26">
        <v>30</v>
      </c>
      <c r="D2" s="26">
        <f t="shared" si="0"/>
        <v>45</v>
      </c>
      <c r="E2" s="26">
        <f t="shared" si="1"/>
        <v>60</v>
      </c>
      <c r="F2" s="16">
        <f>EmpTbl!$P$1+EmpTbl!$R$1+(EmpTbl!$T$1/40/52)+(C2*EmpTbl!$V$1)+(C2*L2)</f>
        <v>15.493634615384615</v>
      </c>
      <c r="G2" s="16">
        <f>(D2*EmpTbl!$V$1)</f>
        <v>2.6999999999999997</v>
      </c>
      <c r="H2" s="16">
        <f>(E2*EmpTbl!$V$1)</f>
        <v>3.5999999999999996</v>
      </c>
      <c r="I2" s="26">
        <f t="shared" si="2"/>
        <v>45.493634615384615</v>
      </c>
      <c r="J2" s="26">
        <f t="shared" si="3"/>
        <v>47.7</v>
      </c>
      <c r="K2" s="26">
        <f t="shared" si="4"/>
        <v>63.6</v>
      </c>
      <c r="L2" s="31">
        <v>3.5000000000000003E-2</v>
      </c>
    </row>
    <row r="3" spans="1:12" s="14" customFormat="1" x14ac:dyDescent="0.45">
      <c r="A3" s="25" t="s">
        <v>40</v>
      </c>
      <c r="B3" s="25" t="s">
        <v>87</v>
      </c>
      <c r="C3" s="26">
        <v>26.5</v>
      </c>
      <c r="D3" s="26">
        <f t="shared" si="0"/>
        <v>39.75</v>
      </c>
      <c r="E3" s="26">
        <f t="shared" si="1"/>
        <v>53</v>
      </c>
      <c r="F3" s="16">
        <f>EmpTbl!$P$1+EmpTbl!$R$1+(EmpTbl!$T$1/40/52)+(C3*EmpTbl!$V$1)+(C3*L3)</f>
        <v>15.161134615384615</v>
      </c>
      <c r="G3" s="16">
        <f>(D3*EmpTbl!$V$1)</f>
        <v>2.3849999999999998</v>
      </c>
      <c r="H3" s="16">
        <f>(E3*EmpTbl!$V$1)</f>
        <v>3.1799999999999997</v>
      </c>
      <c r="I3" s="26">
        <f t="shared" si="2"/>
        <v>41.661134615384611</v>
      </c>
      <c r="J3" s="26">
        <f t="shared" si="3"/>
        <v>42.134999999999998</v>
      </c>
      <c r="K3" s="26">
        <f t="shared" si="4"/>
        <v>56.18</v>
      </c>
      <c r="L3" s="31">
        <v>3.5000000000000003E-2</v>
      </c>
    </row>
    <row r="4" spans="1:12" s="14" customFormat="1" x14ac:dyDescent="0.45">
      <c r="A4" s="25" t="s">
        <v>44</v>
      </c>
      <c r="B4" s="25" t="s">
        <v>88</v>
      </c>
      <c r="C4" s="26">
        <v>25</v>
      </c>
      <c r="D4" s="26">
        <f t="shared" si="0"/>
        <v>37.5</v>
      </c>
      <c r="E4" s="26">
        <f t="shared" si="1"/>
        <v>50</v>
      </c>
      <c r="F4" s="16">
        <f>EmpTbl!$P$1+EmpTbl!$R$1+(EmpTbl!$T$1/40/52)+(C4*EmpTbl!$V$1)+(C4*L4)</f>
        <v>15.018634615384615</v>
      </c>
      <c r="G4" s="16">
        <f>(D4*EmpTbl!$V$1)</f>
        <v>2.25</v>
      </c>
      <c r="H4" s="16">
        <f>(E4*EmpTbl!$V$1)</f>
        <v>3</v>
      </c>
      <c r="I4" s="26">
        <f t="shared" si="2"/>
        <v>40.018634615384613</v>
      </c>
      <c r="J4" s="26">
        <f t="shared" si="3"/>
        <v>39.75</v>
      </c>
      <c r="K4" s="26">
        <f t="shared" si="4"/>
        <v>53</v>
      </c>
      <c r="L4" s="31">
        <v>3.5000000000000003E-2</v>
      </c>
    </row>
    <row r="5" spans="1:12" s="14" customFormat="1" x14ac:dyDescent="0.45">
      <c r="A5" s="25" t="s">
        <v>45</v>
      </c>
      <c r="B5" s="25" t="s">
        <v>89</v>
      </c>
      <c r="C5" s="26">
        <v>27</v>
      </c>
      <c r="D5" s="26">
        <f t="shared" si="0"/>
        <v>40.5</v>
      </c>
      <c r="E5" s="26">
        <f t="shared" si="1"/>
        <v>54</v>
      </c>
      <c r="F5" s="16">
        <f>EmpTbl!$P$1+EmpTbl!$R$1+(EmpTbl!$T$1/40/52)+(C5*EmpTbl!$V$1)+(C5*L5)</f>
        <v>14.263634615384614</v>
      </c>
      <c r="G5" s="16">
        <f>(D5*EmpTbl!$V$1)</f>
        <v>2.4299999999999997</v>
      </c>
      <c r="H5" s="16">
        <f>(E5*EmpTbl!$V$1)</f>
        <v>3.2399999999999998</v>
      </c>
      <c r="I5" s="26">
        <f t="shared" si="2"/>
        <v>41.263634615384618</v>
      </c>
      <c r="J5" s="26">
        <f t="shared" si="3"/>
        <v>42.93</v>
      </c>
      <c r="K5" s="26">
        <f t="shared" si="4"/>
        <v>57.24</v>
      </c>
      <c r="L5" s="31">
        <v>0</v>
      </c>
    </row>
    <row r="6" spans="1:12" s="14" customFormat="1" x14ac:dyDescent="0.45">
      <c r="A6" s="25" t="s">
        <v>59</v>
      </c>
      <c r="B6" s="25" t="s">
        <v>84</v>
      </c>
      <c r="C6" s="26">
        <v>21</v>
      </c>
      <c r="D6" s="26">
        <f t="shared" si="0"/>
        <v>31.5</v>
      </c>
      <c r="E6" s="26">
        <f t="shared" si="1"/>
        <v>42</v>
      </c>
      <c r="F6" s="16">
        <f>EmpTbl!$P$1+EmpTbl!$R$1+(EmpTbl!$T$1/40/52)+(C6*EmpTbl!$V$1)+(C6*L6)</f>
        <v>13.903634615384615</v>
      </c>
      <c r="G6" s="16">
        <f>(D6*EmpTbl!$V$1)</f>
        <v>1.89</v>
      </c>
      <c r="H6" s="16">
        <f>(E6*EmpTbl!$V$1)</f>
        <v>2.52</v>
      </c>
      <c r="I6" s="26">
        <f t="shared" si="2"/>
        <v>34.903634615384618</v>
      </c>
      <c r="J6" s="26">
        <f t="shared" si="3"/>
        <v>33.39</v>
      </c>
      <c r="K6" s="26">
        <f t="shared" si="4"/>
        <v>44.52</v>
      </c>
      <c r="L6" s="31">
        <v>0</v>
      </c>
    </row>
    <row r="7" spans="1:12" s="14" customFormat="1" x14ac:dyDescent="0.45">
      <c r="A7" s="25" t="s">
        <v>57</v>
      </c>
      <c r="B7" s="25" t="s">
        <v>83</v>
      </c>
      <c r="C7" s="26">
        <v>22.85</v>
      </c>
      <c r="D7" s="26">
        <f t="shared" si="0"/>
        <v>34.275000000000006</v>
      </c>
      <c r="E7" s="26">
        <f t="shared" si="1"/>
        <v>45.7</v>
      </c>
      <c r="F7" s="16">
        <f>EmpTbl!$P$1+EmpTbl!$R$1+(EmpTbl!$T$1/40/52)+(C7*EmpTbl!$V$1)+(C7*L7)</f>
        <v>14.014634615384615</v>
      </c>
      <c r="G7" s="16">
        <f>(D7*EmpTbl!$V$1)</f>
        <v>2.0565000000000002</v>
      </c>
      <c r="H7" s="16">
        <f>(E7*EmpTbl!$V$1)</f>
        <v>2.742</v>
      </c>
      <c r="I7" s="26">
        <f t="shared" si="2"/>
        <v>36.864634615384617</v>
      </c>
      <c r="J7" s="26">
        <f t="shared" si="3"/>
        <v>36.331500000000005</v>
      </c>
      <c r="K7" s="26">
        <f t="shared" si="4"/>
        <v>48.442</v>
      </c>
      <c r="L7" s="31">
        <v>0</v>
      </c>
    </row>
    <row r="8" spans="1:12" s="14" customFormat="1" x14ac:dyDescent="0.45">
      <c r="A8" s="25" t="s">
        <v>77</v>
      </c>
      <c r="B8" s="25" t="s">
        <v>81</v>
      </c>
      <c r="C8" s="26">
        <v>22</v>
      </c>
      <c r="D8" s="26">
        <f t="shared" si="0"/>
        <v>33</v>
      </c>
      <c r="E8" s="26">
        <f t="shared" si="1"/>
        <v>44</v>
      </c>
      <c r="F8" s="16">
        <f>EmpTbl!$P$1+EmpTbl!$R$1+(EmpTbl!$T$1/40/52)+(C8*EmpTbl!$V$1)+(C8*L8)</f>
        <v>13.963634615384615</v>
      </c>
      <c r="G8" s="16">
        <f>(D8*EmpTbl!$V$1)</f>
        <v>1.98</v>
      </c>
      <c r="H8" s="16">
        <f>(E8*EmpTbl!$V$1)</f>
        <v>2.6399999999999997</v>
      </c>
      <c r="I8" s="26">
        <f t="shared" si="2"/>
        <v>35.963634615384613</v>
      </c>
      <c r="J8" s="26">
        <f t="shared" si="3"/>
        <v>34.979999999999997</v>
      </c>
      <c r="K8" s="26">
        <f t="shared" si="4"/>
        <v>46.64</v>
      </c>
      <c r="L8" s="31">
        <v>0</v>
      </c>
    </row>
    <row r="9" spans="1:12" s="14" customFormat="1" x14ac:dyDescent="0.45">
      <c r="A9" s="25" t="s">
        <v>79</v>
      </c>
      <c r="B9" s="25" t="s">
        <v>82</v>
      </c>
      <c r="C9" s="26">
        <v>22</v>
      </c>
      <c r="D9" s="26">
        <f t="shared" si="0"/>
        <v>33</v>
      </c>
      <c r="E9" s="26">
        <f t="shared" si="1"/>
        <v>44</v>
      </c>
      <c r="F9" s="16">
        <f>EmpTbl!$P$1+EmpTbl!$R$1+(EmpTbl!$T$1/40/52)+(C9*EmpTbl!$V$1)+(C9*L9)</f>
        <v>13.963634615384615</v>
      </c>
      <c r="G9" s="16">
        <f>(D9*EmpTbl!$V$1)</f>
        <v>1.98</v>
      </c>
      <c r="H9" s="16">
        <f>(E9*EmpTbl!$V$1)</f>
        <v>2.6399999999999997</v>
      </c>
      <c r="I9" s="26">
        <f t="shared" si="2"/>
        <v>35.963634615384613</v>
      </c>
      <c r="J9" s="26">
        <f t="shared" si="3"/>
        <v>34.979999999999997</v>
      </c>
      <c r="K9" s="26">
        <f t="shared" si="4"/>
        <v>46.64</v>
      </c>
      <c r="L9" s="31">
        <v>0</v>
      </c>
    </row>
    <row r="10" spans="1:12" s="14" customFormat="1" x14ac:dyDescent="0.45">
      <c r="A10" s="25" t="s">
        <v>69</v>
      </c>
      <c r="B10" s="25" t="s">
        <v>68</v>
      </c>
      <c r="C10" s="26">
        <v>21</v>
      </c>
      <c r="D10" s="26">
        <f t="shared" si="0"/>
        <v>31.5</v>
      </c>
      <c r="E10" s="26">
        <f t="shared" si="1"/>
        <v>42</v>
      </c>
      <c r="F10" s="16">
        <f>EmpTbl!$P$1+EmpTbl!$R$1+(EmpTbl!$T$1/40/52)+(C10*EmpTbl!$V$1)+(C10*L10)</f>
        <v>13.903634615384615</v>
      </c>
      <c r="G10" s="16">
        <f>(D10*EmpTbl!$V$1)</f>
        <v>1.89</v>
      </c>
      <c r="H10" s="16">
        <f>(E10*EmpTbl!$V$1)</f>
        <v>2.52</v>
      </c>
      <c r="I10" s="26">
        <f t="shared" si="2"/>
        <v>34.903634615384618</v>
      </c>
      <c r="J10" s="26">
        <f t="shared" si="3"/>
        <v>33.39</v>
      </c>
      <c r="K10" s="26">
        <f t="shared" si="4"/>
        <v>44.52</v>
      </c>
      <c r="L10" s="31">
        <v>0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A4A30-52C4-4BE0-829A-91F0A362957D}">
  <sheetPr codeName="Sheet11"/>
  <dimension ref="A1:T32"/>
  <sheetViews>
    <sheetView workbookViewId="0">
      <selection activeCell="U6" sqref="U6"/>
    </sheetView>
  </sheetViews>
  <sheetFormatPr defaultRowHeight="14.25" x14ac:dyDescent="0.45"/>
  <cols>
    <col min="18" max="18" width="15.1328125" bestFit="1" customWidth="1"/>
    <col min="19" max="19" width="23.73046875" bestFit="1" customWidth="1"/>
    <col min="20" max="20" width="57.73046875" bestFit="1" customWidth="1"/>
  </cols>
  <sheetData>
    <row r="1" spans="1:20" x14ac:dyDescent="0.45">
      <c r="A1" t="s">
        <v>96</v>
      </c>
    </row>
    <row r="2" spans="1:20" x14ac:dyDescent="0.45">
      <c r="A2" t="s">
        <v>97</v>
      </c>
    </row>
    <row r="3" spans="1:20" x14ac:dyDescent="0.45">
      <c r="A3" t="s">
        <v>98</v>
      </c>
    </row>
    <row r="4" spans="1:20" x14ac:dyDescent="0.45">
      <c r="A4" t="s">
        <v>99</v>
      </c>
    </row>
    <row r="5" spans="1:20" x14ac:dyDescent="0.45">
      <c r="A5" t="s">
        <v>100</v>
      </c>
    </row>
    <row r="6" spans="1:20" x14ac:dyDescent="0.45">
      <c r="A6" t="s">
        <v>131</v>
      </c>
      <c r="R6" t="s">
        <v>130</v>
      </c>
    </row>
    <row r="7" spans="1:20" x14ac:dyDescent="0.45">
      <c r="A7" t="s">
        <v>132</v>
      </c>
      <c r="R7" t="s">
        <v>101</v>
      </c>
      <c r="S7" t="s">
        <v>102</v>
      </c>
      <c r="T7" t="s">
        <v>103</v>
      </c>
    </row>
    <row r="8" spans="1:20" x14ac:dyDescent="0.45">
      <c r="A8" t="s">
        <v>133</v>
      </c>
      <c r="R8" t="s">
        <v>104</v>
      </c>
      <c r="S8" t="s">
        <v>105</v>
      </c>
      <c r="T8" t="s">
        <v>106</v>
      </c>
    </row>
    <row r="9" spans="1:20" x14ac:dyDescent="0.45">
      <c r="A9" t="s">
        <v>134</v>
      </c>
      <c r="R9" t="s">
        <v>107</v>
      </c>
      <c r="S9" t="s">
        <v>108</v>
      </c>
    </row>
    <row r="10" spans="1:20" x14ac:dyDescent="0.45">
      <c r="R10" t="s">
        <v>109</v>
      </c>
      <c r="S10" t="s">
        <v>108</v>
      </c>
      <c r="T10" t="s">
        <v>110</v>
      </c>
    </row>
    <row r="11" spans="1:20" x14ac:dyDescent="0.45">
      <c r="R11" t="s">
        <v>111</v>
      </c>
      <c r="S11" t="s">
        <v>112</v>
      </c>
      <c r="T11" t="s">
        <v>106</v>
      </c>
    </row>
    <row r="12" spans="1:20" x14ac:dyDescent="0.45">
      <c r="R12" t="s">
        <v>113</v>
      </c>
      <c r="S12" t="s">
        <v>114</v>
      </c>
      <c r="T12" t="s">
        <v>115</v>
      </c>
    </row>
    <row r="13" spans="1:20" x14ac:dyDescent="0.45">
      <c r="R13" t="s">
        <v>116</v>
      </c>
      <c r="S13" t="s">
        <v>108</v>
      </c>
      <c r="T13" t="s">
        <v>117</v>
      </c>
    </row>
    <row r="14" spans="1:20" x14ac:dyDescent="0.45">
      <c r="R14" t="s">
        <v>118</v>
      </c>
      <c r="S14" t="s">
        <v>119</v>
      </c>
    </row>
    <row r="15" spans="1:20" x14ac:dyDescent="0.45">
      <c r="R15" t="s">
        <v>120</v>
      </c>
      <c r="S15" t="s">
        <v>119</v>
      </c>
      <c r="T15" t="s">
        <v>106</v>
      </c>
    </row>
    <row r="16" spans="1:20" x14ac:dyDescent="0.45">
      <c r="R16" t="s">
        <v>121</v>
      </c>
      <c r="S16" t="s">
        <v>122</v>
      </c>
    </row>
    <row r="19" spans="18:20" x14ac:dyDescent="0.45">
      <c r="R19" t="s">
        <v>123</v>
      </c>
    </row>
    <row r="20" spans="18:20" x14ac:dyDescent="0.45">
      <c r="R20" t="s">
        <v>101</v>
      </c>
      <c r="S20" t="s">
        <v>102</v>
      </c>
      <c r="T20" t="s">
        <v>103</v>
      </c>
    </row>
    <row r="21" spans="18:20" x14ac:dyDescent="0.45">
      <c r="R21" t="s">
        <v>124</v>
      </c>
      <c r="S21" t="s">
        <v>125</v>
      </c>
      <c r="T21" t="s">
        <v>106</v>
      </c>
    </row>
    <row r="22" spans="18:20" x14ac:dyDescent="0.45">
      <c r="R22" t="s">
        <v>126</v>
      </c>
      <c r="S22" t="s">
        <v>127</v>
      </c>
    </row>
    <row r="23" spans="18:20" x14ac:dyDescent="0.45">
      <c r="R23" t="s">
        <v>128</v>
      </c>
      <c r="S23" t="s">
        <v>127</v>
      </c>
    </row>
    <row r="24" spans="18:20" x14ac:dyDescent="0.45">
      <c r="R24" t="s">
        <v>33</v>
      </c>
      <c r="S24" t="s">
        <v>119</v>
      </c>
    </row>
    <row r="25" spans="18:20" x14ac:dyDescent="0.45">
      <c r="R25" t="s">
        <v>121</v>
      </c>
      <c r="S25" t="s">
        <v>129</v>
      </c>
    </row>
    <row r="28" spans="18:20" x14ac:dyDescent="0.45">
      <c r="R28" t="s">
        <v>191</v>
      </c>
    </row>
    <row r="29" spans="18:20" x14ac:dyDescent="0.45">
      <c r="R29" t="s">
        <v>192</v>
      </c>
    </row>
    <row r="30" spans="18:20" x14ac:dyDescent="0.45">
      <c r="R30" t="s">
        <v>193</v>
      </c>
    </row>
    <row r="31" spans="18:20" x14ac:dyDescent="0.45">
      <c r="R31" t="s">
        <v>194</v>
      </c>
    </row>
    <row r="32" spans="18:20" x14ac:dyDescent="0.45">
      <c r="R32" s="57" t="s">
        <v>195</v>
      </c>
    </row>
  </sheetData>
  <pageMargins left="0.7" right="0.7" top="0.75" bottom="0.75" header="0.3" footer="0.3"/>
  <pageSetup orientation="portrait" horizontalDpi="4294967293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539EC-D186-4E0D-814D-14FBA843609B}">
  <sheetPr codeName="Sheet12"/>
  <dimension ref="A1:AW121"/>
  <sheetViews>
    <sheetView topLeftCell="T65" workbookViewId="0">
      <selection activeCell="V1" sqref="V1:V119"/>
    </sheetView>
  </sheetViews>
  <sheetFormatPr defaultRowHeight="14.25" x14ac:dyDescent="0.45"/>
  <cols>
    <col min="1" max="1" width="10.3984375" style="37" bestFit="1" customWidth="1"/>
    <col min="3" max="3" width="20.1328125" bestFit="1" customWidth="1"/>
    <col min="20" max="22" width="9.1328125" customWidth="1"/>
    <col min="36" max="36" width="23.3984375" bestFit="1" customWidth="1"/>
    <col min="37" max="37" width="27.3984375" bestFit="1" customWidth="1"/>
    <col min="38" max="38" width="13.1328125" bestFit="1" customWidth="1"/>
    <col min="39" max="39" width="13.59765625" bestFit="1" customWidth="1"/>
    <col min="40" max="40" width="16.265625" bestFit="1" customWidth="1"/>
    <col min="41" max="41" width="12.1328125" bestFit="1" customWidth="1"/>
    <col min="42" max="42" width="14" bestFit="1" customWidth="1"/>
    <col min="43" max="43" width="13.1328125" bestFit="1" customWidth="1"/>
    <col min="44" max="44" width="15" bestFit="1" customWidth="1"/>
    <col min="49" max="49" width="11.59765625" bestFit="1" customWidth="1"/>
  </cols>
  <sheetData>
    <row r="1" spans="1:49" x14ac:dyDescent="0.45">
      <c r="A1" s="60">
        <v>2501</v>
      </c>
      <c r="C1" t="s">
        <v>204</v>
      </c>
      <c r="D1" t="s">
        <v>232</v>
      </c>
      <c r="E1" t="s">
        <v>233</v>
      </c>
      <c r="F1" t="s">
        <v>234</v>
      </c>
      <c r="G1" t="s">
        <v>235</v>
      </c>
      <c r="H1" t="s">
        <v>232</v>
      </c>
      <c r="I1" t="s">
        <v>233</v>
      </c>
      <c r="J1" t="s">
        <v>234</v>
      </c>
      <c r="K1" t="s">
        <v>235</v>
      </c>
      <c r="L1" t="s">
        <v>236</v>
      </c>
      <c r="M1" t="s">
        <v>236</v>
      </c>
      <c r="N1" t="s">
        <v>11</v>
      </c>
      <c r="O1" t="s">
        <v>237</v>
      </c>
      <c r="V1" t="s">
        <v>96</v>
      </c>
      <c r="W1" t="s">
        <v>96</v>
      </c>
      <c r="AJ1" s="59" t="s">
        <v>200</v>
      </c>
      <c r="AK1" t="s">
        <v>201</v>
      </c>
      <c r="AL1" t="s">
        <v>202</v>
      </c>
    </row>
    <row r="2" spans="1:49" x14ac:dyDescent="0.45">
      <c r="A2" s="63">
        <v>45375</v>
      </c>
      <c r="B2" t="s">
        <v>91</v>
      </c>
      <c r="C2" t="s">
        <v>92</v>
      </c>
      <c r="D2">
        <v>40</v>
      </c>
      <c r="E2">
        <v>10</v>
      </c>
      <c r="F2">
        <v>0</v>
      </c>
      <c r="G2">
        <v>0</v>
      </c>
      <c r="H2">
        <v>63.63</v>
      </c>
      <c r="I2">
        <v>82.72</v>
      </c>
      <c r="J2">
        <v>108.17</v>
      </c>
      <c r="K2">
        <v>63.63</v>
      </c>
      <c r="M2">
        <v>58</v>
      </c>
      <c r="T2" t="s">
        <v>196</v>
      </c>
      <c r="U2" t="str">
        <f>CHAR(34) &amp; AK2 &amp; CHAR(34) &amp; ", " &amp; CHAR(34) &amp; AL2 &amp; CHAR(34)</f>
        <v>"31101", "1"</v>
      </c>
      <c r="V2" t="str">
        <f>_xlfn.TEXTJOIN(", ", FALSE,  AK2,  AL2)</f>
        <v>31101, 1</v>
      </c>
      <c r="W2" t="str">
        <f>_xlfn.TEXTJOIN(", ", FALSE, CHAR(34) &amp; AK2 &amp; CHAR(34), CHAR(34) &amp; AL2 &amp; CHAR(34))</f>
        <v>"31101", "1"</v>
      </c>
      <c r="AK2">
        <v>31101</v>
      </c>
      <c r="AL2">
        <v>1</v>
      </c>
    </row>
    <row r="3" spans="1:49" x14ac:dyDescent="0.45">
      <c r="A3" s="37">
        <v>45375</v>
      </c>
      <c r="B3" t="s">
        <v>55</v>
      </c>
      <c r="C3" t="s">
        <v>3</v>
      </c>
      <c r="D3">
        <v>40</v>
      </c>
      <c r="E3">
        <v>5.25</v>
      </c>
      <c r="F3">
        <v>0</v>
      </c>
      <c r="G3">
        <v>0</v>
      </c>
      <c r="H3">
        <v>63.63</v>
      </c>
      <c r="I3">
        <v>82.72</v>
      </c>
      <c r="J3">
        <v>108.17</v>
      </c>
      <c r="K3">
        <v>63.63</v>
      </c>
      <c r="L3">
        <v>0</v>
      </c>
      <c r="M3">
        <v>58</v>
      </c>
      <c r="V3" t="s">
        <v>98</v>
      </c>
      <c r="W3" t="s">
        <v>98</v>
      </c>
    </row>
    <row r="4" spans="1:49" x14ac:dyDescent="0.45">
      <c r="A4" s="37">
        <v>45375</v>
      </c>
      <c r="B4" t="s">
        <v>38</v>
      </c>
      <c r="C4" t="s">
        <v>39</v>
      </c>
      <c r="D4">
        <v>40</v>
      </c>
      <c r="E4">
        <v>13</v>
      </c>
      <c r="F4">
        <v>0</v>
      </c>
      <c r="G4">
        <v>0</v>
      </c>
      <c r="H4">
        <v>63.63</v>
      </c>
      <c r="I4">
        <v>82.72</v>
      </c>
      <c r="J4">
        <v>108.17</v>
      </c>
      <c r="K4">
        <v>63.63</v>
      </c>
      <c r="M4">
        <v>58</v>
      </c>
      <c r="AJ4" s="59" t="s">
        <v>203</v>
      </c>
      <c r="AK4" t="s">
        <v>204</v>
      </c>
      <c r="AL4" t="s">
        <v>205</v>
      </c>
      <c r="AM4" t="s">
        <v>207</v>
      </c>
      <c r="AN4" t="s">
        <v>208</v>
      </c>
      <c r="AO4" t="s">
        <v>210</v>
      </c>
      <c r="AP4" t="s">
        <v>211</v>
      </c>
      <c r="AQ4" t="s">
        <v>213</v>
      </c>
      <c r="AR4" t="s">
        <v>215</v>
      </c>
      <c r="AS4" t="s">
        <v>217</v>
      </c>
      <c r="AT4" t="s">
        <v>219</v>
      </c>
      <c r="AU4" t="s">
        <v>220</v>
      </c>
      <c r="AV4" t="s">
        <v>221</v>
      </c>
      <c r="AW4" t="s">
        <v>222</v>
      </c>
    </row>
    <row r="5" spans="1:49" x14ac:dyDescent="0.45">
      <c r="A5" s="37">
        <v>45375</v>
      </c>
      <c r="B5" t="s">
        <v>40</v>
      </c>
      <c r="C5" t="s">
        <v>2</v>
      </c>
      <c r="D5">
        <v>29</v>
      </c>
      <c r="E5">
        <v>0</v>
      </c>
      <c r="F5">
        <v>0</v>
      </c>
      <c r="G5">
        <v>9.5</v>
      </c>
      <c r="H5">
        <v>63.63</v>
      </c>
      <c r="I5">
        <v>82.72</v>
      </c>
      <c r="J5">
        <v>108.17</v>
      </c>
      <c r="K5">
        <v>63.63</v>
      </c>
      <c r="L5">
        <v>3</v>
      </c>
      <c r="M5">
        <v>58</v>
      </c>
      <c r="N5">
        <v>1</v>
      </c>
      <c r="O5">
        <v>47.37</v>
      </c>
      <c r="V5" t="s">
        <v>197</v>
      </c>
      <c r="W5" t="s">
        <v>197</v>
      </c>
      <c r="AK5" t="s">
        <v>206</v>
      </c>
      <c r="AL5">
        <v>0</v>
      </c>
      <c r="AN5" t="s">
        <v>209</v>
      </c>
      <c r="AP5" t="s">
        <v>212</v>
      </c>
      <c r="AQ5" t="s">
        <v>214</v>
      </c>
      <c r="AR5" t="s">
        <v>216</v>
      </c>
      <c r="AS5" t="s">
        <v>218</v>
      </c>
    </row>
    <row r="6" spans="1:49" x14ac:dyDescent="0.45">
      <c r="A6" s="37">
        <v>45375</v>
      </c>
      <c r="B6" t="s">
        <v>41</v>
      </c>
      <c r="C6" t="s">
        <v>21</v>
      </c>
      <c r="D6">
        <v>40</v>
      </c>
      <c r="E6">
        <v>5</v>
      </c>
      <c r="F6">
        <v>0</v>
      </c>
      <c r="G6">
        <v>0</v>
      </c>
      <c r="H6">
        <v>63.63</v>
      </c>
      <c r="I6">
        <v>82.72</v>
      </c>
      <c r="J6">
        <v>108.17</v>
      </c>
      <c r="K6">
        <v>63.63</v>
      </c>
      <c r="M6">
        <v>58</v>
      </c>
      <c r="T6" t="s">
        <v>199</v>
      </c>
      <c r="U6" t="str">
        <f>CHAR(34) &amp; AK5 &amp; CHAR(34) &amp; ", " &amp; CHAR(34) &amp; AM5 &amp; CHAR(34) &amp; ", " &amp; CHAR(34) &amp; AL5 &amp; CHAR(34) &amp; ", " &amp; CHAR(34) &amp; AN5 &amp; CHAR(34) &amp; ", " &amp; CHAR(34) &amp; AO5 &amp; CHAR(34) &amp; ", " &amp; CHAR(34) &amp; AP5 &amp; CHAR(34) &amp; ", " &amp; CHAR(34) &amp; AQ5 &amp; CHAR(34) &amp; ", " &amp; CHAR(34) &amp; AR5 &amp; CHAR(34) &amp; ", " &amp; CHAR(34) &amp; AS5 &amp; CHAR(34) &amp; ", " &amp; CHAR(34) &amp; AT5 &amp; CHAR(34) &amp; ", " &amp; CHAR(34) &amp; AU5 &amp; CHAR(34) &amp; ", " &amp; CHAR(34) &amp; AV5 &amp; CHAR(34) &amp; ", " &amp; CHAR(34) &amp; AW5 &amp; CHAR(34)</f>
        <v>"Centerline (Windsor) Limited", "", "0", "415 Morton Drive", "", "Windsor", "Ontario", "N9J 3T8", "Canada", "", "", "", ""</v>
      </c>
      <c r="V6" t="str">
        <f>_xlfn.TEXTJOIN(", ", FALSE, CHAR(34) &amp; AK5 &amp; CHAR(34), CHAR(34) &amp; AM5 &amp; CHAR(34), CHAR(34) &amp; AL5 &amp; CHAR(34), CHAR(34) &amp; AN5 &amp; CHAR(34), CHAR(34) &amp; AO5 &amp; CHAR(34), CHAR(34) &amp; AP5 &amp; CHAR(34), CHAR(34) &amp; AQ5 &amp; CHAR(34), CHAR(34) &amp; AR5 &amp; CHAR(34), CHAR(34) &amp; AS5 &amp; CHAR(34), CHAR(34) &amp; AT5 &amp; CHAR(34), CHAR(34) &amp; AU5 &amp; CHAR(34), CHAR(34) &amp; AV5 &amp; CHAR(34), CHAR(34) &amp; AW5 &amp; CHAR(34))</f>
        <v>"Centerline (Windsor) Limited", "", "0", "415 Morton Drive", "", "Windsor", "Ontario", "N9J 3T8", "Canada", "", "", "", ""</v>
      </c>
      <c r="W6" t="str">
        <f>_xlfn.TEXTJOIN(", ", FALSE, CHAR(34) &amp; AK5 &amp; CHAR(34), CHAR(34) &amp; AM5 &amp; CHAR(34), CHAR(34) &amp; AL5 &amp; CHAR(34), CHAR(34) &amp; AN5 &amp; CHAR(34), CHAR(34) &amp; AO5 &amp; CHAR(34), CHAR(34) &amp; AP5 &amp; CHAR(34), CHAR(34) &amp; AQ5 &amp; CHAR(34), CHAR(34) &amp; AR5 &amp; CHAR(34), CHAR(34) &amp; AS5 &amp; CHAR(34), CHAR(34) &amp; AT5 &amp; CHAR(34), CHAR(34) &amp; AU5 &amp; CHAR(34), CHAR(34) &amp; AV5 &amp; CHAR(34), CHAR(34) &amp; AW5 &amp; CHAR(34))</f>
        <v>"Centerline (Windsor) Limited", "", "0", "415 Morton Drive", "", "Windsor", "Ontario", "N9J 3T8", "Canada", "", "", "", ""</v>
      </c>
    </row>
    <row r="7" spans="1:49" x14ac:dyDescent="0.45">
      <c r="A7" s="37">
        <v>45375</v>
      </c>
      <c r="B7" t="s">
        <v>43</v>
      </c>
      <c r="C7" t="s">
        <v>42</v>
      </c>
      <c r="D7">
        <v>40</v>
      </c>
      <c r="E7">
        <v>10.75</v>
      </c>
      <c r="F7">
        <v>0</v>
      </c>
      <c r="G7">
        <v>0</v>
      </c>
      <c r="H7">
        <v>63.63</v>
      </c>
      <c r="I7">
        <v>82.72</v>
      </c>
      <c r="J7">
        <v>108.17</v>
      </c>
      <c r="K7">
        <v>63.63</v>
      </c>
      <c r="M7">
        <v>58</v>
      </c>
      <c r="T7" t="str">
        <f>CHAR(34) &amp; AK8 &amp; CHAR(34) &amp; ", " &amp; CHAR(34) &amp; AM8 &amp; CHAR(34) &amp; ", " &amp; CHAR(34) &amp; AL8 &amp; CHAR(34) &amp; ", " &amp; CHAR(34) &amp; AN8 &amp; CHAR(34) &amp; ", " &amp; CHAR(34) &amp; AO8 &amp; CHAR(34) &amp; ", " &amp; CHAR(34) &amp; AP8 &amp; CHAR(34) &amp; ", " &amp; CHAR(34) &amp; AQ8 &amp; CHAR(34) &amp; ", " &amp; CHAR(34) &amp; AR8 &amp; CHAR(34) &amp; ", " &amp; CHAR(34) &amp; AS8 &amp; CHAR(34) &amp; ", " &amp; CHAR(34) &amp; AT8 &amp; CHAR(34) &amp; ", " &amp; CHAR(34) &amp; AU8 &amp; CHAR(34) &amp; ", " &amp; CHAR(34) &amp; AV8 &amp; CHAR(34) &amp; ", " &amp; CHAR(34) &amp; AW8 &amp; CHAR(34)</f>
        <v>"111", "2501", "", "03/24/2024", "0", "", "41241.5275", "0", "HST", "1", "0", "13", "5361.43"</v>
      </c>
      <c r="V7" t="str">
        <f>_xlfn.TEXTJOIN(", ", FALSE, CHAR(34) &amp; AK8 &amp; CHAR(34), CHAR(34) &amp; AM8 &amp; CHAR(34), CHAR(34) &amp; AL8 &amp; CHAR(34), CHAR(34) &amp; AN8 &amp; CHAR(34), CHAR(34) &amp; AO8 &amp; CHAR(34), CHAR(34) &amp; AP8 &amp; CHAR(34), CHAR(34) &amp; AQ8 &amp; CHAR(34), CHAR(34) &amp; AR8 &amp; CHAR(34), CHAR(34) &amp; AS8 &amp; CHAR(34), CHAR(34) &amp; AT8 &amp; CHAR(34), CHAR(34) &amp; AU8 &amp; CHAR(34), CHAR(34) &amp; AV8 &amp; CHAR(34), CHAR(34) &amp; AW8 &amp; CHAR(34))</f>
        <v>"111", "2501", "", "03/24/2024", "0", "", "41241.5275", "0", "HST", "1", "0", "13", "5361.43"</v>
      </c>
      <c r="W7" t="str">
        <f>_xlfn.TEXTJOIN(", ", FALSE, CHAR(34) &amp; AK8 &amp; CHAR(34), CHAR(34) &amp; AM8 &amp; CHAR(34), CHAR(34) &amp; AL8 &amp; CHAR(34), CHAR(34) &amp; AN8 &amp; CHAR(34), CHAR(34) &amp; AO8 &amp; CHAR(34), CHAR(34) &amp; AP8 &amp; CHAR(34), CHAR(34) &amp; AQ8 &amp; CHAR(34), CHAR(34) &amp; AR8 &amp; CHAR(34), CHAR(34) &amp; AS8 &amp; CHAR(34), CHAR(34) &amp; AT8 &amp; CHAR(34), CHAR(34) &amp; AU8 &amp; CHAR(34), CHAR(34) &amp; AV8 &amp; CHAR(34), CHAR(34) &amp; AW8 &amp; CHAR(34))</f>
        <v>"111", "2501", "", "03/24/2024", "0", "", "41241.5275", "0", "HST", "1", "0", "13", "5361.43"</v>
      </c>
      <c r="AJ7" s="59" t="s">
        <v>223</v>
      </c>
      <c r="AK7" t="s">
        <v>104</v>
      </c>
      <c r="AL7" t="s">
        <v>107</v>
      </c>
      <c r="AM7" t="s">
        <v>109</v>
      </c>
      <c r="AN7" t="s">
        <v>111</v>
      </c>
      <c r="AO7" t="s">
        <v>113</v>
      </c>
      <c r="AP7" t="s">
        <v>116</v>
      </c>
      <c r="AQ7" t="s">
        <v>118</v>
      </c>
      <c r="AR7" t="s">
        <v>120</v>
      </c>
      <c r="AS7" t="s">
        <v>224</v>
      </c>
      <c r="AT7" t="s">
        <v>225</v>
      </c>
      <c r="AU7" t="s">
        <v>226</v>
      </c>
      <c r="AV7" t="s">
        <v>227</v>
      </c>
      <c r="AW7" t="s">
        <v>228</v>
      </c>
    </row>
    <row r="8" spans="1:49" x14ac:dyDescent="0.45">
      <c r="A8" s="37">
        <v>45375</v>
      </c>
      <c r="B8" t="s">
        <v>44</v>
      </c>
      <c r="C8" t="s">
        <v>37</v>
      </c>
      <c r="D8">
        <v>40</v>
      </c>
      <c r="E8">
        <v>0</v>
      </c>
      <c r="F8">
        <v>0</v>
      </c>
      <c r="G8">
        <v>9.5</v>
      </c>
      <c r="H8">
        <v>63.63</v>
      </c>
      <c r="I8">
        <v>82.72</v>
      </c>
      <c r="J8">
        <v>108.17</v>
      </c>
      <c r="K8">
        <v>63.63</v>
      </c>
      <c r="L8">
        <v>3</v>
      </c>
      <c r="M8">
        <v>58</v>
      </c>
      <c r="N8">
        <v>1</v>
      </c>
      <c r="O8">
        <v>47.83</v>
      </c>
      <c r="V8" t="str">
        <f>_xlfn.TEXTJOIN(", ", FALSE, AK11, CHAR(34) &amp; AM11 &amp; CHAR(34), CHAR(34) &amp; AL11 &amp; CHAR(34), CHAR(34) &amp; AN11 &amp; CHAR(34), CHAR(34) &amp; AO11 &amp; CHAR(34), CHAR(34) &amp; AP11 &amp; CHAR(34), CHAR(34) &amp; AQ11 &amp; CHAR(34), CHAR(34) &amp; AR11 &amp; CHAR(34), CHAR(34) &amp; AS11 &amp; CHAR(34))</f>
        <v>06, "0", "0", "0", "HST", "0", "0", "13", "0"</v>
      </c>
      <c r="W8" t="str">
        <f>_xlfn.TEXTJOIN(", ", FALSE, CHAR(34) &amp; AK11 &amp; CHAR(34), CHAR(34) &amp; AM11 &amp; CHAR(34), CHAR(34) &amp; AL11 &amp; CHAR(34), CHAR(34) &amp; AN11 &amp; CHAR(34), CHAR(34) &amp; AO11 &amp; CHAR(34), CHAR(34) &amp; AP11 &amp; CHAR(34), CHAR(34) &amp; AQ11 &amp; CHAR(34), CHAR(34) &amp; AR11 &amp; CHAR(34), CHAR(34) &amp; AS11 &amp; CHAR(34))</f>
        <v>"06", "0", "0", "0", "HST", "0", "0", "13", "0"</v>
      </c>
      <c r="AK8" s="61">
        <f>COUNTA(AK11:AK121)</f>
        <v>111</v>
      </c>
      <c r="AM8" s="62">
        <f>A1</f>
        <v>2501</v>
      </c>
      <c r="AN8" s="64" t="str">
        <f>TEXT(A2,"MM/DD/YYYY")</f>
        <v>03/24/2024</v>
      </c>
      <c r="AO8">
        <v>0</v>
      </c>
      <c r="AQ8" s="65">
        <f>SUM(AN11:AN121)</f>
        <v>41241.527500000004</v>
      </c>
      <c r="AR8">
        <v>0</v>
      </c>
      <c r="AS8" t="s">
        <v>229</v>
      </c>
      <c r="AT8">
        <v>1</v>
      </c>
      <c r="AU8">
        <v>0</v>
      </c>
      <c r="AV8" s="34">
        <v>13</v>
      </c>
      <c r="AW8" s="61">
        <f>SUM(AS11:AS121)</f>
        <v>5361.4299999999994</v>
      </c>
    </row>
    <row r="9" spans="1:49" x14ac:dyDescent="0.45">
      <c r="A9" s="37">
        <v>45375</v>
      </c>
      <c r="B9" t="s">
        <v>59</v>
      </c>
      <c r="C9" t="s">
        <v>58</v>
      </c>
      <c r="D9">
        <v>40</v>
      </c>
      <c r="E9">
        <v>8</v>
      </c>
      <c r="F9">
        <v>0</v>
      </c>
      <c r="G9">
        <v>0</v>
      </c>
      <c r="H9">
        <v>63.63</v>
      </c>
      <c r="I9">
        <v>82.72</v>
      </c>
      <c r="J9">
        <v>108.17</v>
      </c>
      <c r="K9">
        <v>63.63</v>
      </c>
      <c r="M9">
        <v>58</v>
      </c>
      <c r="V9" t="str">
        <f t="shared" ref="V9:V72" si="0">_xlfn.TEXTJOIN(", ", FALSE, AK12, CHAR(34) &amp; AM12 &amp; CHAR(34), CHAR(34) &amp; AL12 &amp; CHAR(34), CHAR(34) &amp; AN12 &amp; CHAR(34), CHAR(34) &amp; AO12 &amp; CHAR(34), CHAR(34) &amp; AP12 &amp; CHAR(34), CHAR(34) &amp; AQ12 &amp; CHAR(34), CHAR(34) &amp; AR12 &amp; CHAR(34), CHAR(34) &amp; AS12 &amp; CHAR(34))</f>
        <v>005-5-2022-001, "63.63", "40", "2545.2", "HST", "1", "0", "13", "330.88"</v>
      </c>
      <c r="W9" t="str">
        <f t="shared" ref="W9:W72" si="1">_xlfn.TEXTJOIN(", ", FALSE, CHAR(34) &amp; AK12 &amp; CHAR(34), CHAR(34) &amp; AM12 &amp; CHAR(34), CHAR(34) &amp; AL12 &amp; CHAR(34), CHAR(34) &amp; AN12 &amp; CHAR(34), CHAR(34) &amp; AO12 &amp; CHAR(34), CHAR(34) &amp; AP12 &amp; CHAR(34), CHAR(34) &amp; AQ12 &amp; CHAR(34), CHAR(34) &amp; AR12 &amp; CHAR(34), CHAR(34) &amp; AS12 &amp; CHAR(34))</f>
        <v>"005-5-2022-001", "63.63", "40", "2545.2", "HST", "1", "0", "13", "330.88"</v>
      </c>
    </row>
    <row r="10" spans="1:49" x14ac:dyDescent="0.45">
      <c r="A10" s="37">
        <v>45375</v>
      </c>
      <c r="B10" t="s">
        <v>77</v>
      </c>
      <c r="C10" t="s">
        <v>78</v>
      </c>
      <c r="D10">
        <v>27.75</v>
      </c>
      <c r="E10">
        <v>0</v>
      </c>
      <c r="F10">
        <v>0</v>
      </c>
      <c r="G10">
        <v>9.5</v>
      </c>
      <c r="H10">
        <v>63.63</v>
      </c>
      <c r="I10">
        <v>82.72</v>
      </c>
      <c r="J10">
        <v>108.17</v>
      </c>
      <c r="K10">
        <v>63.63</v>
      </c>
      <c r="L10">
        <v>3</v>
      </c>
      <c r="M10">
        <v>58</v>
      </c>
      <c r="N10">
        <v>1</v>
      </c>
      <c r="O10">
        <v>48.85</v>
      </c>
      <c r="V10" t="str">
        <f t="shared" si="0"/>
        <v>005-5-2022-002, "82.72", "5.25", "434.28", "HST", "1", "0", "13", "56.46"</v>
      </c>
      <c r="W10" t="str">
        <f t="shared" si="1"/>
        <v>"005-5-2022-002", "82.72", "5.25", "434.28", "HST", "1", "0", "13", "56.46"</v>
      </c>
      <c r="AJ10" s="59" t="s">
        <v>230</v>
      </c>
      <c r="AK10" t="s">
        <v>124</v>
      </c>
      <c r="AL10" t="s">
        <v>126</v>
      </c>
      <c r="AM10" t="s">
        <v>128</v>
      </c>
      <c r="AN10" t="s">
        <v>33</v>
      </c>
      <c r="AO10" t="s">
        <v>224</v>
      </c>
      <c r="AP10" t="s">
        <v>225</v>
      </c>
      <c r="AQ10" t="s">
        <v>226</v>
      </c>
      <c r="AR10" t="s">
        <v>227</v>
      </c>
      <c r="AS10" t="s">
        <v>228</v>
      </c>
    </row>
    <row r="11" spans="1:49" x14ac:dyDescent="0.45">
      <c r="A11" s="37">
        <v>45375</v>
      </c>
      <c r="B11" t="s">
        <v>66</v>
      </c>
      <c r="C11" t="s">
        <v>67</v>
      </c>
      <c r="D11">
        <v>40</v>
      </c>
      <c r="E11">
        <v>9.25</v>
      </c>
      <c r="F11">
        <v>0</v>
      </c>
      <c r="G11">
        <v>0</v>
      </c>
      <c r="H11">
        <v>63.63</v>
      </c>
      <c r="I11">
        <v>82.72</v>
      </c>
      <c r="J11">
        <v>108.17</v>
      </c>
      <c r="K11">
        <v>63.63</v>
      </c>
      <c r="M11">
        <v>58</v>
      </c>
      <c r="V11" t="str">
        <f t="shared" si="0"/>
        <v>005-5-2022-003, "108.17", "0", "0", "HST", "1", "0", "13", "0"</v>
      </c>
      <c r="W11" t="str">
        <f t="shared" si="1"/>
        <v>"005-5-2022-003", "108.17", "0", "0", "HST", "1", "0", "13", "0"</v>
      </c>
      <c r="AJ11" t="s">
        <v>231</v>
      </c>
      <c r="AK11" t="str">
        <f>TEXT(6,"00")</f>
        <v>06</v>
      </c>
      <c r="AL11">
        <v>0</v>
      </c>
      <c r="AM11">
        <v>0</v>
      </c>
      <c r="AN11">
        <v>0</v>
      </c>
      <c r="AO11" t="s">
        <v>229</v>
      </c>
      <c r="AP11">
        <v>0</v>
      </c>
      <c r="AQ11">
        <v>0</v>
      </c>
      <c r="AR11" s="34">
        <v>13</v>
      </c>
      <c r="AS11" s="61">
        <f t="shared" ref="AS11:AS42" si="2">ROUND(AN11*(AR11/100), 2)</f>
        <v>0</v>
      </c>
    </row>
    <row r="12" spans="1:49" x14ac:dyDescent="0.45">
      <c r="A12" s="37">
        <v>45375</v>
      </c>
      <c r="B12" t="s">
        <v>90</v>
      </c>
      <c r="C12" t="s">
        <v>94</v>
      </c>
      <c r="D12">
        <v>40</v>
      </c>
      <c r="E12">
        <v>8</v>
      </c>
      <c r="F12">
        <v>0</v>
      </c>
      <c r="G12">
        <v>0</v>
      </c>
      <c r="H12">
        <v>48.21</v>
      </c>
      <c r="I12">
        <v>62.67</v>
      </c>
      <c r="J12">
        <v>81.95</v>
      </c>
      <c r="K12">
        <v>48.21</v>
      </c>
      <c r="M12">
        <v>58</v>
      </c>
      <c r="V12" t="str">
        <f t="shared" si="0"/>
        <v>005-5-2022-100, "63.63", "0", "0", "HST", "1", "0", "13", "0"</v>
      </c>
      <c r="W12" t="str">
        <f t="shared" si="1"/>
        <v>"005-5-2022-100", "63.63", "0", "0", "HST", "1", "0", "13", "0"</v>
      </c>
      <c r="AK12" t="s">
        <v>173</v>
      </c>
      <c r="AL12" s="61">
        <f>D3</f>
        <v>40</v>
      </c>
      <c r="AM12" s="61">
        <f>H3</f>
        <v>63.63</v>
      </c>
      <c r="AN12" s="34">
        <f t="shared" ref="AN12:AN17" si="3">AL12*AM12</f>
        <v>2545.2000000000003</v>
      </c>
      <c r="AO12" t="s">
        <v>229</v>
      </c>
      <c r="AP12">
        <v>1</v>
      </c>
      <c r="AQ12">
        <v>0</v>
      </c>
      <c r="AR12" s="34">
        <v>13</v>
      </c>
      <c r="AS12" s="61">
        <f t="shared" si="2"/>
        <v>330.88</v>
      </c>
    </row>
    <row r="13" spans="1:49" x14ac:dyDescent="0.45">
      <c r="A13" s="37">
        <v>45375</v>
      </c>
      <c r="B13" t="s">
        <v>90</v>
      </c>
      <c r="C13" t="s">
        <v>190</v>
      </c>
      <c r="D13">
        <v>40</v>
      </c>
      <c r="E13">
        <v>15.25</v>
      </c>
      <c r="F13">
        <v>0</v>
      </c>
      <c r="G13">
        <v>0</v>
      </c>
      <c r="H13">
        <v>40.71</v>
      </c>
      <c r="I13">
        <v>52.92</v>
      </c>
      <c r="J13">
        <v>69.2</v>
      </c>
      <c r="K13">
        <v>40.71</v>
      </c>
      <c r="M13">
        <v>58</v>
      </c>
      <c r="V13" t="str">
        <f t="shared" si="0"/>
        <v>005-0-2022-101, "58", "0", "0", "HST", "1", "0", "13", "0"</v>
      </c>
      <c r="W13" t="str">
        <f t="shared" si="1"/>
        <v>"005-0-2022-101", "58", "0", "0", "HST", "1", "0", "13", "0"</v>
      </c>
      <c r="AK13" t="s">
        <v>174</v>
      </c>
      <c r="AL13" s="61">
        <f>E3</f>
        <v>5.25</v>
      </c>
      <c r="AM13" s="61">
        <f>I3</f>
        <v>82.72</v>
      </c>
      <c r="AN13" s="34">
        <f t="shared" si="3"/>
        <v>434.28</v>
      </c>
      <c r="AO13" t="s">
        <v>229</v>
      </c>
      <c r="AP13">
        <v>1</v>
      </c>
      <c r="AQ13">
        <v>0</v>
      </c>
      <c r="AR13" s="34">
        <v>13</v>
      </c>
      <c r="AS13" s="61">
        <f t="shared" si="2"/>
        <v>56.46</v>
      </c>
    </row>
    <row r="14" spans="1:49" x14ac:dyDescent="0.45">
      <c r="A14" s="37">
        <v>45375</v>
      </c>
      <c r="B14" t="s">
        <v>185</v>
      </c>
      <c r="C14" t="s">
        <v>188</v>
      </c>
      <c r="D14">
        <v>40</v>
      </c>
      <c r="E14">
        <v>14.25</v>
      </c>
      <c r="F14">
        <v>0</v>
      </c>
      <c r="G14">
        <v>0</v>
      </c>
      <c r="H14">
        <v>40.71</v>
      </c>
      <c r="I14">
        <v>52.92</v>
      </c>
      <c r="J14">
        <v>69.2</v>
      </c>
      <c r="K14">
        <v>40.71</v>
      </c>
      <c r="M14">
        <v>58</v>
      </c>
      <c r="V14" t="str">
        <f t="shared" si="0"/>
        <v>005-0-2022-102, "0", "0", "0", "HST", "1", "0", "13", "0"</v>
      </c>
      <c r="W14" t="str">
        <f t="shared" si="1"/>
        <v>"005-0-2022-102", "0", "0", "0", "HST", "1", "0", "13", "0"</v>
      </c>
      <c r="AK14" t="s">
        <v>175</v>
      </c>
      <c r="AL14" s="61">
        <f>F3</f>
        <v>0</v>
      </c>
      <c r="AM14" s="61">
        <f>J3</f>
        <v>108.17</v>
      </c>
      <c r="AN14" s="34">
        <f t="shared" si="3"/>
        <v>0</v>
      </c>
      <c r="AO14" t="s">
        <v>229</v>
      </c>
      <c r="AP14">
        <v>1</v>
      </c>
      <c r="AQ14">
        <v>0</v>
      </c>
      <c r="AR14" s="34">
        <v>13</v>
      </c>
      <c r="AS14" s="61">
        <f t="shared" si="2"/>
        <v>0</v>
      </c>
    </row>
    <row r="15" spans="1:49" x14ac:dyDescent="0.45">
      <c r="A15" s="37">
        <v>45375</v>
      </c>
      <c r="B15" t="s">
        <v>186</v>
      </c>
      <c r="C15" t="s">
        <v>189</v>
      </c>
      <c r="D15">
        <v>40</v>
      </c>
      <c r="E15">
        <v>16</v>
      </c>
      <c r="F15">
        <v>0</v>
      </c>
      <c r="G15">
        <v>0</v>
      </c>
      <c r="H15">
        <v>40.71</v>
      </c>
      <c r="I15">
        <v>52.92</v>
      </c>
      <c r="J15">
        <v>69.2</v>
      </c>
      <c r="K15">
        <v>40.71</v>
      </c>
      <c r="M15">
        <v>58</v>
      </c>
      <c r="V15" t="str">
        <f t="shared" si="0"/>
        <v>-1, "0", "0", "0", "HST", "0", "0", "13", "0"</v>
      </c>
      <c r="W15" t="str">
        <f t="shared" si="1"/>
        <v>"-1", "0", "0", "0", "HST", "0", "0", "13", "0"</v>
      </c>
      <c r="AK15" t="s">
        <v>176</v>
      </c>
      <c r="AL15" s="61">
        <f>G3</f>
        <v>0</v>
      </c>
      <c r="AM15" s="61">
        <f>K3</f>
        <v>63.63</v>
      </c>
      <c r="AN15" s="34">
        <f t="shared" si="3"/>
        <v>0</v>
      </c>
      <c r="AO15" t="s">
        <v>229</v>
      </c>
      <c r="AP15">
        <v>1</v>
      </c>
      <c r="AQ15">
        <v>0</v>
      </c>
      <c r="AR15" s="34">
        <v>13</v>
      </c>
      <c r="AS15" s="61">
        <f t="shared" si="2"/>
        <v>0</v>
      </c>
    </row>
    <row r="16" spans="1:49" x14ac:dyDescent="0.45">
      <c r="V16" t="str">
        <f t="shared" si="0"/>
        <v>17, "0", "0", "0", "HST", "0", "0", "13", "0"</v>
      </c>
      <c r="W16" t="str">
        <f t="shared" si="1"/>
        <v>"17", "0", "0", "0", "HST", "0", "0", "13", "0"</v>
      </c>
      <c r="AK16" t="s">
        <v>177</v>
      </c>
      <c r="AL16" s="61">
        <f>L3</f>
        <v>0</v>
      </c>
      <c r="AM16" s="61">
        <f>M3</f>
        <v>58</v>
      </c>
      <c r="AN16" s="34">
        <f t="shared" si="3"/>
        <v>0</v>
      </c>
      <c r="AO16" t="s">
        <v>229</v>
      </c>
      <c r="AP16">
        <v>1</v>
      </c>
      <c r="AQ16">
        <v>0</v>
      </c>
      <c r="AR16" s="34">
        <v>13</v>
      </c>
      <c r="AS16" s="61">
        <f t="shared" si="2"/>
        <v>0</v>
      </c>
    </row>
    <row r="17" spans="22:45" x14ac:dyDescent="0.45">
      <c r="V17" t="str">
        <f t="shared" si="0"/>
        <v>005-5-2022-001, "63.63", "40", "2545.2", "HST", "1", "0", "13", "330.88"</v>
      </c>
      <c r="W17" t="str">
        <f t="shared" si="1"/>
        <v>"005-5-2022-001", "63.63", "40", "2545.2", "HST", "1", "0", "13", "330.88"</v>
      </c>
      <c r="AK17" t="s">
        <v>178</v>
      </c>
      <c r="AL17" s="61">
        <f>N3</f>
        <v>0</v>
      </c>
      <c r="AM17" s="61">
        <f>O3</f>
        <v>0</v>
      </c>
      <c r="AN17" s="34">
        <f t="shared" si="3"/>
        <v>0</v>
      </c>
      <c r="AO17" t="s">
        <v>229</v>
      </c>
      <c r="AP17">
        <v>1</v>
      </c>
      <c r="AQ17">
        <v>0</v>
      </c>
      <c r="AR17" s="34">
        <v>13</v>
      </c>
      <c r="AS17" s="61">
        <f t="shared" si="2"/>
        <v>0</v>
      </c>
    </row>
    <row r="18" spans="22:45" x14ac:dyDescent="0.45">
      <c r="V18" t="str">
        <f t="shared" si="0"/>
        <v>005-5-2022-002, "82.72", "5", "413.6", "HST", "1", "0", "13", "53.77"</v>
      </c>
      <c r="W18" t="str">
        <f t="shared" si="1"/>
        <v>"005-5-2022-002", "82.72", "5", "413.6", "HST", "1", "0", "13", "53.77"</v>
      </c>
      <c r="AJ18" t="s">
        <v>251</v>
      </c>
      <c r="AK18" s="58">
        <v>-1</v>
      </c>
      <c r="AL18">
        <v>0</v>
      </c>
      <c r="AM18">
        <v>0</v>
      </c>
      <c r="AN18">
        <v>0</v>
      </c>
      <c r="AO18" t="s">
        <v>229</v>
      </c>
      <c r="AP18">
        <v>0</v>
      </c>
      <c r="AQ18">
        <v>0</v>
      </c>
      <c r="AR18" s="34">
        <v>13</v>
      </c>
      <c r="AS18" s="61">
        <f t="shared" si="2"/>
        <v>0</v>
      </c>
    </row>
    <row r="19" spans="22:45" x14ac:dyDescent="0.45">
      <c r="V19" t="str">
        <f t="shared" si="0"/>
        <v>005-5-2022-003, "108.17", "0", "0", "HST", "1", "0", "13", "0"</v>
      </c>
      <c r="W19" t="str">
        <f t="shared" si="1"/>
        <v>"005-5-2022-003", "108.17", "0", "0", "HST", "1", "0", "13", "0"</v>
      </c>
      <c r="AJ19" t="s">
        <v>238</v>
      </c>
      <c r="AK19" t="str">
        <f>TEXT(17,"00")</f>
        <v>17</v>
      </c>
      <c r="AL19">
        <v>0</v>
      </c>
      <c r="AM19">
        <v>0</v>
      </c>
      <c r="AN19">
        <v>0</v>
      </c>
      <c r="AO19" t="s">
        <v>229</v>
      </c>
      <c r="AP19">
        <v>0</v>
      </c>
      <c r="AQ19">
        <v>0</v>
      </c>
      <c r="AR19" s="34">
        <v>13</v>
      </c>
      <c r="AS19" s="61">
        <f t="shared" si="2"/>
        <v>0</v>
      </c>
    </row>
    <row r="20" spans="22:45" x14ac:dyDescent="0.45">
      <c r="V20" t="str">
        <f t="shared" si="0"/>
        <v>005-5-2022-100, "63.63", "0", "0", "HST", "1", "0", "13", "0"</v>
      </c>
      <c r="W20" t="str">
        <f t="shared" si="1"/>
        <v>"005-5-2022-100", "63.63", "0", "0", "HST", "1", "0", "13", "0"</v>
      </c>
      <c r="AK20" t="s">
        <v>173</v>
      </c>
      <c r="AL20" s="61">
        <f>D6</f>
        <v>40</v>
      </c>
      <c r="AM20" s="61">
        <f>H6</f>
        <v>63.63</v>
      </c>
      <c r="AN20" s="34">
        <f t="shared" ref="AN20:AN25" si="4">AL20*AM20</f>
        <v>2545.2000000000003</v>
      </c>
      <c r="AO20" t="s">
        <v>229</v>
      </c>
      <c r="AP20">
        <v>1</v>
      </c>
      <c r="AQ20">
        <v>0</v>
      </c>
      <c r="AR20" s="34">
        <v>13</v>
      </c>
      <c r="AS20" s="61">
        <f t="shared" si="2"/>
        <v>330.88</v>
      </c>
    </row>
    <row r="21" spans="22:45" x14ac:dyDescent="0.45">
      <c r="V21" t="str">
        <f t="shared" si="0"/>
        <v>005-0-2022-101, "58", "0", "0", "HST", "1", "0", "13", "0"</v>
      </c>
      <c r="W21" t="str">
        <f t="shared" si="1"/>
        <v>"005-0-2022-101", "58", "0", "0", "HST", "1", "0", "13", "0"</v>
      </c>
      <c r="AK21" t="s">
        <v>174</v>
      </c>
      <c r="AL21" s="61">
        <f>E6</f>
        <v>5</v>
      </c>
      <c r="AM21" s="61">
        <f>I6</f>
        <v>82.72</v>
      </c>
      <c r="AN21" s="34">
        <f t="shared" si="4"/>
        <v>413.6</v>
      </c>
      <c r="AO21" t="s">
        <v>229</v>
      </c>
      <c r="AP21">
        <v>1</v>
      </c>
      <c r="AQ21">
        <v>0</v>
      </c>
      <c r="AR21" s="34">
        <v>13</v>
      </c>
      <c r="AS21" s="61">
        <f t="shared" si="2"/>
        <v>53.77</v>
      </c>
    </row>
    <row r="22" spans="22:45" x14ac:dyDescent="0.45">
      <c r="V22" t="str">
        <f t="shared" si="0"/>
        <v>005-0-2022-102, "0", "0", "0", "HST", "1", "0", "13", "0"</v>
      </c>
      <c r="W22" t="str">
        <f t="shared" si="1"/>
        <v>"005-0-2022-102", "0", "0", "0", "HST", "1", "0", "13", "0"</v>
      </c>
      <c r="AK22" t="s">
        <v>175</v>
      </c>
      <c r="AL22" s="61">
        <f>F6</f>
        <v>0</v>
      </c>
      <c r="AM22" s="61">
        <f>J6</f>
        <v>108.17</v>
      </c>
      <c r="AN22" s="34">
        <f t="shared" si="4"/>
        <v>0</v>
      </c>
      <c r="AO22" t="s">
        <v>229</v>
      </c>
      <c r="AP22">
        <v>1</v>
      </c>
      <c r="AQ22">
        <v>0</v>
      </c>
      <c r="AR22" s="34">
        <v>13</v>
      </c>
      <c r="AS22" s="61">
        <f t="shared" si="2"/>
        <v>0</v>
      </c>
    </row>
    <row r="23" spans="22:45" x14ac:dyDescent="0.45">
      <c r="V23" t="str">
        <f t="shared" si="0"/>
        <v>-1, "0", "0", "0", "HST", "0", "0", "13", "0"</v>
      </c>
      <c r="W23" t="str">
        <f t="shared" si="1"/>
        <v>"-1", "0", "0", "0", "HST", "0", "0", "13", "0"</v>
      </c>
      <c r="AK23" t="s">
        <v>176</v>
      </c>
      <c r="AL23" s="61">
        <f>G6</f>
        <v>0</v>
      </c>
      <c r="AM23" s="61">
        <f>K6</f>
        <v>63.63</v>
      </c>
      <c r="AN23" s="34">
        <f t="shared" si="4"/>
        <v>0</v>
      </c>
      <c r="AO23" t="s">
        <v>229</v>
      </c>
      <c r="AP23">
        <v>1</v>
      </c>
      <c r="AQ23">
        <v>0</v>
      </c>
      <c r="AR23" s="34">
        <v>13</v>
      </c>
      <c r="AS23" s="61">
        <f t="shared" si="2"/>
        <v>0</v>
      </c>
    </row>
    <row r="24" spans="22:45" x14ac:dyDescent="0.45">
      <c r="V24" t="str">
        <f t="shared" si="0"/>
        <v>03, "0", "0", "0", "HST", "0", "0", "13", "0"</v>
      </c>
      <c r="W24" t="str">
        <f t="shared" si="1"/>
        <v>"03", "0", "0", "0", "HST", "0", "0", "13", "0"</v>
      </c>
      <c r="AK24" t="s">
        <v>177</v>
      </c>
      <c r="AL24" s="61">
        <f>L6</f>
        <v>0</v>
      </c>
      <c r="AM24" s="61">
        <f>M6</f>
        <v>58</v>
      </c>
      <c r="AN24" s="34">
        <f t="shared" si="4"/>
        <v>0</v>
      </c>
      <c r="AO24" t="s">
        <v>229</v>
      </c>
      <c r="AP24">
        <v>1</v>
      </c>
      <c r="AQ24">
        <v>0</v>
      </c>
      <c r="AR24" s="34">
        <v>13</v>
      </c>
      <c r="AS24" s="61">
        <f t="shared" si="2"/>
        <v>0</v>
      </c>
    </row>
    <row r="25" spans="22:45" x14ac:dyDescent="0.45">
      <c r="V25" t="str">
        <f t="shared" si="0"/>
        <v>005-5-2022-001, "63.63", "40", "2545.2", "HST", "1", "0", "13", "330.88"</v>
      </c>
      <c r="W25" t="str">
        <f t="shared" si="1"/>
        <v>"005-5-2022-001", "63.63", "40", "2545.2", "HST", "1", "0", "13", "330.88"</v>
      </c>
      <c r="AK25" t="s">
        <v>178</v>
      </c>
      <c r="AL25" s="61">
        <f>N6</f>
        <v>0</v>
      </c>
      <c r="AM25" s="61">
        <f>O6</f>
        <v>0</v>
      </c>
      <c r="AN25" s="34">
        <f t="shared" si="4"/>
        <v>0</v>
      </c>
      <c r="AO25" t="s">
        <v>229</v>
      </c>
      <c r="AP25">
        <v>1</v>
      </c>
      <c r="AQ25">
        <v>0</v>
      </c>
      <c r="AR25" s="34">
        <v>13</v>
      </c>
      <c r="AS25" s="61">
        <f t="shared" si="2"/>
        <v>0</v>
      </c>
    </row>
    <row r="26" spans="22:45" x14ac:dyDescent="0.45">
      <c r="V26" t="str">
        <f t="shared" si="0"/>
        <v>005-5-2022-002, "82.72", "13", "1075.36", "HST", "1", "0", "13", "139.8"</v>
      </c>
      <c r="W26" t="str">
        <f t="shared" si="1"/>
        <v>"005-5-2022-002", "82.72", "13", "1075.36", "HST", "1", "0", "13", "139.8"</v>
      </c>
      <c r="AJ26" t="s">
        <v>251</v>
      </c>
      <c r="AK26" s="58">
        <v>-1</v>
      </c>
      <c r="AL26">
        <v>0</v>
      </c>
      <c r="AM26">
        <v>0</v>
      </c>
      <c r="AN26">
        <v>0</v>
      </c>
      <c r="AO26" t="s">
        <v>229</v>
      </c>
      <c r="AP26">
        <v>0</v>
      </c>
      <c r="AQ26">
        <v>0</v>
      </c>
      <c r="AR26" s="34">
        <v>13</v>
      </c>
      <c r="AS26" s="61">
        <f t="shared" si="2"/>
        <v>0</v>
      </c>
    </row>
    <row r="27" spans="22:45" x14ac:dyDescent="0.45">
      <c r="V27" t="str">
        <f t="shared" si="0"/>
        <v>005-5-2022-003, "108.17", "0", "0", "HST", "1", "0", "13", "0"</v>
      </c>
      <c r="W27" t="str">
        <f t="shared" si="1"/>
        <v>"005-5-2022-003", "108.17", "0", "0", "HST", "1", "0", "13", "0"</v>
      </c>
      <c r="AJ27" t="s">
        <v>239</v>
      </c>
      <c r="AK27" t="str">
        <f>TEXT(3,"00")</f>
        <v>03</v>
      </c>
      <c r="AL27">
        <v>0</v>
      </c>
      <c r="AM27">
        <v>0</v>
      </c>
      <c r="AN27">
        <v>0</v>
      </c>
      <c r="AO27" t="s">
        <v>229</v>
      </c>
      <c r="AP27">
        <v>0</v>
      </c>
      <c r="AQ27">
        <v>0</v>
      </c>
      <c r="AR27" s="34">
        <v>13</v>
      </c>
      <c r="AS27" s="61">
        <f t="shared" si="2"/>
        <v>0</v>
      </c>
    </row>
    <row r="28" spans="22:45" x14ac:dyDescent="0.45">
      <c r="V28" t="str">
        <f t="shared" si="0"/>
        <v>005-5-2022-100, "63.63", "0", "0", "HST", "1", "0", "13", "0"</v>
      </c>
      <c r="W28" t="str">
        <f t="shared" si="1"/>
        <v>"005-5-2022-100", "63.63", "0", "0", "HST", "1", "0", "13", "0"</v>
      </c>
      <c r="AK28" t="s">
        <v>173</v>
      </c>
      <c r="AL28" s="61">
        <f>D4</f>
        <v>40</v>
      </c>
      <c r="AM28" s="61">
        <f>H4</f>
        <v>63.63</v>
      </c>
      <c r="AN28" s="34">
        <f t="shared" ref="AN28:AN33" si="5">AL28*AM28</f>
        <v>2545.2000000000003</v>
      </c>
      <c r="AO28" t="s">
        <v>229</v>
      </c>
      <c r="AP28">
        <v>1</v>
      </c>
      <c r="AQ28">
        <v>0</v>
      </c>
      <c r="AR28" s="34">
        <v>13</v>
      </c>
      <c r="AS28" s="61">
        <f t="shared" si="2"/>
        <v>330.88</v>
      </c>
    </row>
    <row r="29" spans="22:45" x14ac:dyDescent="0.45">
      <c r="V29" t="str">
        <f t="shared" si="0"/>
        <v>005-0-2022-101, "58", "0", "0", "HST", "1", "0", "13", "0"</v>
      </c>
      <c r="W29" t="str">
        <f t="shared" si="1"/>
        <v>"005-0-2022-101", "58", "0", "0", "HST", "1", "0", "13", "0"</v>
      </c>
      <c r="AK29" t="s">
        <v>174</v>
      </c>
      <c r="AL29" s="61">
        <f>E4</f>
        <v>13</v>
      </c>
      <c r="AM29" s="61">
        <f>I4</f>
        <v>82.72</v>
      </c>
      <c r="AN29" s="34">
        <f t="shared" si="5"/>
        <v>1075.3599999999999</v>
      </c>
      <c r="AO29" t="s">
        <v>229</v>
      </c>
      <c r="AP29">
        <v>1</v>
      </c>
      <c r="AQ29">
        <v>0</v>
      </c>
      <c r="AR29" s="34">
        <v>13</v>
      </c>
      <c r="AS29" s="61">
        <f t="shared" si="2"/>
        <v>139.80000000000001</v>
      </c>
    </row>
    <row r="30" spans="22:45" x14ac:dyDescent="0.45">
      <c r="V30" t="str">
        <f t="shared" si="0"/>
        <v>005-0-2022-102, "0", "0", "0", "HST", "1", "0", "13", "0"</v>
      </c>
      <c r="W30" t="str">
        <f t="shared" si="1"/>
        <v>"005-0-2022-102", "0", "0", "0", "HST", "1", "0", "13", "0"</v>
      </c>
      <c r="AK30" t="s">
        <v>175</v>
      </c>
      <c r="AL30" s="61">
        <f>F4</f>
        <v>0</v>
      </c>
      <c r="AM30" s="61">
        <f>J4</f>
        <v>108.17</v>
      </c>
      <c r="AN30" s="34">
        <f t="shared" si="5"/>
        <v>0</v>
      </c>
      <c r="AO30" t="s">
        <v>229</v>
      </c>
      <c r="AP30">
        <v>1</v>
      </c>
      <c r="AQ30">
        <v>0</v>
      </c>
      <c r="AR30" s="34">
        <v>13</v>
      </c>
      <c r="AS30" s="61">
        <f t="shared" si="2"/>
        <v>0</v>
      </c>
    </row>
    <row r="31" spans="22:45" x14ac:dyDescent="0.45">
      <c r="V31" t="str">
        <f t="shared" si="0"/>
        <v>-1, "0", "0", "0", "HST", "0", "0", "13", "0"</v>
      </c>
      <c r="W31" t="str">
        <f t="shared" si="1"/>
        <v>"-1", "0", "0", "0", "HST", "0", "0", "13", "0"</v>
      </c>
      <c r="AK31" t="s">
        <v>176</v>
      </c>
      <c r="AL31" s="61">
        <f>G4</f>
        <v>0</v>
      </c>
      <c r="AM31" s="61">
        <f>K4</f>
        <v>63.63</v>
      </c>
      <c r="AN31" s="34">
        <f t="shared" si="5"/>
        <v>0</v>
      </c>
      <c r="AO31" t="s">
        <v>229</v>
      </c>
      <c r="AP31">
        <v>1</v>
      </c>
      <c r="AQ31">
        <v>0</v>
      </c>
      <c r="AR31" s="34">
        <v>13</v>
      </c>
      <c r="AS31" s="61">
        <f t="shared" si="2"/>
        <v>0</v>
      </c>
    </row>
    <row r="32" spans="22:45" x14ac:dyDescent="0.45">
      <c r="V32" t="str">
        <f t="shared" si="0"/>
        <v>38, "0", "0", "0", "HST", "0", "0", "13", "0"</v>
      </c>
      <c r="W32" t="str">
        <f t="shared" si="1"/>
        <v>"38", "0", "0", "0", "HST", "0", "0", "13", "0"</v>
      </c>
      <c r="AK32" t="s">
        <v>177</v>
      </c>
      <c r="AL32" s="61">
        <f>L4</f>
        <v>0</v>
      </c>
      <c r="AM32" s="61">
        <f>M4</f>
        <v>58</v>
      </c>
      <c r="AN32" s="34">
        <f t="shared" si="5"/>
        <v>0</v>
      </c>
      <c r="AO32" t="s">
        <v>229</v>
      </c>
      <c r="AP32">
        <v>1</v>
      </c>
      <c r="AQ32">
        <v>0</v>
      </c>
      <c r="AR32" s="34">
        <v>13</v>
      </c>
      <c r="AS32" s="61">
        <f t="shared" si="2"/>
        <v>0</v>
      </c>
    </row>
    <row r="33" spans="22:45" x14ac:dyDescent="0.45">
      <c r="V33" t="str">
        <f t="shared" si="0"/>
        <v>005-5-2022-001, "63.63", "40", "2545.2", "HST", "1", "0", "13", "330.88"</v>
      </c>
      <c r="W33" t="str">
        <f t="shared" si="1"/>
        <v>"005-5-2022-001", "63.63", "40", "2545.2", "HST", "1", "0", "13", "330.88"</v>
      </c>
      <c r="AK33" t="s">
        <v>178</v>
      </c>
      <c r="AL33" s="61">
        <f>N4</f>
        <v>0</v>
      </c>
      <c r="AM33" s="61">
        <f>O4</f>
        <v>0</v>
      </c>
      <c r="AN33" s="34">
        <f t="shared" si="5"/>
        <v>0</v>
      </c>
      <c r="AO33" t="s">
        <v>229</v>
      </c>
      <c r="AP33">
        <v>1</v>
      </c>
      <c r="AQ33">
        <v>0</v>
      </c>
      <c r="AR33" s="34">
        <v>13</v>
      </c>
      <c r="AS33" s="61">
        <f t="shared" si="2"/>
        <v>0</v>
      </c>
    </row>
    <row r="34" spans="22:45" x14ac:dyDescent="0.45">
      <c r="V34" t="str">
        <f t="shared" si="0"/>
        <v>005-5-2022-002, "82.72", "10.75", "889.24", "HST", "1", "0", "13", "115.6"</v>
      </c>
      <c r="W34" t="str">
        <f t="shared" si="1"/>
        <v>"005-5-2022-002", "82.72", "10.75", "889.24", "HST", "1", "0", "13", "115.6"</v>
      </c>
      <c r="AJ34" t="s">
        <v>251</v>
      </c>
      <c r="AK34" s="58">
        <v>-1</v>
      </c>
      <c r="AL34">
        <v>0</v>
      </c>
      <c r="AM34">
        <v>0</v>
      </c>
      <c r="AN34">
        <v>0</v>
      </c>
      <c r="AO34" t="s">
        <v>229</v>
      </c>
      <c r="AP34">
        <v>0</v>
      </c>
      <c r="AQ34">
        <v>0</v>
      </c>
      <c r="AR34" s="34">
        <v>13</v>
      </c>
      <c r="AS34" s="61">
        <f t="shared" si="2"/>
        <v>0</v>
      </c>
    </row>
    <row r="35" spans="22:45" x14ac:dyDescent="0.45">
      <c r="V35" t="str">
        <f t="shared" si="0"/>
        <v>005-5-2022-003, "108.17", "0", "0", "HST", "1", "0", "13", "0"</v>
      </c>
      <c r="W35" t="str">
        <f t="shared" si="1"/>
        <v>"005-5-2022-003", "108.17", "0", "0", "HST", "1", "0", "13", "0"</v>
      </c>
      <c r="AJ35" t="s">
        <v>240</v>
      </c>
      <c r="AK35" t="str">
        <f>TEXT(38,"00")</f>
        <v>38</v>
      </c>
      <c r="AL35">
        <v>0</v>
      </c>
      <c r="AM35">
        <v>0</v>
      </c>
      <c r="AN35">
        <v>0</v>
      </c>
      <c r="AO35" t="s">
        <v>229</v>
      </c>
      <c r="AP35">
        <v>0</v>
      </c>
      <c r="AQ35">
        <v>0</v>
      </c>
      <c r="AR35" s="34">
        <v>13</v>
      </c>
      <c r="AS35" s="61">
        <f t="shared" si="2"/>
        <v>0</v>
      </c>
    </row>
    <row r="36" spans="22:45" x14ac:dyDescent="0.45">
      <c r="V36" t="str">
        <f t="shared" si="0"/>
        <v>005-5-2022-100, "63.63", "0", "0", "HST", "1", "0", "13", "0"</v>
      </c>
      <c r="W36" t="str">
        <f t="shared" si="1"/>
        <v>"005-5-2022-100", "63.63", "0", "0", "HST", "1", "0", "13", "0"</v>
      </c>
      <c r="AK36" t="s">
        <v>173</v>
      </c>
      <c r="AL36" s="61">
        <f>D7</f>
        <v>40</v>
      </c>
      <c r="AM36" s="61">
        <f>H7</f>
        <v>63.63</v>
      </c>
      <c r="AN36" s="34">
        <f t="shared" ref="AN36:AN41" si="6">AL36*AM36</f>
        <v>2545.2000000000003</v>
      </c>
      <c r="AO36" t="s">
        <v>229</v>
      </c>
      <c r="AP36">
        <v>1</v>
      </c>
      <c r="AQ36">
        <v>0</v>
      </c>
      <c r="AR36" s="34">
        <v>13</v>
      </c>
      <c r="AS36" s="61">
        <f t="shared" si="2"/>
        <v>330.88</v>
      </c>
    </row>
    <row r="37" spans="22:45" x14ac:dyDescent="0.45">
      <c r="V37" t="str">
        <f t="shared" si="0"/>
        <v>005-0-2022-101, "58", "0", "0", "HST", "1", "0", "13", "0"</v>
      </c>
      <c r="W37" t="str">
        <f t="shared" si="1"/>
        <v>"005-0-2022-101", "58", "0", "0", "HST", "1", "0", "13", "0"</v>
      </c>
      <c r="AK37" t="s">
        <v>174</v>
      </c>
      <c r="AL37" s="61">
        <f>E7</f>
        <v>10.75</v>
      </c>
      <c r="AM37" s="61">
        <f>I7</f>
        <v>82.72</v>
      </c>
      <c r="AN37" s="34">
        <f t="shared" si="6"/>
        <v>889.24</v>
      </c>
      <c r="AO37" t="s">
        <v>229</v>
      </c>
      <c r="AP37">
        <v>1</v>
      </c>
      <c r="AQ37">
        <v>0</v>
      </c>
      <c r="AR37" s="34">
        <v>13</v>
      </c>
      <c r="AS37" s="61">
        <f t="shared" si="2"/>
        <v>115.6</v>
      </c>
    </row>
    <row r="38" spans="22:45" x14ac:dyDescent="0.45">
      <c r="V38" t="str">
        <f t="shared" si="0"/>
        <v>005-0-2022-102, "0", "0", "0", "HST", "1", "0", "13", "0"</v>
      </c>
      <c r="W38" t="str">
        <f t="shared" si="1"/>
        <v>"005-0-2022-102", "0", "0", "0", "HST", "1", "0", "13", "0"</v>
      </c>
      <c r="AK38" t="s">
        <v>175</v>
      </c>
      <c r="AL38" s="61">
        <f>F7</f>
        <v>0</v>
      </c>
      <c r="AM38" s="61">
        <f>J7</f>
        <v>108.17</v>
      </c>
      <c r="AN38" s="34">
        <f t="shared" si="6"/>
        <v>0</v>
      </c>
      <c r="AO38" t="s">
        <v>229</v>
      </c>
      <c r="AP38">
        <v>1</v>
      </c>
      <c r="AQ38">
        <v>0</v>
      </c>
      <c r="AR38" s="34">
        <v>13</v>
      </c>
      <c r="AS38" s="61">
        <f t="shared" si="2"/>
        <v>0</v>
      </c>
    </row>
    <row r="39" spans="22:45" x14ac:dyDescent="0.45">
      <c r="V39" t="str">
        <f t="shared" si="0"/>
        <v>-1, "0", "0", "0", "HST", "0", "0", "13", "0"</v>
      </c>
      <c r="W39" t="str">
        <f t="shared" si="1"/>
        <v>"-1", "0", "0", "0", "HST", "0", "0", "13", "0"</v>
      </c>
      <c r="AK39" t="s">
        <v>176</v>
      </c>
      <c r="AL39" s="61">
        <f>G7</f>
        <v>0</v>
      </c>
      <c r="AM39" s="61">
        <f>K7</f>
        <v>63.63</v>
      </c>
      <c r="AN39" s="34">
        <f t="shared" si="6"/>
        <v>0</v>
      </c>
      <c r="AO39" t="s">
        <v>229</v>
      </c>
      <c r="AP39">
        <v>1</v>
      </c>
      <c r="AQ39">
        <v>0</v>
      </c>
      <c r="AR39" s="34">
        <v>13</v>
      </c>
      <c r="AS39" s="61">
        <f t="shared" si="2"/>
        <v>0</v>
      </c>
    </row>
    <row r="40" spans="22:45" x14ac:dyDescent="0.45">
      <c r="V40" t="str">
        <f t="shared" si="0"/>
        <v>38, "0", "0", "0", "HST", "0", "0", "13", "0"</v>
      </c>
      <c r="W40" t="str">
        <f t="shared" si="1"/>
        <v>"38", "0", "0", "0", "HST", "0", "0", "13", "0"</v>
      </c>
      <c r="AK40" t="s">
        <v>177</v>
      </c>
      <c r="AL40" s="61">
        <f>L7</f>
        <v>0</v>
      </c>
      <c r="AM40" s="61">
        <f>M7</f>
        <v>58</v>
      </c>
      <c r="AN40" s="34">
        <f t="shared" si="6"/>
        <v>0</v>
      </c>
      <c r="AO40" t="s">
        <v>229</v>
      </c>
      <c r="AP40">
        <v>1</v>
      </c>
      <c r="AQ40">
        <v>0</v>
      </c>
      <c r="AR40" s="34">
        <v>13</v>
      </c>
      <c r="AS40" s="61">
        <f t="shared" si="2"/>
        <v>0</v>
      </c>
    </row>
    <row r="41" spans="22:45" x14ac:dyDescent="0.45">
      <c r="V41" t="str">
        <f t="shared" si="0"/>
        <v>005-5-2022-001, "63.63", "29", "1845.27", "HST", "1", "0", "13", "239.89"</v>
      </c>
      <c r="W41" t="str">
        <f t="shared" si="1"/>
        <v>"005-5-2022-001", "63.63", "29", "1845.27", "HST", "1", "0", "13", "239.89"</v>
      </c>
      <c r="AK41" t="s">
        <v>178</v>
      </c>
      <c r="AL41" s="61">
        <f>N7</f>
        <v>0</v>
      </c>
      <c r="AM41" s="61">
        <f>O7</f>
        <v>0</v>
      </c>
      <c r="AN41" s="34">
        <f t="shared" si="6"/>
        <v>0</v>
      </c>
      <c r="AO41" t="s">
        <v>229</v>
      </c>
      <c r="AP41">
        <v>1</v>
      </c>
      <c r="AQ41">
        <v>0</v>
      </c>
      <c r="AR41" s="34">
        <v>13</v>
      </c>
      <c r="AS41" s="61">
        <f t="shared" si="2"/>
        <v>0</v>
      </c>
    </row>
    <row r="42" spans="22:45" x14ac:dyDescent="0.45">
      <c r="V42" t="str">
        <f t="shared" si="0"/>
        <v>005-5-2022-002, "82.72", "0", "0", "HST", "1", "0", "13", "0"</v>
      </c>
      <c r="W42" t="str">
        <f t="shared" si="1"/>
        <v>"005-5-2022-002", "82.72", "0", "0", "HST", "1", "0", "13", "0"</v>
      </c>
      <c r="AJ42" t="s">
        <v>251</v>
      </c>
      <c r="AK42" s="58">
        <v>-1</v>
      </c>
      <c r="AL42">
        <v>0</v>
      </c>
      <c r="AM42">
        <v>0</v>
      </c>
      <c r="AN42">
        <v>0</v>
      </c>
      <c r="AO42" t="s">
        <v>229</v>
      </c>
      <c r="AP42">
        <v>0</v>
      </c>
      <c r="AQ42">
        <v>0</v>
      </c>
      <c r="AR42" s="34">
        <v>13</v>
      </c>
      <c r="AS42" s="61">
        <f t="shared" si="2"/>
        <v>0</v>
      </c>
    </row>
    <row r="43" spans="22:45" x14ac:dyDescent="0.45">
      <c r="V43" t="str">
        <f t="shared" si="0"/>
        <v>005-5-2022-003, "108.17", "0", "0", "HST", "1", "0", "13", "0"</v>
      </c>
      <c r="W43" t="str">
        <f t="shared" si="1"/>
        <v>"005-5-2022-003", "108.17", "0", "0", "HST", "1", "0", "13", "0"</v>
      </c>
      <c r="AJ43" t="s">
        <v>241</v>
      </c>
      <c r="AK43" t="str">
        <f>TEXT(38,"00")</f>
        <v>38</v>
      </c>
      <c r="AL43">
        <v>0</v>
      </c>
      <c r="AM43">
        <v>0</v>
      </c>
      <c r="AN43">
        <v>0</v>
      </c>
      <c r="AO43" t="s">
        <v>229</v>
      </c>
      <c r="AP43">
        <v>0</v>
      </c>
      <c r="AQ43">
        <v>0</v>
      </c>
      <c r="AR43" s="34">
        <v>13</v>
      </c>
      <c r="AS43" s="61">
        <f t="shared" ref="AS43:AS74" si="7">ROUND(AN43*(AR43/100), 2)</f>
        <v>0</v>
      </c>
    </row>
    <row r="44" spans="22:45" x14ac:dyDescent="0.45">
      <c r="V44" t="str">
        <f t="shared" si="0"/>
        <v>005-5-2022-100, "63.63", "9.5", "604.485", "HST", "1", "0", "13", "78.58"</v>
      </c>
      <c r="W44" t="str">
        <f t="shared" si="1"/>
        <v>"005-5-2022-100", "63.63", "9.5", "604.485", "HST", "1", "0", "13", "78.58"</v>
      </c>
      <c r="AK44" t="s">
        <v>173</v>
      </c>
      <c r="AL44" s="61">
        <f>D5</f>
        <v>29</v>
      </c>
      <c r="AM44" s="61">
        <f>H5</f>
        <v>63.63</v>
      </c>
      <c r="AN44" s="34">
        <f t="shared" ref="AN44:AN49" si="8">AL44*AM44</f>
        <v>1845.27</v>
      </c>
      <c r="AO44" t="s">
        <v>229</v>
      </c>
      <c r="AP44">
        <v>1</v>
      </c>
      <c r="AQ44">
        <v>0</v>
      </c>
      <c r="AR44" s="34">
        <v>13</v>
      </c>
      <c r="AS44" s="61">
        <f t="shared" si="7"/>
        <v>239.89</v>
      </c>
    </row>
    <row r="45" spans="22:45" x14ac:dyDescent="0.45">
      <c r="V45" t="str">
        <f t="shared" si="0"/>
        <v>005-0-2022-101, "58", "3", "174", "HST", "1", "0", "13", "22.62"</v>
      </c>
      <c r="W45" t="str">
        <f t="shared" si="1"/>
        <v>"005-0-2022-101", "58", "3", "174", "HST", "1", "0", "13", "22.62"</v>
      </c>
      <c r="AK45" t="s">
        <v>174</v>
      </c>
      <c r="AL45" s="61">
        <f>E5</f>
        <v>0</v>
      </c>
      <c r="AM45" s="61">
        <f>I5</f>
        <v>82.72</v>
      </c>
      <c r="AN45" s="34">
        <f t="shared" si="8"/>
        <v>0</v>
      </c>
      <c r="AO45" t="s">
        <v>229</v>
      </c>
      <c r="AP45">
        <v>1</v>
      </c>
      <c r="AQ45">
        <v>0</v>
      </c>
      <c r="AR45" s="34">
        <v>13</v>
      </c>
      <c r="AS45" s="61">
        <f t="shared" si="7"/>
        <v>0</v>
      </c>
    </row>
    <row r="46" spans="22:45" x14ac:dyDescent="0.45">
      <c r="V46" t="str">
        <f t="shared" si="0"/>
        <v>005-0-2022-102, "47.37", "1", "47.37", "HST", "1", "0", "13", "6.16"</v>
      </c>
      <c r="W46" t="str">
        <f t="shared" si="1"/>
        <v>"005-0-2022-102", "47.37", "1", "47.37", "HST", "1", "0", "13", "6.16"</v>
      </c>
      <c r="AK46" t="s">
        <v>175</v>
      </c>
      <c r="AL46" s="61">
        <f>F5</f>
        <v>0</v>
      </c>
      <c r="AM46" s="61">
        <f>J5</f>
        <v>108.17</v>
      </c>
      <c r="AN46" s="34">
        <f t="shared" si="8"/>
        <v>0</v>
      </c>
      <c r="AO46" t="s">
        <v>229</v>
      </c>
      <c r="AP46">
        <v>1</v>
      </c>
      <c r="AQ46">
        <v>0</v>
      </c>
      <c r="AR46" s="34">
        <v>13</v>
      </c>
      <c r="AS46" s="61">
        <f t="shared" si="7"/>
        <v>0</v>
      </c>
    </row>
    <row r="47" spans="22:45" x14ac:dyDescent="0.45">
      <c r="V47" t="str">
        <f t="shared" si="0"/>
        <v>-1, "0", "0", "0", "HST", "0", "0", "13", "0"</v>
      </c>
      <c r="W47" t="str">
        <f t="shared" si="1"/>
        <v>"-1", "0", "0", "0", "HST", "0", "0", "13", "0"</v>
      </c>
      <c r="AK47" t="s">
        <v>176</v>
      </c>
      <c r="AL47" s="61">
        <f>G5</f>
        <v>9.5</v>
      </c>
      <c r="AM47" s="61">
        <f>K5</f>
        <v>63.63</v>
      </c>
      <c r="AN47" s="34">
        <f t="shared" si="8"/>
        <v>604.48500000000001</v>
      </c>
      <c r="AO47" t="s">
        <v>229</v>
      </c>
      <c r="AP47">
        <v>1</v>
      </c>
      <c r="AQ47">
        <v>0</v>
      </c>
      <c r="AR47" s="34">
        <v>13</v>
      </c>
      <c r="AS47" s="61">
        <f t="shared" si="7"/>
        <v>78.58</v>
      </c>
    </row>
    <row r="48" spans="22:45" x14ac:dyDescent="0.45">
      <c r="V48" t="str">
        <f t="shared" si="0"/>
        <v>70, "0", "0", "0", "HST", "0", "0", "13", "0"</v>
      </c>
      <c r="W48" t="str">
        <f t="shared" si="1"/>
        <v>"70", "0", "0", "0", "HST", "0", "0", "13", "0"</v>
      </c>
      <c r="AK48" t="s">
        <v>177</v>
      </c>
      <c r="AL48" s="61">
        <f>L5</f>
        <v>3</v>
      </c>
      <c r="AM48" s="61">
        <f>M5</f>
        <v>58</v>
      </c>
      <c r="AN48" s="34">
        <f t="shared" si="8"/>
        <v>174</v>
      </c>
      <c r="AO48" t="s">
        <v>229</v>
      </c>
      <c r="AP48">
        <v>1</v>
      </c>
      <c r="AQ48">
        <v>0</v>
      </c>
      <c r="AR48" s="34">
        <v>13</v>
      </c>
      <c r="AS48" s="61">
        <f t="shared" si="7"/>
        <v>22.62</v>
      </c>
    </row>
    <row r="49" spans="22:45" x14ac:dyDescent="0.45">
      <c r="V49" t="str">
        <f t="shared" si="0"/>
        <v>005-2-2022-001, "40.71", "40", "1628.4", "HST", "1", "0", "13", "211.69"</v>
      </c>
      <c r="W49" t="str">
        <f t="shared" si="1"/>
        <v>"005-2-2022-001", "40.71", "40", "1628.4", "HST", "1", "0", "13", "211.69"</v>
      </c>
      <c r="AK49" t="s">
        <v>178</v>
      </c>
      <c r="AL49" s="61">
        <f>N5</f>
        <v>1</v>
      </c>
      <c r="AM49" s="61">
        <f>O5</f>
        <v>47.37</v>
      </c>
      <c r="AN49" s="34">
        <f t="shared" si="8"/>
        <v>47.37</v>
      </c>
      <c r="AO49" t="s">
        <v>229</v>
      </c>
      <c r="AP49">
        <v>1</v>
      </c>
      <c r="AQ49">
        <v>0</v>
      </c>
      <c r="AR49" s="34">
        <v>13</v>
      </c>
      <c r="AS49" s="61">
        <f t="shared" si="7"/>
        <v>6.16</v>
      </c>
    </row>
    <row r="50" spans="22:45" x14ac:dyDescent="0.45">
      <c r="V50" t="str">
        <f t="shared" si="0"/>
        <v>005-2-2022-002, "52.92", "14.25", "754.11", "HST", "1", "0", "13", "98.03"</v>
      </c>
      <c r="W50" t="str">
        <f t="shared" si="1"/>
        <v>"005-2-2022-002", "52.92", "14.25", "754.11", "HST", "1", "0", "13", "98.03"</v>
      </c>
      <c r="AJ50" t="s">
        <v>251</v>
      </c>
      <c r="AK50" s="58">
        <v>-1</v>
      </c>
      <c r="AL50">
        <v>0</v>
      </c>
      <c r="AM50">
        <v>0</v>
      </c>
      <c r="AN50">
        <v>0</v>
      </c>
      <c r="AO50" t="s">
        <v>229</v>
      </c>
      <c r="AP50">
        <v>0</v>
      </c>
      <c r="AQ50">
        <v>0</v>
      </c>
      <c r="AR50" s="34">
        <v>13</v>
      </c>
      <c r="AS50" s="61">
        <f t="shared" si="7"/>
        <v>0</v>
      </c>
    </row>
    <row r="51" spans="22:45" x14ac:dyDescent="0.45">
      <c r="V51" t="str">
        <f t="shared" si="0"/>
        <v>005-2-2022-003, "69.2", "0", "0", "HST", "1", "0", "13", "0"</v>
      </c>
      <c r="W51" t="str">
        <f t="shared" si="1"/>
        <v>"005-2-2022-003", "69.2", "0", "0", "HST", "1", "0", "13", "0"</v>
      </c>
      <c r="AJ51" t="s">
        <v>242</v>
      </c>
      <c r="AK51" t="str">
        <f>TEXT(70,"00")</f>
        <v>70</v>
      </c>
      <c r="AL51">
        <v>0</v>
      </c>
      <c r="AM51">
        <v>0</v>
      </c>
      <c r="AN51">
        <v>0</v>
      </c>
      <c r="AO51" t="s">
        <v>229</v>
      </c>
      <c r="AP51">
        <v>0</v>
      </c>
      <c r="AQ51">
        <v>0</v>
      </c>
      <c r="AR51" s="34">
        <v>13</v>
      </c>
      <c r="AS51" s="61">
        <f t="shared" si="7"/>
        <v>0</v>
      </c>
    </row>
    <row r="52" spans="22:45" x14ac:dyDescent="0.45">
      <c r="V52" t="str">
        <f t="shared" si="0"/>
        <v>005-2-2022-100, "40.71", "0", "0", "HST", "1", "0", "13", "0"</v>
      </c>
      <c r="W52" t="str">
        <f t="shared" si="1"/>
        <v>"005-2-2022-100", "40.71", "0", "0", "HST", "1", "0", "13", "0"</v>
      </c>
      <c r="AK52" t="s">
        <v>161</v>
      </c>
      <c r="AL52" s="61">
        <f>D14</f>
        <v>40</v>
      </c>
      <c r="AM52" s="61">
        <f>H14</f>
        <v>40.71</v>
      </c>
      <c r="AN52" s="34">
        <f t="shared" ref="AN52:AN57" si="9">AL52*AM52</f>
        <v>1628.4</v>
      </c>
      <c r="AO52" t="s">
        <v>229</v>
      </c>
      <c r="AP52">
        <v>1</v>
      </c>
      <c r="AQ52">
        <v>0</v>
      </c>
      <c r="AR52" s="34">
        <v>13</v>
      </c>
      <c r="AS52" s="61">
        <f t="shared" si="7"/>
        <v>211.69</v>
      </c>
    </row>
    <row r="53" spans="22:45" x14ac:dyDescent="0.45">
      <c r="V53" t="str">
        <f t="shared" si="0"/>
        <v>005-0-2022-101, "58", "0", "0", "HST", "1", "0", "13", "0"</v>
      </c>
      <c r="W53" t="str">
        <f t="shared" si="1"/>
        <v>"005-0-2022-101", "58", "0", "0", "HST", "1", "0", "13", "0"</v>
      </c>
      <c r="AK53" t="s">
        <v>162</v>
      </c>
      <c r="AL53" s="61">
        <f>E14</f>
        <v>14.25</v>
      </c>
      <c r="AM53" s="61">
        <f>I14</f>
        <v>52.92</v>
      </c>
      <c r="AN53" s="34">
        <f t="shared" si="9"/>
        <v>754.11</v>
      </c>
      <c r="AO53" t="s">
        <v>229</v>
      </c>
      <c r="AP53">
        <v>1</v>
      </c>
      <c r="AQ53">
        <v>0</v>
      </c>
      <c r="AR53" s="34">
        <v>13</v>
      </c>
      <c r="AS53" s="61">
        <f t="shared" si="7"/>
        <v>98.03</v>
      </c>
    </row>
    <row r="54" spans="22:45" x14ac:dyDescent="0.45">
      <c r="V54" t="str">
        <f t="shared" si="0"/>
        <v>005-0-2022-102, "0", "0", "0", "HST", "1", "0", "13", "0"</v>
      </c>
      <c r="W54" t="str">
        <f t="shared" si="1"/>
        <v>"005-0-2022-102", "0", "0", "0", "HST", "1", "0", "13", "0"</v>
      </c>
      <c r="AK54" t="s">
        <v>163</v>
      </c>
      <c r="AL54" s="61">
        <f>F14</f>
        <v>0</v>
      </c>
      <c r="AM54" s="61">
        <f>J14</f>
        <v>69.2</v>
      </c>
      <c r="AN54" s="34">
        <f t="shared" si="9"/>
        <v>0</v>
      </c>
      <c r="AO54" t="s">
        <v>229</v>
      </c>
      <c r="AP54">
        <v>1</v>
      </c>
      <c r="AQ54">
        <v>0</v>
      </c>
      <c r="AR54" s="34">
        <v>13</v>
      </c>
      <c r="AS54" s="61">
        <f t="shared" si="7"/>
        <v>0</v>
      </c>
    </row>
    <row r="55" spans="22:45" x14ac:dyDescent="0.45">
      <c r="V55" t="str">
        <f t="shared" si="0"/>
        <v>-1, "0", "0", "0", "HST", "0", "0", "13", "0"</v>
      </c>
      <c r="W55" t="str">
        <f t="shared" si="1"/>
        <v>"-1", "0", "0", "0", "HST", "0", "0", "13", "0"</v>
      </c>
      <c r="AK55" t="s">
        <v>164</v>
      </c>
      <c r="AL55" s="61">
        <f>G14</f>
        <v>0</v>
      </c>
      <c r="AM55" s="61">
        <f>K14</f>
        <v>40.71</v>
      </c>
      <c r="AN55" s="34">
        <f t="shared" si="9"/>
        <v>0</v>
      </c>
      <c r="AO55" t="s">
        <v>229</v>
      </c>
      <c r="AP55">
        <v>1</v>
      </c>
      <c r="AQ55">
        <v>0</v>
      </c>
      <c r="AR55" s="34">
        <v>13</v>
      </c>
      <c r="AS55" s="61">
        <f t="shared" si="7"/>
        <v>0</v>
      </c>
    </row>
    <row r="56" spans="22:45" x14ac:dyDescent="0.45">
      <c r="V56" t="str">
        <f t="shared" si="0"/>
        <v>36, "0", "0", "0", "HST", "0", "0", "13", "0"</v>
      </c>
      <c r="W56" t="str">
        <f t="shared" si="1"/>
        <v>"36", "0", "0", "0", "HST", "0", "0", "13", "0"</v>
      </c>
      <c r="AK56" t="s">
        <v>177</v>
      </c>
      <c r="AL56" s="61">
        <f>L14</f>
        <v>0</v>
      </c>
      <c r="AM56" s="61">
        <f>M14</f>
        <v>58</v>
      </c>
      <c r="AN56" s="34">
        <f t="shared" si="9"/>
        <v>0</v>
      </c>
      <c r="AO56" t="s">
        <v>229</v>
      </c>
      <c r="AP56">
        <v>1</v>
      </c>
      <c r="AQ56">
        <v>0</v>
      </c>
      <c r="AR56" s="34">
        <v>13</v>
      </c>
      <c r="AS56" s="61">
        <f t="shared" si="7"/>
        <v>0</v>
      </c>
    </row>
    <row r="57" spans="22:45" x14ac:dyDescent="0.45">
      <c r="V57" t="str">
        <f t="shared" si="0"/>
        <v>005-5-2022-001, "63.63", "40", "2545.2", "HST", "1", "0", "13", "330.88"</v>
      </c>
      <c r="W57" t="str">
        <f t="shared" si="1"/>
        <v>"005-5-2022-001", "63.63", "40", "2545.2", "HST", "1", "0", "13", "330.88"</v>
      </c>
      <c r="AK57" t="s">
        <v>178</v>
      </c>
      <c r="AL57" s="61">
        <f>N14</f>
        <v>0</v>
      </c>
      <c r="AM57" s="61">
        <f>O14</f>
        <v>0</v>
      </c>
      <c r="AN57" s="34">
        <f t="shared" si="9"/>
        <v>0</v>
      </c>
      <c r="AO57" t="s">
        <v>229</v>
      </c>
      <c r="AP57">
        <v>1</v>
      </c>
      <c r="AQ57">
        <v>0</v>
      </c>
      <c r="AR57" s="34">
        <v>13</v>
      </c>
      <c r="AS57" s="61">
        <f t="shared" si="7"/>
        <v>0</v>
      </c>
    </row>
    <row r="58" spans="22:45" x14ac:dyDescent="0.45">
      <c r="V58" t="str">
        <f t="shared" si="0"/>
        <v>005-5-2022-002, "82.72", "0", "0", "HST", "1", "0", "13", "0"</v>
      </c>
      <c r="W58" t="str">
        <f t="shared" si="1"/>
        <v>"005-5-2022-002", "82.72", "0", "0", "HST", "1", "0", "13", "0"</v>
      </c>
      <c r="AJ58" t="s">
        <v>251</v>
      </c>
      <c r="AK58" s="58">
        <v>-1</v>
      </c>
      <c r="AL58">
        <v>0</v>
      </c>
      <c r="AM58">
        <v>0</v>
      </c>
      <c r="AN58">
        <v>0</v>
      </c>
      <c r="AO58" t="s">
        <v>229</v>
      </c>
      <c r="AP58">
        <v>0</v>
      </c>
      <c r="AQ58">
        <v>0</v>
      </c>
      <c r="AR58" s="34">
        <v>13</v>
      </c>
      <c r="AS58" s="61">
        <f t="shared" si="7"/>
        <v>0</v>
      </c>
    </row>
    <row r="59" spans="22:45" x14ac:dyDescent="0.45">
      <c r="V59" t="str">
        <f t="shared" si="0"/>
        <v>005-5-2022-003, "108.17", "0", "0", "HST", "1", "0", "13", "0"</v>
      </c>
      <c r="W59" t="str">
        <f t="shared" si="1"/>
        <v>"005-5-2022-003", "108.17", "0", "0", "HST", "1", "0", "13", "0"</v>
      </c>
      <c r="AJ59" t="s">
        <v>243</v>
      </c>
      <c r="AK59" t="str">
        <f>TEXT(36,"00")</f>
        <v>36</v>
      </c>
      <c r="AL59">
        <v>0</v>
      </c>
      <c r="AM59">
        <v>0</v>
      </c>
      <c r="AN59">
        <v>0</v>
      </c>
      <c r="AO59" t="s">
        <v>229</v>
      </c>
      <c r="AP59">
        <v>0</v>
      </c>
      <c r="AQ59">
        <v>0</v>
      </c>
      <c r="AR59" s="34">
        <v>13</v>
      </c>
      <c r="AS59" s="61">
        <f t="shared" si="7"/>
        <v>0</v>
      </c>
    </row>
    <row r="60" spans="22:45" x14ac:dyDescent="0.45">
      <c r="V60" t="str">
        <f t="shared" si="0"/>
        <v>005-5-2022-100, "63.63", "9.5", "604.485", "HST", "1", "0", "13", "78.58"</v>
      </c>
      <c r="W60" t="str">
        <f t="shared" si="1"/>
        <v>"005-5-2022-100", "63.63", "9.5", "604.485", "HST", "1", "0", "13", "78.58"</v>
      </c>
      <c r="AK60" t="s">
        <v>173</v>
      </c>
      <c r="AL60" s="61">
        <f>D8</f>
        <v>40</v>
      </c>
      <c r="AM60" s="61">
        <f>H8</f>
        <v>63.63</v>
      </c>
      <c r="AN60" s="34">
        <f t="shared" ref="AN60:AN65" si="10">AL60*AM60</f>
        <v>2545.2000000000003</v>
      </c>
      <c r="AO60" t="s">
        <v>229</v>
      </c>
      <c r="AP60">
        <v>1</v>
      </c>
      <c r="AQ60">
        <v>0</v>
      </c>
      <c r="AR60" s="34">
        <v>13</v>
      </c>
      <c r="AS60" s="61">
        <f t="shared" si="7"/>
        <v>330.88</v>
      </c>
    </row>
    <row r="61" spans="22:45" x14ac:dyDescent="0.45">
      <c r="V61" t="str">
        <f t="shared" si="0"/>
        <v>005-0-2022-101, "58", "3", "174", "HST", "1", "0", "13", "22.62"</v>
      </c>
      <c r="W61" t="str">
        <f t="shared" si="1"/>
        <v>"005-0-2022-101", "58", "3", "174", "HST", "1", "0", "13", "22.62"</v>
      </c>
      <c r="AK61" t="s">
        <v>174</v>
      </c>
      <c r="AL61" s="61">
        <f>E8</f>
        <v>0</v>
      </c>
      <c r="AM61" s="61">
        <f>I8</f>
        <v>82.72</v>
      </c>
      <c r="AN61" s="34">
        <f t="shared" si="10"/>
        <v>0</v>
      </c>
      <c r="AO61" t="s">
        <v>229</v>
      </c>
      <c r="AP61">
        <v>1</v>
      </c>
      <c r="AQ61">
        <v>0</v>
      </c>
      <c r="AR61" s="34">
        <v>13</v>
      </c>
      <c r="AS61" s="61">
        <f t="shared" si="7"/>
        <v>0</v>
      </c>
    </row>
    <row r="62" spans="22:45" x14ac:dyDescent="0.45">
      <c r="V62" t="str">
        <f t="shared" si="0"/>
        <v>005-0-2022-102, "47.83", "1", "47.83", "HST", "1", "0", "13", "6.22"</v>
      </c>
      <c r="W62" t="str">
        <f t="shared" si="1"/>
        <v>"005-0-2022-102", "47.83", "1", "47.83", "HST", "1", "0", "13", "6.22"</v>
      </c>
      <c r="AK62" t="s">
        <v>175</v>
      </c>
      <c r="AL62" s="61">
        <f>F8</f>
        <v>0</v>
      </c>
      <c r="AM62" s="61">
        <f>J8</f>
        <v>108.17</v>
      </c>
      <c r="AN62" s="34">
        <f t="shared" si="10"/>
        <v>0</v>
      </c>
      <c r="AO62" t="s">
        <v>229</v>
      </c>
      <c r="AP62">
        <v>1</v>
      </c>
      <c r="AQ62">
        <v>0</v>
      </c>
      <c r="AR62" s="34">
        <v>13</v>
      </c>
      <c r="AS62" s="61">
        <f t="shared" si="7"/>
        <v>0</v>
      </c>
    </row>
    <row r="63" spans="22:45" x14ac:dyDescent="0.45">
      <c r="V63" t="str">
        <f t="shared" si="0"/>
        <v>-1, "0", "0", "0", "HST", "0", "0", "13", "0"</v>
      </c>
      <c r="W63" t="str">
        <f t="shared" si="1"/>
        <v>"-1", "0", "0", "0", "HST", "0", "0", "13", "0"</v>
      </c>
      <c r="AK63" t="s">
        <v>176</v>
      </c>
      <c r="AL63" s="61">
        <f>G8</f>
        <v>9.5</v>
      </c>
      <c r="AM63" s="61">
        <f>K8</f>
        <v>63.63</v>
      </c>
      <c r="AN63" s="34">
        <f t="shared" si="10"/>
        <v>604.48500000000001</v>
      </c>
      <c r="AO63" t="s">
        <v>229</v>
      </c>
      <c r="AP63">
        <v>1</v>
      </c>
      <c r="AQ63">
        <v>0</v>
      </c>
      <c r="AR63" s="34">
        <v>13</v>
      </c>
      <c r="AS63" s="61">
        <f t="shared" si="7"/>
        <v>78.58</v>
      </c>
    </row>
    <row r="64" spans="22:45" x14ac:dyDescent="0.45">
      <c r="V64" t="str">
        <f t="shared" si="0"/>
        <v>68, "0", "0", "0", "HST", "0", "0", "13", "0"</v>
      </c>
      <c r="W64" t="str">
        <f t="shared" si="1"/>
        <v>"68", "0", "0", "0", "HST", "0", "0", "13", "0"</v>
      </c>
      <c r="AK64" t="s">
        <v>177</v>
      </c>
      <c r="AL64" s="61">
        <f>L8</f>
        <v>3</v>
      </c>
      <c r="AM64" s="61">
        <f>M8</f>
        <v>58</v>
      </c>
      <c r="AN64" s="34">
        <f t="shared" si="10"/>
        <v>174</v>
      </c>
      <c r="AO64" t="s">
        <v>229</v>
      </c>
      <c r="AP64">
        <v>1</v>
      </c>
      <c r="AQ64">
        <v>0</v>
      </c>
      <c r="AR64" s="34">
        <v>13</v>
      </c>
      <c r="AS64" s="61">
        <f t="shared" si="7"/>
        <v>22.62</v>
      </c>
    </row>
    <row r="65" spans="22:45" x14ac:dyDescent="0.45">
      <c r="V65" t="str">
        <f t="shared" si="0"/>
        <v>005-2-2022-001, "40.71", "40", "1628.4", "HST", "1", "0", "13", "211.69"</v>
      </c>
      <c r="W65" t="str">
        <f t="shared" si="1"/>
        <v>"005-2-2022-001", "40.71", "40", "1628.4", "HST", "1", "0", "13", "211.69"</v>
      </c>
      <c r="AK65" t="s">
        <v>178</v>
      </c>
      <c r="AL65" s="61">
        <f>N8</f>
        <v>1</v>
      </c>
      <c r="AM65" s="61">
        <f>O8</f>
        <v>47.83</v>
      </c>
      <c r="AN65" s="34">
        <f t="shared" si="10"/>
        <v>47.83</v>
      </c>
      <c r="AO65" t="s">
        <v>229</v>
      </c>
      <c r="AP65">
        <v>1</v>
      </c>
      <c r="AQ65">
        <v>0</v>
      </c>
      <c r="AR65" s="34">
        <v>13</v>
      </c>
      <c r="AS65" s="61">
        <f t="shared" si="7"/>
        <v>6.22</v>
      </c>
    </row>
    <row r="66" spans="22:45" x14ac:dyDescent="0.45">
      <c r="V66" t="str">
        <f t="shared" si="0"/>
        <v>005-2-2022-002, "52.92", "16", "846.72", "HST", "1", "0", "13", "110.07"</v>
      </c>
      <c r="W66" t="str">
        <f t="shared" si="1"/>
        <v>"005-2-2022-002", "52.92", "16", "846.72", "HST", "1", "0", "13", "110.07"</v>
      </c>
      <c r="AJ66" t="s">
        <v>251</v>
      </c>
      <c r="AK66" s="58">
        <v>-1</v>
      </c>
      <c r="AL66">
        <v>0</v>
      </c>
      <c r="AM66">
        <v>0</v>
      </c>
      <c r="AN66">
        <v>0</v>
      </c>
      <c r="AO66" t="s">
        <v>229</v>
      </c>
      <c r="AP66">
        <v>0</v>
      </c>
      <c r="AQ66">
        <v>0</v>
      </c>
      <c r="AR66" s="34">
        <v>13</v>
      </c>
      <c r="AS66" s="61">
        <f t="shared" si="7"/>
        <v>0</v>
      </c>
    </row>
    <row r="67" spans="22:45" x14ac:dyDescent="0.45">
      <c r="V67" t="str">
        <f t="shared" si="0"/>
        <v>005-2-2022-003, "69.2", "0", "0", "HST", "1", "0", "13", "0"</v>
      </c>
      <c r="W67" t="str">
        <f t="shared" si="1"/>
        <v>"005-2-2022-003", "69.2", "0", "0", "HST", "1", "0", "13", "0"</v>
      </c>
      <c r="AJ67" t="s">
        <v>244</v>
      </c>
      <c r="AK67" t="str">
        <f>TEXT(68,"00")</f>
        <v>68</v>
      </c>
      <c r="AL67">
        <v>0</v>
      </c>
      <c r="AM67">
        <v>0</v>
      </c>
      <c r="AN67">
        <v>0</v>
      </c>
      <c r="AO67" t="s">
        <v>229</v>
      </c>
      <c r="AP67">
        <v>0</v>
      </c>
      <c r="AQ67">
        <v>0</v>
      </c>
      <c r="AR67" s="34">
        <v>13</v>
      </c>
      <c r="AS67" s="61">
        <f t="shared" si="7"/>
        <v>0</v>
      </c>
    </row>
    <row r="68" spans="22:45" x14ac:dyDescent="0.45">
      <c r="V68" t="str">
        <f t="shared" si="0"/>
        <v>005-2-2022-100, "40.71", "0", "0", "HST", "1", "0", "13", "0"</v>
      </c>
      <c r="W68" t="str">
        <f t="shared" si="1"/>
        <v>"005-2-2022-100", "40.71", "0", "0", "HST", "1", "0", "13", "0"</v>
      </c>
      <c r="AK68" t="s">
        <v>161</v>
      </c>
      <c r="AL68" s="61">
        <f>D15</f>
        <v>40</v>
      </c>
      <c r="AM68" s="61">
        <f>H15</f>
        <v>40.71</v>
      </c>
      <c r="AN68" s="34">
        <f t="shared" ref="AN68:AN73" si="11">AL68*AM68</f>
        <v>1628.4</v>
      </c>
      <c r="AO68" t="s">
        <v>229</v>
      </c>
      <c r="AP68">
        <v>1</v>
      </c>
      <c r="AQ68">
        <v>0</v>
      </c>
      <c r="AR68" s="34">
        <v>13</v>
      </c>
      <c r="AS68" s="61">
        <f t="shared" si="7"/>
        <v>211.69</v>
      </c>
    </row>
    <row r="69" spans="22:45" x14ac:dyDescent="0.45">
      <c r="V69" t="str">
        <f t="shared" si="0"/>
        <v>005-0-2022-101, "58", "0", "0", "HST", "1", "0", "13", "0"</v>
      </c>
      <c r="W69" t="str">
        <f t="shared" si="1"/>
        <v>"005-0-2022-101", "58", "0", "0", "HST", "1", "0", "13", "0"</v>
      </c>
      <c r="AK69" t="s">
        <v>162</v>
      </c>
      <c r="AL69" s="61">
        <f>E15</f>
        <v>16</v>
      </c>
      <c r="AM69" s="61">
        <f>I15</f>
        <v>52.92</v>
      </c>
      <c r="AN69" s="34">
        <f t="shared" si="11"/>
        <v>846.72</v>
      </c>
      <c r="AO69" t="s">
        <v>229</v>
      </c>
      <c r="AP69">
        <v>1</v>
      </c>
      <c r="AQ69">
        <v>0</v>
      </c>
      <c r="AR69" s="34">
        <v>13</v>
      </c>
      <c r="AS69" s="61">
        <f t="shared" si="7"/>
        <v>110.07</v>
      </c>
    </row>
    <row r="70" spans="22:45" x14ac:dyDescent="0.45">
      <c r="V70" t="str">
        <f t="shared" si="0"/>
        <v>005-0-2022-102, "0", "0", "0", "HST", "1", "0", "13", "0"</v>
      </c>
      <c r="W70" t="str">
        <f t="shared" si="1"/>
        <v>"005-0-2022-102", "0", "0", "0", "HST", "1", "0", "13", "0"</v>
      </c>
      <c r="AK70" t="s">
        <v>163</v>
      </c>
      <c r="AL70" s="61">
        <f>F15</f>
        <v>0</v>
      </c>
      <c r="AM70" s="61">
        <f>J15</f>
        <v>69.2</v>
      </c>
      <c r="AN70" s="34">
        <f t="shared" si="11"/>
        <v>0</v>
      </c>
      <c r="AO70" t="s">
        <v>229</v>
      </c>
      <c r="AP70">
        <v>1</v>
      </c>
      <c r="AQ70">
        <v>0</v>
      </c>
      <c r="AR70" s="34">
        <v>13</v>
      </c>
      <c r="AS70" s="61">
        <f t="shared" si="7"/>
        <v>0</v>
      </c>
    </row>
    <row r="71" spans="22:45" x14ac:dyDescent="0.45">
      <c r="V71" t="str">
        <f t="shared" si="0"/>
        <v>-1, "0", "0", "0", "HST", "0", "0", "13", "0"</v>
      </c>
      <c r="W71" t="str">
        <f t="shared" si="1"/>
        <v>"-1", "0", "0", "0", "HST", "0", "0", "13", "0"</v>
      </c>
      <c r="AK71" t="s">
        <v>164</v>
      </c>
      <c r="AL71" s="61">
        <f>G15</f>
        <v>0</v>
      </c>
      <c r="AM71" s="61">
        <f>K15</f>
        <v>40.71</v>
      </c>
      <c r="AN71" s="34">
        <f t="shared" si="11"/>
        <v>0</v>
      </c>
      <c r="AO71" t="s">
        <v>229</v>
      </c>
      <c r="AP71">
        <v>1</v>
      </c>
      <c r="AQ71">
        <v>0</v>
      </c>
      <c r="AR71" s="34">
        <v>13</v>
      </c>
      <c r="AS71" s="61">
        <f t="shared" si="7"/>
        <v>0</v>
      </c>
    </row>
    <row r="72" spans="22:45" x14ac:dyDescent="0.45">
      <c r="V72" t="str">
        <f t="shared" si="0"/>
        <v>44, "0", "0", "0", "HST", "0", "0", "13", "0"</v>
      </c>
      <c r="W72" t="str">
        <f t="shared" si="1"/>
        <v>"44", "0", "0", "0", "HST", "0", "0", "13", "0"</v>
      </c>
      <c r="AK72" t="s">
        <v>177</v>
      </c>
      <c r="AL72" s="61">
        <f>L15</f>
        <v>0</v>
      </c>
      <c r="AM72" s="61">
        <f>M15</f>
        <v>58</v>
      </c>
      <c r="AN72" s="34">
        <f t="shared" si="11"/>
        <v>0</v>
      </c>
      <c r="AO72" t="s">
        <v>229</v>
      </c>
      <c r="AP72">
        <v>1</v>
      </c>
      <c r="AQ72">
        <v>0</v>
      </c>
      <c r="AR72" s="34">
        <v>13</v>
      </c>
      <c r="AS72" s="61">
        <f t="shared" si="7"/>
        <v>0</v>
      </c>
    </row>
    <row r="73" spans="22:45" x14ac:dyDescent="0.45">
      <c r="V73" t="str">
        <f t="shared" ref="V73:V118" si="12">_xlfn.TEXTJOIN(", ", FALSE, AK76, CHAR(34) &amp; AM76 &amp; CHAR(34), CHAR(34) &amp; AL76 &amp; CHAR(34), CHAR(34) &amp; AN76 &amp; CHAR(34), CHAR(34) &amp; AO76 &amp; CHAR(34), CHAR(34) &amp; AP76 &amp; CHAR(34), CHAR(34) &amp; AQ76 &amp; CHAR(34), CHAR(34) &amp; AR76 &amp; CHAR(34), CHAR(34) &amp; AS76 &amp; CHAR(34))</f>
        <v>005-5-2022-001, "63.63", "40", "2545.2", "HST", "1", "0", "13", "330.88"</v>
      </c>
      <c r="W73" t="str">
        <f t="shared" ref="W73:W114" si="13">_xlfn.TEXTJOIN(", ", FALSE, CHAR(34) &amp; AK76 &amp; CHAR(34), CHAR(34) &amp; AM76 &amp; CHAR(34), CHAR(34) &amp; AL76 &amp; CHAR(34), CHAR(34) &amp; AN76 &amp; CHAR(34), CHAR(34) &amp; AO76 &amp; CHAR(34), CHAR(34) &amp; AP76 &amp; CHAR(34), CHAR(34) &amp; AQ76 &amp; CHAR(34), CHAR(34) &amp; AR76 &amp; CHAR(34), CHAR(34) &amp; AS76 &amp; CHAR(34))</f>
        <v>"005-5-2022-001", "63.63", "40", "2545.2", "HST", "1", "0", "13", "330.88"</v>
      </c>
      <c r="AK73" t="s">
        <v>178</v>
      </c>
      <c r="AL73" s="61">
        <f>N15</f>
        <v>0</v>
      </c>
      <c r="AM73" s="61">
        <f>O15</f>
        <v>0</v>
      </c>
      <c r="AN73" s="34">
        <f t="shared" si="11"/>
        <v>0</v>
      </c>
      <c r="AO73" t="s">
        <v>229</v>
      </c>
      <c r="AP73">
        <v>1</v>
      </c>
      <c r="AQ73">
        <v>0</v>
      </c>
      <c r="AR73" s="34">
        <v>13</v>
      </c>
      <c r="AS73" s="61">
        <f t="shared" si="7"/>
        <v>0</v>
      </c>
    </row>
    <row r="74" spans="22:45" x14ac:dyDescent="0.45">
      <c r="V74" t="str">
        <f t="shared" si="12"/>
        <v>005-5-2022-002, "82.72", "8", "661.76", "HST", "1", "0", "13", "86.03"</v>
      </c>
      <c r="W74" t="str">
        <f t="shared" si="13"/>
        <v>"005-5-2022-002", "82.72", "8", "661.76", "HST", "1", "0", "13", "86.03"</v>
      </c>
      <c r="AJ74" t="s">
        <v>251</v>
      </c>
      <c r="AK74" s="58">
        <v>-1</v>
      </c>
      <c r="AL74">
        <v>0</v>
      </c>
      <c r="AM74">
        <v>0</v>
      </c>
      <c r="AN74">
        <v>0</v>
      </c>
      <c r="AO74" t="s">
        <v>229</v>
      </c>
      <c r="AP74">
        <v>0</v>
      </c>
      <c r="AQ74">
        <v>0</v>
      </c>
      <c r="AR74" s="34">
        <v>13</v>
      </c>
      <c r="AS74" s="61">
        <f t="shared" si="7"/>
        <v>0</v>
      </c>
    </row>
    <row r="75" spans="22:45" x14ac:dyDescent="0.45">
      <c r="V75" t="str">
        <f t="shared" si="12"/>
        <v>005-5-2022-003, "108.17", "0", "0", "HST", "1", "0", "13", "0"</v>
      </c>
      <c r="W75" t="str">
        <f t="shared" si="13"/>
        <v>"005-5-2022-003", "108.17", "0", "0", "HST", "1", "0", "13", "0"</v>
      </c>
      <c r="AJ75" t="s">
        <v>245</v>
      </c>
      <c r="AK75" t="str">
        <f>TEXT(44,"00")</f>
        <v>44</v>
      </c>
      <c r="AL75">
        <v>0</v>
      </c>
      <c r="AM75">
        <v>0</v>
      </c>
      <c r="AN75">
        <v>0</v>
      </c>
      <c r="AO75" t="s">
        <v>229</v>
      </c>
      <c r="AP75">
        <v>0</v>
      </c>
      <c r="AQ75">
        <v>0</v>
      </c>
      <c r="AR75" s="34">
        <v>13</v>
      </c>
      <c r="AS75" s="61">
        <f t="shared" ref="AS75:AS106" si="14">ROUND(AN75*(AR75/100), 2)</f>
        <v>0</v>
      </c>
    </row>
    <row r="76" spans="22:45" x14ac:dyDescent="0.45">
      <c r="V76" t="str">
        <f t="shared" si="12"/>
        <v>005-5-2022-100, "63.63", "0", "0", "HST", "1", "0", "13", "0"</v>
      </c>
      <c r="W76" t="str">
        <f t="shared" si="13"/>
        <v>"005-5-2022-100", "63.63", "0", "0", "HST", "1", "0", "13", "0"</v>
      </c>
      <c r="AK76" t="s">
        <v>173</v>
      </c>
      <c r="AL76" s="61">
        <f>D9</f>
        <v>40</v>
      </c>
      <c r="AM76" s="61">
        <f>H9</f>
        <v>63.63</v>
      </c>
      <c r="AN76" s="34">
        <f t="shared" ref="AN76:AN81" si="15">AL76*AM76</f>
        <v>2545.2000000000003</v>
      </c>
      <c r="AO76" t="s">
        <v>229</v>
      </c>
      <c r="AP76">
        <v>1</v>
      </c>
      <c r="AQ76">
        <v>0</v>
      </c>
      <c r="AR76" s="34">
        <v>13</v>
      </c>
      <c r="AS76" s="61">
        <f t="shared" si="14"/>
        <v>330.88</v>
      </c>
    </row>
    <row r="77" spans="22:45" x14ac:dyDescent="0.45">
      <c r="V77" t="str">
        <f t="shared" si="12"/>
        <v>005-0-2022-101, "58", "0", "0", "HST", "1", "0", "13", "0"</v>
      </c>
      <c r="W77" t="str">
        <f t="shared" si="13"/>
        <v>"005-0-2022-101", "58", "0", "0", "HST", "1", "0", "13", "0"</v>
      </c>
      <c r="AK77" t="s">
        <v>174</v>
      </c>
      <c r="AL77" s="61">
        <f>E9</f>
        <v>8</v>
      </c>
      <c r="AM77" s="61">
        <f>I9</f>
        <v>82.72</v>
      </c>
      <c r="AN77" s="34">
        <f t="shared" si="15"/>
        <v>661.76</v>
      </c>
      <c r="AO77" t="s">
        <v>229</v>
      </c>
      <c r="AP77">
        <v>1</v>
      </c>
      <c r="AQ77">
        <v>0</v>
      </c>
      <c r="AR77" s="34">
        <v>13</v>
      </c>
      <c r="AS77" s="61">
        <f t="shared" si="14"/>
        <v>86.03</v>
      </c>
    </row>
    <row r="78" spans="22:45" x14ac:dyDescent="0.45">
      <c r="V78" t="str">
        <f t="shared" si="12"/>
        <v>005-0-2022-102, "0", "0", "0", "HST", "1", "0", "13", "0"</v>
      </c>
      <c r="W78" t="str">
        <f t="shared" si="13"/>
        <v>"005-0-2022-102", "0", "0", "0", "HST", "1", "0", "13", "0"</v>
      </c>
      <c r="AK78" t="s">
        <v>175</v>
      </c>
      <c r="AL78" s="61">
        <f>F9</f>
        <v>0</v>
      </c>
      <c r="AM78" s="61">
        <f>J9</f>
        <v>108.17</v>
      </c>
      <c r="AN78" s="34">
        <f t="shared" si="15"/>
        <v>0</v>
      </c>
      <c r="AO78" t="s">
        <v>229</v>
      </c>
      <c r="AP78">
        <v>1</v>
      </c>
      <c r="AQ78">
        <v>0</v>
      </c>
      <c r="AR78" s="34">
        <v>13</v>
      </c>
      <c r="AS78" s="61">
        <f t="shared" si="14"/>
        <v>0</v>
      </c>
    </row>
    <row r="79" spans="22:45" x14ac:dyDescent="0.45">
      <c r="V79" t="str">
        <f t="shared" si="12"/>
        <v>-1, "0", "0", "0", "HST", "0", "0", "13", "0"</v>
      </c>
      <c r="W79" t="str">
        <f t="shared" si="13"/>
        <v>"-1", "0", "0", "0", "HST", "0", "0", "13", "0"</v>
      </c>
      <c r="AK79" t="s">
        <v>176</v>
      </c>
      <c r="AL79" s="61">
        <f>G9</f>
        <v>0</v>
      </c>
      <c r="AM79" s="61">
        <f>K9</f>
        <v>63.63</v>
      </c>
      <c r="AN79" s="34">
        <f t="shared" si="15"/>
        <v>0</v>
      </c>
      <c r="AO79" t="s">
        <v>229</v>
      </c>
      <c r="AP79">
        <v>1</v>
      </c>
      <c r="AQ79">
        <v>0</v>
      </c>
      <c r="AR79" s="34">
        <v>13</v>
      </c>
      <c r="AS79" s="61">
        <f t="shared" si="14"/>
        <v>0</v>
      </c>
    </row>
    <row r="80" spans="22:45" x14ac:dyDescent="0.45">
      <c r="V80" t="str">
        <f t="shared" si="12"/>
        <v>08, "0", "0", "0", "HST", "0", "0", "13", "0"</v>
      </c>
      <c r="W80" t="str">
        <f t="shared" si="13"/>
        <v>"08", "0", "0", "0", "HST", "0", "0", "13", "0"</v>
      </c>
      <c r="AK80" t="s">
        <v>177</v>
      </c>
      <c r="AL80" s="61">
        <f>L9</f>
        <v>0</v>
      </c>
      <c r="AM80" s="61">
        <f>M9</f>
        <v>58</v>
      </c>
      <c r="AN80" s="34">
        <f t="shared" si="15"/>
        <v>0</v>
      </c>
      <c r="AO80" t="s">
        <v>229</v>
      </c>
      <c r="AP80">
        <v>1</v>
      </c>
      <c r="AQ80">
        <v>0</v>
      </c>
      <c r="AR80" s="34">
        <v>13</v>
      </c>
      <c r="AS80" s="61">
        <f t="shared" si="14"/>
        <v>0</v>
      </c>
    </row>
    <row r="81" spans="22:45" x14ac:dyDescent="0.45">
      <c r="V81" t="str">
        <f t="shared" si="12"/>
        <v>005-5-2022-001, "63.63", "40", "2545.2", "HST", "1", "0", "13", "330.88"</v>
      </c>
      <c r="W81" t="str">
        <f t="shared" si="13"/>
        <v>"005-5-2022-001", "63.63", "40", "2545.2", "HST", "1", "0", "13", "330.88"</v>
      </c>
      <c r="AK81" t="s">
        <v>178</v>
      </c>
      <c r="AL81" s="61">
        <f>N9</f>
        <v>0</v>
      </c>
      <c r="AM81" s="61">
        <f>O9</f>
        <v>0</v>
      </c>
      <c r="AN81" s="34">
        <f t="shared" si="15"/>
        <v>0</v>
      </c>
      <c r="AO81" t="s">
        <v>229</v>
      </c>
      <c r="AP81">
        <v>1</v>
      </c>
      <c r="AQ81">
        <v>0</v>
      </c>
      <c r="AR81" s="34">
        <v>13</v>
      </c>
      <c r="AS81" s="61">
        <f t="shared" si="14"/>
        <v>0</v>
      </c>
    </row>
    <row r="82" spans="22:45" x14ac:dyDescent="0.45">
      <c r="V82" t="str">
        <f t="shared" si="12"/>
        <v>005-5-2022-002, "82.72", "9.25", "765.16", "HST", "1", "0", "13", "99.47"</v>
      </c>
      <c r="W82" t="str">
        <f t="shared" si="13"/>
        <v>"005-5-2022-002", "82.72", "9.25", "765.16", "HST", "1", "0", "13", "99.47"</v>
      </c>
      <c r="AJ82" t="s">
        <v>251</v>
      </c>
      <c r="AK82" s="58">
        <v>-1</v>
      </c>
      <c r="AL82">
        <v>0</v>
      </c>
      <c r="AM82">
        <v>0</v>
      </c>
      <c r="AN82">
        <v>0</v>
      </c>
      <c r="AO82" t="s">
        <v>229</v>
      </c>
      <c r="AP82">
        <v>0</v>
      </c>
      <c r="AQ82">
        <v>0</v>
      </c>
      <c r="AR82" s="34">
        <v>13</v>
      </c>
      <c r="AS82" s="61">
        <f t="shared" si="14"/>
        <v>0</v>
      </c>
    </row>
    <row r="83" spans="22:45" x14ac:dyDescent="0.45">
      <c r="V83" t="str">
        <f t="shared" si="12"/>
        <v>005-5-2022-003, "108.17", "0", "0", "HST", "1", "0", "13", "0"</v>
      </c>
      <c r="W83" t="str">
        <f t="shared" si="13"/>
        <v>"005-5-2022-003", "108.17", "0", "0", "HST", "1", "0", "13", "0"</v>
      </c>
      <c r="AJ83" t="s">
        <v>246</v>
      </c>
      <c r="AK83" t="str">
        <f>TEXT(8,"00")</f>
        <v>08</v>
      </c>
      <c r="AL83">
        <v>0</v>
      </c>
      <c r="AM83">
        <v>0</v>
      </c>
      <c r="AN83">
        <v>0</v>
      </c>
      <c r="AO83" t="s">
        <v>229</v>
      </c>
      <c r="AP83">
        <v>0</v>
      </c>
      <c r="AQ83">
        <v>0</v>
      </c>
      <c r="AR83" s="34">
        <v>13</v>
      </c>
      <c r="AS83" s="61">
        <f t="shared" si="14"/>
        <v>0</v>
      </c>
    </row>
    <row r="84" spans="22:45" x14ac:dyDescent="0.45">
      <c r="V84" t="str">
        <f t="shared" si="12"/>
        <v>005-5-2022-100, "63.63", "0", "0", "HST", "1", "0", "13", "0"</v>
      </c>
      <c r="W84" t="str">
        <f t="shared" si="13"/>
        <v>"005-5-2022-100", "63.63", "0", "0", "HST", "1", "0", "13", "0"</v>
      </c>
      <c r="AK84" t="s">
        <v>173</v>
      </c>
      <c r="AL84" s="61">
        <f>D11</f>
        <v>40</v>
      </c>
      <c r="AM84" s="61">
        <f>H11</f>
        <v>63.63</v>
      </c>
      <c r="AN84" s="34">
        <f t="shared" ref="AN84:AN89" si="16">AL84*AM84</f>
        <v>2545.2000000000003</v>
      </c>
      <c r="AO84" t="s">
        <v>229</v>
      </c>
      <c r="AP84">
        <v>1</v>
      </c>
      <c r="AQ84">
        <v>0</v>
      </c>
      <c r="AR84" s="34">
        <v>13</v>
      </c>
      <c r="AS84" s="61">
        <f t="shared" si="14"/>
        <v>330.88</v>
      </c>
    </row>
    <row r="85" spans="22:45" x14ac:dyDescent="0.45">
      <c r="V85" t="str">
        <f t="shared" si="12"/>
        <v>005-0-2022-101, "58", "0", "0", "HST", "1", "0", "13", "0"</v>
      </c>
      <c r="W85" t="str">
        <f t="shared" si="13"/>
        <v>"005-0-2022-101", "58", "0", "0", "HST", "1", "0", "13", "0"</v>
      </c>
      <c r="AK85" t="s">
        <v>174</v>
      </c>
      <c r="AL85" s="61">
        <f>E11</f>
        <v>9.25</v>
      </c>
      <c r="AM85" s="61">
        <f>I11</f>
        <v>82.72</v>
      </c>
      <c r="AN85" s="34">
        <f t="shared" si="16"/>
        <v>765.16</v>
      </c>
      <c r="AO85" t="s">
        <v>229</v>
      </c>
      <c r="AP85">
        <v>1</v>
      </c>
      <c r="AQ85">
        <v>0</v>
      </c>
      <c r="AR85" s="34">
        <v>13</v>
      </c>
      <c r="AS85" s="61">
        <f t="shared" si="14"/>
        <v>99.47</v>
      </c>
    </row>
    <row r="86" spans="22:45" x14ac:dyDescent="0.45">
      <c r="V86" t="str">
        <f t="shared" si="12"/>
        <v>005-0-2022-102, "0", "0", "0", "HST", "1", "0", "13", "0"</v>
      </c>
      <c r="W86" t="str">
        <f t="shared" si="13"/>
        <v>"005-0-2022-102", "0", "0", "0", "HST", "1", "0", "13", "0"</v>
      </c>
      <c r="AK86" t="s">
        <v>175</v>
      </c>
      <c r="AL86" s="61">
        <f>F11</f>
        <v>0</v>
      </c>
      <c r="AM86" s="61">
        <f>J11</f>
        <v>108.17</v>
      </c>
      <c r="AN86" s="34">
        <f t="shared" si="16"/>
        <v>0</v>
      </c>
      <c r="AO86" t="s">
        <v>229</v>
      </c>
      <c r="AP86">
        <v>1</v>
      </c>
      <c r="AQ86">
        <v>0</v>
      </c>
      <c r="AR86" s="34">
        <v>13</v>
      </c>
      <c r="AS86" s="61">
        <f t="shared" si="14"/>
        <v>0</v>
      </c>
    </row>
    <row r="87" spans="22:45" x14ac:dyDescent="0.45">
      <c r="V87" t="str">
        <f t="shared" si="12"/>
        <v>-1, "0", "0", "0", "HST", "0", "0", "13", "0"</v>
      </c>
      <c r="W87" t="str">
        <f t="shared" si="13"/>
        <v>"-1", "0", "0", "0", "HST", "0", "0", "13", "0"</v>
      </c>
      <c r="AK87" t="s">
        <v>176</v>
      </c>
      <c r="AL87" s="61">
        <f>G11</f>
        <v>0</v>
      </c>
      <c r="AM87" s="61">
        <f>K11</f>
        <v>63.63</v>
      </c>
      <c r="AN87" s="34">
        <f t="shared" si="16"/>
        <v>0</v>
      </c>
      <c r="AO87" t="s">
        <v>229</v>
      </c>
      <c r="AP87">
        <v>1</v>
      </c>
      <c r="AQ87">
        <v>0</v>
      </c>
      <c r="AR87" s="34">
        <v>13</v>
      </c>
      <c r="AS87" s="61">
        <f t="shared" si="14"/>
        <v>0</v>
      </c>
    </row>
    <row r="88" spans="22:45" x14ac:dyDescent="0.45">
      <c r="V88" t="str">
        <f t="shared" si="12"/>
        <v>50, "0", "0", "0", "HST", "0", "0", "13", "0"</v>
      </c>
      <c r="W88" t="str">
        <f t="shared" si="13"/>
        <v>"50", "0", "0", "0", "HST", "0", "0", "13", "0"</v>
      </c>
      <c r="AK88" t="s">
        <v>177</v>
      </c>
      <c r="AL88" s="61">
        <f>L11</f>
        <v>0</v>
      </c>
      <c r="AM88" s="61">
        <f>M11</f>
        <v>58</v>
      </c>
      <c r="AN88" s="34">
        <f t="shared" si="16"/>
        <v>0</v>
      </c>
      <c r="AO88" t="s">
        <v>229</v>
      </c>
      <c r="AP88">
        <v>1</v>
      </c>
      <c r="AQ88">
        <v>0</v>
      </c>
      <c r="AR88" s="34">
        <v>13</v>
      </c>
      <c r="AS88" s="61">
        <f t="shared" si="14"/>
        <v>0</v>
      </c>
    </row>
    <row r="89" spans="22:45" x14ac:dyDescent="0.45">
      <c r="V89" t="str">
        <f t="shared" si="12"/>
        <v>005-5-2022-001, "63.63", "27.75", "1765.7325", "HST", "1", "0", "13", "229.55"</v>
      </c>
      <c r="W89" t="str">
        <f t="shared" si="13"/>
        <v>"005-5-2022-001", "63.63", "27.75", "1765.7325", "HST", "1", "0", "13", "229.55"</v>
      </c>
      <c r="AK89" t="s">
        <v>178</v>
      </c>
      <c r="AL89" s="61">
        <f>N11</f>
        <v>0</v>
      </c>
      <c r="AM89" s="61">
        <f>O11</f>
        <v>0</v>
      </c>
      <c r="AN89" s="34">
        <f t="shared" si="16"/>
        <v>0</v>
      </c>
      <c r="AO89" t="s">
        <v>229</v>
      </c>
      <c r="AP89">
        <v>1</v>
      </c>
      <c r="AQ89">
        <v>0</v>
      </c>
      <c r="AR89" s="34">
        <v>13</v>
      </c>
      <c r="AS89" s="61">
        <f t="shared" si="14"/>
        <v>0</v>
      </c>
    </row>
    <row r="90" spans="22:45" x14ac:dyDescent="0.45">
      <c r="V90" t="str">
        <f t="shared" si="12"/>
        <v>005-5-2022-002, "82.72", "0", "0", "HST", "1", "0", "13", "0"</v>
      </c>
      <c r="W90" t="str">
        <f t="shared" si="13"/>
        <v>"005-5-2022-002", "82.72", "0", "0", "HST", "1", "0", "13", "0"</v>
      </c>
      <c r="AJ90" t="s">
        <v>251</v>
      </c>
      <c r="AK90" s="58">
        <v>-1</v>
      </c>
      <c r="AL90">
        <v>0</v>
      </c>
      <c r="AM90">
        <v>0</v>
      </c>
      <c r="AN90">
        <v>0</v>
      </c>
      <c r="AO90" t="s">
        <v>229</v>
      </c>
      <c r="AP90">
        <v>0</v>
      </c>
      <c r="AQ90">
        <v>0</v>
      </c>
      <c r="AR90" s="34">
        <v>13</v>
      </c>
      <c r="AS90" s="61">
        <f t="shared" si="14"/>
        <v>0</v>
      </c>
    </row>
    <row r="91" spans="22:45" x14ac:dyDescent="0.45">
      <c r="V91" t="str">
        <f t="shared" si="12"/>
        <v>005-5-2022-003, "108.17", "0", "0", "HST", "1", "0", "13", "0"</v>
      </c>
      <c r="W91" t="str">
        <f t="shared" si="13"/>
        <v>"005-5-2022-003", "108.17", "0", "0", "HST", "1", "0", "13", "0"</v>
      </c>
      <c r="AJ91" t="s">
        <v>247</v>
      </c>
      <c r="AK91" t="str">
        <f>TEXT(50,"00")</f>
        <v>50</v>
      </c>
      <c r="AL91">
        <v>0</v>
      </c>
      <c r="AM91">
        <v>0</v>
      </c>
      <c r="AN91">
        <v>0</v>
      </c>
      <c r="AO91" t="s">
        <v>229</v>
      </c>
      <c r="AP91">
        <v>0</v>
      </c>
      <c r="AQ91">
        <v>0</v>
      </c>
      <c r="AR91" s="34">
        <v>13</v>
      </c>
      <c r="AS91" s="61">
        <f t="shared" si="14"/>
        <v>0</v>
      </c>
    </row>
    <row r="92" spans="22:45" x14ac:dyDescent="0.45">
      <c r="V92" t="str">
        <f t="shared" si="12"/>
        <v>005-5-2022-100, "63.63", "9.5", "604.485", "HST", "1", "0", "13", "78.58"</v>
      </c>
      <c r="W92" t="str">
        <f t="shared" si="13"/>
        <v>"005-5-2022-100", "63.63", "9.5", "604.485", "HST", "1", "0", "13", "78.58"</v>
      </c>
      <c r="AK92" t="s">
        <v>173</v>
      </c>
      <c r="AL92" s="61">
        <f>D10</f>
        <v>27.75</v>
      </c>
      <c r="AM92" s="61">
        <f>H10</f>
        <v>63.63</v>
      </c>
      <c r="AN92" s="34">
        <f t="shared" ref="AN92:AN97" si="17">AL92*AM92</f>
        <v>1765.7325000000001</v>
      </c>
      <c r="AO92" t="s">
        <v>229</v>
      </c>
      <c r="AP92">
        <v>1</v>
      </c>
      <c r="AQ92">
        <v>0</v>
      </c>
      <c r="AR92" s="34">
        <v>13</v>
      </c>
      <c r="AS92" s="61">
        <f t="shared" si="14"/>
        <v>229.55</v>
      </c>
    </row>
    <row r="93" spans="22:45" x14ac:dyDescent="0.45">
      <c r="V93" t="str">
        <f t="shared" si="12"/>
        <v>005-0-2022-101, "58", "3", "174", "HST", "1", "0", "13", "22.62"</v>
      </c>
      <c r="W93" t="str">
        <f t="shared" si="13"/>
        <v>"005-0-2022-101", "58", "3", "174", "HST", "1", "0", "13", "22.62"</v>
      </c>
      <c r="AK93" t="s">
        <v>174</v>
      </c>
      <c r="AL93" s="61">
        <f>E10</f>
        <v>0</v>
      </c>
      <c r="AM93" s="61">
        <f>I10</f>
        <v>82.72</v>
      </c>
      <c r="AN93" s="34">
        <f t="shared" si="17"/>
        <v>0</v>
      </c>
      <c r="AO93" t="s">
        <v>229</v>
      </c>
      <c r="AP93">
        <v>1</v>
      </c>
      <c r="AQ93">
        <v>0</v>
      </c>
      <c r="AR93" s="34">
        <v>13</v>
      </c>
      <c r="AS93" s="61">
        <f t="shared" si="14"/>
        <v>0</v>
      </c>
    </row>
    <row r="94" spans="22:45" x14ac:dyDescent="0.45">
      <c r="V94" t="str">
        <f t="shared" si="12"/>
        <v>005-0-2022-102, "48.85", "1", "48.85", "HST", "1", "0", "13", "6.35"</v>
      </c>
      <c r="W94" t="str">
        <f t="shared" si="13"/>
        <v>"005-0-2022-102", "48.85", "1", "48.85", "HST", "1", "0", "13", "6.35"</v>
      </c>
      <c r="AK94" t="s">
        <v>175</v>
      </c>
      <c r="AL94" s="61">
        <f>F10</f>
        <v>0</v>
      </c>
      <c r="AM94" s="61">
        <f>J10</f>
        <v>108.17</v>
      </c>
      <c r="AN94" s="34">
        <f t="shared" si="17"/>
        <v>0</v>
      </c>
      <c r="AO94" t="s">
        <v>229</v>
      </c>
      <c r="AP94">
        <v>1</v>
      </c>
      <c r="AQ94">
        <v>0</v>
      </c>
      <c r="AR94" s="34">
        <v>13</v>
      </c>
      <c r="AS94" s="61">
        <f t="shared" si="14"/>
        <v>0</v>
      </c>
    </row>
    <row r="95" spans="22:45" x14ac:dyDescent="0.45">
      <c r="V95" t="str">
        <f t="shared" si="12"/>
        <v>-1, "0", "0", "0", "HST", "0", "0", "13", "0"</v>
      </c>
      <c r="W95" t="str">
        <f t="shared" si="13"/>
        <v>"-1", "0", "0", "0", "HST", "0", "0", "13", "0"</v>
      </c>
      <c r="AK95" t="s">
        <v>176</v>
      </c>
      <c r="AL95" s="61">
        <f>G10</f>
        <v>9.5</v>
      </c>
      <c r="AM95" s="61">
        <f>K10</f>
        <v>63.63</v>
      </c>
      <c r="AN95" s="34">
        <f t="shared" si="17"/>
        <v>604.48500000000001</v>
      </c>
      <c r="AO95" t="s">
        <v>229</v>
      </c>
      <c r="AP95">
        <v>1</v>
      </c>
      <c r="AQ95">
        <v>0</v>
      </c>
      <c r="AR95" s="34">
        <v>13</v>
      </c>
      <c r="AS95" s="61">
        <f t="shared" si="14"/>
        <v>78.58</v>
      </c>
    </row>
    <row r="96" spans="22:45" x14ac:dyDescent="0.45">
      <c r="V96" t="str">
        <f t="shared" si="12"/>
        <v>61, "0", "0", "0", "HST", "0", "0", "13", "0"</v>
      </c>
      <c r="W96" t="str">
        <f t="shared" si="13"/>
        <v>"61", "0", "0", "0", "HST", "0", "0", "13", "0"</v>
      </c>
      <c r="AK96" t="s">
        <v>177</v>
      </c>
      <c r="AL96" s="61">
        <f>L10</f>
        <v>3</v>
      </c>
      <c r="AM96" s="61">
        <f>M10</f>
        <v>58</v>
      </c>
      <c r="AN96" s="34">
        <f t="shared" si="17"/>
        <v>174</v>
      </c>
      <c r="AO96" t="s">
        <v>229</v>
      </c>
      <c r="AP96">
        <v>1</v>
      </c>
      <c r="AQ96">
        <v>0</v>
      </c>
      <c r="AR96" s="34">
        <v>13</v>
      </c>
      <c r="AS96" s="61">
        <f t="shared" si="14"/>
        <v>22.62</v>
      </c>
    </row>
    <row r="97" spans="22:45" x14ac:dyDescent="0.45">
      <c r="V97" t="str">
        <f t="shared" si="12"/>
        <v>005-3-2022-001, "48.21", "40", "1928.4", "HST", "1", "0", "13", "250.69"</v>
      </c>
      <c r="W97" t="str">
        <f t="shared" si="13"/>
        <v>"005-3-2022-001", "48.21", "40", "1928.4", "HST", "1", "0", "13", "250.69"</v>
      </c>
      <c r="AK97" t="s">
        <v>178</v>
      </c>
      <c r="AL97" s="61">
        <f>N10</f>
        <v>1</v>
      </c>
      <c r="AM97" s="61">
        <f>O10</f>
        <v>48.85</v>
      </c>
      <c r="AN97" s="34">
        <f t="shared" si="17"/>
        <v>48.85</v>
      </c>
      <c r="AO97" t="s">
        <v>229</v>
      </c>
      <c r="AP97">
        <v>1</v>
      </c>
      <c r="AQ97">
        <v>0</v>
      </c>
      <c r="AR97" s="34">
        <v>13</v>
      </c>
      <c r="AS97" s="61">
        <f t="shared" si="14"/>
        <v>6.35</v>
      </c>
    </row>
    <row r="98" spans="22:45" x14ac:dyDescent="0.45">
      <c r="V98" t="str">
        <f t="shared" si="12"/>
        <v>005-3-2022-002, "62.67", "8", "501.36", "HST", "1", "0", "13", "65.18"</v>
      </c>
      <c r="W98" t="str">
        <f t="shared" si="13"/>
        <v>"005-3-2022-002", "62.67", "8", "501.36", "HST", "1", "0", "13", "65.18"</v>
      </c>
      <c r="AJ98" t="s">
        <v>251</v>
      </c>
      <c r="AK98" s="58">
        <v>-1</v>
      </c>
      <c r="AL98">
        <v>0</v>
      </c>
      <c r="AM98">
        <v>0</v>
      </c>
      <c r="AN98">
        <v>0</v>
      </c>
      <c r="AO98" t="s">
        <v>229</v>
      </c>
      <c r="AP98">
        <v>0</v>
      </c>
      <c r="AQ98">
        <v>0</v>
      </c>
      <c r="AR98" s="34">
        <v>13</v>
      </c>
      <c r="AS98" s="61">
        <f t="shared" si="14"/>
        <v>0</v>
      </c>
    </row>
    <row r="99" spans="22:45" x14ac:dyDescent="0.45">
      <c r="V99" t="str">
        <f t="shared" si="12"/>
        <v>005-3-2022-003, "81.95", "0", "0", "HST", "1", "0", "13", "0"</v>
      </c>
      <c r="W99" t="str">
        <f t="shared" si="13"/>
        <v>"005-3-2022-003", "81.95", "0", "0", "HST", "1", "0", "13", "0"</v>
      </c>
      <c r="AJ99" t="s">
        <v>248</v>
      </c>
      <c r="AK99" t="str">
        <f>TEXT(61,"00")</f>
        <v>61</v>
      </c>
      <c r="AL99">
        <v>0</v>
      </c>
      <c r="AM99">
        <v>0</v>
      </c>
      <c r="AN99">
        <v>0</v>
      </c>
      <c r="AO99" t="s">
        <v>229</v>
      </c>
      <c r="AP99">
        <v>0</v>
      </c>
      <c r="AQ99">
        <v>0</v>
      </c>
      <c r="AR99" s="34">
        <v>13</v>
      </c>
      <c r="AS99" s="61">
        <f t="shared" si="14"/>
        <v>0</v>
      </c>
    </row>
    <row r="100" spans="22:45" x14ac:dyDescent="0.45">
      <c r="V100" t="str">
        <f t="shared" si="12"/>
        <v>005-3-2022-100, "48.21", "0", "0", "HST", "1", "0", "13", "0"</v>
      </c>
      <c r="W100" t="str">
        <f t="shared" si="13"/>
        <v>"005-3-2022-100", "48.21", "0", "0", "HST", "1", "0", "13", "0"</v>
      </c>
      <c r="AK100" t="s">
        <v>165</v>
      </c>
      <c r="AL100" s="61">
        <f>D12</f>
        <v>40</v>
      </c>
      <c r="AM100" s="61">
        <f>H12</f>
        <v>48.21</v>
      </c>
      <c r="AN100" s="34">
        <f t="shared" ref="AN100:AN105" si="18">AL100*AM100</f>
        <v>1928.4</v>
      </c>
      <c r="AO100" t="s">
        <v>229</v>
      </c>
      <c r="AP100">
        <v>1</v>
      </c>
      <c r="AQ100">
        <v>0</v>
      </c>
      <c r="AR100" s="34">
        <v>13</v>
      </c>
      <c r="AS100" s="61">
        <f t="shared" si="14"/>
        <v>250.69</v>
      </c>
    </row>
    <row r="101" spans="22:45" x14ac:dyDescent="0.45">
      <c r="V101" t="str">
        <f t="shared" si="12"/>
        <v>005-0-2022-101, "58", "0", "0", "HST", "1", "0", "13", "0"</v>
      </c>
      <c r="W101" t="str">
        <f t="shared" si="13"/>
        <v>"005-0-2022-101", "58", "0", "0", "HST", "1", "0", "13", "0"</v>
      </c>
      <c r="AK101" t="s">
        <v>166</v>
      </c>
      <c r="AL101" s="61">
        <f>E12</f>
        <v>8</v>
      </c>
      <c r="AM101" s="61">
        <f>I12</f>
        <v>62.67</v>
      </c>
      <c r="AN101" s="34">
        <f t="shared" si="18"/>
        <v>501.36</v>
      </c>
      <c r="AO101" t="s">
        <v>229</v>
      </c>
      <c r="AP101">
        <v>1</v>
      </c>
      <c r="AQ101">
        <v>0</v>
      </c>
      <c r="AR101" s="34">
        <v>13</v>
      </c>
      <c r="AS101" s="61">
        <f t="shared" si="14"/>
        <v>65.180000000000007</v>
      </c>
    </row>
    <row r="102" spans="22:45" x14ac:dyDescent="0.45">
      <c r="V102" t="str">
        <f t="shared" si="12"/>
        <v>005-0-2022-102, "0", "0", "0", "HST", "1", "0", "13", "0"</v>
      </c>
      <c r="W102" t="str">
        <f t="shared" si="13"/>
        <v>"005-0-2022-102", "0", "0", "0", "HST", "1", "0", "13", "0"</v>
      </c>
      <c r="AK102" t="s">
        <v>167</v>
      </c>
      <c r="AL102" s="61">
        <f>F12</f>
        <v>0</v>
      </c>
      <c r="AM102" s="61">
        <f>J12</f>
        <v>81.95</v>
      </c>
      <c r="AN102" s="34">
        <f t="shared" si="18"/>
        <v>0</v>
      </c>
      <c r="AO102" t="s">
        <v>229</v>
      </c>
      <c r="AP102">
        <v>1</v>
      </c>
      <c r="AQ102">
        <v>0</v>
      </c>
      <c r="AR102" s="34">
        <v>13</v>
      </c>
      <c r="AS102" s="61">
        <f t="shared" si="14"/>
        <v>0</v>
      </c>
    </row>
    <row r="103" spans="22:45" x14ac:dyDescent="0.45">
      <c r="V103" t="str">
        <f t="shared" si="12"/>
        <v>-1, "0", "0", "0", "HST", "0", "0", "13", "0"</v>
      </c>
      <c r="W103" t="str">
        <f t="shared" si="13"/>
        <v>"-1", "0", "0", "0", "HST", "0", "0", "13", "0"</v>
      </c>
      <c r="AK103" t="s">
        <v>168</v>
      </c>
      <c r="AL103" s="61">
        <f>G12</f>
        <v>0</v>
      </c>
      <c r="AM103" s="61">
        <f>K12</f>
        <v>48.21</v>
      </c>
      <c r="AN103" s="34">
        <f t="shared" si="18"/>
        <v>0</v>
      </c>
      <c r="AO103" t="s">
        <v>229</v>
      </c>
      <c r="AP103">
        <v>1</v>
      </c>
      <c r="AQ103">
        <v>0</v>
      </c>
      <c r="AR103" s="34">
        <v>13</v>
      </c>
      <c r="AS103" s="61">
        <f t="shared" si="14"/>
        <v>0</v>
      </c>
    </row>
    <row r="104" spans="22:45" x14ac:dyDescent="0.45">
      <c r="V104" t="str">
        <f t="shared" si="12"/>
        <v>57, "0", "0", "0", "HST", "0", "0", "13", "0"</v>
      </c>
      <c r="W104" t="str">
        <f t="shared" si="13"/>
        <v>"57", "0", "0", "0", "HST", "0", "0", "13", "0"</v>
      </c>
      <c r="AK104" t="s">
        <v>177</v>
      </c>
      <c r="AL104" s="61">
        <f>L12</f>
        <v>0</v>
      </c>
      <c r="AM104" s="61">
        <f>M12</f>
        <v>58</v>
      </c>
      <c r="AN104" s="34">
        <f t="shared" si="18"/>
        <v>0</v>
      </c>
      <c r="AO104" t="s">
        <v>229</v>
      </c>
      <c r="AP104">
        <v>1</v>
      </c>
      <c r="AQ104">
        <v>0</v>
      </c>
      <c r="AR104" s="34">
        <v>13</v>
      </c>
      <c r="AS104" s="61">
        <f t="shared" si="14"/>
        <v>0</v>
      </c>
    </row>
    <row r="105" spans="22:45" x14ac:dyDescent="0.45">
      <c r="V105" t="str">
        <f t="shared" si="12"/>
        <v>005-5-2022-001, "63.63", "40", "2545.2", "HST", "1", "0", "13", "330.88"</v>
      </c>
      <c r="W105" t="str">
        <f t="shared" si="13"/>
        <v>"005-5-2022-001", "63.63", "40", "2545.2", "HST", "1", "0", "13", "330.88"</v>
      </c>
      <c r="AK105" t="s">
        <v>178</v>
      </c>
      <c r="AL105" s="61">
        <f>N12</f>
        <v>0</v>
      </c>
      <c r="AM105" s="61">
        <f>O12</f>
        <v>0</v>
      </c>
      <c r="AN105" s="34">
        <f t="shared" si="18"/>
        <v>0</v>
      </c>
      <c r="AO105" t="s">
        <v>229</v>
      </c>
      <c r="AP105">
        <v>1</v>
      </c>
      <c r="AQ105">
        <v>0</v>
      </c>
      <c r="AR105" s="34">
        <v>13</v>
      </c>
      <c r="AS105" s="61">
        <f t="shared" si="14"/>
        <v>0</v>
      </c>
    </row>
    <row r="106" spans="22:45" x14ac:dyDescent="0.45">
      <c r="V106" t="str">
        <f t="shared" si="12"/>
        <v>005-5-2022-002, "82.72", "10", "827.2", "HST", "1", "0", "13", "107.54"</v>
      </c>
      <c r="W106" t="str">
        <f t="shared" si="13"/>
        <v>"005-5-2022-002", "82.72", "10", "827.2", "HST", "1", "0", "13", "107.54"</v>
      </c>
      <c r="AJ106" t="s">
        <v>251</v>
      </c>
      <c r="AK106" s="58">
        <v>-1</v>
      </c>
      <c r="AL106">
        <v>0</v>
      </c>
      <c r="AM106">
        <v>0</v>
      </c>
      <c r="AN106">
        <v>0</v>
      </c>
      <c r="AO106" t="s">
        <v>229</v>
      </c>
      <c r="AP106">
        <v>0</v>
      </c>
      <c r="AQ106">
        <v>0</v>
      </c>
      <c r="AR106" s="34">
        <v>13</v>
      </c>
      <c r="AS106" s="61">
        <f t="shared" si="14"/>
        <v>0</v>
      </c>
    </row>
    <row r="107" spans="22:45" x14ac:dyDescent="0.45">
      <c r="V107" t="str">
        <f t="shared" si="12"/>
        <v>005-5-2022-003, "108.17", "0", "0", "HST", "1", "0", "13", "0"</v>
      </c>
      <c r="W107" t="str">
        <f t="shared" si="13"/>
        <v>"005-5-2022-003", "108.17", "0", "0", "HST", "1", "0", "13", "0"</v>
      </c>
      <c r="AJ107" t="s">
        <v>249</v>
      </c>
      <c r="AK107" t="str">
        <f>TEXT(57,"00")</f>
        <v>57</v>
      </c>
      <c r="AL107">
        <v>0</v>
      </c>
      <c r="AM107">
        <v>0</v>
      </c>
      <c r="AN107">
        <v>0</v>
      </c>
      <c r="AO107" t="s">
        <v>229</v>
      </c>
      <c r="AP107">
        <v>0</v>
      </c>
      <c r="AQ107">
        <v>0</v>
      </c>
      <c r="AR107" s="34">
        <v>13</v>
      </c>
      <c r="AS107" s="61">
        <f t="shared" ref="AS107:AS121" si="19">ROUND(AN107*(AR107/100), 2)</f>
        <v>0</v>
      </c>
    </row>
    <row r="108" spans="22:45" x14ac:dyDescent="0.45">
      <c r="V108" t="str">
        <f t="shared" si="12"/>
        <v>005-5-2022-100, "63.63", "0", "0", "HST", "1", "0", "13", "0"</v>
      </c>
      <c r="W108" t="str">
        <f t="shared" si="13"/>
        <v>"005-5-2022-100", "63.63", "0", "0", "HST", "1", "0", "13", "0"</v>
      </c>
      <c r="AK108" t="s">
        <v>173</v>
      </c>
      <c r="AL108" s="61">
        <f>D2</f>
        <v>40</v>
      </c>
      <c r="AM108" s="61">
        <f>H2</f>
        <v>63.63</v>
      </c>
      <c r="AN108" s="34">
        <f t="shared" ref="AN108:AN113" si="20">AL108*AM108</f>
        <v>2545.2000000000003</v>
      </c>
      <c r="AO108" t="s">
        <v>229</v>
      </c>
      <c r="AP108">
        <v>1</v>
      </c>
      <c r="AQ108">
        <v>0</v>
      </c>
      <c r="AR108" s="34">
        <v>13</v>
      </c>
      <c r="AS108" s="61">
        <f t="shared" si="19"/>
        <v>330.88</v>
      </c>
    </row>
    <row r="109" spans="22:45" x14ac:dyDescent="0.45">
      <c r="V109" t="str">
        <f t="shared" si="12"/>
        <v>005-0-2022-101, "58", "0", "0", "HST", "1", "0", "13", "0"</v>
      </c>
      <c r="W109" t="str">
        <f t="shared" si="13"/>
        <v>"005-0-2022-101", "58", "0", "0", "HST", "1", "0", "13", "0"</v>
      </c>
      <c r="AK109" t="s">
        <v>174</v>
      </c>
      <c r="AL109" s="61">
        <f>E2</f>
        <v>10</v>
      </c>
      <c r="AM109" s="61">
        <f>I2</f>
        <v>82.72</v>
      </c>
      <c r="AN109" s="34">
        <f t="shared" si="20"/>
        <v>827.2</v>
      </c>
      <c r="AO109" t="s">
        <v>229</v>
      </c>
      <c r="AP109">
        <v>1</v>
      </c>
      <c r="AQ109">
        <v>0</v>
      </c>
      <c r="AR109" s="34">
        <v>13</v>
      </c>
      <c r="AS109" s="61">
        <f t="shared" si="19"/>
        <v>107.54</v>
      </c>
    </row>
    <row r="110" spans="22:45" x14ac:dyDescent="0.45">
      <c r="V110" t="str">
        <f t="shared" si="12"/>
        <v>005-0-2022-102, "0", "0", "0", "HST", "1", "0", "13", "0"</v>
      </c>
      <c r="W110" t="str">
        <f t="shared" si="13"/>
        <v>"005-0-2022-102", "0", "0", "0", "HST", "1", "0", "13", "0"</v>
      </c>
      <c r="AK110" t="s">
        <v>175</v>
      </c>
      <c r="AL110" s="61">
        <f>F2</f>
        <v>0</v>
      </c>
      <c r="AM110" s="61">
        <f>J2</f>
        <v>108.17</v>
      </c>
      <c r="AN110" s="34">
        <f t="shared" si="20"/>
        <v>0</v>
      </c>
      <c r="AO110" t="s">
        <v>229</v>
      </c>
      <c r="AP110">
        <v>1</v>
      </c>
      <c r="AQ110">
        <v>0</v>
      </c>
      <c r="AR110" s="34">
        <v>13</v>
      </c>
      <c r="AS110" s="61">
        <f t="shared" si="19"/>
        <v>0</v>
      </c>
    </row>
    <row r="111" spans="22:45" x14ac:dyDescent="0.45">
      <c r="V111" t="str">
        <f t="shared" si="12"/>
        <v>-1, "0", "0", "0", "HST", "0", "0", "13", "0"</v>
      </c>
      <c r="W111" t="str">
        <f t="shared" si="13"/>
        <v>"-1", "0", "0", "0", "HST", "0", "0", "13", "0"</v>
      </c>
      <c r="AK111" t="s">
        <v>176</v>
      </c>
      <c r="AL111" s="61">
        <f>G2</f>
        <v>0</v>
      </c>
      <c r="AM111" s="61">
        <f>K2</f>
        <v>63.63</v>
      </c>
      <c r="AN111" s="34">
        <f t="shared" si="20"/>
        <v>0</v>
      </c>
      <c r="AO111" t="s">
        <v>229</v>
      </c>
      <c r="AP111">
        <v>1</v>
      </c>
      <c r="AQ111">
        <v>0</v>
      </c>
      <c r="AR111" s="34">
        <v>13</v>
      </c>
      <c r="AS111" s="61">
        <f t="shared" si="19"/>
        <v>0</v>
      </c>
    </row>
    <row r="112" spans="22:45" x14ac:dyDescent="0.45">
      <c r="V112" t="str">
        <f t="shared" si="12"/>
        <v>66, "0", "0", "0", "HST", "0", "0", "13", "0"</v>
      </c>
      <c r="W112" t="str">
        <f t="shared" si="13"/>
        <v>"66", "0", "0", "0", "HST", "0", "0", "13", "0"</v>
      </c>
      <c r="AK112" t="s">
        <v>177</v>
      </c>
      <c r="AL112" s="61">
        <f>L2</f>
        <v>0</v>
      </c>
      <c r="AM112" s="61">
        <f>M2</f>
        <v>58</v>
      </c>
      <c r="AN112" s="34">
        <f t="shared" si="20"/>
        <v>0</v>
      </c>
      <c r="AO112" t="s">
        <v>229</v>
      </c>
      <c r="AP112">
        <v>1</v>
      </c>
      <c r="AQ112">
        <v>0</v>
      </c>
      <c r="AR112" s="34">
        <v>13</v>
      </c>
      <c r="AS112" s="61">
        <f t="shared" si="19"/>
        <v>0</v>
      </c>
    </row>
    <row r="113" spans="22:45" x14ac:dyDescent="0.45">
      <c r="V113" t="str">
        <f t="shared" si="12"/>
        <v>005-2-2022-001, "40.71", "40", "1628.4", "HST", "1", "0", "13", "211.69"</v>
      </c>
      <c r="W113" t="str">
        <f t="shared" si="13"/>
        <v>"005-2-2022-001", "40.71", "40", "1628.4", "HST", "1", "0", "13", "211.69"</v>
      </c>
      <c r="AK113" t="s">
        <v>178</v>
      </c>
      <c r="AL113" s="61">
        <f>N2</f>
        <v>0</v>
      </c>
      <c r="AM113" s="61">
        <f>O2</f>
        <v>0</v>
      </c>
      <c r="AN113" s="34">
        <f t="shared" si="20"/>
        <v>0</v>
      </c>
      <c r="AO113" t="s">
        <v>229</v>
      </c>
      <c r="AP113">
        <v>1</v>
      </c>
      <c r="AQ113">
        <v>0</v>
      </c>
      <c r="AR113" s="34">
        <v>13</v>
      </c>
      <c r="AS113" s="61">
        <f t="shared" si="19"/>
        <v>0</v>
      </c>
    </row>
    <row r="114" spans="22:45" x14ac:dyDescent="0.45">
      <c r="V114" t="str">
        <f t="shared" si="12"/>
        <v>005-2-2022-002, "52.92", "15.25", "807.03", "HST", "1", "0", "13", "104.91"</v>
      </c>
      <c r="W114" t="str">
        <f t="shared" si="13"/>
        <v>"005-2-2022-002", "52.92", "15.25", "807.03", "HST", "1", "0", "13", "104.91"</v>
      </c>
      <c r="AJ114" t="s">
        <v>251</v>
      </c>
      <c r="AK114" s="58">
        <v>-1</v>
      </c>
      <c r="AL114">
        <v>0</v>
      </c>
      <c r="AM114">
        <v>0</v>
      </c>
      <c r="AN114">
        <v>0</v>
      </c>
      <c r="AO114" t="s">
        <v>229</v>
      </c>
      <c r="AP114">
        <v>0</v>
      </c>
      <c r="AQ114">
        <v>0</v>
      </c>
      <c r="AR114" s="34">
        <v>13</v>
      </c>
      <c r="AS114" s="61">
        <f t="shared" si="19"/>
        <v>0</v>
      </c>
    </row>
    <row r="115" spans="22:45" x14ac:dyDescent="0.45">
      <c r="V115" t="str">
        <f t="shared" si="12"/>
        <v>005-2-2022-003, "69.2", "0", "0", "HST", "1", "0", "13", "0"</v>
      </c>
      <c r="W115" t="str">
        <f>_xlfn.TEXTJOIN(", ", FALSE, CHAR(34) &amp; AK118 &amp; CHAR(34), CHAR(34) &amp; AM118 &amp; CHAR(34), CHAR(34) &amp; AL118 &amp; CHAR(34), CHAR(34) &amp; AN118 &amp; CHAR(34), CHAR(34) &amp; AO118 &amp; CHAR(34), CHAR(34) &amp; AP118 &amp; CHAR(34), CHAR(34) &amp; AQ118 &amp; CHAR(34), CHAR(34) &amp; AR118 &amp; CHAR(34), CHAR(34) &amp; AS118 &amp; CHAR(34))</f>
        <v>"005-2-2022-003", "69.2", "0", "0", "HST", "1", "0", "13", "0"</v>
      </c>
      <c r="AJ115" t="s">
        <v>250</v>
      </c>
      <c r="AK115" t="str">
        <f>TEXT(66,"00")</f>
        <v>66</v>
      </c>
      <c r="AL115">
        <v>0</v>
      </c>
      <c r="AM115">
        <v>0</v>
      </c>
      <c r="AN115">
        <v>0</v>
      </c>
      <c r="AO115" t="s">
        <v>229</v>
      </c>
      <c r="AP115">
        <v>0</v>
      </c>
      <c r="AQ115">
        <v>0</v>
      </c>
      <c r="AR115" s="34">
        <v>13</v>
      </c>
      <c r="AS115" s="61">
        <f t="shared" si="19"/>
        <v>0</v>
      </c>
    </row>
    <row r="116" spans="22:45" x14ac:dyDescent="0.45">
      <c r="V116" t="str">
        <f t="shared" si="12"/>
        <v>005-2-2022-100, "40.71", "0", "0", "HST", "1", "0", "13", "0"</v>
      </c>
      <c r="W116" t="str">
        <f t="shared" ref="W116:W117" si="21">_xlfn.TEXTJOIN(", ", FALSE, CHAR(34) &amp; AK119 &amp; CHAR(34), CHAR(34) &amp; AM119 &amp; CHAR(34), CHAR(34) &amp; AL119 &amp; CHAR(34), CHAR(34) &amp; AN119 &amp; CHAR(34), CHAR(34) &amp; AO119 &amp; CHAR(34), CHAR(34) &amp; AP119 &amp; CHAR(34), CHAR(34) &amp; AQ119 &amp; CHAR(34), CHAR(34) &amp; AR119 &amp; CHAR(34), CHAR(34) &amp; AS119 &amp; CHAR(34))</f>
        <v>"005-2-2022-100", "40.71", "0", "0", "HST", "1", "0", "13", "0"</v>
      </c>
      <c r="AK116" t="s">
        <v>161</v>
      </c>
      <c r="AL116" s="61">
        <f>D13</f>
        <v>40</v>
      </c>
      <c r="AM116" s="61">
        <f>H13</f>
        <v>40.71</v>
      </c>
      <c r="AN116" s="34">
        <f t="shared" ref="AN116:AN121" si="22">AL116*AM116</f>
        <v>1628.4</v>
      </c>
      <c r="AO116" t="s">
        <v>229</v>
      </c>
      <c r="AP116">
        <v>1</v>
      </c>
      <c r="AQ116">
        <v>0</v>
      </c>
      <c r="AR116" s="34">
        <v>13</v>
      </c>
      <c r="AS116" s="61">
        <f t="shared" si="19"/>
        <v>211.69</v>
      </c>
    </row>
    <row r="117" spans="22:45" x14ac:dyDescent="0.45">
      <c r="V117" t="str">
        <f t="shared" si="12"/>
        <v>005-0-2022-101, "58", "0", "0", "HST", "1", "0", "13", "0"</v>
      </c>
      <c r="W117" t="str">
        <f t="shared" si="21"/>
        <v>"005-0-2022-101", "58", "0", "0", "HST", "1", "0", "13", "0"</v>
      </c>
      <c r="AK117" t="s">
        <v>162</v>
      </c>
      <c r="AL117" s="61">
        <f>E13</f>
        <v>15.25</v>
      </c>
      <c r="AM117" s="61">
        <f>I13</f>
        <v>52.92</v>
      </c>
      <c r="AN117" s="34">
        <f t="shared" si="22"/>
        <v>807.03</v>
      </c>
      <c r="AO117" t="s">
        <v>229</v>
      </c>
      <c r="AP117">
        <v>1</v>
      </c>
      <c r="AQ117">
        <v>0</v>
      </c>
      <c r="AR117" s="34">
        <v>13</v>
      </c>
      <c r="AS117" s="61">
        <f t="shared" si="19"/>
        <v>104.91</v>
      </c>
    </row>
    <row r="118" spans="22:45" x14ac:dyDescent="0.45">
      <c r="V118" t="str">
        <f t="shared" si="12"/>
        <v>005-0-2022-102, "0", "0", "0", "HST", "1", "0", "13", "0"</v>
      </c>
      <c r="W118" t="str">
        <f>_xlfn.TEXTJOIN(", ", FALSE, CHAR(34) &amp; AK121 &amp; CHAR(34), CHAR(34) &amp; AM121 &amp; CHAR(34), CHAR(34) &amp; AL121 &amp; CHAR(34), CHAR(34) &amp; AN121 &amp; CHAR(34), CHAR(34) &amp; AO121 &amp; CHAR(34), CHAR(34) &amp; AP121 &amp; CHAR(34), CHAR(34) &amp; AQ121 &amp; CHAR(34), CHAR(34) &amp; AR121 &amp; CHAR(34), CHAR(34) &amp; AS121 &amp; CHAR(34))</f>
        <v>"005-0-2022-102", "0", "0", "0", "HST", "1", "0", "13", "0"</v>
      </c>
      <c r="AK118" t="s">
        <v>163</v>
      </c>
      <c r="AL118" s="61">
        <f>F13</f>
        <v>0</v>
      </c>
      <c r="AM118" s="61">
        <f>J13</f>
        <v>69.2</v>
      </c>
      <c r="AN118" s="34">
        <f t="shared" si="22"/>
        <v>0</v>
      </c>
      <c r="AO118" t="s">
        <v>229</v>
      </c>
      <c r="AP118">
        <v>1</v>
      </c>
      <c r="AQ118">
        <v>0</v>
      </c>
      <c r="AR118" s="34">
        <v>13</v>
      </c>
      <c r="AS118" s="61">
        <f t="shared" si="19"/>
        <v>0</v>
      </c>
    </row>
    <row r="119" spans="22:45" x14ac:dyDescent="0.45">
      <c r="V119" t="s">
        <v>198</v>
      </c>
      <c r="W119" t="s">
        <v>198</v>
      </c>
      <c r="AK119" t="s">
        <v>164</v>
      </c>
      <c r="AL119" s="61">
        <f>G13</f>
        <v>0</v>
      </c>
      <c r="AM119" s="61">
        <f>K13</f>
        <v>40.71</v>
      </c>
      <c r="AN119" s="34">
        <f t="shared" si="22"/>
        <v>0</v>
      </c>
      <c r="AO119" t="s">
        <v>229</v>
      </c>
      <c r="AP119">
        <v>1</v>
      </c>
      <c r="AQ119">
        <v>0</v>
      </c>
      <c r="AR119" s="34">
        <v>13</v>
      </c>
      <c r="AS119" s="61">
        <f t="shared" si="19"/>
        <v>0</v>
      </c>
    </row>
    <row r="120" spans="22:45" x14ac:dyDescent="0.45">
      <c r="AK120" t="s">
        <v>177</v>
      </c>
      <c r="AL120" s="61">
        <f>L13</f>
        <v>0</v>
      </c>
      <c r="AM120" s="61">
        <f>M13</f>
        <v>58</v>
      </c>
      <c r="AN120" s="34">
        <f t="shared" si="22"/>
        <v>0</v>
      </c>
      <c r="AO120" t="s">
        <v>229</v>
      </c>
      <c r="AP120">
        <v>1</v>
      </c>
      <c r="AQ120">
        <v>0</v>
      </c>
      <c r="AR120" s="34">
        <v>13</v>
      </c>
      <c r="AS120" s="61">
        <f t="shared" si="19"/>
        <v>0</v>
      </c>
    </row>
    <row r="121" spans="22:45" x14ac:dyDescent="0.45">
      <c r="AK121" t="s">
        <v>178</v>
      </c>
      <c r="AL121" s="61">
        <f>N13</f>
        <v>0</v>
      </c>
      <c r="AM121" s="61">
        <f>O13</f>
        <v>0</v>
      </c>
      <c r="AN121" s="34">
        <f t="shared" si="22"/>
        <v>0</v>
      </c>
      <c r="AO121" t="s">
        <v>229</v>
      </c>
      <c r="AP121">
        <v>1</v>
      </c>
      <c r="AQ121">
        <v>0</v>
      </c>
      <c r="AR121" s="34">
        <v>13</v>
      </c>
      <c r="AS121" s="61">
        <f t="shared" si="19"/>
        <v>0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3D61D-0DF6-4216-B0A9-AB7563565D75}">
  <sheetPr codeName="Sheet13"/>
  <dimension ref="A1:G13"/>
  <sheetViews>
    <sheetView workbookViewId="0">
      <selection activeCell="I8" sqref="I8"/>
    </sheetView>
  </sheetViews>
  <sheetFormatPr defaultRowHeight="14.25" x14ac:dyDescent="0.45"/>
  <sheetData>
    <row r="1" spans="1:7" x14ac:dyDescent="0.45">
      <c r="A1" s="53" t="s">
        <v>23</v>
      </c>
      <c r="B1" s="18" t="s">
        <v>19</v>
      </c>
      <c r="C1" s="18" t="s">
        <v>24</v>
      </c>
      <c r="D1" s="18" t="s">
        <v>25</v>
      </c>
      <c r="E1" s="18" t="s">
        <v>26</v>
      </c>
      <c r="F1" s="18" t="s">
        <v>27</v>
      </c>
      <c r="G1" s="18" t="s">
        <v>179</v>
      </c>
    </row>
    <row r="2" spans="1:7" x14ac:dyDescent="0.45">
      <c r="A2" s="67">
        <v>45823</v>
      </c>
      <c r="B2" s="68" t="s">
        <v>91</v>
      </c>
      <c r="C2" s="69" t="s">
        <v>92</v>
      </c>
      <c r="D2" s="70">
        <v>40</v>
      </c>
      <c r="E2" s="70">
        <v>8.5</v>
      </c>
      <c r="F2" s="70">
        <v>0</v>
      </c>
      <c r="G2" s="70">
        <v>0</v>
      </c>
    </row>
    <row r="3" spans="1:7" x14ac:dyDescent="0.45">
      <c r="A3" s="67">
        <v>45823</v>
      </c>
      <c r="B3" s="68" t="s">
        <v>55</v>
      </c>
      <c r="C3" s="69" t="s">
        <v>3</v>
      </c>
      <c r="D3" s="70">
        <v>40</v>
      </c>
      <c r="E3" s="70">
        <v>0.25</v>
      </c>
      <c r="F3" s="70">
        <v>0</v>
      </c>
      <c r="G3" s="70">
        <v>0</v>
      </c>
    </row>
    <row r="4" spans="1:7" x14ac:dyDescent="0.45">
      <c r="A4" s="67">
        <v>45823</v>
      </c>
      <c r="B4" s="68" t="s">
        <v>38</v>
      </c>
      <c r="C4" s="69" t="s">
        <v>39</v>
      </c>
      <c r="D4" s="70">
        <v>0</v>
      </c>
      <c r="E4" s="70">
        <v>0</v>
      </c>
      <c r="F4" s="70">
        <v>0</v>
      </c>
      <c r="G4" s="70">
        <v>0</v>
      </c>
    </row>
    <row r="5" spans="1:7" x14ac:dyDescent="0.45">
      <c r="A5" s="67">
        <v>45823</v>
      </c>
      <c r="B5" s="68" t="s">
        <v>40</v>
      </c>
      <c r="C5" s="69" t="s">
        <v>2</v>
      </c>
      <c r="D5" s="70">
        <v>30</v>
      </c>
      <c r="E5" s="70">
        <v>0</v>
      </c>
      <c r="F5" s="70">
        <v>0</v>
      </c>
      <c r="G5" s="70">
        <v>0</v>
      </c>
    </row>
    <row r="6" spans="1:7" x14ac:dyDescent="0.45">
      <c r="A6" s="67">
        <v>45823</v>
      </c>
      <c r="B6" s="68" t="s">
        <v>41</v>
      </c>
      <c r="C6" s="69" t="s">
        <v>21</v>
      </c>
      <c r="D6" s="70">
        <v>40</v>
      </c>
      <c r="E6" s="70">
        <v>0</v>
      </c>
      <c r="F6" s="70">
        <v>0</v>
      </c>
      <c r="G6" s="70">
        <v>0</v>
      </c>
    </row>
    <row r="7" spans="1:7" x14ac:dyDescent="0.45">
      <c r="A7" s="67">
        <v>45823</v>
      </c>
      <c r="B7" s="68" t="s">
        <v>43</v>
      </c>
      <c r="C7" s="69" t="s">
        <v>42</v>
      </c>
      <c r="D7" s="70">
        <v>0</v>
      </c>
      <c r="E7" s="70">
        <v>0</v>
      </c>
      <c r="F7" s="70">
        <v>0</v>
      </c>
      <c r="G7" s="70">
        <v>0</v>
      </c>
    </row>
    <row r="8" spans="1:7" x14ac:dyDescent="0.45">
      <c r="A8" s="67">
        <v>45823</v>
      </c>
      <c r="B8" s="68" t="s">
        <v>44</v>
      </c>
      <c r="C8" s="69" t="s">
        <v>37</v>
      </c>
      <c r="D8" s="70">
        <v>40</v>
      </c>
      <c r="E8" s="70">
        <v>10.75</v>
      </c>
      <c r="F8" s="70">
        <v>0</v>
      </c>
      <c r="G8" s="70">
        <v>0</v>
      </c>
    </row>
    <row r="9" spans="1:7" x14ac:dyDescent="0.45">
      <c r="A9" s="67">
        <v>45823</v>
      </c>
      <c r="B9" s="68" t="s">
        <v>59</v>
      </c>
      <c r="C9" s="69" t="s">
        <v>58</v>
      </c>
      <c r="D9" s="70">
        <v>0</v>
      </c>
      <c r="E9" s="70">
        <v>0</v>
      </c>
      <c r="F9" s="70">
        <v>0</v>
      </c>
      <c r="G9" s="70">
        <v>0</v>
      </c>
    </row>
    <row r="10" spans="1:7" x14ac:dyDescent="0.45">
      <c r="A10" s="67">
        <v>45823</v>
      </c>
      <c r="B10" s="68" t="s">
        <v>66</v>
      </c>
      <c r="C10" s="69" t="s">
        <v>67</v>
      </c>
      <c r="D10" s="70">
        <v>0</v>
      </c>
      <c r="E10" s="70">
        <v>0</v>
      </c>
      <c r="F10" s="70">
        <v>0</v>
      </c>
      <c r="G10" s="70">
        <v>0</v>
      </c>
    </row>
    <row r="11" spans="1:7" x14ac:dyDescent="0.45">
      <c r="A11" s="67">
        <v>45823</v>
      </c>
      <c r="B11" s="68" t="s">
        <v>90</v>
      </c>
      <c r="C11" s="69" t="s">
        <v>94</v>
      </c>
      <c r="D11" s="70">
        <v>0</v>
      </c>
      <c r="E11" s="70">
        <v>0</v>
      </c>
      <c r="F11" s="70">
        <v>0</v>
      </c>
      <c r="G11" s="70">
        <v>0</v>
      </c>
    </row>
    <row r="12" spans="1:7" x14ac:dyDescent="0.45">
      <c r="A12" s="67">
        <v>45823</v>
      </c>
      <c r="B12" s="68" t="s">
        <v>90</v>
      </c>
      <c r="C12" s="69" t="s">
        <v>190</v>
      </c>
      <c r="D12" s="70">
        <v>9.5</v>
      </c>
      <c r="E12" s="70">
        <v>0</v>
      </c>
      <c r="F12" s="70">
        <v>0</v>
      </c>
      <c r="G12" s="70">
        <v>0</v>
      </c>
    </row>
    <row r="13" spans="1:7" x14ac:dyDescent="0.45">
      <c r="A13" s="67">
        <f>A2</f>
        <v>45823</v>
      </c>
      <c r="B13" s="69" t="s">
        <v>186</v>
      </c>
      <c r="C13" s="69" t="s">
        <v>189</v>
      </c>
      <c r="D13" s="70">
        <v>0</v>
      </c>
      <c r="E13" s="70">
        <v>0</v>
      </c>
      <c r="F13" s="70">
        <v>0</v>
      </c>
      <c r="G13" s="70">
        <v>0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553AD-1D5D-4268-9888-6D688C8ACC78}">
  <sheetPr codeName="Sheet14"/>
  <dimension ref="A1:M20"/>
  <sheetViews>
    <sheetView workbookViewId="0">
      <selection activeCell="K12" sqref="K12"/>
    </sheetView>
  </sheetViews>
  <sheetFormatPr defaultRowHeight="14.25" x14ac:dyDescent="0.45"/>
  <cols>
    <col min="1" max="1" width="14.59765625" bestFit="1" customWidth="1"/>
    <col min="6" max="6" width="10" bestFit="1" customWidth="1"/>
    <col min="13" max="13" width="10.86328125" bestFit="1" customWidth="1"/>
  </cols>
  <sheetData>
    <row r="1" spans="1:13" x14ac:dyDescent="0.45">
      <c r="B1" t="s">
        <v>254</v>
      </c>
      <c r="C1" t="s">
        <v>255</v>
      </c>
      <c r="D1" t="s">
        <v>256</v>
      </c>
      <c r="M1" s="40">
        <v>23018.240000000002</v>
      </c>
    </row>
    <row r="2" spans="1:13" x14ac:dyDescent="0.45">
      <c r="A2" t="s">
        <v>257</v>
      </c>
      <c r="B2" s="72">
        <v>282.37</v>
      </c>
      <c r="C2" s="72">
        <v>91.11</v>
      </c>
      <c r="D2">
        <v>12</v>
      </c>
      <c r="E2" s="72">
        <f t="shared" ref="E2:E7" si="0">C2-B2</f>
        <v>-191.26</v>
      </c>
      <c r="F2" s="72">
        <f t="shared" ref="F2:F7" si="1">E2*D2</f>
        <v>-2295.12</v>
      </c>
      <c r="M2" s="40">
        <v>26821</v>
      </c>
    </row>
    <row r="3" spans="1:13" x14ac:dyDescent="0.45">
      <c r="A3" t="s">
        <v>258</v>
      </c>
      <c r="B3" s="72">
        <v>506.77</v>
      </c>
      <c r="C3" s="72">
        <v>502.95</v>
      </c>
      <c r="D3">
        <v>26</v>
      </c>
      <c r="E3" s="72">
        <f t="shared" si="0"/>
        <v>-3.8199999999999932</v>
      </c>
      <c r="F3" s="72">
        <f t="shared" si="1"/>
        <v>-99.319999999999823</v>
      </c>
      <c r="M3" s="40">
        <v>32057.78</v>
      </c>
    </row>
    <row r="4" spans="1:13" x14ac:dyDescent="0.45">
      <c r="A4" t="s">
        <v>259</v>
      </c>
      <c r="B4" s="72">
        <v>298.89999999999998</v>
      </c>
      <c r="C4" s="72">
        <v>200.41</v>
      </c>
      <c r="D4">
        <v>12</v>
      </c>
      <c r="E4" s="72">
        <f t="shared" si="0"/>
        <v>-98.489999999999981</v>
      </c>
      <c r="F4" s="72">
        <f t="shared" si="1"/>
        <v>-1181.8799999999997</v>
      </c>
      <c r="M4" s="40"/>
    </row>
    <row r="5" spans="1:13" x14ac:dyDescent="0.45">
      <c r="A5" t="s">
        <v>260</v>
      </c>
      <c r="B5" s="72">
        <v>143.37</v>
      </c>
      <c r="C5" s="72">
        <v>106.96</v>
      </c>
      <c r="D5">
        <v>12</v>
      </c>
      <c r="E5" s="72">
        <f t="shared" si="0"/>
        <v>-36.410000000000011</v>
      </c>
      <c r="F5" s="72">
        <f t="shared" si="1"/>
        <v>-436.92000000000013</v>
      </c>
      <c r="M5" s="40"/>
    </row>
    <row r="6" spans="1:13" x14ac:dyDescent="0.45">
      <c r="A6" t="s">
        <v>261</v>
      </c>
      <c r="B6" s="72">
        <v>87.8</v>
      </c>
      <c r="C6" s="72">
        <v>94.5</v>
      </c>
      <c r="D6">
        <v>12</v>
      </c>
      <c r="E6" s="72">
        <f t="shared" si="0"/>
        <v>6.7000000000000028</v>
      </c>
      <c r="F6" s="72">
        <f t="shared" si="1"/>
        <v>80.400000000000034</v>
      </c>
      <c r="M6" s="40">
        <v>2657</v>
      </c>
    </row>
    <row r="7" spans="1:13" x14ac:dyDescent="0.45">
      <c r="A7" t="s">
        <v>262</v>
      </c>
      <c r="B7" s="72">
        <v>82</v>
      </c>
      <c r="C7" s="72">
        <v>0</v>
      </c>
      <c r="D7">
        <v>12</v>
      </c>
      <c r="E7" s="72">
        <f t="shared" si="0"/>
        <v>-82</v>
      </c>
      <c r="F7" s="72">
        <f t="shared" si="1"/>
        <v>-984</v>
      </c>
      <c r="M7" s="40">
        <v>2657</v>
      </c>
    </row>
    <row r="8" spans="1:13" x14ac:dyDescent="0.45">
      <c r="F8" s="72">
        <f>SUM(F2:F7)</f>
        <v>-4916.8399999999992</v>
      </c>
      <c r="M8" s="40">
        <v>2657</v>
      </c>
    </row>
    <row r="9" spans="1:13" x14ac:dyDescent="0.45">
      <c r="M9" s="40">
        <v>2657</v>
      </c>
    </row>
    <row r="10" spans="1:13" x14ac:dyDescent="0.45">
      <c r="M10" s="40">
        <f>SUM(M1:M9)</f>
        <v>92525.02</v>
      </c>
    </row>
    <row r="13" spans="1:13" x14ac:dyDescent="0.45">
      <c r="B13" t="s">
        <v>254</v>
      </c>
      <c r="C13" t="s">
        <v>255</v>
      </c>
      <c r="D13" t="s">
        <v>256</v>
      </c>
    </row>
    <row r="14" spans="1:13" x14ac:dyDescent="0.45">
      <c r="A14" t="s">
        <v>257</v>
      </c>
      <c r="B14" s="72">
        <v>282.37</v>
      </c>
      <c r="C14" s="72">
        <v>91.11</v>
      </c>
      <c r="D14">
        <v>12</v>
      </c>
      <c r="E14" s="72">
        <f t="shared" ref="E14:E19" si="2">C14-B14</f>
        <v>-191.26</v>
      </c>
      <c r="F14" s="72">
        <f t="shared" ref="F14:F19" si="3">E14*D14</f>
        <v>-2295.12</v>
      </c>
    </row>
    <row r="15" spans="1:13" x14ac:dyDescent="0.45">
      <c r="A15" t="s">
        <v>258</v>
      </c>
      <c r="B15" s="72">
        <v>506.77</v>
      </c>
      <c r="C15" s="72">
        <v>313.27</v>
      </c>
      <c r="D15">
        <v>26</v>
      </c>
      <c r="E15" s="72">
        <f t="shared" si="2"/>
        <v>-193.5</v>
      </c>
      <c r="F15" s="72">
        <f t="shared" si="3"/>
        <v>-5031</v>
      </c>
    </row>
    <row r="16" spans="1:13" x14ac:dyDescent="0.45">
      <c r="A16" t="s">
        <v>259</v>
      </c>
      <c r="B16" s="72">
        <f>3635/12</f>
        <v>302.91666666666669</v>
      </c>
      <c r="C16" s="72">
        <f>2787/12</f>
        <v>232.25</v>
      </c>
      <c r="D16">
        <v>12</v>
      </c>
      <c r="E16" s="72">
        <f t="shared" si="2"/>
        <v>-70.666666666666686</v>
      </c>
      <c r="F16" s="72">
        <f t="shared" si="3"/>
        <v>-848.00000000000023</v>
      </c>
    </row>
    <row r="17" spans="1:6" x14ac:dyDescent="0.45">
      <c r="A17" t="s">
        <v>260</v>
      </c>
      <c r="B17" s="72">
        <v>143.37</v>
      </c>
      <c r="C17" s="72">
        <v>106.96</v>
      </c>
      <c r="D17">
        <v>12</v>
      </c>
      <c r="E17" s="72">
        <f t="shared" si="2"/>
        <v>-36.410000000000011</v>
      </c>
      <c r="F17" s="72">
        <f t="shared" si="3"/>
        <v>-436.92000000000013</v>
      </c>
    </row>
    <row r="18" spans="1:6" x14ac:dyDescent="0.45">
      <c r="A18" t="s">
        <v>261</v>
      </c>
      <c r="B18" s="72">
        <v>87.8</v>
      </c>
      <c r="C18" s="72">
        <v>94.5</v>
      </c>
      <c r="D18">
        <v>12</v>
      </c>
      <c r="E18" s="72">
        <f t="shared" si="2"/>
        <v>6.7000000000000028</v>
      </c>
      <c r="F18" s="72">
        <f t="shared" si="3"/>
        <v>80.400000000000034</v>
      </c>
    </row>
    <row r="19" spans="1:6" x14ac:dyDescent="0.45">
      <c r="A19" t="s">
        <v>262</v>
      </c>
      <c r="B19" s="72">
        <v>82</v>
      </c>
      <c r="C19" s="72">
        <v>0</v>
      </c>
      <c r="D19">
        <v>12</v>
      </c>
      <c r="E19" s="72">
        <f t="shared" si="2"/>
        <v>-82</v>
      </c>
      <c r="F19" s="72">
        <f t="shared" si="3"/>
        <v>-984</v>
      </c>
    </row>
    <row r="20" spans="1:6" x14ac:dyDescent="0.45">
      <c r="F20" s="72">
        <f>SUM(F14:F19)</f>
        <v>-9514.6400000000012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Summary</vt:lpstr>
      <vt:lpstr>BackCheck</vt:lpstr>
      <vt:lpstr>Weekly</vt:lpstr>
      <vt:lpstr>Yearly</vt:lpstr>
      <vt:lpstr>Invoice</vt:lpstr>
      <vt:lpstr>RawData</vt:lpstr>
      <vt:lpstr>EmpTbl</vt:lpstr>
      <vt:lpstr>DataAnalysis</vt:lpstr>
      <vt:lpstr>Rates</vt:lpstr>
      <vt:lpstr>Archive</vt:lpstr>
      <vt:lpstr>test</vt:lpstr>
      <vt:lpstr>Sheet1</vt:lpstr>
      <vt:lpstr>Sheet2</vt:lpstr>
      <vt:lpstr>Expense Difference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2026-04-02T19:11:42Z</dcterms:modified>
</cp:coreProperties>
</file>