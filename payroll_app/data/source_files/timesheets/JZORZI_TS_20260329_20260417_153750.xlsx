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d94f35454ffe4a7/02 R^0D Controls Corp/CENTERLINE/_Approved Hours/OCR/timesheets/20260329/"/>
    </mc:Choice>
  </mc:AlternateContent>
  <xr:revisionPtr revIDLastSave="18" documentId="11_AC7646B7515510FA5F7F270E7AEB441857BADAEE" xr6:coauthVersionLast="47" xr6:coauthVersionMax="47" xr10:uidLastSave="{6F8A6B69-C798-44C6-8A43-BC65F008CAF7}"/>
  <bookViews>
    <workbookView xWindow="-195" yWindow="-16395" windowWidth="29190" windowHeight="15870" xr2:uid="{00000000-000D-0000-FFFF-FFFF00000000}"/>
  </bookViews>
  <sheets>
    <sheet name="Biweekly Time Sheet" sheetId="1" r:id="rId1"/>
    <sheet name="Biweekly Expense Report CAD" sheetId="2" r:id="rId2"/>
    <sheet name="Biweekly Expense Report USD" sheetId="3" r:id="rId3"/>
    <sheet name="Accounting Use Only" sheetId="4" r:id="rId4"/>
  </sheets>
  <definedNames>
    <definedName name="RowTitleRegion1..C5" localSheetId="1">'Biweekly Expense Report CAD'!$B$3</definedName>
    <definedName name="RowTitleRegion1..C5" localSheetId="2">'Biweekly Expense Report USD'!$B$3</definedName>
    <definedName name="RowTitleRegion1..C5">'Biweekly Time Sheet'!$B$3</definedName>
    <definedName name="RowTitleRegion2..G4" localSheetId="1">'Biweekly Expense Report CAD'!$K$4</definedName>
    <definedName name="RowTitleRegion2..G4" localSheetId="2">'Biweekly Expense Report USD'!$K$4</definedName>
    <definedName name="RowTitleRegion2..G4">'Biweekly Time Sheet'!$G$4</definedName>
    <definedName name="RowTitleRegion3..C7" localSheetId="1">'Biweekly Expense Report CAD'!$K$3</definedName>
    <definedName name="RowTitleRegion3..C7" localSheetId="2">'Biweekly Expense Report USD'!$K$3</definedName>
    <definedName name="RowTitleRegion3..C7">'Biweekly Time Sheet'!$G$3</definedName>
    <definedName name="RowTitleRegion4..G7" localSheetId="1">'Biweekly Expense Report CAD'!$M$6</definedName>
    <definedName name="RowTitleRegion4..G7" localSheetId="2">'Biweekly Expense Report USD'!$M$6</definedName>
    <definedName name="RowTitleRegion4..G7">'Biweekly Time Sheet'!$I$6</definedName>
    <definedName name="RowTitleRegion5..H24" localSheetId="1">'Biweekly Expense Report CAD'!$C$24</definedName>
    <definedName name="RowTitleRegion5..H24" localSheetId="2">'Biweekly Expense Report USD'!$C$24</definedName>
    <definedName name="RowTitleRegion5..H24">'Biweekly Time Sheet'!$C$23</definedName>
    <definedName name="RowTitleRegion6..G25" localSheetId="1">'Biweekly Expense Report CAD'!#REF!</definedName>
    <definedName name="RowTitleRegion6..G25" localSheetId="2">'Biweekly Expense Report USD'!#REF!</definedName>
    <definedName name="RowTitleRegion6..G25">'Biweekly Time Sheet'!#REF!</definedName>
    <definedName name="RowTitleRegion7..H26" localSheetId="1">'Biweekly Expense Report CAD'!#REF!</definedName>
    <definedName name="RowTitleRegion7..H26" localSheetId="2">'Biweekly Expense Report USD'!#REF!</definedName>
    <definedName name="RowTitleRegion7..H26">'Biweekly Time Sheet'!#REF!</definedName>
    <definedName name="Title1" localSheetId="1">'Biweekly Expense Report CAD'!$B$9</definedName>
    <definedName name="Title1" localSheetId="2">'Biweekly Expense Report USD'!$B$9</definedName>
    <definedName name="Title1">'Biweekly Time Sheet'!$B$8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7mdfgHPWhkMQq+C5Lcn7dKAdrdtY8p3v6T/cMk7t9FY="/>
    </ext>
  </extLst>
</workbook>
</file>

<file path=xl/calcChain.xml><?xml version="1.0" encoding="utf-8"?>
<calcChain xmlns="http://schemas.openxmlformats.org/spreadsheetml/2006/main">
  <c r="P27" i="3" l="1"/>
  <c r="D27" i="3"/>
  <c r="M24" i="3"/>
  <c r="L24" i="3"/>
  <c r="K24" i="3"/>
  <c r="J24" i="3"/>
  <c r="I24" i="3"/>
  <c r="H24" i="3"/>
  <c r="G24" i="3"/>
  <c r="F24" i="3"/>
  <c r="E24" i="3"/>
  <c r="D24" i="3"/>
  <c r="P23" i="3"/>
  <c r="P22" i="3"/>
  <c r="C22" i="3"/>
  <c r="B22" i="3"/>
  <c r="P21" i="3"/>
  <c r="C21" i="3"/>
  <c r="B21" i="3"/>
  <c r="P20" i="3"/>
  <c r="P19" i="3"/>
  <c r="C19" i="3"/>
  <c r="B19" i="3" s="1"/>
  <c r="P18" i="3"/>
  <c r="C18" i="3"/>
  <c r="B18" i="3" s="1"/>
  <c r="P17" i="3"/>
  <c r="P16" i="3"/>
  <c r="C16" i="3"/>
  <c r="B16" i="3"/>
  <c r="P15" i="3"/>
  <c r="P14" i="3"/>
  <c r="C14" i="3"/>
  <c r="B14" i="3"/>
  <c r="P13" i="3"/>
  <c r="C13" i="3"/>
  <c r="B13" i="3"/>
  <c r="P12" i="3"/>
  <c r="P11" i="3"/>
  <c r="C11" i="3"/>
  <c r="B11" i="3" s="1"/>
  <c r="P10" i="3"/>
  <c r="P24" i="3" s="1"/>
  <c r="C11" i="4" s="1"/>
  <c r="C10" i="3"/>
  <c r="B10" i="3" s="1"/>
  <c r="L4" i="3"/>
  <c r="C23" i="3" s="1"/>
  <c r="B23" i="3" s="1"/>
  <c r="L3" i="3"/>
  <c r="P27" i="2"/>
  <c r="D27" i="2"/>
  <c r="M24" i="2"/>
  <c r="L24" i="2"/>
  <c r="K24" i="2"/>
  <c r="J24" i="2"/>
  <c r="I24" i="2"/>
  <c r="H24" i="2"/>
  <c r="G24" i="2"/>
  <c r="F24" i="2"/>
  <c r="E24" i="2"/>
  <c r="D24" i="2"/>
  <c r="P23" i="2"/>
  <c r="P22" i="2"/>
  <c r="P21" i="2"/>
  <c r="P20" i="2"/>
  <c r="P19" i="2"/>
  <c r="C19" i="2"/>
  <c r="B19" i="2"/>
  <c r="P18" i="2"/>
  <c r="P17" i="2"/>
  <c r="P16" i="2"/>
  <c r="C16" i="2"/>
  <c r="B16" i="2" s="1"/>
  <c r="P15" i="2"/>
  <c r="P14" i="2"/>
  <c r="P13" i="2"/>
  <c r="P24" i="2" s="1"/>
  <c r="C10" i="4" s="1"/>
  <c r="P12" i="2"/>
  <c r="P11" i="2"/>
  <c r="C11" i="2"/>
  <c r="B11" i="2"/>
  <c r="P10" i="2"/>
  <c r="L5" i="2"/>
  <c r="L4" i="2"/>
  <c r="C21" i="2" s="1"/>
  <c r="B21" i="2" s="1"/>
  <c r="L3" i="2"/>
  <c r="K23" i="1"/>
  <c r="C9" i="4" s="1"/>
  <c r="J23" i="1"/>
  <c r="C8" i="4" s="1"/>
  <c r="I23" i="1"/>
  <c r="C7" i="4" s="1"/>
  <c r="H23" i="1"/>
  <c r="C6" i="4" s="1"/>
  <c r="G23" i="1"/>
  <c r="C5" i="4" s="1"/>
  <c r="F23" i="1"/>
  <c r="C4" i="4" s="1"/>
  <c r="E23" i="1"/>
  <c r="C3" i="4" s="1"/>
  <c r="D23" i="1"/>
  <c r="C2" i="4" s="1"/>
  <c r="L22" i="1"/>
  <c r="C22" i="1"/>
  <c r="B22" i="1" s="1"/>
  <c r="L21" i="1"/>
  <c r="C21" i="1"/>
  <c r="B21" i="1"/>
  <c r="L20" i="1"/>
  <c r="C20" i="1"/>
  <c r="B20" i="1"/>
  <c r="L19" i="1"/>
  <c r="C19" i="1"/>
  <c r="B19" i="1" s="1"/>
  <c r="L18" i="1"/>
  <c r="C18" i="1"/>
  <c r="B18" i="1" s="1"/>
  <c r="L17" i="1"/>
  <c r="C17" i="1"/>
  <c r="B17" i="1" s="1"/>
  <c r="L16" i="1"/>
  <c r="C16" i="1"/>
  <c r="B16" i="1"/>
  <c r="L15" i="1"/>
  <c r="C15" i="1"/>
  <c r="B15" i="1"/>
  <c r="L14" i="1"/>
  <c r="C14" i="1"/>
  <c r="B14" i="1" s="1"/>
  <c r="L13" i="1"/>
  <c r="C13" i="1"/>
  <c r="B13" i="1"/>
  <c r="L12" i="1"/>
  <c r="C12" i="1"/>
  <c r="B12" i="1"/>
  <c r="L11" i="1"/>
  <c r="C11" i="1"/>
  <c r="B11" i="1"/>
  <c r="L10" i="1"/>
  <c r="C10" i="1"/>
  <c r="B10" i="1" s="1"/>
  <c r="L9" i="1"/>
  <c r="C9" i="1"/>
  <c r="B9" i="1" s="1"/>
  <c r="H5" i="1"/>
  <c r="L5" i="3" s="1"/>
  <c r="C14" i="2" l="1"/>
  <c r="B14" i="2" s="1"/>
  <c r="C22" i="2"/>
  <c r="B22" i="2" s="1"/>
  <c r="C17" i="2"/>
  <c r="B17" i="2" s="1"/>
  <c r="C15" i="2"/>
  <c r="B15" i="2" s="1"/>
  <c r="C23" i="2"/>
  <c r="B23" i="2" s="1"/>
  <c r="C17" i="3"/>
  <c r="B17" i="3" s="1"/>
  <c r="L23" i="1"/>
  <c r="C20" i="2"/>
  <c r="B20" i="2" s="1"/>
  <c r="C10" i="2"/>
  <c r="B10" i="2" s="1"/>
  <c r="C18" i="2"/>
  <c r="B18" i="2" s="1"/>
  <c r="C12" i="3"/>
  <c r="B12" i="3" s="1"/>
  <c r="C20" i="3"/>
  <c r="B20" i="3" s="1"/>
  <c r="C12" i="2"/>
  <c r="B12" i="2" s="1"/>
  <c r="C13" i="2"/>
  <c r="B13" i="2" s="1"/>
  <c r="C15" i="3"/>
  <c r="B15" i="3" s="1"/>
</calcChain>
</file>

<file path=xl/sharedStrings.xml><?xml version="1.0" encoding="utf-8"?>
<sst xmlns="http://schemas.openxmlformats.org/spreadsheetml/2006/main" count="94" uniqueCount="56">
  <si>
    <t>R&amp;D Controls Corp. Biweekly Time Sheet</t>
  </si>
  <si>
    <t>Employee:</t>
  </si>
  <si>
    <t>Jarrett Zorzi</t>
  </si>
  <si>
    <t>Pay period start date:</t>
  </si>
  <si>
    <t>Pay period end date:</t>
  </si>
  <si>
    <t>Day</t>
  </si>
  <si>
    <t>Date</t>
  </si>
  <si>
    <t>Regular Hours</t>
  </si>
  <si>
    <t>Overtime 1 Hours</t>
  </si>
  <si>
    <t>Overtime 2 Hours</t>
  </si>
  <si>
    <t>Drive Hours</t>
  </si>
  <si>
    <t>Sick/PEL</t>
  </si>
  <si>
    <t>Vacation</t>
  </si>
  <si>
    <t>Holiday</t>
  </si>
  <si>
    <t>Non-Billable</t>
  </si>
  <si>
    <t>Total</t>
  </si>
  <si>
    <t>Note [Please explain Non-Billable Time]</t>
  </si>
  <si>
    <t>Modatex - Milton</t>
  </si>
  <si>
    <t>Windsor - Centerline</t>
  </si>
  <si>
    <t>Off</t>
  </si>
  <si>
    <t>Total hours</t>
  </si>
  <si>
    <t>Employee signature</t>
  </si>
  <si>
    <t>EmpTS_00x-Default_v2.1</t>
  </si>
  <si>
    <t>R&amp;D Controls Corp. Biweekly Expense Report - Canadian Dollars</t>
  </si>
  <si>
    <t>Travel Expenses</t>
  </si>
  <si>
    <t>Transportation</t>
  </si>
  <si>
    <t>Per Diem - Travel</t>
  </si>
  <si>
    <t>Per Diem - Full</t>
  </si>
  <si>
    <t>Lodging</t>
  </si>
  <si>
    <t>Lodging - Per Receipt</t>
  </si>
  <si>
    <t>Luggage</t>
  </si>
  <si>
    <t>Car Rental</t>
  </si>
  <si>
    <t>Tolls</t>
  </si>
  <si>
    <t>Vehicle Maintenance</t>
  </si>
  <si>
    <t>Parking Fees</t>
  </si>
  <si>
    <t>Taxi</t>
  </si>
  <si>
    <t>Mileage</t>
  </si>
  <si>
    <t>EmpTS_00x-Default_v2.0</t>
  </si>
  <si>
    <t>R&amp;D Controls Corp. Biweekly Expense Report - US Dollars</t>
  </si>
  <si>
    <t>Accounting Use Only</t>
  </si>
  <si>
    <t>Total Regular Hours</t>
  </si>
  <si>
    <t>Total Overtime 1 Hours</t>
  </si>
  <si>
    <t>Total Overtime 2 Hours</t>
  </si>
  <si>
    <t>Total Drive Hours</t>
  </si>
  <si>
    <t>Total Sick/PEL Hours</t>
  </si>
  <si>
    <t>Total Vacation Hours</t>
  </si>
  <si>
    <t>Total Holiday Hours</t>
  </si>
  <si>
    <t>Total Non-Billable Hours</t>
  </si>
  <si>
    <t>Total Expenses - CAD</t>
  </si>
  <si>
    <t>CAD</t>
  </si>
  <si>
    <t>Total Expenses - USD</t>
  </si>
  <si>
    <t>USD</t>
  </si>
  <si>
    <t>Modatex - Milton -Travel day; CL Approved 12hrs (6:00-18:30), 4hrs Travel</t>
  </si>
  <si>
    <t>Modatex - Milton; CL Approved 9.5hrs (6:00-16:00), 4hrs Travel</t>
  </si>
  <si>
    <t>Modatex - Milton -Travel day; CL Approved 10hrs (6:00-16:30), 3.5hrs Travel</t>
  </si>
  <si>
    <t>Windsor - Centerline; Adjusted for 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</si>
</sst>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"/>
  </numFmts>
  <fonts count="9" x14ac:knownFonts="1">
    <font>
      <sz val="11"/>
      <color rgb="FF000000"/>
      <name val="Century Gothic"/>
      <scheme val="minor"/>
    </font>
    <font>
      <b/>
      <sz val="22"/>
      <color rgb="FF7F7F7F"/>
      <name val="Century Gothic"/>
    </font>
    <font>
      <b/>
      <sz val="22"/>
      <color rgb="FF3F3F3F"/>
      <name val="Century Gothic"/>
    </font>
    <font>
      <sz val="11"/>
      <color theme="1"/>
      <name val="Century Gothic"/>
    </font>
    <font>
      <sz val="11"/>
      <name val="Century Gothic"/>
    </font>
    <font>
      <b/>
      <sz val="11"/>
      <color theme="1"/>
      <name val="Century Gothic"/>
    </font>
    <font>
      <sz val="11"/>
      <color theme="1"/>
      <name val="Century Gothic"/>
      <scheme val="minor"/>
    </font>
    <font>
      <sz val="10"/>
      <color theme="1"/>
      <name val="Century Gothic"/>
    </font>
    <font>
      <b/>
      <sz val="14"/>
      <color theme="1"/>
      <name val="Century Gothic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rgb="FFEAF1DD"/>
        <bgColor rgb="FFEAF1DD"/>
      </patternFill>
    </fill>
  </fills>
  <borders count="32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14" fontId="3" fillId="0" borderId="1" xfId="0" applyNumberFormat="1" applyFont="1" applyBorder="1" applyAlignment="1">
      <alignment horizontal="left" wrapText="1"/>
    </xf>
    <xf numFmtId="0" fontId="5" fillId="3" borderId="5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left" vertical="center"/>
    </xf>
    <xf numFmtId="14" fontId="3" fillId="2" borderId="5" xfId="0" applyNumberFormat="1" applyFont="1" applyFill="1" applyBorder="1" applyAlignment="1">
      <alignment horizontal="left" vertical="center"/>
    </xf>
    <xf numFmtId="2" fontId="3" fillId="0" borderId="8" xfId="0" applyNumberFormat="1" applyFont="1" applyBorder="1" applyAlignment="1">
      <alignment horizontal="right" vertical="center"/>
    </xf>
    <xf numFmtId="2" fontId="3" fillId="4" borderId="5" xfId="0" applyNumberFormat="1" applyFont="1" applyFill="1" applyBorder="1" applyAlignment="1">
      <alignment horizontal="right" vertical="center"/>
    </xf>
    <xf numFmtId="2" fontId="3" fillId="5" borderId="6" xfId="0" applyNumberFormat="1" applyFont="1" applyFill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 wrapText="1"/>
    </xf>
    <xf numFmtId="0" fontId="5" fillId="3" borderId="9" xfId="0" applyFont="1" applyFill="1" applyBorder="1" applyAlignment="1">
      <alignment horizontal="left" vertical="center"/>
    </xf>
    <xf numFmtId="14" fontId="3" fillId="2" borderId="9" xfId="0" applyNumberFormat="1" applyFont="1" applyFill="1" applyBorder="1" applyAlignment="1">
      <alignment horizontal="left" vertical="center"/>
    </xf>
    <xf numFmtId="2" fontId="3" fillId="0" borderId="10" xfId="0" applyNumberFormat="1" applyFont="1" applyBorder="1" applyAlignment="1">
      <alignment horizontal="right" vertical="center"/>
    </xf>
    <xf numFmtId="2" fontId="3" fillId="4" borderId="9" xfId="0" applyNumberFormat="1" applyFont="1" applyFill="1" applyBorder="1" applyAlignment="1">
      <alignment horizontal="right" vertical="center"/>
    </xf>
    <xf numFmtId="2" fontId="5" fillId="2" borderId="7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left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5" fillId="3" borderId="14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/>
    </xf>
    <xf numFmtId="164" fontId="3" fillId="0" borderId="20" xfId="0" applyNumberFormat="1" applyFont="1" applyBorder="1" applyAlignment="1">
      <alignment horizontal="right" vertical="center"/>
    </xf>
    <xf numFmtId="164" fontId="3" fillId="4" borderId="5" xfId="0" applyNumberFormat="1" applyFont="1" applyFill="1" applyBorder="1" applyAlignment="1">
      <alignment horizontal="right" vertical="center"/>
    </xf>
    <xf numFmtId="164" fontId="3" fillId="0" borderId="8" xfId="0" applyNumberFormat="1" applyFont="1" applyBorder="1" applyAlignment="1">
      <alignment horizontal="right" vertical="center"/>
    </xf>
    <xf numFmtId="164" fontId="3" fillId="0" borderId="21" xfId="0" applyNumberFormat="1" applyFont="1" applyBorder="1" applyAlignment="1">
      <alignment horizontal="right" vertical="center"/>
    </xf>
    <xf numFmtId="164" fontId="3" fillId="4" borderId="22" xfId="0" applyNumberFormat="1" applyFont="1" applyFill="1" applyBorder="1" applyAlignment="1">
      <alignment horizontal="right" vertical="center"/>
    </xf>
    <xf numFmtId="165" fontId="3" fillId="0" borderId="7" xfId="0" applyNumberFormat="1" applyFont="1" applyBorder="1" applyAlignment="1">
      <alignment horizontal="right" vertical="center"/>
    </xf>
    <xf numFmtId="164" fontId="3" fillId="0" borderId="23" xfId="0" applyNumberFormat="1" applyFont="1" applyBorder="1" applyAlignment="1">
      <alignment horizontal="right" vertical="center"/>
    </xf>
    <xf numFmtId="164" fontId="3" fillId="4" borderId="24" xfId="0" applyNumberFormat="1" applyFont="1" applyFill="1" applyBorder="1" applyAlignment="1">
      <alignment horizontal="right" vertical="center"/>
    </xf>
    <xf numFmtId="164" fontId="5" fillId="2" borderId="25" xfId="0" applyNumberFormat="1" applyFont="1" applyFill="1" applyBorder="1" applyAlignment="1">
      <alignment horizontal="right" vertical="center"/>
    </xf>
    <xf numFmtId="164" fontId="5" fillId="2" borderId="26" xfId="0" applyNumberFormat="1" applyFont="1" applyFill="1" applyBorder="1" applyAlignment="1">
      <alignment horizontal="right" vertical="center"/>
    </xf>
    <xf numFmtId="164" fontId="5" fillId="2" borderId="27" xfId="0" applyNumberFormat="1" applyFont="1" applyFill="1" applyBorder="1" applyAlignment="1">
      <alignment horizontal="right" vertical="center"/>
    </xf>
    <xf numFmtId="165" fontId="5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164" fontId="5" fillId="2" borderId="28" xfId="0" applyNumberFormat="1" applyFont="1" applyFill="1" applyBorder="1" applyAlignment="1">
      <alignment horizontal="right" vertical="center"/>
    </xf>
    <xf numFmtId="14" fontId="3" fillId="2" borderId="29" xfId="0" applyNumberFormat="1" applyFont="1" applyFill="1" applyBorder="1" applyAlignment="1">
      <alignment horizontal="left" wrapText="1"/>
    </xf>
    <xf numFmtId="0" fontId="5" fillId="6" borderId="30" xfId="0" applyFont="1" applyFill="1" applyBorder="1" applyAlignment="1">
      <alignment horizontal="left" vertical="center"/>
    </xf>
    <xf numFmtId="0" fontId="5" fillId="6" borderId="31" xfId="0" applyFont="1" applyFill="1" applyBorder="1" applyAlignment="1">
      <alignment horizontal="left" vertical="center"/>
    </xf>
    <xf numFmtId="2" fontId="5" fillId="6" borderId="31" xfId="0" applyNumberFormat="1" applyFont="1" applyFill="1" applyBorder="1" applyAlignment="1">
      <alignment horizontal="left" vertical="center"/>
    </xf>
    <xf numFmtId="164" fontId="5" fillId="6" borderId="31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1" fillId="0" borderId="0" xfId="0" applyFont="1" applyAlignment="1">
      <alignment horizontal="right"/>
    </xf>
    <xf numFmtId="0" fontId="3" fillId="0" borderId="1" xfId="0" applyFont="1" applyBorder="1" applyAlignment="1">
      <alignment horizontal="left" wrapText="1"/>
    </xf>
    <xf numFmtId="14" fontId="3" fillId="0" borderId="1" xfId="0" applyNumberFormat="1" applyFont="1" applyBorder="1" applyAlignment="1">
      <alignment horizontal="left" wrapText="1"/>
    </xf>
    <xf numFmtId="14" fontId="3" fillId="2" borderId="2" xfId="0" applyNumberFormat="1" applyFont="1" applyFill="1" applyBorder="1" applyAlignment="1">
      <alignment horizontal="left" wrapText="1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8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5" fillId="3" borderId="17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left" vertical="center"/>
    </xf>
    <xf numFmtId="14" fontId="3" fillId="2" borderId="2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66675</xdr:rowOff>
    </xdr:from>
    <xdr:ext cx="3076575" cy="27146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66675</xdr:rowOff>
    </xdr:from>
    <xdr:ext cx="3067050" cy="27146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66675</xdr:rowOff>
    </xdr:from>
    <xdr:ext cx="3067050" cy="27146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entury Gothic"/>
        <a:ea typeface="Century Gothic"/>
        <a:cs typeface="Century Gothic"/>
      </a:majorFont>
      <a:minorFont>
        <a:latin typeface="Century Gothic"/>
        <a:ea typeface="Century Gothic"/>
        <a:cs typeface="Century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BE5F1"/>
    <pageSetUpPr fitToPage="1"/>
  </sheetPr>
  <dimension ref="B1:O1000"/>
  <sheetViews>
    <sheetView showGridLines="0" tabSelected="1" topLeftCell="A7" workbookViewId="0">
      <selection activeCell="D23" sqref="D23:K23"/>
    </sheetView>
  </sheetViews>
  <sheetFormatPr defaultColWidth="12.625" defaultRowHeight="15" customHeight="1" x14ac:dyDescent="0.4"/>
  <cols>
    <col min="1" max="1" width="2.625" customWidth="1"/>
    <col min="2" max="4" width="16.625" customWidth="1"/>
    <col min="5" max="5" width="18.125" customWidth="1"/>
    <col min="6" max="6" width="18.5" customWidth="1"/>
    <col min="7" max="8" width="16.75" customWidth="1"/>
    <col min="9" max="11" width="16.625" customWidth="1"/>
    <col min="12" max="12" width="18.625" customWidth="1"/>
    <col min="13" max="13" width="2.625" customWidth="1"/>
    <col min="14" max="14" width="8.625" customWidth="1"/>
    <col min="15" max="15" width="62.25" customWidth="1"/>
    <col min="16" max="26" width="8.625" customWidth="1"/>
  </cols>
  <sheetData>
    <row r="1" spans="2:15" ht="55.5" customHeight="1" x14ac:dyDescent="0.65">
      <c r="B1" s="50" t="s">
        <v>0</v>
      </c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2:15" ht="42.75" customHeight="1" x14ac:dyDescent="0.4">
      <c r="B2" s="1"/>
      <c r="C2" s="1"/>
      <c r="D2" s="1"/>
    </row>
    <row r="3" spans="2:15" ht="30" customHeight="1" x14ac:dyDescent="0.4">
      <c r="C3" s="46"/>
      <c r="D3" s="47"/>
      <c r="G3" s="2" t="s">
        <v>1</v>
      </c>
      <c r="H3" s="51" t="s">
        <v>2</v>
      </c>
      <c r="I3" s="49"/>
      <c r="J3" s="49"/>
      <c r="K3" s="49"/>
      <c r="L3" s="49"/>
    </row>
    <row r="4" spans="2:15" ht="30" customHeight="1" x14ac:dyDescent="0.4">
      <c r="G4" s="3" t="s">
        <v>3</v>
      </c>
      <c r="H4" s="52">
        <v>46097</v>
      </c>
      <c r="I4" s="49"/>
      <c r="J4" s="49"/>
      <c r="K4" s="49"/>
      <c r="L4" s="49"/>
    </row>
    <row r="5" spans="2:15" ht="30" customHeight="1" x14ac:dyDescent="0.4">
      <c r="G5" s="3" t="s">
        <v>4</v>
      </c>
      <c r="H5" s="53">
        <f>IFERROR(IF($H$4="","",$H$4+13), "")</f>
        <v>46110</v>
      </c>
      <c r="I5" s="54"/>
      <c r="J5" s="54"/>
      <c r="K5" s="54"/>
      <c r="L5" s="55"/>
    </row>
    <row r="6" spans="2:15" ht="30" customHeight="1" x14ac:dyDescent="0.4">
      <c r="J6" s="46"/>
      <c r="K6" s="47"/>
      <c r="L6" s="47"/>
    </row>
    <row r="8" spans="2:15" ht="30" customHeight="1" x14ac:dyDescent="0.4">
      <c r="B8" s="5" t="s">
        <v>5</v>
      </c>
      <c r="C8" s="5" t="s">
        <v>6</v>
      </c>
      <c r="D8" s="6" t="s">
        <v>7</v>
      </c>
      <c r="E8" s="6" t="s">
        <v>8</v>
      </c>
      <c r="F8" s="6" t="s">
        <v>9</v>
      </c>
      <c r="G8" s="6" t="s">
        <v>10</v>
      </c>
      <c r="H8" s="6" t="s">
        <v>11</v>
      </c>
      <c r="I8" s="6" t="s">
        <v>12</v>
      </c>
      <c r="J8" s="6" t="s">
        <v>13</v>
      </c>
      <c r="K8" s="6" t="s">
        <v>14</v>
      </c>
      <c r="L8" s="7" t="s">
        <v>15</v>
      </c>
      <c r="O8" s="8" t="s">
        <v>16</v>
      </c>
    </row>
    <row r="9" spans="2:15" ht="30" customHeight="1" x14ac:dyDescent="0.4">
      <c r="B9" s="5" t="str">
        <f>IFERROR(TEXT('Biweekly Time Sheet'!$C9,"aaaa"), "")</f>
        <v>Monday</v>
      </c>
      <c r="C9" s="9">
        <f>H4</f>
        <v>46097</v>
      </c>
      <c r="D9" s="10">
        <v>12</v>
      </c>
      <c r="E9" s="11"/>
      <c r="F9" s="10"/>
      <c r="G9" s="11"/>
      <c r="H9" s="10"/>
      <c r="I9" s="11"/>
      <c r="J9" s="10"/>
      <c r="K9" s="11"/>
      <c r="L9" s="12">
        <f t="shared" ref="L9:L23" si="0">IFERROR(SUM(D9:K9), "")</f>
        <v>12</v>
      </c>
      <c r="O9" s="13" t="s">
        <v>17</v>
      </c>
    </row>
    <row r="10" spans="2:15" ht="30" customHeight="1" x14ac:dyDescent="0.4">
      <c r="B10" s="5" t="str">
        <f>IFERROR(TEXT('Biweekly Time Sheet'!$C10,"aaaa"), "")</f>
        <v>Tuesday</v>
      </c>
      <c r="C10" s="9">
        <f>IF($H$4="","",$H$4+1)</f>
        <v>46098</v>
      </c>
      <c r="D10" s="10">
        <v>12</v>
      </c>
      <c r="E10" s="11"/>
      <c r="F10" s="10"/>
      <c r="G10" s="11"/>
      <c r="H10" s="10"/>
      <c r="I10" s="11"/>
      <c r="J10" s="10"/>
      <c r="K10" s="11"/>
      <c r="L10" s="12">
        <f t="shared" si="0"/>
        <v>12</v>
      </c>
      <c r="O10" s="13" t="s">
        <v>17</v>
      </c>
    </row>
    <row r="11" spans="2:15" ht="30" customHeight="1" x14ac:dyDescent="0.4">
      <c r="B11" s="5" t="str">
        <f>IFERROR(TEXT('Biweekly Time Sheet'!$C11,"aaaa"), "")</f>
        <v>Wednesday</v>
      </c>
      <c r="C11" s="9">
        <f>IF($H$4="","",$H$4+2)</f>
        <v>46099</v>
      </c>
      <c r="D11" s="10">
        <v>6.5</v>
      </c>
      <c r="E11" s="11"/>
      <c r="F11" s="10"/>
      <c r="G11" s="11">
        <v>3.5</v>
      </c>
      <c r="H11" s="10"/>
      <c r="I11" s="11"/>
      <c r="J11" s="10"/>
      <c r="K11" s="11"/>
      <c r="L11" s="12">
        <f t="shared" si="0"/>
        <v>10</v>
      </c>
      <c r="O11" s="14" t="s">
        <v>54</v>
      </c>
    </row>
    <row r="12" spans="2:15" ht="30" customHeight="1" x14ac:dyDescent="0.4">
      <c r="B12" s="5" t="str">
        <f>IFERROR(TEXT('Biweekly Time Sheet'!$C12,"aaaa"), "")</f>
        <v>Thursday</v>
      </c>
      <c r="C12" s="9">
        <f>IF($H$4="","",$H$4+3)</f>
        <v>46100</v>
      </c>
      <c r="D12" s="10">
        <v>8</v>
      </c>
      <c r="E12" s="11"/>
      <c r="F12" s="10"/>
      <c r="G12" s="11"/>
      <c r="H12" s="10"/>
      <c r="I12" s="11"/>
      <c r="J12" s="10"/>
      <c r="K12" s="11"/>
      <c r="L12" s="12">
        <f t="shared" si="0"/>
        <v>8</v>
      </c>
      <c r="O12" s="14" t="s">
        <v>18</v>
      </c>
    </row>
    <row r="13" spans="2:15" ht="30" customHeight="1" x14ac:dyDescent="0.4">
      <c r="B13" s="5" t="str">
        <f>IFERROR(TEXT('Biweekly Time Sheet'!$C13,"aaaa"), "")</f>
        <v>Friday</v>
      </c>
      <c r="C13" s="9">
        <f>IF($H$4="","",$H$4+4)</f>
        <v>46101</v>
      </c>
      <c r="D13" s="10">
        <v>1.5</v>
      </c>
      <c r="E13" s="11">
        <v>6.5</v>
      </c>
      <c r="F13" s="10"/>
      <c r="G13" s="11"/>
      <c r="H13" s="10"/>
      <c r="I13" s="11"/>
      <c r="J13" s="10"/>
      <c r="K13" s="11"/>
      <c r="L13" s="12">
        <f t="shared" si="0"/>
        <v>8</v>
      </c>
      <c r="O13" s="13" t="s">
        <v>55</v>
      </c>
    </row>
    <row r="14" spans="2:15" ht="30" customHeight="1" x14ac:dyDescent="0.4">
      <c r="B14" s="5" t="str">
        <f>IFERROR(TEXT('Biweekly Time Sheet'!$C14,"aaaa"), "")</f>
        <v>Saturday</v>
      </c>
      <c r="C14" s="9">
        <f>IF($H$4="","",$H$4+5)</f>
        <v>46102</v>
      </c>
      <c r="D14" s="10"/>
      <c r="E14" s="11"/>
      <c r="F14" s="10"/>
      <c r="G14" s="11"/>
      <c r="H14" s="10"/>
      <c r="I14" s="11"/>
      <c r="J14" s="10"/>
      <c r="K14" s="11"/>
      <c r="L14" s="12">
        <f t="shared" si="0"/>
        <v>0</v>
      </c>
      <c r="O14" s="13" t="s">
        <v>19</v>
      </c>
    </row>
    <row r="15" spans="2:15" ht="30" customHeight="1" x14ac:dyDescent="0.4">
      <c r="B15" s="5" t="str">
        <f>IFERROR(TEXT('Biweekly Time Sheet'!$C15,"aaaa"), "")</f>
        <v>Sunday</v>
      </c>
      <c r="C15" s="9">
        <f>IF($H$4="","",$H$4+6)</f>
        <v>46103</v>
      </c>
      <c r="D15" s="10"/>
      <c r="E15" s="11"/>
      <c r="F15" s="10"/>
      <c r="G15" s="11"/>
      <c r="H15" s="10"/>
      <c r="I15" s="11"/>
      <c r="J15" s="10"/>
      <c r="K15" s="11"/>
      <c r="L15" s="12">
        <f t="shared" si="0"/>
        <v>0</v>
      </c>
      <c r="O15" s="13" t="s">
        <v>19</v>
      </c>
    </row>
    <row r="16" spans="2:15" ht="30" customHeight="1" x14ac:dyDescent="0.4">
      <c r="B16" s="5" t="str">
        <f>IFERROR(TEXT('Biweekly Time Sheet'!$C16,"aaaa"), "")</f>
        <v>Monday</v>
      </c>
      <c r="C16" s="9">
        <f>IF($H$4="","",$H$4+7)</f>
        <v>46104</v>
      </c>
      <c r="D16" s="10">
        <v>8</v>
      </c>
      <c r="E16" s="11"/>
      <c r="F16" s="10"/>
      <c r="G16" s="11">
        <v>4</v>
      </c>
      <c r="H16" s="10"/>
      <c r="I16" s="11"/>
      <c r="J16" s="10"/>
      <c r="K16" s="11"/>
      <c r="L16" s="12">
        <f t="shared" si="0"/>
        <v>12</v>
      </c>
      <c r="O16" s="13" t="s">
        <v>52</v>
      </c>
    </row>
    <row r="17" spans="2:15" ht="30" customHeight="1" x14ac:dyDescent="0.4">
      <c r="B17" s="5" t="str">
        <f>IFERROR(TEXT('Biweekly Time Sheet'!$C17,"aaaa"), "")</f>
        <v>Tuesday</v>
      </c>
      <c r="C17" s="9">
        <f>IF($H$4="","",$H$4+8)</f>
        <v>46105</v>
      </c>
      <c r="D17" s="10">
        <v>12</v>
      </c>
      <c r="E17" s="11"/>
      <c r="F17" s="10"/>
      <c r="G17" s="11"/>
      <c r="H17" s="10"/>
      <c r="I17" s="11"/>
      <c r="J17" s="10"/>
      <c r="K17" s="11"/>
      <c r="L17" s="12">
        <f t="shared" si="0"/>
        <v>12</v>
      </c>
      <c r="O17" s="13" t="s">
        <v>17</v>
      </c>
    </row>
    <row r="18" spans="2:15" ht="30" customHeight="1" x14ac:dyDescent="0.4">
      <c r="B18" s="5" t="str">
        <f>IFERROR(TEXT('Biweekly Time Sheet'!$C18,"aaaa"), "")</f>
        <v>Wednesday</v>
      </c>
      <c r="C18" s="9">
        <f>IF($H$4="","",$H$4+9)</f>
        <v>46106</v>
      </c>
      <c r="D18" s="10">
        <v>12</v>
      </c>
      <c r="E18" s="11"/>
      <c r="F18" s="10"/>
      <c r="G18" s="11"/>
      <c r="H18" s="10"/>
      <c r="I18" s="11"/>
      <c r="J18" s="10"/>
      <c r="K18" s="11"/>
      <c r="L18" s="12">
        <f t="shared" si="0"/>
        <v>12</v>
      </c>
      <c r="O18" s="13" t="s">
        <v>17</v>
      </c>
    </row>
    <row r="19" spans="2:15" ht="30" customHeight="1" x14ac:dyDescent="0.4">
      <c r="B19" s="5" t="str">
        <f>IFERROR(TEXT('Biweekly Time Sheet'!$C19,"aaaa"), "")</f>
        <v>Thursday</v>
      </c>
      <c r="C19" s="9">
        <f>IF($H$4="","",$H$4+10)</f>
        <v>46107</v>
      </c>
      <c r="D19" s="10">
        <v>5.5</v>
      </c>
      <c r="E19" s="11"/>
      <c r="F19" s="10"/>
      <c r="G19" s="11">
        <v>4</v>
      </c>
      <c r="H19" s="10"/>
      <c r="I19" s="11"/>
      <c r="J19" s="10"/>
      <c r="K19" s="11"/>
      <c r="L19" s="12">
        <f t="shared" si="0"/>
        <v>9.5</v>
      </c>
      <c r="O19" s="13" t="s">
        <v>53</v>
      </c>
    </row>
    <row r="20" spans="2:15" ht="30" customHeight="1" x14ac:dyDescent="0.4">
      <c r="B20" s="5" t="str">
        <f>IFERROR(TEXT('Biweekly Time Sheet'!$C20,"aaaa"), "")</f>
        <v>Friday</v>
      </c>
      <c r="C20" s="9">
        <f>IF($H$4="","",$H$4+11)</f>
        <v>46108</v>
      </c>
      <c r="D20" s="10"/>
      <c r="E20" s="11"/>
      <c r="F20" s="10"/>
      <c r="G20" s="11"/>
      <c r="H20" s="10"/>
      <c r="I20" s="11"/>
      <c r="J20" s="10"/>
      <c r="K20" s="11"/>
      <c r="L20" s="12">
        <f t="shared" si="0"/>
        <v>0</v>
      </c>
      <c r="O20" s="13" t="s">
        <v>19</v>
      </c>
    </row>
    <row r="21" spans="2:15" ht="30" customHeight="1" x14ac:dyDescent="0.4">
      <c r="B21" s="5" t="str">
        <f>IFERROR(TEXT('Biweekly Time Sheet'!$C21,"aaaa"), "")</f>
        <v>Saturday</v>
      </c>
      <c r="C21" s="9">
        <f>IF($H$4="","",$H$4+12)</f>
        <v>46109</v>
      </c>
      <c r="D21" s="10"/>
      <c r="E21" s="11"/>
      <c r="F21" s="10"/>
      <c r="G21" s="11"/>
      <c r="H21" s="10"/>
      <c r="I21" s="11"/>
      <c r="J21" s="10"/>
      <c r="K21" s="11"/>
      <c r="L21" s="12">
        <f t="shared" si="0"/>
        <v>0</v>
      </c>
      <c r="O21" s="13">
        <v>0</v>
      </c>
    </row>
    <row r="22" spans="2:15" ht="30" customHeight="1" x14ac:dyDescent="0.4">
      <c r="B22" s="15" t="str">
        <f>IFERROR(TEXT('Biweekly Time Sheet'!$C22,"aaaa"), "")</f>
        <v>Sunday</v>
      </c>
      <c r="C22" s="16">
        <f>IF($H$4="","",$H$4+13)</f>
        <v>46110</v>
      </c>
      <c r="D22" s="17"/>
      <c r="E22" s="18"/>
      <c r="F22" s="17"/>
      <c r="G22" s="18"/>
      <c r="H22" s="17"/>
      <c r="I22" s="18"/>
      <c r="J22" s="17"/>
      <c r="K22" s="18"/>
      <c r="L22" s="12">
        <f t="shared" si="0"/>
        <v>0</v>
      </c>
      <c r="O22" s="13">
        <v>0</v>
      </c>
    </row>
    <row r="23" spans="2:15" ht="30" customHeight="1" x14ac:dyDescent="0.4">
      <c r="C23" s="8" t="s">
        <v>20</v>
      </c>
      <c r="D23" s="19">
        <f t="shared" ref="D23:K23" si="1">IFERROR(SUM(D9:D22), "")</f>
        <v>77.5</v>
      </c>
      <c r="E23" s="19">
        <f t="shared" si="1"/>
        <v>6.5</v>
      </c>
      <c r="F23" s="19">
        <f t="shared" si="1"/>
        <v>0</v>
      </c>
      <c r="G23" s="19">
        <f t="shared" si="1"/>
        <v>11.5</v>
      </c>
      <c r="H23" s="19">
        <f t="shared" si="1"/>
        <v>0</v>
      </c>
      <c r="I23" s="19">
        <f t="shared" si="1"/>
        <v>0</v>
      </c>
      <c r="J23" s="19">
        <f t="shared" si="1"/>
        <v>0</v>
      </c>
      <c r="K23" s="19">
        <f t="shared" si="1"/>
        <v>0</v>
      </c>
      <c r="L23" s="19">
        <f t="shared" si="0"/>
        <v>95.5</v>
      </c>
    </row>
    <row r="24" spans="2:15" ht="30" customHeight="1" x14ac:dyDescent="0.4">
      <c r="D24" s="46"/>
      <c r="E24" s="47"/>
      <c r="F24" s="47"/>
      <c r="G24" s="47"/>
      <c r="H24" s="47"/>
      <c r="I24" s="47"/>
      <c r="J24" s="47"/>
    </row>
    <row r="25" spans="2:15" ht="30" customHeight="1" x14ac:dyDescent="0.4">
      <c r="D25" s="46"/>
      <c r="E25" s="47"/>
      <c r="F25" s="47"/>
      <c r="G25" s="47"/>
      <c r="H25" s="47"/>
      <c r="I25" s="47"/>
      <c r="J25" s="47"/>
    </row>
    <row r="26" spans="2:15" ht="30" customHeight="1" x14ac:dyDescent="0.4">
      <c r="D26" s="48"/>
      <c r="E26" s="49"/>
      <c r="F26" s="49"/>
      <c r="G26" s="49"/>
      <c r="H26" s="49"/>
      <c r="I26" s="49"/>
      <c r="J26" s="49"/>
      <c r="K26" s="20"/>
      <c r="L26" s="4"/>
    </row>
    <row r="27" spans="2:15" ht="30" customHeight="1" x14ac:dyDescent="0.4">
      <c r="D27" s="46" t="s">
        <v>21</v>
      </c>
      <c r="E27" s="47"/>
      <c r="F27" s="47"/>
      <c r="G27" s="47"/>
      <c r="H27" s="47"/>
      <c r="I27" s="47"/>
      <c r="J27" s="47"/>
      <c r="L27" s="21" t="s">
        <v>6</v>
      </c>
    </row>
    <row r="28" spans="2:15" ht="30" customHeight="1" x14ac:dyDescent="0.4">
      <c r="L28" s="22" t="s">
        <v>22</v>
      </c>
    </row>
    <row r="29" spans="2:15" ht="30" customHeight="1" x14ac:dyDescent="0.4"/>
    <row r="30" spans="2:15" ht="30" customHeight="1" x14ac:dyDescent="0.4"/>
    <row r="31" spans="2:15" ht="30" customHeight="1" x14ac:dyDescent="0.4"/>
    <row r="32" spans="2:15" ht="30" customHeight="1" x14ac:dyDescent="0.4"/>
    <row r="33" ht="30" customHeight="1" x14ac:dyDescent="0.4"/>
    <row r="34" ht="30" customHeight="1" x14ac:dyDescent="0.4"/>
    <row r="35" ht="30" customHeight="1" x14ac:dyDescent="0.4"/>
    <row r="36" ht="30" customHeight="1" x14ac:dyDescent="0.4"/>
    <row r="37" ht="30" customHeight="1" x14ac:dyDescent="0.4"/>
    <row r="38" ht="30" customHeight="1" x14ac:dyDescent="0.4"/>
    <row r="39" ht="30" customHeight="1" x14ac:dyDescent="0.4"/>
    <row r="40" ht="30" customHeight="1" x14ac:dyDescent="0.4"/>
    <row r="41" ht="30" customHeight="1" x14ac:dyDescent="0.4"/>
    <row r="42" ht="30" customHeight="1" x14ac:dyDescent="0.4"/>
    <row r="43" ht="30" customHeight="1" x14ac:dyDescent="0.4"/>
    <row r="44" ht="30" customHeight="1" x14ac:dyDescent="0.4"/>
    <row r="45" ht="30" customHeight="1" x14ac:dyDescent="0.4"/>
    <row r="46" ht="30" customHeight="1" x14ac:dyDescent="0.4"/>
    <row r="47" ht="30" customHeight="1" x14ac:dyDescent="0.4"/>
    <row r="48" ht="30" customHeight="1" x14ac:dyDescent="0.4"/>
    <row r="49" ht="30" customHeight="1" x14ac:dyDescent="0.4"/>
    <row r="50" ht="30" customHeight="1" x14ac:dyDescent="0.4"/>
    <row r="51" ht="30" customHeight="1" x14ac:dyDescent="0.4"/>
    <row r="52" ht="30" customHeight="1" x14ac:dyDescent="0.4"/>
    <row r="53" ht="30" customHeight="1" x14ac:dyDescent="0.4"/>
    <row r="54" ht="30" customHeight="1" x14ac:dyDescent="0.4"/>
    <row r="55" ht="30" customHeight="1" x14ac:dyDescent="0.4"/>
    <row r="56" ht="30" customHeight="1" x14ac:dyDescent="0.4"/>
    <row r="57" ht="30" customHeight="1" x14ac:dyDescent="0.4"/>
    <row r="58" ht="30" customHeight="1" x14ac:dyDescent="0.4"/>
    <row r="59" ht="30" customHeight="1" x14ac:dyDescent="0.4"/>
    <row r="60" ht="30" customHeight="1" x14ac:dyDescent="0.4"/>
    <row r="61" ht="30" customHeight="1" x14ac:dyDescent="0.4"/>
    <row r="62" ht="30" customHeight="1" x14ac:dyDescent="0.4"/>
    <row r="63" ht="30" customHeight="1" x14ac:dyDescent="0.4"/>
    <row r="64" ht="30" customHeight="1" x14ac:dyDescent="0.4"/>
    <row r="65" ht="30" customHeight="1" x14ac:dyDescent="0.4"/>
    <row r="66" ht="30" customHeight="1" x14ac:dyDescent="0.4"/>
    <row r="67" ht="30" customHeight="1" x14ac:dyDescent="0.4"/>
    <row r="68" ht="30" customHeight="1" x14ac:dyDescent="0.4"/>
    <row r="69" ht="30" customHeight="1" x14ac:dyDescent="0.4"/>
    <row r="70" ht="30" customHeight="1" x14ac:dyDescent="0.4"/>
    <row r="71" ht="30" customHeight="1" x14ac:dyDescent="0.4"/>
    <row r="72" ht="30" customHeight="1" x14ac:dyDescent="0.4"/>
    <row r="73" ht="30" customHeight="1" x14ac:dyDescent="0.4"/>
    <row r="74" ht="30" customHeight="1" x14ac:dyDescent="0.4"/>
    <row r="75" ht="30" customHeight="1" x14ac:dyDescent="0.4"/>
    <row r="76" ht="30" customHeight="1" x14ac:dyDescent="0.4"/>
    <row r="77" ht="30" customHeight="1" x14ac:dyDescent="0.4"/>
    <row r="78" ht="30" customHeight="1" x14ac:dyDescent="0.4"/>
    <row r="79" ht="30" customHeight="1" x14ac:dyDescent="0.4"/>
    <row r="80" ht="30" customHeight="1" x14ac:dyDescent="0.4"/>
    <row r="81" ht="30" customHeight="1" x14ac:dyDescent="0.4"/>
    <row r="82" ht="30" customHeight="1" x14ac:dyDescent="0.4"/>
    <row r="83" ht="30" customHeight="1" x14ac:dyDescent="0.4"/>
    <row r="84" ht="30" customHeight="1" x14ac:dyDescent="0.4"/>
    <row r="85" ht="30" customHeight="1" x14ac:dyDescent="0.4"/>
    <row r="86" ht="30" customHeight="1" x14ac:dyDescent="0.4"/>
    <row r="87" ht="30" customHeight="1" x14ac:dyDescent="0.4"/>
    <row r="88" ht="30" customHeight="1" x14ac:dyDescent="0.4"/>
    <row r="89" ht="30" customHeight="1" x14ac:dyDescent="0.4"/>
    <row r="90" ht="30" customHeight="1" x14ac:dyDescent="0.4"/>
    <row r="91" ht="30" customHeight="1" x14ac:dyDescent="0.4"/>
    <row r="92" ht="30" customHeight="1" x14ac:dyDescent="0.4"/>
    <row r="93" ht="30" customHeight="1" x14ac:dyDescent="0.4"/>
    <row r="94" ht="30" customHeight="1" x14ac:dyDescent="0.4"/>
    <row r="95" ht="30" customHeight="1" x14ac:dyDescent="0.4"/>
    <row r="96" ht="30" customHeight="1" x14ac:dyDescent="0.4"/>
    <row r="97" ht="30" customHeight="1" x14ac:dyDescent="0.4"/>
    <row r="98" ht="30" customHeight="1" x14ac:dyDescent="0.4"/>
    <row r="99" ht="30" customHeight="1" x14ac:dyDescent="0.4"/>
    <row r="100" ht="30" customHeight="1" x14ac:dyDescent="0.4"/>
    <row r="101" ht="30" customHeight="1" x14ac:dyDescent="0.4"/>
    <row r="102" ht="30" customHeight="1" x14ac:dyDescent="0.4"/>
    <row r="103" ht="30" customHeight="1" x14ac:dyDescent="0.4"/>
    <row r="104" ht="30" customHeight="1" x14ac:dyDescent="0.4"/>
    <row r="105" ht="30" customHeight="1" x14ac:dyDescent="0.4"/>
    <row r="106" ht="30" customHeight="1" x14ac:dyDescent="0.4"/>
    <row r="107" ht="30" customHeight="1" x14ac:dyDescent="0.4"/>
    <row r="108" ht="30" customHeight="1" x14ac:dyDescent="0.4"/>
    <row r="109" ht="30" customHeight="1" x14ac:dyDescent="0.4"/>
    <row r="110" ht="30" customHeight="1" x14ac:dyDescent="0.4"/>
    <row r="111" ht="30" customHeight="1" x14ac:dyDescent="0.4"/>
    <row r="112" ht="30" customHeight="1" x14ac:dyDescent="0.4"/>
    <row r="113" ht="30" customHeight="1" x14ac:dyDescent="0.4"/>
    <row r="114" ht="30" customHeight="1" x14ac:dyDescent="0.4"/>
    <row r="115" ht="30" customHeight="1" x14ac:dyDescent="0.4"/>
    <row r="116" ht="30" customHeight="1" x14ac:dyDescent="0.4"/>
    <row r="117" ht="30" customHeight="1" x14ac:dyDescent="0.4"/>
    <row r="118" ht="30" customHeight="1" x14ac:dyDescent="0.4"/>
    <row r="119" ht="30" customHeight="1" x14ac:dyDescent="0.4"/>
    <row r="120" ht="30" customHeight="1" x14ac:dyDescent="0.4"/>
    <row r="121" ht="30" customHeight="1" x14ac:dyDescent="0.4"/>
    <row r="122" ht="30" customHeight="1" x14ac:dyDescent="0.4"/>
    <row r="123" ht="30" customHeight="1" x14ac:dyDescent="0.4"/>
    <row r="124" ht="30" customHeight="1" x14ac:dyDescent="0.4"/>
    <row r="125" ht="30" customHeight="1" x14ac:dyDescent="0.4"/>
    <row r="126" ht="30" customHeight="1" x14ac:dyDescent="0.4"/>
    <row r="127" ht="30" customHeight="1" x14ac:dyDescent="0.4"/>
    <row r="128" ht="30" customHeight="1" x14ac:dyDescent="0.4"/>
    <row r="129" ht="30" customHeight="1" x14ac:dyDescent="0.4"/>
    <row r="130" ht="30" customHeight="1" x14ac:dyDescent="0.4"/>
    <row r="131" ht="30" customHeight="1" x14ac:dyDescent="0.4"/>
    <row r="132" ht="30" customHeight="1" x14ac:dyDescent="0.4"/>
    <row r="133" ht="30" customHeight="1" x14ac:dyDescent="0.4"/>
    <row r="134" ht="30" customHeight="1" x14ac:dyDescent="0.4"/>
    <row r="135" ht="30" customHeight="1" x14ac:dyDescent="0.4"/>
    <row r="136" ht="30" customHeight="1" x14ac:dyDescent="0.4"/>
    <row r="137" ht="30" customHeight="1" x14ac:dyDescent="0.4"/>
    <row r="138" ht="30" customHeight="1" x14ac:dyDescent="0.4"/>
    <row r="139" ht="30" customHeight="1" x14ac:dyDescent="0.4"/>
    <row r="140" ht="30" customHeight="1" x14ac:dyDescent="0.4"/>
    <row r="141" ht="30" customHeight="1" x14ac:dyDescent="0.4"/>
    <row r="142" ht="30" customHeight="1" x14ac:dyDescent="0.4"/>
    <row r="143" ht="30" customHeight="1" x14ac:dyDescent="0.4"/>
    <row r="144" ht="30" customHeight="1" x14ac:dyDescent="0.4"/>
    <row r="145" ht="30" customHeight="1" x14ac:dyDescent="0.4"/>
    <row r="146" ht="30" customHeight="1" x14ac:dyDescent="0.4"/>
    <row r="147" ht="30" customHeight="1" x14ac:dyDescent="0.4"/>
    <row r="148" ht="30" customHeight="1" x14ac:dyDescent="0.4"/>
    <row r="149" ht="30" customHeight="1" x14ac:dyDescent="0.4"/>
    <row r="150" ht="30" customHeight="1" x14ac:dyDescent="0.4"/>
    <row r="151" ht="30" customHeight="1" x14ac:dyDescent="0.4"/>
    <row r="152" ht="30" customHeight="1" x14ac:dyDescent="0.4"/>
    <row r="153" ht="30" customHeight="1" x14ac:dyDescent="0.4"/>
    <row r="154" ht="30" customHeight="1" x14ac:dyDescent="0.4"/>
    <row r="155" ht="30" customHeight="1" x14ac:dyDescent="0.4"/>
    <row r="156" ht="30" customHeight="1" x14ac:dyDescent="0.4"/>
    <row r="157" ht="30" customHeight="1" x14ac:dyDescent="0.4"/>
    <row r="158" ht="30" customHeight="1" x14ac:dyDescent="0.4"/>
    <row r="159" ht="30" customHeight="1" x14ac:dyDescent="0.4"/>
    <row r="160" ht="30" customHeight="1" x14ac:dyDescent="0.4"/>
    <row r="161" ht="30" customHeight="1" x14ac:dyDescent="0.4"/>
    <row r="162" ht="30" customHeight="1" x14ac:dyDescent="0.4"/>
    <row r="163" ht="30" customHeight="1" x14ac:dyDescent="0.4"/>
    <row r="164" ht="30" customHeight="1" x14ac:dyDescent="0.4"/>
    <row r="165" ht="30" customHeight="1" x14ac:dyDescent="0.4"/>
    <row r="166" ht="30" customHeight="1" x14ac:dyDescent="0.4"/>
    <row r="167" ht="30" customHeight="1" x14ac:dyDescent="0.4"/>
    <row r="168" ht="30" customHeight="1" x14ac:dyDescent="0.4"/>
    <row r="169" ht="30" customHeight="1" x14ac:dyDescent="0.4"/>
    <row r="170" ht="30" customHeight="1" x14ac:dyDescent="0.4"/>
    <row r="171" ht="30" customHeight="1" x14ac:dyDescent="0.4"/>
    <row r="172" ht="30" customHeight="1" x14ac:dyDescent="0.4"/>
    <row r="173" ht="30" customHeight="1" x14ac:dyDescent="0.4"/>
    <row r="174" ht="30" customHeight="1" x14ac:dyDescent="0.4"/>
    <row r="175" ht="30" customHeight="1" x14ac:dyDescent="0.4"/>
    <row r="176" ht="30" customHeight="1" x14ac:dyDescent="0.4"/>
    <row r="177" ht="30" customHeight="1" x14ac:dyDescent="0.4"/>
    <row r="178" ht="30" customHeight="1" x14ac:dyDescent="0.4"/>
    <row r="179" ht="30" customHeight="1" x14ac:dyDescent="0.4"/>
    <row r="180" ht="30" customHeight="1" x14ac:dyDescent="0.4"/>
    <row r="181" ht="30" customHeight="1" x14ac:dyDescent="0.4"/>
    <row r="182" ht="30" customHeight="1" x14ac:dyDescent="0.4"/>
    <row r="183" ht="30" customHeight="1" x14ac:dyDescent="0.4"/>
    <row r="184" ht="30" customHeight="1" x14ac:dyDescent="0.4"/>
    <row r="185" ht="30" customHeight="1" x14ac:dyDescent="0.4"/>
    <row r="186" ht="30" customHeight="1" x14ac:dyDescent="0.4"/>
    <row r="187" ht="30" customHeight="1" x14ac:dyDescent="0.4"/>
    <row r="188" ht="30" customHeight="1" x14ac:dyDescent="0.4"/>
    <row r="189" ht="30" customHeight="1" x14ac:dyDescent="0.4"/>
    <row r="190" ht="30" customHeight="1" x14ac:dyDescent="0.4"/>
    <row r="191" ht="30" customHeight="1" x14ac:dyDescent="0.4"/>
    <row r="192" ht="30" customHeight="1" x14ac:dyDescent="0.4"/>
    <row r="193" ht="30" customHeight="1" x14ac:dyDescent="0.4"/>
    <row r="194" ht="30" customHeight="1" x14ac:dyDescent="0.4"/>
    <row r="195" ht="30" customHeight="1" x14ac:dyDescent="0.4"/>
    <row r="196" ht="30" customHeight="1" x14ac:dyDescent="0.4"/>
    <row r="197" ht="30" customHeight="1" x14ac:dyDescent="0.4"/>
    <row r="198" ht="30" customHeight="1" x14ac:dyDescent="0.4"/>
    <row r="199" ht="30" customHeight="1" x14ac:dyDescent="0.4"/>
    <row r="200" ht="30" customHeight="1" x14ac:dyDescent="0.4"/>
    <row r="201" ht="30" customHeight="1" x14ac:dyDescent="0.4"/>
    <row r="202" ht="30" customHeight="1" x14ac:dyDescent="0.4"/>
    <row r="203" ht="30" customHeight="1" x14ac:dyDescent="0.4"/>
    <row r="204" ht="30" customHeight="1" x14ac:dyDescent="0.4"/>
    <row r="205" ht="30" customHeight="1" x14ac:dyDescent="0.4"/>
    <row r="206" ht="30" customHeight="1" x14ac:dyDescent="0.4"/>
    <row r="207" ht="30" customHeight="1" x14ac:dyDescent="0.4"/>
    <row r="208" ht="30" customHeight="1" x14ac:dyDescent="0.4"/>
    <row r="209" ht="30" customHeight="1" x14ac:dyDescent="0.4"/>
    <row r="210" ht="30" customHeight="1" x14ac:dyDescent="0.4"/>
    <row r="211" ht="30" customHeight="1" x14ac:dyDescent="0.4"/>
    <row r="212" ht="30" customHeight="1" x14ac:dyDescent="0.4"/>
    <row r="213" ht="30" customHeight="1" x14ac:dyDescent="0.4"/>
    <row r="214" ht="30" customHeight="1" x14ac:dyDescent="0.4"/>
    <row r="215" ht="30" customHeight="1" x14ac:dyDescent="0.4"/>
    <row r="216" ht="30" customHeight="1" x14ac:dyDescent="0.4"/>
    <row r="217" ht="30" customHeight="1" x14ac:dyDescent="0.4"/>
    <row r="218" ht="30" customHeight="1" x14ac:dyDescent="0.4"/>
    <row r="219" ht="30" customHeight="1" x14ac:dyDescent="0.4"/>
    <row r="220" ht="30" customHeight="1" x14ac:dyDescent="0.4"/>
    <row r="221" ht="30" customHeight="1" x14ac:dyDescent="0.4"/>
    <row r="222" ht="30" customHeight="1" x14ac:dyDescent="0.4"/>
    <row r="223" ht="30" customHeight="1" x14ac:dyDescent="0.4"/>
    <row r="224" ht="30" customHeight="1" x14ac:dyDescent="0.4"/>
    <row r="225" ht="30" customHeight="1" x14ac:dyDescent="0.4"/>
    <row r="226" ht="30" customHeight="1" x14ac:dyDescent="0.4"/>
    <row r="227" ht="30" customHeight="1" x14ac:dyDescent="0.4"/>
    <row r="228" ht="30" customHeight="1" x14ac:dyDescent="0.4"/>
    <row r="229" ht="30" customHeight="1" x14ac:dyDescent="0.4"/>
    <row r="230" ht="30" customHeight="1" x14ac:dyDescent="0.4"/>
    <row r="231" ht="30" customHeight="1" x14ac:dyDescent="0.4"/>
    <row r="232" ht="30" customHeight="1" x14ac:dyDescent="0.4"/>
    <row r="233" ht="30" customHeight="1" x14ac:dyDescent="0.4"/>
    <row r="234" ht="30" customHeight="1" x14ac:dyDescent="0.4"/>
    <row r="235" ht="30" customHeight="1" x14ac:dyDescent="0.4"/>
    <row r="236" ht="30" customHeight="1" x14ac:dyDescent="0.4"/>
    <row r="237" ht="30" customHeight="1" x14ac:dyDescent="0.4"/>
    <row r="238" ht="30" customHeight="1" x14ac:dyDescent="0.4"/>
    <row r="239" ht="30" customHeight="1" x14ac:dyDescent="0.4"/>
    <row r="240" ht="30" customHeight="1" x14ac:dyDescent="0.4"/>
    <row r="241" ht="30" customHeight="1" x14ac:dyDescent="0.4"/>
    <row r="242" ht="30" customHeight="1" x14ac:dyDescent="0.4"/>
    <row r="243" ht="30" customHeight="1" x14ac:dyDescent="0.4"/>
    <row r="244" ht="30" customHeight="1" x14ac:dyDescent="0.4"/>
    <row r="245" ht="30" customHeight="1" x14ac:dyDescent="0.4"/>
    <row r="246" ht="30" customHeight="1" x14ac:dyDescent="0.4"/>
    <row r="247" ht="30" customHeight="1" x14ac:dyDescent="0.4"/>
    <row r="248" ht="30" customHeight="1" x14ac:dyDescent="0.4"/>
    <row r="249" ht="30" customHeight="1" x14ac:dyDescent="0.4"/>
    <row r="250" ht="30" customHeight="1" x14ac:dyDescent="0.4"/>
    <row r="251" ht="30" customHeight="1" x14ac:dyDescent="0.4"/>
    <row r="252" ht="30" customHeight="1" x14ac:dyDescent="0.4"/>
    <row r="253" ht="30" customHeight="1" x14ac:dyDescent="0.4"/>
    <row r="254" ht="30" customHeight="1" x14ac:dyDescent="0.4"/>
    <row r="255" ht="30" customHeight="1" x14ac:dyDescent="0.4"/>
    <row r="256" ht="30" customHeight="1" x14ac:dyDescent="0.4"/>
    <row r="257" ht="30" customHeight="1" x14ac:dyDescent="0.4"/>
    <row r="258" ht="30" customHeight="1" x14ac:dyDescent="0.4"/>
    <row r="259" ht="30" customHeight="1" x14ac:dyDescent="0.4"/>
    <row r="260" ht="30" customHeight="1" x14ac:dyDescent="0.4"/>
    <row r="261" ht="30" customHeight="1" x14ac:dyDescent="0.4"/>
    <row r="262" ht="30" customHeight="1" x14ac:dyDescent="0.4"/>
    <row r="263" ht="30" customHeight="1" x14ac:dyDescent="0.4"/>
    <row r="264" ht="30" customHeight="1" x14ac:dyDescent="0.4"/>
    <row r="265" ht="30" customHeight="1" x14ac:dyDescent="0.4"/>
    <row r="266" ht="30" customHeight="1" x14ac:dyDescent="0.4"/>
    <row r="267" ht="30" customHeight="1" x14ac:dyDescent="0.4"/>
    <row r="268" ht="30" customHeight="1" x14ac:dyDescent="0.4"/>
    <row r="269" ht="30" customHeight="1" x14ac:dyDescent="0.4"/>
    <row r="270" ht="30" customHeight="1" x14ac:dyDescent="0.4"/>
    <row r="271" ht="30" customHeight="1" x14ac:dyDescent="0.4"/>
    <row r="272" ht="30" customHeight="1" x14ac:dyDescent="0.4"/>
    <row r="273" ht="30" customHeight="1" x14ac:dyDescent="0.4"/>
    <row r="274" ht="30" customHeight="1" x14ac:dyDescent="0.4"/>
    <row r="275" ht="30" customHeight="1" x14ac:dyDescent="0.4"/>
    <row r="276" ht="30" customHeight="1" x14ac:dyDescent="0.4"/>
    <row r="277" ht="30" customHeight="1" x14ac:dyDescent="0.4"/>
    <row r="278" ht="30" customHeight="1" x14ac:dyDescent="0.4"/>
    <row r="279" ht="30" customHeight="1" x14ac:dyDescent="0.4"/>
    <row r="280" ht="30" customHeight="1" x14ac:dyDescent="0.4"/>
    <row r="281" ht="30" customHeight="1" x14ac:dyDescent="0.4"/>
    <row r="282" ht="30" customHeight="1" x14ac:dyDescent="0.4"/>
    <row r="283" ht="30" customHeight="1" x14ac:dyDescent="0.4"/>
    <row r="284" ht="30" customHeight="1" x14ac:dyDescent="0.4"/>
    <row r="285" ht="30" customHeight="1" x14ac:dyDescent="0.4"/>
    <row r="286" ht="30" customHeight="1" x14ac:dyDescent="0.4"/>
    <row r="287" ht="30" customHeight="1" x14ac:dyDescent="0.4"/>
    <row r="288" ht="30" customHeight="1" x14ac:dyDescent="0.4"/>
    <row r="289" ht="30" customHeight="1" x14ac:dyDescent="0.4"/>
    <row r="290" ht="30" customHeight="1" x14ac:dyDescent="0.4"/>
    <row r="291" ht="30" customHeight="1" x14ac:dyDescent="0.4"/>
    <row r="292" ht="30" customHeight="1" x14ac:dyDescent="0.4"/>
    <row r="293" ht="30" customHeight="1" x14ac:dyDescent="0.4"/>
    <row r="294" ht="30" customHeight="1" x14ac:dyDescent="0.4"/>
    <row r="295" ht="30" customHeight="1" x14ac:dyDescent="0.4"/>
    <row r="296" ht="30" customHeight="1" x14ac:dyDescent="0.4"/>
    <row r="297" ht="30" customHeight="1" x14ac:dyDescent="0.4"/>
    <row r="298" ht="30" customHeight="1" x14ac:dyDescent="0.4"/>
    <row r="299" ht="30" customHeight="1" x14ac:dyDescent="0.4"/>
    <row r="300" ht="30" customHeight="1" x14ac:dyDescent="0.4"/>
    <row r="301" ht="30" customHeight="1" x14ac:dyDescent="0.4"/>
    <row r="302" ht="30" customHeight="1" x14ac:dyDescent="0.4"/>
    <row r="303" ht="30" customHeight="1" x14ac:dyDescent="0.4"/>
    <row r="304" ht="30" customHeight="1" x14ac:dyDescent="0.4"/>
    <row r="305" ht="30" customHeight="1" x14ac:dyDescent="0.4"/>
    <row r="306" ht="30" customHeight="1" x14ac:dyDescent="0.4"/>
    <row r="307" ht="30" customHeight="1" x14ac:dyDescent="0.4"/>
    <row r="308" ht="30" customHeight="1" x14ac:dyDescent="0.4"/>
    <row r="309" ht="30" customHeight="1" x14ac:dyDescent="0.4"/>
    <row r="310" ht="30" customHeight="1" x14ac:dyDescent="0.4"/>
    <row r="311" ht="30" customHeight="1" x14ac:dyDescent="0.4"/>
    <row r="312" ht="30" customHeight="1" x14ac:dyDescent="0.4"/>
    <row r="313" ht="30" customHeight="1" x14ac:dyDescent="0.4"/>
    <row r="314" ht="30" customHeight="1" x14ac:dyDescent="0.4"/>
    <row r="315" ht="30" customHeight="1" x14ac:dyDescent="0.4"/>
    <row r="316" ht="30" customHeight="1" x14ac:dyDescent="0.4"/>
    <row r="317" ht="30" customHeight="1" x14ac:dyDescent="0.4"/>
    <row r="318" ht="30" customHeight="1" x14ac:dyDescent="0.4"/>
    <row r="319" ht="30" customHeight="1" x14ac:dyDescent="0.4"/>
    <row r="320" ht="30" customHeight="1" x14ac:dyDescent="0.4"/>
    <row r="321" ht="30" customHeight="1" x14ac:dyDescent="0.4"/>
    <row r="322" ht="30" customHeight="1" x14ac:dyDescent="0.4"/>
    <row r="323" ht="30" customHeight="1" x14ac:dyDescent="0.4"/>
    <row r="324" ht="30" customHeight="1" x14ac:dyDescent="0.4"/>
    <row r="325" ht="30" customHeight="1" x14ac:dyDescent="0.4"/>
    <row r="326" ht="30" customHeight="1" x14ac:dyDescent="0.4"/>
    <row r="327" ht="30" customHeight="1" x14ac:dyDescent="0.4"/>
    <row r="328" ht="30" customHeight="1" x14ac:dyDescent="0.4"/>
    <row r="329" ht="30" customHeight="1" x14ac:dyDescent="0.4"/>
    <row r="330" ht="30" customHeight="1" x14ac:dyDescent="0.4"/>
    <row r="331" ht="30" customHeight="1" x14ac:dyDescent="0.4"/>
    <row r="332" ht="30" customHeight="1" x14ac:dyDescent="0.4"/>
    <row r="333" ht="30" customHeight="1" x14ac:dyDescent="0.4"/>
    <row r="334" ht="30" customHeight="1" x14ac:dyDescent="0.4"/>
    <row r="335" ht="30" customHeight="1" x14ac:dyDescent="0.4"/>
    <row r="336" ht="30" customHeight="1" x14ac:dyDescent="0.4"/>
    <row r="337" ht="30" customHeight="1" x14ac:dyDescent="0.4"/>
    <row r="338" ht="30" customHeight="1" x14ac:dyDescent="0.4"/>
    <row r="339" ht="30" customHeight="1" x14ac:dyDescent="0.4"/>
    <row r="340" ht="30" customHeight="1" x14ac:dyDescent="0.4"/>
    <row r="341" ht="30" customHeight="1" x14ac:dyDescent="0.4"/>
    <row r="342" ht="30" customHeight="1" x14ac:dyDescent="0.4"/>
    <row r="343" ht="30" customHeight="1" x14ac:dyDescent="0.4"/>
    <row r="344" ht="30" customHeight="1" x14ac:dyDescent="0.4"/>
    <row r="345" ht="30" customHeight="1" x14ac:dyDescent="0.4"/>
    <row r="346" ht="30" customHeight="1" x14ac:dyDescent="0.4"/>
    <row r="347" ht="30" customHeight="1" x14ac:dyDescent="0.4"/>
    <row r="348" ht="30" customHeight="1" x14ac:dyDescent="0.4"/>
    <row r="349" ht="30" customHeight="1" x14ac:dyDescent="0.4"/>
    <row r="350" ht="30" customHeight="1" x14ac:dyDescent="0.4"/>
    <row r="351" ht="30" customHeight="1" x14ac:dyDescent="0.4"/>
    <row r="352" ht="30" customHeight="1" x14ac:dyDescent="0.4"/>
    <row r="353" ht="30" customHeight="1" x14ac:dyDescent="0.4"/>
    <row r="354" ht="30" customHeight="1" x14ac:dyDescent="0.4"/>
    <row r="355" ht="30" customHeight="1" x14ac:dyDescent="0.4"/>
    <row r="356" ht="30" customHeight="1" x14ac:dyDescent="0.4"/>
    <row r="357" ht="30" customHeight="1" x14ac:dyDescent="0.4"/>
    <row r="358" ht="30" customHeight="1" x14ac:dyDescent="0.4"/>
    <row r="359" ht="30" customHeight="1" x14ac:dyDescent="0.4"/>
    <row r="360" ht="30" customHeight="1" x14ac:dyDescent="0.4"/>
    <row r="361" ht="30" customHeight="1" x14ac:dyDescent="0.4"/>
    <row r="362" ht="30" customHeight="1" x14ac:dyDescent="0.4"/>
    <row r="363" ht="30" customHeight="1" x14ac:dyDescent="0.4"/>
    <row r="364" ht="30" customHeight="1" x14ac:dyDescent="0.4"/>
    <row r="365" ht="30" customHeight="1" x14ac:dyDescent="0.4"/>
    <row r="366" ht="30" customHeight="1" x14ac:dyDescent="0.4"/>
    <row r="367" ht="30" customHeight="1" x14ac:dyDescent="0.4"/>
    <row r="368" ht="30" customHeight="1" x14ac:dyDescent="0.4"/>
    <row r="369" ht="30" customHeight="1" x14ac:dyDescent="0.4"/>
    <row r="370" ht="30" customHeight="1" x14ac:dyDescent="0.4"/>
    <row r="371" ht="30" customHeight="1" x14ac:dyDescent="0.4"/>
    <row r="372" ht="30" customHeight="1" x14ac:dyDescent="0.4"/>
    <row r="373" ht="30" customHeight="1" x14ac:dyDescent="0.4"/>
    <row r="374" ht="30" customHeight="1" x14ac:dyDescent="0.4"/>
    <row r="375" ht="30" customHeight="1" x14ac:dyDescent="0.4"/>
    <row r="376" ht="30" customHeight="1" x14ac:dyDescent="0.4"/>
    <row r="377" ht="30" customHeight="1" x14ac:dyDescent="0.4"/>
    <row r="378" ht="30" customHeight="1" x14ac:dyDescent="0.4"/>
    <row r="379" ht="30" customHeight="1" x14ac:dyDescent="0.4"/>
    <row r="380" ht="30" customHeight="1" x14ac:dyDescent="0.4"/>
    <row r="381" ht="30" customHeight="1" x14ac:dyDescent="0.4"/>
    <row r="382" ht="30" customHeight="1" x14ac:dyDescent="0.4"/>
    <row r="383" ht="30" customHeight="1" x14ac:dyDescent="0.4"/>
    <row r="384" ht="30" customHeight="1" x14ac:dyDescent="0.4"/>
    <row r="385" ht="30" customHeight="1" x14ac:dyDescent="0.4"/>
    <row r="386" ht="30" customHeight="1" x14ac:dyDescent="0.4"/>
    <row r="387" ht="30" customHeight="1" x14ac:dyDescent="0.4"/>
    <row r="388" ht="30" customHeight="1" x14ac:dyDescent="0.4"/>
    <row r="389" ht="30" customHeight="1" x14ac:dyDescent="0.4"/>
    <row r="390" ht="30" customHeight="1" x14ac:dyDescent="0.4"/>
    <row r="391" ht="30" customHeight="1" x14ac:dyDescent="0.4"/>
    <row r="392" ht="30" customHeight="1" x14ac:dyDescent="0.4"/>
    <row r="393" ht="30" customHeight="1" x14ac:dyDescent="0.4"/>
    <row r="394" ht="30" customHeight="1" x14ac:dyDescent="0.4"/>
    <row r="395" ht="30" customHeight="1" x14ac:dyDescent="0.4"/>
    <row r="396" ht="30" customHeight="1" x14ac:dyDescent="0.4"/>
    <row r="397" ht="30" customHeight="1" x14ac:dyDescent="0.4"/>
    <row r="398" ht="30" customHeight="1" x14ac:dyDescent="0.4"/>
    <row r="399" ht="30" customHeight="1" x14ac:dyDescent="0.4"/>
    <row r="400" ht="30" customHeight="1" x14ac:dyDescent="0.4"/>
    <row r="401" ht="30" customHeight="1" x14ac:dyDescent="0.4"/>
    <row r="402" ht="30" customHeight="1" x14ac:dyDescent="0.4"/>
    <row r="403" ht="30" customHeight="1" x14ac:dyDescent="0.4"/>
    <row r="404" ht="30" customHeight="1" x14ac:dyDescent="0.4"/>
    <row r="405" ht="30" customHeight="1" x14ac:dyDescent="0.4"/>
    <row r="406" ht="30" customHeight="1" x14ac:dyDescent="0.4"/>
    <row r="407" ht="30" customHeight="1" x14ac:dyDescent="0.4"/>
    <row r="408" ht="30" customHeight="1" x14ac:dyDescent="0.4"/>
    <row r="409" ht="30" customHeight="1" x14ac:dyDescent="0.4"/>
    <row r="410" ht="30" customHeight="1" x14ac:dyDescent="0.4"/>
    <row r="411" ht="30" customHeight="1" x14ac:dyDescent="0.4"/>
    <row r="412" ht="30" customHeight="1" x14ac:dyDescent="0.4"/>
    <row r="413" ht="30" customHeight="1" x14ac:dyDescent="0.4"/>
    <row r="414" ht="30" customHeight="1" x14ac:dyDescent="0.4"/>
    <row r="415" ht="30" customHeight="1" x14ac:dyDescent="0.4"/>
    <row r="416" ht="30" customHeight="1" x14ac:dyDescent="0.4"/>
    <row r="417" ht="30" customHeight="1" x14ac:dyDescent="0.4"/>
    <row r="418" ht="30" customHeight="1" x14ac:dyDescent="0.4"/>
    <row r="419" ht="30" customHeight="1" x14ac:dyDescent="0.4"/>
    <row r="420" ht="30" customHeight="1" x14ac:dyDescent="0.4"/>
    <row r="421" ht="30" customHeight="1" x14ac:dyDescent="0.4"/>
    <row r="422" ht="30" customHeight="1" x14ac:dyDescent="0.4"/>
    <row r="423" ht="30" customHeight="1" x14ac:dyDescent="0.4"/>
    <row r="424" ht="30" customHeight="1" x14ac:dyDescent="0.4"/>
    <row r="425" ht="30" customHeight="1" x14ac:dyDescent="0.4"/>
    <row r="426" ht="30" customHeight="1" x14ac:dyDescent="0.4"/>
    <row r="427" ht="30" customHeight="1" x14ac:dyDescent="0.4"/>
    <row r="428" ht="30" customHeight="1" x14ac:dyDescent="0.4"/>
    <row r="429" ht="30" customHeight="1" x14ac:dyDescent="0.4"/>
    <row r="430" ht="30" customHeight="1" x14ac:dyDescent="0.4"/>
    <row r="431" ht="30" customHeight="1" x14ac:dyDescent="0.4"/>
    <row r="432" ht="30" customHeight="1" x14ac:dyDescent="0.4"/>
    <row r="433" ht="30" customHeight="1" x14ac:dyDescent="0.4"/>
    <row r="434" ht="30" customHeight="1" x14ac:dyDescent="0.4"/>
    <row r="435" ht="30" customHeight="1" x14ac:dyDescent="0.4"/>
    <row r="436" ht="30" customHeight="1" x14ac:dyDescent="0.4"/>
    <row r="437" ht="30" customHeight="1" x14ac:dyDescent="0.4"/>
    <row r="438" ht="30" customHeight="1" x14ac:dyDescent="0.4"/>
    <row r="439" ht="30" customHeight="1" x14ac:dyDescent="0.4"/>
    <row r="440" ht="30" customHeight="1" x14ac:dyDescent="0.4"/>
    <row r="441" ht="30" customHeight="1" x14ac:dyDescent="0.4"/>
    <row r="442" ht="30" customHeight="1" x14ac:dyDescent="0.4"/>
    <row r="443" ht="30" customHeight="1" x14ac:dyDescent="0.4"/>
    <row r="444" ht="30" customHeight="1" x14ac:dyDescent="0.4"/>
    <row r="445" ht="30" customHeight="1" x14ac:dyDescent="0.4"/>
    <row r="446" ht="30" customHeight="1" x14ac:dyDescent="0.4"/>
    <row r="447" ht="30" customHeight="1" x14ac:dyDescent="0.4"/>
    <row r="448" ht="30" customHeight="1" x14ac:dyDescent="0.4"/>
    <row r="449" ht="30" customHeight="1" x14ac:dyDescent="0.4"/>
    <row r="450" ht="30" customHeight="1" x14ac:dyDescent="0.4"/>
    <row r="451" ht="30" customHeight="1" x14ac:dyDescent="0.4"/>
    <row r="452" ht="30" customHeight="1" x14ac:dyDescent="0.4"/>
    <row r="453" ht="30" customHeight="1" x14ac:dyDescent="0.4"/>
    <row r="454" ht="30" customHeight="1" x14ac:dyDescent="0.4"/>
    <row r="455" ht="30" customHeight="1" x14ac:dyDescent="0.4"/>
    <row r="456" ht="30" customHeight="1" x14ac:dyDescent="0.4"/>
    <row r="457" ht="30" customHeight="1" x14ac:dyDescent="0.4"/>
    <row r="458" ht="30" customHeight="1" x14ac:dyDescent="0.4"/>
    <row r="459" ht="30" customHeight="1" x14ac:dyDescent="0.4"/>
    <row r="460" ht="30" customHeight="1" x14ac:dyDescent="0.4"/>
    <row r="461" ht="30" customHeight="1" x14ac:dyDescent="0.4"/>
    <row r="462" ht="30" customHeight="1" x14ac:dyDescent="0.4"/>
    <row r="463" ht="30" customHeight="1" x14ac:dyDescent="0.4"/>
    <row r="464" ht="30" customHeight="1" x14ac:dyDescent="0.4"/>
    <row r="465" ht="30" customHeight="1" x14ac:dyDescent="0.4"/>
    <row r="466" ht="30" customHeight="1" x14ac:dyDescent="0.4"/>
    <row r="467" ht="30" customHeight="1" x14ac:dyDescent="0.4"/>
    <row r="468" ht="30" customHeight="1" x14ac:dyDescent="0.4"/>
    <row r="469" ht="30" customHeight="1" x14ac:dyDescent="0.4"/>
    <row r="470" ht="30" customHeight="1" x14ac:dyDescent="0.4"/>
    <row r="471" ht="30" customHeight="1" x14ac:dyDescent="0.4"/>
    <row r="472" ht="30" customHeight="1" x14ac:dyDescent="0.4"/>
    <row r="473" ht="30" customHeight="1" x14ac:dyDescent="0.4"/>
    <row r="474" ht="30" customHeight="1" x14ac:dyDescent="0.4"/>
    <row r="475" ht="30" customHeight="1" x14ac:dyDescent="0.4"/>
    <row r="476" ht="30" customHeight="1" x14ac:dyDescent="0.4"/>
    <row r="477" ht="30" customHeight="1" x14ac:dyDescent="0.4"/>
    <row r="478" ht="30" customHeight="1" x14ac:dyDescent="0.4"/>
    <row r="479" ht="30" customHeight="1" x14ac:dyDescent="0.4"/>
    <row r="480" ht="30" customHeight="1" x14ac:dyDescent="0.4"/>
    <row r="481" ht="30" customHeight="1" x14ac:dyDescent="0.4"/>
    <row r="482" ht="30" customHeight="1" x14ac:dyDescent="0.4"/>
    <row r="483" ht="30" customHeight="1" x14ac:dyDescent="0.4"/>
    <row r="484" ht="30" customHeight="1" x14ac:dyDescent="0.4"/>
    <row r="485" ht="30" customHeight="1" x14ac:dyDescent="0.4"/>
    <row r="486" ht="30" customHeight="1" x14ac:dyDescent="0.4"/>
    <row r="487" ht="30" customHeight="1" x14ac:dyDescent="0.4"/>
    <row r="488" ht="30" customHeight="1" x14ac:dyDescent="0.4"/>
    <row r="489" ht="30" customHeight="1" x14ac:dyDescent="0.4"/>
    <row r="490" ht="30" customHeight="1" x14ac:dyDescent="0.4"/>
    <row r="491" ht="30" customHeight="1" x14ac:dyDescent="0.4"/>
    <row r="492" ht="30" customHeight="1" x14ac:dyDescent="0.4"/>
    <row r="493" ht="30" customHeight="1" x14ac:dyDescent="0.4"/>
    <row r="494" ht="30" customHeight="1" x14ac:dyDescent="0.4"/>
    <row r="495" ht="30" customHeight="1" x14ac:dyDescent="0.4"/>
    <row r="496" ht="30" customHeight="1" x14ac:dyDescent="0.4"/>
    <row r="497" ht="30" customHeight="1" x14ac:dyDescent="0.4"/>
    <row r="498" ht="30" customHeight="1" x14ac:dyDescent="0.4"/>
    <row r="499" ht="30" customHeight="1" x14ac:dyDescent="0.4"/>
    <row r="500" ht="30" customHeight="1" x14ac:dyDescent="0.4"/>
    <row r="501" ht="30" customHeight="1" x14ac:dyDescent="0.4"/>
    <row r="502" ht="30" customHeight="1" x14ac:dyDescent="0.4"/>
    <row r="503" ht="30" customHeight="1" x14ac:dyDescent="0.4"/>
    <row r="504" ht="30" customHeight="1" x14ac:dyDescent="0.4"/>
    <row r="505" ht="30" customHeight="1" x14ac:dyDescent="0.4"/>
    <row r="506" ht="30" customHeight="1" x14ac:dyDescent="0.4"/>
    <row r="507" ht="30" customHeight="1" x14ac:dyDescent="0.4"/>
    <row r="508" ht="30" customHeight="1" x14ac:dyDescent="0.4"/>
    <row r="509" ht="30" customHeight="1" x14ac:dyDescent="0.4"/>
    <row r="510" ht="30" customHeight="1" x14ac:dyDescent="0.4"/>
    <row r="511" ht="30" customHeight="1" x14ac:dyDescent="0.4"/>
    <row r="512" ht="30" customHeight="1" x14ac:dyDescent="0.4"/>
    <row r="513" ht="30" customHeight="1" x14ac:dyDescent="0.4"/>
    <row r="514" ht="30" customHeight="1" x14ac:dyDescent="0.4"/>
    <row r="515" ht="30" customHeight="1" x14ac:dyDescent="0.4"/>
    <row r="516" ht="30" customHeight="1" x14ac:dyDescent="0.4"/>
    <row r="517" ht="30" customHeight="1" x14ac:dyDescent="0.4"/>
    <row r="518" ht="30" customHeight="1" x14ac:dyDescent="0.4"/>
    <row r="519" ht="30" customHeight="1" x14ac:dyDescent="0.4"/>
    <row r="520" ht="30" customHeight="1" x14ac:dyDescent="0.4"/>
    <row r="521" ht="30" customHeight="1" x14ac:dyDescent="0.4"/>
    <row r="522" ht="30" customHeight="1" x14ac:dyDescent="0.4"/>
    <row r="523" ht="30" customHeight="1" x14ac:dyDescent="0.4"/>
    <row r="524" ht="30" customHeight="1" x14ac:dyDescent="0.4"/>
    <row r="525" ht="30" customHeight="1" x14ac:dyDescent="0.4"/>
    <row r="526" ht="30" customHeight="1" x14ac:dyDescent="0.4"/>
    <row r="527" ht="30" customHeight="1" x14ac:dyDescent="0.4"/>
    <row r="528" ht="30" customHeight="1" x14ac:dyDescent="0.4"/>
    <row r="529" ht="30" customHeight="1" x14ac:dyDescent="0.4"/>
    <row r="530" ht="30" customHeight="1" x14ac:dyDescent="0.4"/>
    <row r="531" ht="30" customHeight="1" x14ac:dyDescent="0.4"/>
    <row r="532" ht="30" customHeight="1" x14ac:dyDescent="0.4"/>
    <row r="533" ht="30" customHeight="1" x14ac:dyDescent="0.4"/>
    <row r="534" ht="30" customHeight="1" x14ac:dyDescent="0.4"/>
    <row r="535" ht="30" customHeight="1" x14ac:dyDescent="0.4"/>
    <row r="536" ht="30" customHeight="1" x14ac:dyDescent="0.4"/>
    <row r="537" ht="30" customHeight="1" x14ac:dyDescent="0.4"/>
    <row r="538" ht="30" customHeight="1" x14ac:dyDescent="0.4"/>
    <row r="539" ht="30" customHeight="1" x14ac:dyDescent="0.4"/>
    <row r="540" ht="30" customHeight="1" x14ac:dyDescent="0.4"/>
    <row r="541" ht="30" customHeight="1" x14ac:dyDescent="0.4"/>
    <row r="542" ht="30" customHeight="1" x14ac:dyDescent="0.4"/>
    <row r="543" ht="30" customHeight="1" x14ac:dyDescent="0.4"/>
    <row r="544" ht="30" customHeight="1" x14ac:dyDescent="0.4"/>
    <row r="545" ht="30" customHeight="1" x14ac:dyDescent="0.4"/>
    <row r="546" ht="30" customHeight="1" x14ac:dyDescent="0.4"/>
    <row r="547" ht="30" customHeight="1" x14ac:dyDescent="0.4"/>
    <row r="548" ht="30" customHeight="1" x14ac:dyDescent="0.4"/>
    <row r="549" ht="30" customHeight="1" x14ac:dyDescent="0.4"/>
    <row r="550" ht="30" customHeight="1" x14ac:dyDescent="0.4"/>
    <row r="551" ht="30" customHeight="1" x14ac:dyDescent="0.4"/>
    <row r="552" ht="30" customHeight="1" x14ac:dyDescent="0.4"/>
    <row r="553" ht="30" customHeight="1" x14ac:dyDescent="0.4"/>
    <row r="554" ht="30" customHeight="1" x14ac:dyDescent="0.4"/>
    <row r="555" ht="30" customHeight="1" x14ac:dyDescent="0.4"/>
    <row r="556" ht="30" customHeight="1" x14ac:dyDescent="0.4"/>
    <row r="557" ht="30" customHeight="1" x14ac:dyDescent="0.4"/>
    <row r="558" ht="30" customHeight="1" x14ac:dyDescent="0.4"/>
    <row r="559" ht="30" customHeight="1" x14ac:dyDescent="0.4"/>
    <row r="560" ht="30" customHeight="1" x14ac:dyDescent="0.4"/>
    <row r="561" ht="30" customHeight="1" x14ac:dyDescent="0.4"/>
    <row r="562" ht="30" customHeight="1" x14ac:dyDescent="0.4"/>
    <row r="563" ht="30" customHeight="1" x14ac:dyDescent="0.4"/>
    <row r="564" ht="30" customHeight="1" x14ac:dyDescent="0.4"/>
    <row r="565" ht="30" customHeight="1" x14ac:dyDescent="0.4"/>
    <row r="566" ht="30" customHeight="1" x14ac:dyDescent="0.4"/>
    <row r="567" ht="30" customHeight="1" x14ac:dyDescent="0.4"/>
    <row r="568" ht="30" customHeight="1" x14ac:dyDescent="0.4"/>
    <row r="569" ht="30" customHeight="1" x14ac:dyDescent="0.4"/>
    <row r="570" ht="30" customHeight="1" x14ac:dyDescent="0.4"/>
    <row r="571" ht="30" customHeight="1" x14ac:dyDescent="0.4"/>
    <row r="572" ht="30" customHeight="1" x14ac:dyDescent="0.4"/>
    <row r="573" ht="30" customHeight="1" x14ac:dyDescent="0.4"/>
    <row r="574" ht="30" customHeight="1" x14ac:dyDescent="0.4"/>
    <row r="575" ht="30" customHeight="1" x14ac:dyDescent="0.4"/>
    <row r="576" ht="30" customHeight="1" x14ac:dyDescent="0.4"/>
    <row r="577" ht="30" customHeight="1" x14ac:dyDescent="0.4"/>
    <row r="578" ht="30" customHeight="1" x14ac:dyDescent="0.4"/>
    <row r="579" ht="30" customHeight="1" x14ac:dyDescent="0.4"/>
    <row r="580" ht="30" customHeight="1" x14ac:dyDescent="0.4"/>
    <row r="581" ht="30" customHeight="1" x14ac:dyDescent="0.4"/>
    <row r="582" ht="30" customHeight="1" x14ac:dyDescent="0.4"/>
    <row r="583" ht="30" customHeight="1" x14ac:dyDescent="0.4"/>
    <row r="584" ht="30" customHeight="1" x14ac:dyDescent="0.4"/>
    <row r="585" ht="30" customHeight="1" x14ac:dyDescent="0.4"/>
    <row r="586" ht="30" customHeight="1" x14ac:dyDescent="0.4"/>
    <row r="587" ht="30" customHeight="1" x14ac:dyDescent="0.4"/>
    <row r="588" ht="30" customHeight="1" x14ac:dyDescent="0.4"/>
    <row r="589" ht="30" customHeight="1" x14ac:dyDescent="0.4"/>
    <row r="590" ht="30" customHeight="1" x14ac:dyDescent="0.4"/>
    <row r="591" ht="30" customHeight="1" x14ac:dyDescent="0.4"/>
    <row r="592" ht="30" customHeight="1" x14ac:dyDescent="0.4"/>
    <row r="593" ht="30" customHeight="1" x14ac:dyDescent="0.4"/>
    <row r="594" ht="30" customHeight="1" x14ac:dyDescent="0.4"/>
    <row r="595" ht="30" customHeight="1" x14ac:dyDescent="0.4"/>
    <row r="596" ht="30" customHeight="1" x14ac:dyDescent="0.4"/>
    <row r="597" ht="30" customHeight="1" x14ac:dyDescent="0.4"/>
    <row r="598" ht="30" customHeight="1" x14ac:dyDescent="0.4"/>
    <row r="599" ht="30" customHeight="1" x14ac:dyDescent="0.4"/>
    <row r="600" ht="30" customHeight="1" x14ac:dyDescent="0.4"/>
    <row r="601" ht="30" customHeight="1" x14ac:dyDescent="0.4"/>
    <row r="602" ht="30" customHeight="1" x14ac:dyDescent="0.4"/>
    <row r="603" ht="30" customHeight="1" x14ac:dyDescent="0.4"/>
    <row r="604" ht="30" customHeight="1" x14ac:dyDescent="0.4"/>
    <row r="605" ht="30" customHeight="1" x14ac:dyDescent="0.4"/>
    <row r="606" ht="30" customHeight="1" x14ac:dyDescent="0.4"/>
    <row r="607" ht="30" customHeight="1" x14ac:dyDescent="0.4"/>
    <row r="608" ht="30" customHeight="1" x14ac:dyDescent="0.4"/>
    <row r="609" ht="30" customHeight="1" x14ac:dyDescent="0.4"/>
    <row r="610" ht="30" customHeight="1" x14ac:dyDescent="0.4"/>
    <row r="611" ht="30" customHeight="1" x14ac:dyDescent="0.4"/>
    <row r="612" ht="30" customHeight="1" x14ac:dyDescent="0.4"/>
    <row r="613" ht="30" customHeight="1" x14ac:dyDescent="0.4"/>
    <row r="614" ht="30" customHeight="1" x14ac:dyDescent="0.4"/>
    <row r="615" ht="30" customHeight="1" x14ac:dyDescent="0.4"/>
    <row r="616" ht="30" customHeight="1" x14ac:dyDescent="0.4"/>
    <row r="617" ht="30" customHeight="1" x14ac:dyDescent="0.4"/>
    <row r="618" ht="30" customHeight="1" x14ac:dyDescent="0.4"/>
    <row r="619" ht="30" customHeight="1" x14ac:dyDescent="0.4"/>
    <row r="620" ht="30" customHeight="1" x14ac:dyDescent="0.4"/>
    <row r="621" ht="30" customHeight="1" x14ac:dyDescent="0.4"/>
    <row r="622" ht="30" customHeight="1" x14ac:dyDescent="0.4"/>
    <row r="623" ht="30" customHeight="1" x14ac:dyDescent="0.4"/>
    <row r="624" ht="30" customHeight="1" x14ac:dyDescent="0.4"/>
    <row r="625" ht="30" customHeight="1" x14ac:dyDescent="0.4"/>
    <row r="626" ht="30" customHeight="1" x14ac:dyDescent="0.4"/>
    <row r="627" ht="30" customHeight="1" x14ac:dyDescent="0.4"/>
    <row r="628" ht="30" customHeight="1" x14ac:dyDescent="0.4"/>
    <row r="629" ht="30" customHeight="1" x14ac:dyDescent="0.4"/>
    <row r="630" ht="30" customHeight="1" x14ac:dyDescent="0.4"/>
    <row r="631" ht="30" customHeight="1" x14ac:dyDescent="0.4"/>
    <row r="632" ht="30" customHeight="1" x14ac:dyDescent="0.4"/>
    <row r="633" ht="30" customHeight="1" x14ac:dyDescent="0.4"/>
    <row r="634" ht="30" customHeight="1" x14ac:dyDescent="0.4"/>
    <row r="635" ht="30" customHeight="1" x14ac:dyDescent="0.4"/>
    <row r="636" ht="30" customHeight="1" x14ac:dyDescent="0.4"/>
    <row r="637" ht="30" customHeight="1" x14ac:dyDescent="0.4"/>
    <row r="638" ht="30" customHeight="1" x14ac:dyDescent="0.4"/>
    <row r="639" ht="30" customHeight="1" x14ac:dyDescent="0.4"/>
    <row r="640" ht="30" customHeight="1" x14ac:dyDescent="0.4"/>
    <row r="641" ht="30" customHeight="1" x14ac:dyDescent="0.4"/>
    <row r="642" ht="30" customHeight="1" x14ac:dyDescent="0.4"/>
    <row r="643" ht="30" customHeight="1" x14ac:dyDescent="0.4"/>
    <row r="644" ht="30" customHeight="1" x14ac:dyDescent="0.4"/>
    <row r="645" ht="30" customHeight="1" x14ac:dyDescent="0.4"/>
    <row r="646" ht="30" customHeight="1" x14ac:dyDescent="0.4"/>
    <row r="647" ht="30" customHeight="1" x14ac:dyDescent="0.4"/>
    <row r="648" ht="30" customHeight="1" x14ac:dyDescent="0.4"/>
    <row r="649" ht="30" customHeight="1" x14ac:dyDescent="0.4"/>
    <row r="650" ht="30" customHeight="1" x14ac:dyDescent="0.4"/>
    <row r="651" ht="30" customHeight="1" x14ac:dyDescent="0.4"/>
    <row r="652" ht="30" customHeight="1" x14ac:dyDescent="0.4"/>
    <row r="653" ht="30" customHeight="1" x14ac:dyDescent="0.4"/>
    <row r="654" ht="30" customHeight="1" x14ac:dyDescent="0.4"/>
    <row r="655" ht="30" customHeight="1" x14ac:dyDescent="0.4"/>
    <row r="656" ht="30" customHeight="1" x14ac:dyDescent="0.4"/>
    <row r="657" ht="30" customHeight="1" x14ac:dyDescent="0.4"/>
    <row r="658" ht="30" customHeight="1" x14ac:dyDescent="0.4"/>
    <row r="659" ht="30" customHeight="1" x14ac:dyDescent="0.4"/>
    <row r="660" ht="30" customHeight="1" x14ac:dyDescent="0.4"/>
    <row r="661" ht="30" customHeight="1" x14ac:dyDescent="0.4"/>
    <row r="662" ht="30" customHeight="1" x14ac:dyDescent="0.4"/>
    <row r="663" ht="30" customHeight="1" x14ac:dyDescent="0.4"/>
    <row r="664" ht="30" customHeight="1" x14ac:dyDescent="0.4"/>
    <row r="665" ht="30" customHeight="1" x14ac:dyDescent="0.4"/>
    <row r="666" ht="30" customHeight="1" x14ac:dyDescent="0.4"/>
    <row r="667" ht="30" customHeight="1" x14ac:dyDescent="0.4"/>
    <row r="668" ht="30" customHeight="1" x14ac:dyDescent="0.4"/>
    <row r="669" ht="30" customHeight="1" x14ac:dyDescent="0.4"/>
    <row r="670" ht="30" customHeight="1" x14ac:dyDescent="0.4"/>
    <row r="671" ht="30" customHeight="1" x14ac:dyDescent="0.4"/>
    <row r="672" ht="30" customHeight="1" x14ac:dyDescent="0.4"/>
    <row r="673" ht="30" customHeight="1" x14ac:dyDescent="0.4"/>
    <row r="674" ht="30" customHeight="1" x14ac:dyDescent="0.4"/>
    <row r="675" ht="30" customHeight="1" x14ac:dyDescent="0.4"/>
    <row r="676" ht="30" customHeight="1" x14ac:dyDescent="0.4"/>
    <row r="677" ht="30" customHeight="1" x14ac:dyDescent="0.4"/>
    <row r="678" ht="30" customHeight="1" x14ac:dyDescent="0.4"/>
    <row r="679" ht="30" customHeight="1" x14ac:dyDescent="0.4"/>
    <row r="680" ht="30" customHeight="1" x14ac:dyDescent="0.4"/>
    <row r="681" ht="30" customHeight="1" x14ac:dyDescent="0.4"/>
    <row r="682" ht="30" customHeight="1" x14ac:dyDescent="0.4"/>
    <row r="683" ht="30" customHeight="1" x14ac:dyDescent="0.4"/>
    <row r="684" ht="30" customHeight="1" x14ac:dyDescent="0.4"/>
    <row r="685" ht="30" customHeight="1" x14ac:dyDescent="0.4"/>
    <row r="686" ht="30" customHeight="1" x14ac:dyDescent="0.4"/>
    <row r="687" ht="30" customHeight="1" x14ac:dyDescent="0.4"/>
    <row r="688" ht="30" customHeight="1" x14ac:dyDescent="0.4"/>
    <row r="689" ht="30" customHeight="1" x14ac:dyDescent="0.4"/>
    <row r="690" ht="30" customHeight="1" x14ac:dyDescent="0.4"/>
    <row r="691" ht="30" customHeight="1" x14ac:dyDescent="0.4"/>
    <row r="692" ht="30" customHeight="1" x14ac:dyDescent="0.4"/>
    <row r="693" ht="30" customHeight="1" x14ac:dyDescent="0.4"/>
    <row r="694" ht="30" customHeight="1" x14ac:dyDescent="0.4"/>
    <row r="695" ht="30" customHeight="1" x14ac:dyDescent="0.4"/>
    <row r="696" ht="30" customHeight="1" x14ac:dyDescent="0.4"/>
    <row r="697" ht="30" customHeight="1" x14ac:dyDescent="0.4"/>
    <row r="698" ht="30" customHeight="1" x14ac:dyDescent="0.4"/>
    <row r="699" ht="30" customHeight="1" x14ac:dyDescent="0.4"/>
    <row r="700" ht="30" customHeight="1" x14ac:dyDescent="0.4"/>
    <row r="701" ht="30" customHeight="1" x14ac:dyDescent="0.4"/>
    <row r="702" ht="30" customHeight="1" x14ac:dyDescent="0.4"/>
    <row r="703" ht="30" customHeight="1" x14ac:dyDescent="0.4"/>
    <row r="704" ht="30" customHeight="1" x14ac:dyDescent="0.4"/>
    <row r="705" ht="30" customHeight="1" x14ac:dyDescent="0.4"/>
    <row r="706" ht="30" customHeight="1" x14ac:dyDescent="0.4"/>
    <row r="707" ht="30" customHeight="1" x14ac:dyDescent="0.4"/>
    <row r="708" ht="30" customHeight="1" x14ac:dyDescent="0.4"/>
    <row r="709" ht="30" customHeight="1" x14ac:dyDescent="0.4"/>
    <row r="710" ht="30" customHeight="1" x14ac:dyDescent="0.4"/>
    <row r="711" ht="30" customHeight="1" x14ac:dyDescent="0.4"/>
    <row r="712" ht="30" customHeight="1" x14ac:dyDescent="0.4"/>
    <row r="713" ht="30" customHeight="1" x14ac:dyDescent="0.4"/>
    <row r="714" ht="30" customHeight="1" x14ac:dyDescent="0.4"/>
    <row r="715" ht="30" customHeight="1" x14ac:dyDescent="0.4"/>
    <row r="716" ht="30" customHeight="1" x14ac:dyDescent="0.4"/>
    <row r="717" ht="30" customHeight="1" x14ac:dyDescent="0.4"/>
    <row r="718" ht="30" customHeight="1" x14ac:dyDescent="0.4"/>
    <row r="719" ht="30" customHeight="1" x14ac:dyDescent="0.4"/>
    <row r="720" ht="30" customHeight="1" x14ac:dyDescent="0.4"/>
    <row r="721" ht="30" customHeight="1" x14ac:dyDescent="0.4"/>
    <row r="722" ht="30" customHeight="1" x14ac:dyDescent="0.4"/>
    <row r="723" ht="30" customHeight="1" x14ac:dyDescent="0.4"/>
    <row r="724" ht="30" customHeight="1" x14ac:dyDescent="0.4"/>
    <row r="725" ht="30" customHeight="1" x14ac:dyDescent="0.4"/>
    <row r="726" ht="30" customHeight="1" x14ac:dyDescent="0.4"/>
    <row r="727" ht="30" customHeight="1" x14ac:dyDescent="0.4"/>
    <row r="728" ht="30" customHeight="1" x14ac:dyDescent="0.4"/>
    <row r="729" ht="30" customHeight="1" x14ac:dyDescent="0.4"/>
    <row r="730" ht="30" customHeight="1" x14ac:dyDescent="0.4"/>
    <row r="731" ht="30" customHeight="1" x14ac:dyDescent="0.4"/>
    <row r="732" ht="30" customHeight="1" x14ac:dyDescent="0.4"/>
    <row r="733" ht="30" customHeight="1" x14ac:dyDescent="0.4"/>
    <row r="734" ht="30" customHeight="1" x14ac:dyDescent="0.4"/>
    <row r="735" ht="30" customHeight="1" x14ac:dyDescent="0.4"/>
    <row r="736" ht="30" customHeight="1" x14ac:dyDescent="0.4"/>
    <row r="737" ht="30" customHeight="1" x14ac:dyDescent="0.4"/>
    <row r="738" ht="30" customHeight="1" x14ac:dyDescent="0.4"/>
    <row r="739" ht="30" customHeight="1" x14ac:dyDescent="0.4"/>
    <row r="740" ht="30" customHeight="1" x14ac:dyDescent="0.4"/>
    <row r="741" ht="30" customHeight="1" x14ac:dyDescent="0.4"/>
    <row r="742" ht="30" customHeight="1" x14ac:dyDescent="0.4"/>
    <row r="743" ht="30" customHeight="1" x14ac:dyDescent="0.4"/>
    <row r="744" ht="30" customHeight="1" x14ac:dyDescent="0.4"/>
    <row r="745" ht="30" customHeight="1" x14ac:dyDescent="0.4"/>
    <row r="746" ht="30" customHeight="1" x14ac:dyDescent="0.4"/>
    <row r="747" ht="30" customHeight="1" x14ac:dyDescent="0.4"/>
    <row r="748" ht="30" customHeight="1" x14ac:dyDescent="0.4"/>
    <row r="749" ht="30" customHeight="1" x14ac:dyDescent="0.4"/>
    <row r="750" ht="30" customHeight="1" x14ac:dyDescent="0.4"/>
    <row r="751" ht="30" customHeight="1" x14ac:dyDescent="0.4"/>
    <row r="752" ht="30" customHeight="1" x14ac:dyDescent="0.4"/>
    <row r="753" ht="30" customHeight="1" x14ac:dyDescent="0.4"/>
    <row r="754" ht="30" customHeight="1" x14ac:dyDescent="0.4"/>
    <row r="755" ht="30" customHeight="1" x14ac:dyDescent="0.4"/>
    <row r="756" ht="30" customHeight="1" x14ac:dyDescent="0.4"/>
    <row r="757" ht="30" customHeight="1" x14ac:dyDescent="0.4"/>
    <row r="758" ht="30" customHeight="1" x14ac:dyDescent="0.4"/>
    <row r="759" ht="30" customHeight="1" x14ac:dyDescent="0.4"/>
    <row r="760" ht="30" customHeight="1" x14ac:dyDescent="0.4"/>
    <row r="761" ht="30" customHeight="1" x14ac:dyDescent="0.4"/>
    <row r="762" ht="30" customHeight="1" x14ac:dyDescent="0.4"/>
    <row r="763" ht="30" customHeight="1" x14ac:dyDescent="0.4"/>
    <row r="764" ht="30" customHeight="1" x14ac:dyDescent="0.4"/>
    <row r="765" ht="30" customHeight="1" x14ac:dyDescent="0.4"/>
    <row r="766" ht="30" customHeight="1" x14ac:dyDescent="0.4"/>
    <row r="767" ht="30" customHeight="1" x14ac:dyDescent="0.4"/>
    <row r="768" ht="30" customHeight="1" x14ac:dyDescent="0.4"/>
    <row r="769" ht="30" customHeight="1" x14ac:dyDescent="0.4"/>
    <row r="770" ht="30" customHeight="1" x14ac:dyDescent="0.4"/>
    <row r="771" ht="30" customHeight="1" x14ac:dyDescent="0.4"/>
    <row r="772" ht="30" customHeight="1" x14ac:dyDescent="0.4"/>
    <row r="773" ht="30" customHeight="1" x14ac:dyDescent="0.4"/>
    <row r="774" ht="30" customHeight="1" x14ac:dyDescent="0.4"/>
    <row r="775" ht="30" customHeight="1" x14ac:dyDescent="0.4"/>
    <row r="776" ht="30" customHeight="1" x14ac:dyDescent="0.4"/>
    <row r="777" ht="30" customHeight="1" x14ac:dyDescent="0.4"/>
    <row r="778" ht="30" customHeight="1" x14ac:dyDescent="0.4"/>
    <row r="779" ht="30" customHeight="1" x14ac:dyDescent="0.4"/>
    <row r="780" ht="30" customHeight="1" x14ac:dyDescent="0.4"/>
    <row r="781" ht="30" customHeight="1" x14ac:dyDescent="0.4"/>
    <row r="782" ht="30" customHeight="1" x14ac:dyDescent="0.4"/>
    <row r="783" ht="30" customHeight="1" x14ac:dyDescent="0.4"/>
    <row r="784" ht="30" customHeight="1" x14ac:dyDescent="0.4"/>
    <row r="785" ht="30" customHeight="1" x14ac:dyDescent="0.4"/>
    <row r="786" ht="30" customHeight="1" x14ac:dyDescent="0.4"/>
    <row r="787" ht="30" customHeight="1" x14ac:dyDescent="0.4"/>
    <row r="788" ht="30" customHeight="1" x14ac:dyDescent="0.4"/>
    <row r="789" ht="30" customHeight="1" x14ac:dyDescent="0.4"/>
    <row r="790" ht="30" customHeight="1" x14ac:dyDescent="0.4"/>
    <row r="791" ht="30" customHeight="1" x14ac:dyDescent="0.4"/>
    <row r="792" ht="30" customHeight="1" x14ac:dyDescent="0.4"/>
    <row r="793" ht="30" customHeight="1" x14ac:dyDescent="0.4"/>
    <row r="794" ht="30" customHeight="1" x14ac:dyDescent="0.4"/>
    <row r="795" ht="30" customHeight="1" x14ac:dyDescent="0.4"/>
    <row r="796" ht="30" customHeight="1" x14ac:dyDescent="0.4"/>
    <row r="797" ht="30" customHeight="1" x14ac:dyDescent="0.4"/>
    <row r="798" ht="30" customHeight="1" x14ac:dyDescent="0.4"/>
    <row r="799" ht="30" customHeight="1" x14ac:dyDescent="0.4"/>
    <row r="800" ht="30" customHeight="1" x14ac:dyDescent="0.4"/>
    <row r="801" ht="30" customHeight="1" x14ac:dyDescent="0.4"/>
    <row r="802" ht="30" customHeight="1" x14ac:dyDescent="0.4"/>
    <row r="803" ht="30" customHeight="1" x14ac:dyDescent="0.4"/>
    <row r="804" ht="30" customHeight="1" x14ac:dyDescent="0.4"/>
    <row r="805" ht="30" customHeight="1" x14ac:dyDescent="0.4"/>
    <row r="806" ht="30" customHeight="1" x14ac:dyDescent="0.4"/>
    <row r="807" ht="30" customHeight="1" x14ac:dyDescent="0.4"/>
    <row r="808" ht="30" customHeight="1" x14ac:dyDescent="0.4"/>
    <row r="809" ht="30" customHeight="1" x14ac:dyDescent="0.4"/>
    <row r="810" ht="30" customHeight="1" x14ac:dyDescent="0.4"/>
    <row r="811" ht="30" customHeight="1" x14ac:dyDescent="0.4"/>
    <row r="812" ht="30" customHeight="1" x14ac:dyDescent="0.4"/>
    <row r="813" ht="30" customHeight="1" x14ac:dyDescent="0.4"/>
    <row r="814" ht="30" customHeight="1" x14ac:dyDescent="0.4"/>
    <row r="815" ht="30" customHeight="1" x14ac:dyDescent="0.4"/>
    <row r="816" ht="30" customHeight="1" x14ac:dyDescent="0.4"/>
    <row r="817" ht="30" customHeight="1" x14ac:dyDescent="0.4"/>
    <row r="818" ht="30" customHeight="1" x14ac:dyDescent="0.4"/>
    <row r="819" ht="30" customHeight="1" x14ac:dyDescent="0.4"/>
    <row r="820" ht="30" customHeight="1" x14ac:dyDescent="0.4"/>
    <row r="821" ht="30" customHeight="1" x14ac:dyDescent="0.4"/>
    <row r="822" ht="30" customHeight="1" x14ac:dyDescent="0.4"/>
    <row r="823" ht="30" customHeight="1" x14ac:dyDescent="0.4"/>
    <row r="824" ht="30" customHeight="1" x14ac:dyDescent="0.4"/>
    <row r="825" ht="30" customHeight="1" x14ac:dyDescent="0.4"/>
    <row r="826" ht="30" customHeight="1" x14ac:dyDescent="0.4"/>
    <row r="827" ht="30" customHeight="1" x14ac:dyDescent="0.4"/>
    <row r="828" ht="30" customHeight="1" x14ac:dyDescent="0.4"/>
    <row r="829" ht="30" customHeight="1" x14ac:dyDescent="0.4"/>
    <row r="830" ht="30" customHeight="1" x14ac:dyDescent="0.4"/>
    <row r="831" ht="30" customHeight="1" x14ac:dyDescent="0.4"/>
    <row r="832" ht="30" customHeight="1" x14ac:dyDescent="0.4"/>
    <row r="833" ht="30" customHeight="1" x14ac:dyDescent="0.4"/>
    <row r="834" ht="30" customHeight="1" x14ac:dyDescent="0.4"/>
    <row r="835" ht="30" customHeight="1" x14ac:dyDescent="0.4"/>
    <row r="836" ht="30" customHeight="1" x14ac:dyDescent="0.4"/>
    <row r="837" ht="30" customHeight="1" x14ac:dyDescent="0.4"/>
    <row r="838" ht="30" customHeight="1" x14ac:dyDescent="0.4"/>
    <row r="839" ht="30" customHeight="1" x14ac:dyDescent="0.4"/>
    <row r="840" ht="30" customHeight="1" x14ac:dyDescent="0.4"/>
    <row r="841" ht="30" customHeight="1" x14ac:dyDescent="0.4"/>
    <row r="842" ht="30" customHeight="1" x14ac:dyDescent="0.4"/>
    <row r="843" ht="30" customHeight="1" x14ac:dyDescent="0.4"/>
    <row r="844" ht="30" customHeight="1" x14ac:dyDescent="0.4"/>
    <row r="845" ht="30" customHeight="1" x14ac:dyDescent="0.4"/>
    <row r="846" ht="30" customHeight="1" x14ac:dyDescent="0.4"/>
    <row r="847" ht="30" customHeight="1" x14ac:dyDescent="0.4"/>
    <row r="848" ht="30" customHeight="1" x14ac:dyDescent="0.4"/>
    <row r="849" ht="30" customHeight="1" x14ac:dyDescent="0.4"/>
    <row r="850" ht="30" customHeight="1" x14ac:dyDescent="0.4"/>
    <row r="851" ht="30" customHeight="1" x14ac:dyDescent="0.4"/>
    <row r="852" ht="30" customHeight="1" x14ac:dyDescent="0.4"/>
    <row r="853" ht="30" customHeight="1" x14ac:dyDescent="0.4"/>
    <row r="854" ht="30" customHeight="1" x14ac:dyDescent="0.4"/>
    <row r="855" ht="30" customHeight="1" x14ac:dyDescent="0.4"/>
    <row r="856" ht="30" customHeight="1" x14ac:dyDescent="0.4"/>
    <row r="857" ht="30" customHeight="1" x14ac:dyDescent="0.4"/>
    <row r="858" ht="30" customHeight="1" x14ac:dyDescent="0.4"/>
    <row r="859" ht="30" customHeight="1" x14ac:dyDescent="0.4"/>
    <row r="860" ht="30" customHeight="1" x14ac:dyDescent="0.4"/>
    <row r="861" ht="30" customHeight="1" x14ac:dyDescent="0.4"/>
    <row r="862" ht="30" customHeight="1" x14ac:dyDescent="0.4"/>
    <row r="863" ht="30" customHeight="1" x14ac:dyDescent="0.4"/>
    <row r="864" ht="30" customHeight="1" x14ac:dyDescent="0.4"/>
    <row r="865" ht="30" customHeight="1" x14ac:dyDescent="0.4"/>
    <row r="866" ht="30" customHeight="1" x14ac:dyDescent="0.4"/>
    <row r="867" ht="30" customHeight="1" x14ac:dyDescent="0.4"/>
    <row r="868" ht="30" customHeight="1" x14ac:dyDescent="0.4"/>
    <row r="869" ht="30" customHeight="1" x14ac:dyDescent="0.4"/>
    <row r="870" ht="30" customHeight="1" x14ac:dyDescent="0.4"/>
    <row r="871" ht="30" customHeight="1" x14ac:dyDescent="0.4"/>
    <row r="872" ht="30" customHeight="1" x14ac:dyDescent="0.4"/>
    <row r="873" ht="30" customHeight="1" x14ac:dyDescent="0.4"/>
    <row r="874" ht="30" customHeight="1" x14ac:dyDescent="0.4"/>
    <row r="875" ht="30" customHeight="1" x14ac:dyDescent="0.4"/>
    <row r="876" ht="30" customHeight="1" x14ac:dyDescent="0.4"/>
    <row r="877" ht="30" customHeight="1" x14ac:dyDescent="0.4"/>
    <row r="878" ht="30" customHeight="1" x14ac:dyDescent="0.4"/>
    <row r="879" ht="30" customHeight="1" x14ac:dyDescent="0.4"/>
    <row r="880" ht="30" customHeight="1" x14ac:dyDescent="0.4"/>
    <row r="881" ht="30" customHeight="1" x14ac:dyDescent="0.4"/>
    <row r="882" ht="30" customHeight="1" x14ac:dyDescent="0.4"/>
    <row r="883" ht="30" customHeight="1" x14ac:dyDescent="0.4"/>
    <row r="884" ht="30" customHeight="1" x14ac:dyDescent="0.4"/>
    <row r="885" ht="30" customHeight="1" x14ac:dyDescent="0.4"/>
    <row r="886" ht="30" customHeight="1" x14ac:dyDescent="0.4"/>
    <row r="887" ht="30" customHeight="1" x14ac:dyDescent="0.4"/>
    <row r="888" ht="30" customHeight="1" x14ac:dyDescent="0.4"/>
    <row r="889" ht="30" customHeight="1" x14ac:dyDescent="0.4"/>
    <row r="890" ht="30" customHeight="1" x14ac:dyDescent="0.4"/>
    <row r="891" ht="30" customHeight="1" x14ac:dyDescent="0.4"/>
    <row r="892" ht="30" customHeight="1" x14ac:dyDescent="0.4"/>
    <row r="893" ht="30" customHeight="1" x14ac:dyDescent="0.4"/>
    <row r="894" ht="30" customHeight="1" x14ac:dyDescent="0.4"/>
    <row r="895" ht="30" customHeight="1" x14ac:dyDescent="0.4"/>
    <row r="896" ht="30" customHeight="1" x14ac:dyDescent="0.4"/>
    <row r="897" ht="30" customHeight="1" x14ac:dyDescent="0.4"/>
    <row r="898" ht="30" customHeight="1" x14ac:dyDescent="0.4"/>
    <row r="899" ht="30" customHeight="1" x14ac:dyDescent="0.4"/>
    <row r="900" ht="30" customHeight="1" x14ac:dyDescent="0.4"/>
    <row r="901" ht="30" customHeight="1" x14ac:dyDescent="0.4"/>
    <row r="902" ht="30" customHeight="1" x14ac:dyDescent="0.4"/>
    <row r="903" ht="30" customHeight="1" x14ac:dyDescent="0.4"/>
    <row r="904" ht="30" customHeight="1" x14ac:dyDescent="0.4"/>
    <row r="905" ht="30" customHeight="1" x14ac:dyDescent="0.4"/>
    <row r="906" ht="30" customHeight="1" x14ac:dyDescent="0.4"/>
    <row r="907" ht="30" customHeight="1" x14ac:dyDescent="0.4"/>
    <row r="908" ht="30" customHeight="1" x14ac:dyDescent="0.4"/>
    <row r="909" ht="30" customHeight="1" x14ac:dyDescent="0.4"/>
    <row r="910" ht="30" customHeight="1" x14ac:dyDescent="0.4"/>
    <row r="911" ht="30" customHeight="1" x14ac:dyDescent="0.4"/>
    <row r="912" ht="30" customHeight="1" x14ac:dyDescent="0.4"/>
    <row r="913" ht="30" customHeight="1" x14ac:dyDescent="0.4"/>
    <row r="914" ht="30" customHeight="1" x14ac:dyDescent="0.4"/>
    <row r="915" ht="30" customHeight="1" x14ac:dyDescent="0.4"/>
    <row r="916" ht="30" customHeight="1" x14ac:dyDescent="0.4"/>
    <row r="917" ht="30" customHeight="1" x14ac:dyDescent="0.4"/>
    <row r="918" ht="30" customHeight="1" x14ac:dyDescent="0.4"/>
    <row r="919" ht="30" customHeight="1" x14ac:dyDescent="0.4"/>
    <row r="920" ht="30" customHeight="1" x14ac:dyDescent="0.4"/>
    <row r="921" ht="30" customHeight="1" x14ac:dyDescent="0.4"/>
    <row r="922" ht="30" customHeight="1" x14ac:dyDescent="0.4"/>
    <row r="923" ht="30" customHeight="1" x14ac:dyDescent="0.4"/>
    <row r="924" ht="30" customHeight="1" x14ac:dyDescent="0.4"/>
    <row r="925" ht="30" customHeight="1" x14ac:dyDescent="0.4"/>
    <row r="926" ht="30" customHeight="1" x14ac:dyDescent="0.4"/>
    <row r="927" ht="30" customHeight="1" x14ac:dyDescent="0.4"/>
    <row r="928" ht="30" customHeight="1" x14ac:dyDescent="0.4"/>
    <row r="929" ht="30" customHeight="1" x14ac:dyDescent="0.4"/>
    <row r="930" ht="30" customHeight="1" x14ac:dyDescent="0.4"/>
    <row r="931" ht="30" customHeight="1" x14ac:dyDescent="0.4"/>
    <row r="932" ht="30" customHeight="1" x14ac:dyDescent="0.4"/>
    <row r="933" ht="30" customHeight="1" x14ac:dyDescent="0.4"/>
    <row r="934" ht="30" customHeight="1" x14ac:dyDescent="0.4"/>
    <row r="935" ht="30" customHeight="1" x14ac:dyDescent="0.4"/>
    <row r="936" ht="30" customHeight="1" x14ac:dyDescent="0.4"/>
    <row r="937" ht="30" customHeight="1" x14ac:dyDescent="0.4"/>
    <row r="938" ht="30" customHeight="1" x14ac:dyDescent="0.4"/>
    <row r="939" ht="30" customHeight="1" x14ac:dyDescent="0.4"/>
    <row r="940" ht="30" customHeight="1" x14ac:dyDescent="0.4"/>
    <row r="941" ht="30" customHeight="1" x14ac:dyDescent="0.4"/>
    <row r="942" ht="30" customHeight="1" x14ac:dyDescent="0.4"/>
    <row r="943" ht="30" customHeight="1" x14ac:dyDescent="0.4"/>
    <row r="944" ht="30" customHeight="1" x14ac:dyDescent="0.4"/>
    <row r="945" ht="30" customHeight="1" x14ac:dyDescent="0.4"/>
    <row r="946" ht="30" customHeight="1" x14ac:dyDescent="0.4"/>
    <row r="947" ht="30" customHeight="1" x14ac:dyDescent="0.4"/>
    <row r="948" ht="30" customHeight="1" x14ac:dyDescent="0.4"/>
    <row r="949" ht="30" customHeight="1" x14ac:dyDescent="0.4"/>
    <row r="950" ht="30" customHeight="1" x14ac:dyDescent="0.4"/>
    <row r="951" ht="30" customHeight="1" x14ac:dyDescent="0.4"/>
    <row r="952" ht="30" customHeight="1" x14ac:dyDescent="0.4"/>
    <row r="953" ht="30" customHeight="1" x14ac:dyDescent="0.4"/>
    <row r="954" ht="30" customHeight="1" x14ac:dyDescent="0.4"/>
    <row r="955" ht="30" customHeight="1" x14ac:dyDescent="0.4"/>
    <row r="956" ht="30" customHeight="1" x14ac:dyDescent="0.4"/>
    <row r="957" ht="30" customHeight="1" x14ac:dyDescent="0.4"/>
    <row r="958" ht="30" customHeight="1" x14ac:dyDescent="0.4"/>
    <row r="959" ht="30" customHeight="1" x14ac:dyDescent="0.4"/>
    <row r="960" ht="30" customHeight="1" x14ac:dyDescent="0.4"/>
    <row r="961" ht="30" customHeight="1" x14ac:dyDescent="0.4"/>
    <row r="962" ht="30" customHeight="1" x14ac:dyDescent="0.4"/>
    <row r="963" ht="30" customHeight="1" x14ac:dyDescent="0.4"/>
    <row r="964" ht="30" customHeight="1" x14ac:dyDescent="0.4"/>
    <row r="965" ht="30" customHeight="1" x14ac:dyDescent="0.4"/>
    <row r="966" ht="30" customHeight="1" x14ac:dyDescent="0.4"/>
    <row r="967" ht="30" customHeight="1" x14ac:dyDescent="0.4"/>
    <row r="968" ht="30" customHeight="1" x14ac:dyDescent="0.4"/>
    <row r="969" ht="30" customHeight="1" x14ac:dyDescent="0.4"/>
    <row r="970" ht="30" customHeight="1" x14ac:dyDescent="0.4"/>
    <row r="971" ht="30" customHeight="1" x14ac:dyDescent="0.4"/>
    <row r="972" ht="30" customHeight="1" x14ac:dyDescent="0.4"/>
    <row r="973" ht="30" customHeight="1" x14ac:dyDescent="0.4"/>
    <row r="974" ht="30" customHeight="1" x14ac:dyDescent="0.4"/>
    <row r="975" ht="30" customHeight="1" x14ac:dyDescent="0.4"/>
    <row r="976" ht="30" customHeight="1" x14ac:dyDescent="0.4"/>
    <row r="977" ht="30" customHeight="1" x14ac:dyDescent="0.4"/>
    <row r="978" ht="30" customHeight="1" x14ac:dyDescent="0.4"/>
    <row r="979" ht="30" customHeight="1" x14ac:dyDescent="0.4"/>
    <row r="980" ht="30" customHeight="1" x14ac:dyDescent="0.4"/>
    <row r="981" ht="30" customHeight="1" x14ac:dyDescent="0.4"/>
    <row r="982" ht="30" customHeight="1" x14ac:dyDescent="0.4"/>
    <row r="983" ht="30" customHeight="1" x14ac:dyDescent="0.4"/>
    <row r="984" ht="30" customHeight="1" x14ac:dyDescent="0.4"/>
    <row r="985" ht="30" customHeight="1" x14ac:dyDescent="0.4"/>
    <row r="986" ht="30" customHeight="1" x14ac:dyDescent="0.4"/>
    <row r="987" ht="30" customHeight="1" x14ac:dyDescent="0.4"/>
    <row r="988" ht="30" customHeight="1" x14ac:dyDescent="0.4"/>
    <row r="989" ht="30" customHeight="1" x14ac:dyDescent="0.4"/>
    <row r="990" ht="30" customHeight="1" x14ac:dyDescent="0.4"/>
    <row r="991" ht="30" customHeight="1" x14ac:dyDescent="0.4"/>
    <row r="992" ht="30" customHeight="1" x14ac:dyDescent="0.4"/>
    <row r="993" ht="30" customHeight="1" x14ac:dyDescent="0.4"/>
    <row r="994" ht="30" customHeight="1" x14ac:dyDescent="0.4"/>
    <row r="995" ht="30" customHeight="1" x14ac:dyDescent="0.4"/>
    <row r="996" ht="30" customHeight="1" x14ac:dyDescent="0.4"/>
    <row r="997" ht="30" customHeight="1" x14ac:dyDescent="0.4"/>
    <row r="998" ht="30" customHeight="1" x14ac:dyDescent="0.4"/>
    <row r="999" ht="30" customHeight="1" x14ac:dyDescent="0.4"/>
    <row r="1000" ht="30" customHeight="1" x14ac:dyDescent="0.4"/>
  </sheetData>
  <mergeCells count="10">
    <mergeCell ref="D25:J25"/>
    <mergeCell ref="D26:J26"/>
    <mergeCell ref="D27:J27"/>
    <mergeCell ref="B1:L1"/>
    <mergeCell ref="C3:D3"/>
    <mergeCell ref="H3:L3"/>
    <mergeCell ref="H4:L4"/>
    <mergeCell ref="H5:L5"/>
    <mergeCell ref="J6:L6"/>
    <mergeCell ref="D24:J24"/>
  </mergeCells>
  <printOptions horizontalCentered="1"/>
  <pageMargins left="0.25" right="0.25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BE5F1"/>
    <pageSetUpPr fitToPage="1"/>
  </sheetPr>
  <dimension ref="B1:P1000"/>
  <sheetViews>
    <sheetView showGridLines="0" workbookViewId="0"/>
  </sheetViews>
  <sheetFormatPr defaultColWidth="12.625" defaultRowHeight="15" customHeight="1" x14ac:dyDescent="0.4"/>
  <cols>
    <col min="1" max="1" width="2.625" customWidth="1"/>
    <col min="2" max="13" width="15" customWidth="1"/>
    <col min="14" max="15" width="11.25" customWidth="1"/>
    <col min="16" max="16" width="15" customWidth="1"/>
    <col min="17" max="26" width="9" customWidth="1"/>
  </cols>
  <sheetData>
    <row r="1" spans="2:16" ht="55.5" customHeight="1" x14ac:dyDescent="0.65">
      <c r="B1" s="50" t="s">
        <v>23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</row>
    <row r="2" spans="2:16" ht="42.75" customHeight="1" x14ac:dyDescent="0.4">
      <c r="B2" s="1"/>
      <c r="C2" s="1"/>
      <c r="D2" s="1"/>
    </row>
    <row r="3" spans="2:16" ht="30" customHeight="1" x14ac:dyDescent="0.4">
      <c r="C3" s="46"/>
      <c r="D3" s="47"/>
      <c r="K3" s="2" t="s">
        <v>1</v>
      </c>
      <c r="L3" s="53" t="str">
        <f>'Biweekly Time Sheet'!H3</f>
        <v>Jarrett Zorzi</v>
      </c>
      <c r="M3" s="54"/>
      <c r="N3" s="54"/>
      <c r="O3" s="54"/>
      <c r="P3" s="55"/>
    </row>
    <row r="4" spans="2:16" ht="30" customHeight="1" x14ac:dyDescent="0.4">
      <c r="K4" s="3" t="s">
        <v>3</v>
      </c>
      <c r="L4" s="53">
        <f>'Biweekly Time Sheet'!H4</f>
        <v>46097</v>
      </c>
      <c r="M4" s="54"/>
      <c r="N4" s="54"/>
      <c r="O4" s="54"/>
      <c r="P4" s="55"/>
    </row>
    <row r="5" spans="2:16" ht="30" customHeight="1" x14ac:dyDescent="0.4">
      <c r="K5" s="3" t="s">
        <v>4</v>
      </c>
      <c r="L5" s="53">
        <f>'Biweekly Time Sheet'!H5</f>
        <v>46110</v>
      </c>
      <c r="M5" s="54"/>
      <c r="N5" s="54"/>
      <c r="O5" s="54"/>
      <c r="P5" s="55"/>
    </row>
    <row r="6" spans="2:16" ht="30" customHeight="1" x14ac:dyDescent="0.4">
      <c r="N6" s="46"/>
      <c r="O6" s="47"/>
      <c r="P6" s="47"/>
    </row>
    <row r="8" spans="2:16" ht="22.5" customHeight="1" x14ac:dyDescent="0.4">
      <c r="D8" s="56" t="s">
        <v>24</v>
      </c>
      <c r="E8" s="57"/>
      <c r="F8" s="57"/>
      <c r="G8" s="57"/>
      <c r="H8" s="58"/>
      <c r="I8" s="56" t="s">
        <v>25</v>
      </c>
      <c r="J8" s="57"/>
      <c r="K8" s="57"/>
      <c r="L8" s="57"/>
      <c r="M8" s="57"/>
      <c r="N8" s="57"/>
      <c r="O8" s="58"/>
    </row>
    <row r="9" spans="2:16" ht="39.75" customHeight="1" x14ac:dyDescent="0.4">
      <c r="B9" s="5" t="s">
        <v>5</v>
      </c>
      <c r="C9" s="5" t="s">
        <v>6</v>
      </c>
      <c r="D9" s="23" t="s">
        <v>26</v>
      </c>
      <c r="E9" s="24" t="s">
        <v>27</v>
      </c>
      <c r="F9" s="24" t="s">
        <v>28</v>
      </c>
      <c r="G9" s="24" t="s">
        <v>29</v>
      </c>
      <c r="H9" s="25" t="s">
        <v>30</v>
      </c>
      <c r="I9" s="23" t="s">
        <v>31</v>
      </c>
      <c r="J9" s="24" t="s">
        <v>32</v>
      </c>
      <c r="K9" s="24" t="s">
        <v>33</v>
      </c>
      <c r="L9" s="24" t="s">
        <v>34</v>
      </c>
      <c r="M9" s="24" t="s">
        <v>35</v>
      </c>
      <c r="N9" s="59" t="s">
        <v>36</v>
      </c>
      <c r="O9" s="60"/>
      <c r="P9" s="26" t="s">
        <v>15</v>
      </c>
    </row>
    <row r="10" spans="2:16" ht="30" customHeight="1" x14ac:dyDescent="0.4">
      <c r="B10" s="5" t="str">
        <f>IFERROR(TEXT('Biweekly Expense Report CAD'!$C10,"aaaa"), "")</f>
        <v>Monday</v>
      </c>
      <c r="C10" s="9">
        <f>L4</f>
        <v>46097</v>
      </c>
      <c r="D10" s="27">
        <v>0</v>
      </c>
      <c r="E10" s="28">
        <v>70</v>
      </c>
      <c r="F10" s="29"/>
      <c r="G10" s="28"/>
      <c r="H10" s="30">
        <v>0</v>
      </c>
      <c r="I10" s="31"/>
      <c r="J10" s="29"/>
      <c r="K10" s="28"/>
      <c r="L10" s="29"/>
      <c r="M10" s="28"/>
      <c r="N10" s="32"/>
      <c r="O10" s="33">
        <v>0.48</v>
      </c>
      <c r="P10" s="34">
        <f t="shared" ref="P10:P23" si="0">IFERROR(SUM(D10:M10)+(N10*O10), "")</f>
        <v>70</v>
      </c>
    </row>
    <row r="11" spans="2:16" ht="30" customHeight="1" x14ac:dyDescent="0.4">
      <c r="B11" s="5" t="str">
        <f>IFERROR(TEXT('Biweekly Expense Report CAD'!$C11,"aaaa"), "")</f>
        <v>Tuesday</v>
      </c>
      <c r="C11" s="9">
        <f>IF($L$4="","",$L$4+1)</f>
        <v>46098</v>
      </c>
      <c r="D11" s="27">
        <v>0</v>
      </c>
      <c r="E11" s="28">
        <v>70</v>
      </c>
      <c r="F11" s="29"/>
      <c r="G11" s="28"/>
      <c r="H11" s="30"/>
      <c r="I11" s="31"/>
      <c r="J11" s="29"/>
      <c r="K11" s="28"/>
      <c r="L11" s="29"/>
      <c r="M11" s="28"/>
      <c r="N11" s="32"/>
      <c r="O11" s="33">
        <v>0.48</v>
      </c>
      <c r="P11" s="34">
        <f t="shared" si="0"/>
        <v>70</v>
      </c>
    </row>
    <row r="12" spans="2:16" ht="30" customHeight="1" x14ac:dyDescent="0.4">
      <c r="B12" s="5" t="str">
        <f>IFERROR(TEXT('Biweekly Expense Report CAD'!$C12,"aaaa"), "")</f>
        <v>Wednesday</v>
      </c>
      <c r="C12" s="9">
        <f>IF($L$4="","",$L$4+2)</f>
        <v>46099</v>
      </c>
      <c r="D12" s="27">
        <v>70</v>
      </c>
      <c r="E12" s="28">
        <v>0</v>
      </c>
      <c r="F12" s="29"/>
      <c r="G12" s="28"/>
      <c r="H12" s="30"/>
      <c r="I12" s="31"/>
      <c r="J12" s="29"/>
      <c r="K12" s="28"/>
      <c r="L12" s="29"/>
      <c r="M12" s="28"/>
      <c r="N12" s="32"/>
      <c r="O12" s="33">
        <v>0.48</v>
      </c>
      <c r="P12" s="34">
        <f t="shared" si="0"/>
        <v>70</v>
      </c>
    </row>
    <row r="13" spans="2:16" ht="30" customHeight="1" x14ac:dyDescent="0.4">
      <c r="B13" s="5" t="str">
        <f>IFERROR(TEXT('Biweekly Expense Report CAD'!$C13,"aaaa"), "")</f>
        <v>Thursday</v>
      </c>
      <c r="C13" s="9">
        <f>IF($L$4="","",$L$4+3)</f>
        <v>46100</v>
      </c>
      <c r="D13" s="27"/>
      <c r="E13" s="28">
        <v>0</v>
      </c>
      <c r="F13" s="29"/>
      <c r="G13" s="28"/>
      <c r="H13" s="30"/>
      <c r="I13" s="31"/>
      <c r="J13" s="29"/>
      <c r="K13" s="28"/>
      <c r="L13" s="29"/>
      <c r="M13" s="28"/>
      <c r="N13" s="32"/>
      <c r="O13" s="33">
        <v>0.48</v>
      </c>
      <c r="P13" s="34">
        <f t="shared" si="0"/>
        <v>0</v>
      </c>
    </row>
    <row r="14" spans="2:16" ht="30" customHeight="1" x14ac:dyDescent="0.4">
      <c r="B14" s="5" t="str">
        <f>IFERROR(TEXT('Biweekly Expense Report CAD'!$C14,"aaaa"), "")</f>
        <v>Friday</v>
      </c>
      <c r="C14" s="9">
        <f>IF($L$4="","",$L$4+4)</f>
        <v>46101</v>
      </c>
      <c r="D14" s="27"/>
      <c r="E14" s="28">
        <v>0</v>
      </c>
      <c r="F14" s="29"/>
      <c r="G14" s="28"/>
      <c r="H14" s="30">
        <v>0</v>
      </c>
      <c r="I14" s="31">
        <v>0</v>
      </c>
      <c r="J14" s="29"/>
      <c r="K14" s="28"/>
      <c r="L14" s="29"/>
      <c r="M14" s="28"/>
      <c r="N14" s="32"/>
      <c r="O14" s="33">
        <v>0.48</v>
      </c>
      <c r="P14" s="34">
        <f t="shared" si="0"/>
        <v>0</v>
      </c>
    </row>
    <row r="15" spans="2:16" ht="30" customHeight="1" x14ac:dyDescent="0.4">
      <c r="B15" s="5" t="str">
        <f>IFERROR(TEXT('Biweekly Expense Report CAD'!$C15,"aaaa"), "")</f>
        <v>Saturday</v>
      </c>
      <c r="C15" s="9">
        <f>IF($L$4="","",$L$4+5)</f>
        <v>46102</v>
      </c>
      <c r="D15" s="27">
        <v>0</v>
      </c>
      <c r="E15" s="28"/>
      <c r="F15" s="29"/>
      <c r="G15" s="28"/>
      <c r="H15" s="30"/>
      <c r="I15" s="31"/>
      <c r="J15" s="29"/>
      <c r="K15" s="28"/>
      <c r="L15" s="29"/>
      <c r="M15" s="28"/>
      <c r="N15" s="32"/>
      <c r="O15" s="33">
        <v>0.48</v>
      </c>
      <c r="P15" s="34">
        <f t="shared" si="0"/>
        <v>0</v>
      </c>
    </row>
    <row r="16" spans="2:16" ht="30" customHeight="1" x14ac:dyDescent="0.4">
      <c r="B16" s="5" t="str">
        <f>IFERROR(TEXT('Biweekly Expense Report CAD'!$C16,"aaaa"), "")</f>
        <v>Sunday</v>
      </c>
      <c r="C16" s="9">
        <f>IF($L$4="","",$L$4+6)</f>
        <v>46103</v>
      </c>
      <c r="D16" s="27"/>
      <c r="E16" s="28">
        <v>0</v>
      </c>
      <c r="F16" s="29"/>
      <c r="G16" s="28"/>
      <c r="H16" s="30"/>
      <c r="I16" s="31"/>
      <c r="J16" s="29"/>
      <c r="K16" s="28"/>
      <c r="L16" s="29"/>
      <c r="M16" s="28"/>
      <c r="N16" s="32"/>
      <c r="O16" s="33">
        <v>0.48</v>
      </c>
      <c r="P16" s="34">
        <f t="shared" si="0"/>
        <v>0</v>
      </c>
    </row>
    <row r="17" spans="2:16" ht="30" customHeight="1" x14ac:dyDescent="0.4">
      <c r="B17" s="5" t="str">
        <f>IFERROR(TEXT('Biweekly Expense Report CAD'!$C17,"aaaa"), "")</f>
        <v>Monday</v>
      </c>
      <c r="C17" s="9">
        <f>IF($L$4="","",$L$4+7)</f>
        <v>46104</v>
      </c>
      <c r="D17" s="27">
        <v>70</v>
      </c>
      <c r="E17" s="28">
        <v>0</v>
      </c>
      <c r="F17" s="29">
        <v>0</v>
      </c>
      <c r="G17" s="28"/>
      <c r="H17" s="30"/>
      <c r="I17" s="31"/>
      <c r="J17" s="29"/>
      <c r="K17" s="28"/>
      <c r="L17" s="29"/>
      <c r="M17" s="28"/>
      <c r="N17" s="32"/>
      <c r="O17" s="33">
        <v>0.48</v>
      </c>
      <c r="P17" s="34">
        <f t="shared" si="0"/>
        <v>70</v>
      </c>
    </row>
    <row r="18" spans="2:16" ht="30" customHeight="1" x14ac:dyDescent="0.4">
      <c r="B18" s="5" t="str">
        <f>IFERROR(TEXT('Biweekly Expense Report CAD'!$C18,"aaaa"), "")</f>
        <v>Tuesday</v>
      </c>
      <c r="C18" s="9">
        <f>IF($L$4="","",$L$4+8)</f>
        <v>46105</v>
      </c>
      <c r="D18" s="27"/>
      <c r="E18" s="28">
        <v>70</v>
      </c>
      <c r="F18" s="29"/>
      <c r="G18" s="28"/>
      <c r="H18" s="30"/>
      <c r="I18" s="31"/>
      <c r="J18" s="29"/>
      <c r="K18" s="28"/>
      <c r="L18" s="29"/>
      <c r="M18" s="28"/>
      <c r="N18" s="32"/>
      <c r="O18" s="33">
        <v>0.48</v>
      </c>
      <c r="P18" s="34">
        <f t="shared" si="0"/>
        <v>70</v>
      </c>
    </row>
    <row r="19" spans="2:16" ht="30" customHeight="1" x14ac:dyDescent="0.4">
      <c r="B19" s="5" t="str">
        <f>IFERROR(TEXT('Biweekly Expense Report CAD'!$C19,"aaaa"), "")</f>
        <v>Wednesday</v>
      </c>
      <c r="C19" s="9">
        <f>IF($L$4="","",$L$4+9)</f>
        <v>46106</v>
      </c>
      <c r="D19" s="27"/>
      <c r="E19" s="28">
        <v>70</v>
      </c>
      <c r="F19" s="29"/>
      <c r="G19" s="28"/>
      <c r="H19" s="30"/>
      <c r="I19" s="31"/>
      <c r="J19" s="29"/>
      <c r="K19" s="28"/>
      <c r="L19" s="29"/>
      <c r="M19" s="28"/>
      <c r="N19" s="32"/>
      <c r="O19" s="33">
        <v>0.48</v>
      </c>
      <c r="P19" s="34">
        <f t="shared" si="0"/>
        <v>70</v>
      </c>
    </row>
    <row r="20" spans="2:16" ht="30" customHeight="1" x14ac:dyDescent="0.4">
      <c r="B20" s="5" t="str">
        <f>IFERROR(TEXT('Biweekly Expense Report CAD'!$C20,"aaaa"), "")</f>
        <v>Thursday</v>
      </c>
      <c r="C20" s="9">
        <f>IF($L$4="","",$L$4+10)</f>
        <v>46107</v>
      </c>
      <c r="D20" s="27">
        <v>70</v>
      </c>
      <c r="E20" s="28">
        <v>0</v>
      </c>
      <c r="F20" s="29"/>
      <c r="G20" s="28"/>
      <c r="H20" s="30"/>
      <c r="I20" s="31"/>
      <c r="J20" s="29"/>
      <c r="K20" s="28"/>
      <c r="L20" s="29"/>
      <c r="M20" s="28"/>
      <c r="N20" s="32"/>
      <c r="O20" s="33">
        <v>0.48</v>
      </c>
      <c r="P20" s="34">
        <f t="shared" si="0"/>
        <v>70</v>
      </c>
    </row>
    <row r="21" spans="2:16" ht="30" customHeight="1" x14ac:dyDescent="0.4">
      <c r="B21" s="5" t="str">
        <f>IFERROR(TEXT('Biweekly Expense Report CAD'!$C21,"aaaa"), "")</f>
        <v>Friday</v>
      </c>
      <c r="C21" s="9">
        <f>IF($L$4="","",$L$4+11)</f>
        <v>46108</v>
      </c>
      <c r="D21" s="27">
        <v>0</v>
      </c>
      <c r="E21" s="28">
        <v>0</v>
      </c>
      <c r="F21" s="29"/>
      <c r="G21" s="28"/>
      <c r="H21" s="30"/>
      <c r="I21" s="31"/>
      <c r="J21" s="29"/>
      <c r="K21" s="28"/>
      <c r="L21" s="29"/>
      <c r="M21" s="28"/>
      <c r="N21" s="32"/>
      <c r="O21" s="33">
        <v>0.48</v>
      </c>
      <c r="P21" s="34">
        <f t="shared" si="0"/>
        <v>0</v>
      </c>
    </row>
    <row r="22" spans="2:16" ht="30" customHeight="1" x14ac:dyDescent="0.4">
      <c r="B22" s="5" t="str">
        <f>IFERROR(TEXT('Biweekly Expense Report CAD'!$C22,"aaaa"), "")</f>
        <v>Saturday</v>
      </c>
      <c r="C22" s="9">
        <f>IF($L$4="","",$L$4+12)</f>
        <v>46109</v>
      </c>
      <c r="D22" s="27">
        <v>0</v>
      </c>
      <c r="E22" s="28">
        <v>0</v>
      </c>
      <c r="F22" s="29"/>
      <c r="G22" s="28"/>
      <c r="H22" s="30"/>
      <c r="I22" s="31"/>
      <c r="J22" s="29"/>
      <c r="K22" s="28"/>
      <c r="L22" s="29"/>
      <c r="M22" s="28"/>
      <c r="N22" s="32"/>
      <c r="O22" s="33">
        <v>0.48</v>
      </c>
      <c r="P22" s="34">
        <f t="shared" si="0"/>
        <v>0</v>
      </c>
    </row>
    <row r="23" spans="2:16" ht="30" customHeight="1" x14ac:dyDescent="0.4">
      <c r="B23" s="15" t="str">
        <f>IFERROR(TEXT('Biweekly Expense Report CAD'!$C23,"aaaa"), "")</f>
        <v>Sunday</v>
      </c>
      <c r="C23" s="16">
        <f>IF($L$4="","",$L$4+13)</f>
        <v>46110</v>
      </c>
      <c r="D23" s="27"/>
      <c r="E23" s="28">
        <v>0</v>
      </c>
      <c r="F23" s="29"/>
      <c r="G23" s="28"/>
      <c r="H23" s="30"/>
      <c r="I23" s="31"/>
      <c r="J23" s="29"/>
      <c r="K23" s="28"/>
      <c r="L23" s="29"/>
      <c r="M23" s="28"/>
      <c r="N23" s="32"/>
      <c r="O23" s="33">
        <v>0.48</v>
      </c>
      <c r="P23" s="34">
        <f t="shared" si="0"/>
        <v>0</v>
      </c>
    </row>
    <row r="24" spans="2:16" ht="30" customHeight="1" x14ac:dyDescent="0.4">
      <c r="C24" s="15" t="s">
        <v>15</v>
      </c>
      <c r="D24" s="35">
        <f t="shared" ref="D24:M24" si="1">IFERROR(SUM(D10:D23), "")</f>
        <v>210</v>
      </c>
      <c r="E24" s="36">
        <f t="shared" si="1"/>
        <v>280</v>
      </c>
      <c r="F24" s="36">
        <f t="shared" si="1"/>
        <v>0</v>
      </c>
      <c r="G24" s="36">
        <f t="shared" si="1"/>
        <v>0</v>
      </c>
      <c r="H24" s="37">
        <f t="shared" si="1"/>
        <v>0</v>
      </c>
      <c r="I24" s="35">
        <f t="shared" si="1"/>
        <v>0</v>
      </c>
      <c r="J24" s="36">
        <f t="shared" si="1"/>
        <v>0</v>
      </c>
      <c r="K24" s="36">
        <f t="shared" si="1"/>
        <v>0</v>
      </c>
      <c r="L24" s="36">
        <f t="shared" si="1"/>
        <v>0</v>
      </c>
      <c r="M24" s="36">
        <f t="shared" si="1"/>
        <v>0</v>
      </c>
      <c r="N24" s="38"/>
      <c r="O24" s="39"/>
      <c r="P24" s="40">
        <f>IFERROR(SUM(P10:P23),"$")</f>
        <v>490</v>
      </c>
    </row>
    <row r="25" spans="2:16" ht="30" customHeight="1" x14ac:dyDescent="0.4">
      <c r="D25" s="46"/>
      <c r="E25" s="47"/>
      <c r="F25" s="47"/>
      <c r="G25" s="47"/>
      <c r="H25" s="47"/>
      <c r="I25" s="47"/>
      <c r="J25" s="47"/>
      <c r="K25" s="47"/>
      <c r="L25" s="47"/>
      <c r="M25" s="47"/>
      <c r="N25" s="47"/>
    </row>
    <row r="26" spans="2:16" ht="30" customHeight="1" x14ac:dyDescent="0.4">
      <c r="D26" s="46"/>
      <c r="E26" s="47"/>
      <c r="F26" s="47"/>
      <c r="G26" s="47"/>
      <c r="H26" s="47"/>
      <c r="I26" s="47"/>
      <c r="J26" s="47"/>
      <c r="K26" s="47"/>
      <c r="L26" s="47"/>
      <c r="M26" s="47"/>
      <c r="N26" s="47"/>
    </row>
    <row r="27" spans="2:16" ht="30" customHeight="1" x14ac:dyDescent="0.4">
      <c r="D27" s="61">
        <f>'Biweekly Time Sheet'!D26:J26</f>
        <v>0</v>
      </c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5"/>
      <c r="P27" s="41">
        <f>'Biweekly Time Sheet'!L26</f>
        <v>0</v>
      </c>
    </row>
    <row r="28" spans="2:16" ht="30" customHeight="1" x14ac:dyDescent="0.4">
      <c r="D28" s="46" t="s">
        <v>21</v>
      </c>
      <c r="E28" s="47"/>
      <c r="F28" s="47"/>
      <c r="G28" s="47"/>
      <c r="H28" s="47"/>
      <c r="I28" s="47"/>
      <c r="J28" s="47"/>
      <c r="K28" s="47"/>
      <c r="L28" s="47"/>
      <c r="M28" s="47"/>
      <c r="N28" s="47"/>
      <c r="P28" s="21" t="s">
        <v>6</v>
      </c>
    </row>
    <row r="29" spans="2:16" ht="30" customHeight="1" x14ac:dyDescent="0.4">
      <c r="P29" s="22" t="s">
        <v>37</v>
      </c>
    </row>
    <row r="30" spans="2:16" ht="30" customHeight="1" x14ac:dyDescent="0.4"/>
    <row r="31" spans="2:16" ht="30" customHeight="1" x14ac:dyDescent="0.4"/>
    <row r="32" spans="2:16" ht="30" customHeight="1" x14ac:dyDescent="0.4"/>
    <row r="33" ht="30" customHeight="1" x14ac:dyDescent="0.4"/>
    <row r="34" ht="30" customHeight="1" x14ac:dyDescent="0.4"/>
    <row r="35" ht="30" customHeight="1" x14ac:dyDescent="0.4"/>
    <row r="36" ht="30" customHeight="1" x14ac:dyDescent="0.4"/>
    <row r="37" ht="30" customHeight="1" x14ac:dyDescent="0.4"/>
    <row r="38" ht="30" customHeight="1" x14ac:dyDescent="0.4"/>
    <row r="39" ht="30" customHeight="1" x14ac:dyDescent="0.4"/>
    <row r="40" ht="30" customHeight="1" x14ac:dyDescent="0.4"/>
    <row r="41" ht="30" customHeight="1" x14ac:dyDescent="0.4"/>
    <row r="42" ht="30" customHeight="1" x14ac:dyDescent="0.4"/>
    <row r="43" ht="30" customHeight="1" x14ac:dyDescent="0.4"/>
    <row r="44" ht="30" customHeight="1" x14ac:dyDescent="0.4"/>
    <row r="45" ht="30" customHeight="1" x14ac:dyDescent="0.4"/>
    <row r="46" ht="30" customHeight="1" x14ac:dyDescent="0.4"/>
    <row r="47" ht="30" customHeight="1" x14ac:dyDescent="0.4"/>
    <row r="48" ht="30" customHeight="1" x14ac:dyDescent="0.4"/>
    <row r="49" ht="30" customHeight="1" x14ac:dyDescent="0.4"/>
    <row r="50" ht="30" customHeight="1" x14ac:dyDescent="0.4"/>
    <row r="51" ht="30" customHeight="1" x14ac:dyDescent="0.4"/>
    <row r="52" ht="30" customHeight="1" x14ac:dyDescent="0.4"/>
    <row r="53" ht="30" customHeight="1" x14ac:dyDescent="0.4"/>
    <row r="54" ht="30" customHeight="1" x14ac:dyDescent="0.4"/>
    <row r="55" ht="30" customHeight="1" x14ac:dyDescent="0.4"/>
    <row r="56" ht="30" customHeight="1" x14ac:dyDescent="0.4"/>
    <row r="57" ht="30" customHeight="1" x14ac:dyDescent="0.4"/>
    <row r="58" ht="30" customHeight="1" x14ac:dyDescent="0.4"/>
    <row r="59" ht="30" customHeight="1" x14ac:dyDescent="0.4"/>
    <row r="60" ht="30" customHeight="1" x14ac:dyDescent="0.4"/>
    <row r="61" ht="30" customHeight="1" x14ac:dyDescent="0.4"/>
    <row r="62" ht="30" customHeight="1" x14ac:dyDescent="0.4"/>
    <row r="63" ht="30" customHeight="1" x14ac:dyDescent="0.4"/>
    <row r="64" ht="30" customHeight="1" x14ac:dyDescent="0.4"/>
    <row r="65" ht="30" customHeight="1" x14ac:dyDescent="0.4"/>
    <row r="66" ht="30" customHeight="1" x14ac:dyDescent="0.4"/>
    <row r="67" ht="30" customHeight="1" x14ac:dyDescent="0.4"/>
    <row r="68" ht="30" customHeight="1" x14ac:dyDescent="0.4"/>
    <row r="69" ht="30" customHeight="1" x14ac:dyDescent="0.4"/>
    <row r="70" ht="30" customHeight="1" x14ac:dyDescent="0.4"/>
    <row r="71" ht="30" customHeight="1" x14ac:dyDescent="0.4"/>
    <row r="72" ht="30" customHeight="1" x14ac:dyDescent="0.4"/>
    <row r="73" ht="30" customHeight="1" x14ac:dyDescent="0.4"/>
    <row r="74" ht="30" customHeight="1" x14ac:dyDescent="0.4"/>
    <row r="75" ht="30" customHeight="1" x14ac:dyDescent="0.4"/>
    <row r="76" ht="30" customHeight="1" x14ac:dyDescent="0.4"/>
    <row r="77" ht="30" customHeight="1" x14ac:dyDescent="0.4"/>
    <row r="78" ht="30" customHeight="1" x14ac:dyDescent="0.4"/>
    <row r="79" ht="30" customHeight="1" x14ac:dyDescent="0.4"/>
    <row r="80" ht="30" customHeight="1" x14ac:dyDescent="0.4"/>
    <row r="81" ht="30" customHeight="1" x14ac:dyDescent="0.4"/>
    <row r="82" ht="30" customHeight="1" x14ac:dyDescent="0.4"/>
    <row r="83" ht="30" customHeight="1" x14ac:dyDescent="0.4"/>
    <row r="84" ht="30" customHeight="1" x14ac:dyDescent="0.4"/>
    <row r="85" ht="30" customHeight="1" x14ac:dyDescent="0.4"/>
    <row r="86" ht="30" customHeight="1" x14ac:dyDescent="0.4"/>
    <row r="87" ht="30" customHeight="1" x14ac:dyDescent="0.4"/>
    <row r="88" ht="30" customHeight="1" x14ac:dyDescent="0.4"/>
    <row r="89" ht="30" customHeight="1" x14ac:dyDescent="0.4"/>
    <row r="90" ht="30" customHeight="1" x14ac:dyDescent="0.4"/>
    <row r="91" ht="30" customHeight="1" x14ac:dyDescent="0.4"/>
    <row r="92" ht="30" customHeight="1" x14ac:dyDescent="0.4"/>
    <row r="93" ht="30" customHeight="1" x14ac:dyDescent="0.4"/>
    <row r="94" ht="30" customHeight="1" x14ac:dyDescent="0.4"/>
    <row r="95" ht="30" customHeight="1" x14ac:dyDescent="0.4"/>
    <row r="96" ht="30" customHeight="1" x14ac:dyDescent="0.4"/>
    <row r="97" ht="30" customHeight="1" x14ac:dyDescent="0.4"/>
    <row r="98" ht="30" customHeight="1" x14ac:dyDescent="0.4"/>
    <row r="99" ht="30" customHeight="1" x14ac:dyDescent="0.4"/>
    <row r="100" ht="30" customHeight="1" x14ac:dyDescent="0.4"/>
    <row r="101" ht="30" customHeight="1" x14ac:dyDescent="0.4"/>
    <row r="102" ht="30" customHeight="1" x14ac:dyDescent="0.4"/>
    <row r="103" ht="30" customHeight="1" x14ac:dyDescent="0.4"/>
    <row r="104" ht="30" customHeight="1" x14ac:dyDescent="0.4"/>
    <row r="105" ht="30" customHeight="1" x14ac:dyDescent="0.4"/>
    <row r="106" ht="30" customHeight="1" x14ac:dyDescent="0.4"/>
    <row r="107" ht="30" customHeight="1" x14ac:dyDescent="0.4"/>
    <row r="108" ht="30" customHeight="1" x14ac:dyDescent="0.4"/>
    <row r="109" ht="30" customHeight="1" x14ac:dyDescent="0.4"/>
    <row r="110" ht="30" customHeight="1" x14ac:dyDescent="0.4"/>
    <row r="111" ht="30" customHeight="1" x14ac:dyDescent="0.4"/>
    <row r="112" ht="30" customHeight="1" x14ac:dyDescent="0.4"/>
    <row r="113" ht="30" customHeight="1" x14ac:dyDescent="0.4"/>
    <row r="114" ht="30" customHeight="1" x14ac:dyDescent="0.4"/>
    <row r="115" ht="30" customHeight="1" x14ac:dyDescent="0.4"/>
    <row r="116" ht="30" customHeight="1" x14ac:dyDescent="0.4"/>
    <row r="117" ht="30" customHeight="1" x14ac:dyDescent="0.4"/>
    <row r="118" ht="30" customHeight="1" x14ac:dyDescent="0.4"/>
    <row r="119" ht="30" customHeight="1" x14ac:dyDescent="0.4"/>
    <row r="120" ht="30" customHeight="1" x14ac:dyDescent="0.4"/>
    <row r="121" ht="30" customHeight="1" x14ac:dyDescent="0.4"/>
    <row r="122" ht="30" customHeight="1" x14ac:dyDescent="0.4"/>
    <row r="123" ht="30" customHeight="1" x14ac:dyDescent="0.4"/>
    <row r="124" ht="30" customHeight="1" x14ac:dyDescent="0.4"/>
    <row r="125" ht="30" customHeight="1" x14ac:dyDescent="0.4"/>
    <row r="126" ht="30" customHeight="1" x14ac:dyDescent="0.4"/>
    <row r="127" ht="30" customHeight="1" x14ac:dyDescent="0.4"/>
    <row r="128" ht="30" customHeight="1" x14ac:dyDescent="0.4"/>
    <row r="129" ht="30" customHeight="1" x14ac:dyDescent="0.4"/>
    <row r="130" ht="30" customHeight="1" x14ac:dyDescent="0.4"/>
    <row r="131" ht="30" customHeight="1" x14ac:dyDescent="0.4"/>
    <row r="132" ht="30" customHeight="1" x14ac:dyDescent="0.4"/>
    <row r="133" ht="30" customHeight="1" x14ac:dyDescent="0.4"/>
    <row r="134" ht="30" customHeight="1" x14ac:dyDescent="0.4"/>
    <row r="135" ht="30" customHeight="1" x14ac:dyDescent="0.4"/>
    <row r="136" ht="30" customHeight="1" x14ac:dyDescent="0.4"/>
    <row r="137" ht="30" customHeight="1" x14ac:dyDescent="0.4"/>
    <row r="138" ht="30" customHeight="1" x14ac:dyDescent="0.4"/>
    <row r="139" ht="30" customHeight="1" x14ac:dyDescent="0.4"/>
    <row r="140" ht="30" customHeight="1" x14ac:dyDescent="0.4"/>
    <row r="141" ht="30" customHeight="1" x14ac:dyDescent="0.4"/>
    <row r="142" ht="30" customHeight="1" x14ac:dyDescent="0.4"/>
    <row r="143" ht="30" customHeight="1" x14ac:dyDescent="0.4"/>
    <row r="144" ht="30" customHeight="1" x14ac:dyDescent="0.4"/>
    <row r="145" ht="30" customHeight="1" x14ac:dyDescent="0.4"/>
    <row r="146" ht="30" customHeight="1" x14ac:dyDescent="0.4"/>
    <row r="147" ht="30" customHeight="1" x14ac:dyDescent="0.4"/>
    <row r="148" ht="30" customHeight="1" x14ac:dyDescent="0.4"/>
    <row r="149" ht="30" customHeight="1" x14ac:dyDescent="0.4"/>
    <row r="150" ht="30" customHeight="1" x14ac:dyDescent="0.4"/>
    <row r="151" ht="30" customHeight="1" x14ac:dyDescent="0.4"/>
    <row r="152" ht="30" customHeight="1" x14ac:dyDescent="0.4"/>
    <row r="153" ht="30" customHeight="1" x14ac:dyDescent="0.4"/>
    <row r="154" ht="30" customHeight="1" x14ac:dyDescent="0.4"/>
    <row r="155" ht="30" customHeight="1" x14ac:dyDescent="0.4"/>
    <row r="156" ht="30" customHeight="1" x14ac:dyDescent="0.4"/>
    <row r="157" ht="30" customHeight="1" x14ac:dyDescent="0.4"/>
    <row r="158" ht="30" customHeight="1" x14ac:dyDescent="0.4"/>
    <row r="159" ht="30" customHeight="1" x14ac:dyDescent="0.4"/>
    <row r="160" ht="30" customHeight="1" x14ac:dyDescent="0.4"/>
    <row r="161" ht="30" customHeight="1" x14ac:dyDescent="0.4"/>
    <row r="162" ht="30" customHeight="1" x14ac:dyDescent="0.4"/>
    <row r="163" ht="30" customHeight="1" x14ac:dyDescent="0.4"/>
    <row r="164" ht="30" customHeight="1" x14ac:dyDescent="0.4"/>
    <row r="165" ht="30" customHeight="1" x14ac:dyDescent="0.4"/>
    <row r="166" ht="30" customHeight="1" x14ac:dyDescent="0.4"/>
    <row r="167" ht="30" customHeight="1" x14ac:dyDescent="0.4"/>
    <row r="168" ht="30" customHeight="1" x14ac:dyDescent="0.4"/>
    <row r="169" ht="30" customHeight="1" x14ac:dyDescent="0.4"/>
    <row r="170" ht="30" customHeight="1" x14ac:dyDescent="0.4"/>
    <row r="171" ht="30" customHeight="1" x14ac:dyDescent="0.4"/>
    <row r="172" ht="30" customHeight="1" x14ac:dyDescent="0.4"/>
    <row r="173" ht="30" customHeight="1" x14ac:dyDescent="0.4"/>
    <row r="174" ht="30" customHeight="1" x14ac:dyDescent="0.4"/>
    <row r="175" ht="30" customHeight="1" x14ac:dyDescent="0.4"/>
    <row r="176" ht="30" customHeight="1" x14ac:dyDescent="0.4"/>
    <row r="177" ht="30" customHeight="1" x14ac:dyDescent="0.4"/>
    <row r="178" ht="30" customHeight="1" x14ac:dyDescent="0.4"/>
    <row r="179" ht="30" customHeight="1" x14ac:dyDescent="0.4"/>
    <row r="180" ht="30" customHeight="1" x14ac:dyDescent="0.4"/>
    <row r="181" ht="30" customHeight="1" x14ac:dyDescent="0.4"/>
    <row r="182" ht="30" customHeight="1" x14ac:dyDescent="0.4"/>
    <row r="183" ht="30" customHeight="1" x14ac:dyDescent="0.4"/>
    <row r="184" ht="30" customHeight="1" x14ac:dyDescent="0.4"/>
    <row r="185" ht="30" customHeight="1" x14ac:dyDescent="0.4"/>
    <row r="186" ht="30" customHeight="1" x14ac:dyDescent="0.4"/>
    <row r="187" ht="30" customHeight="1" x14ac:dyDescent="0.4"/>
    <row r="188" ht="30" customHeight="1" x14ac:dyDescent="0.4"/>
    <row r="189" ht="30" customHeight="1" x14ac:dyDescent="0.4"/>
    <row r="190" ht="30" customHeight="1" x14ac:dyDescent="0.4"/>
    <row r="191" ht="30" customHeight="1" x14ac:dyDescent="0.4"/>
    <row r="192" ht="30" customHeight="1" x14ac:dyDescent="0.4"/>
    <row r="193" ht="30" customHeight="1" x14ac:dyDescent="0.4"/>
    <row r="194" ht="30" customHeight="1" x14ac:dyDescent="0.4"/>
    <row r="195" ht="30" customHeight="1" x14ac:dyDescent="0.4"/>
    <row r="196" ht="30" customHeight="1" x14ac:dyDescent="0.4"/>
    <row r="197" ht="30" customHeight="1" x14ac:dyDescent="0.4"/>
    <row r="198" ht="30" customHeight="1" x14ac:dyDescent="0.4"/>
    <row r="199" ht="30" customHeight="1" x14ac:dyDescent="0.4"/>
    <row r="200" ht="30" customHeight="1" x14ac:dyDescent="0.4"/>
    <row r="201" ht="30" customHeight="1" x14ac:dyDescent="0.4"/>
    <row r="202" ht="30" customHeight="1" x14ac:dyDescent="0.4"/>
    <row r="203" ht="30" customHeight="1" x14ac:dyDescent="0.4"/>
    <row r="204" ht="30" customHeight="1" x14ac:dyDescent="0.4"/>
    <row r="205" ht="30" customHeight="1" x14ac:dyDescent="0.4"/>
    <row r="206" ht="30" customHeight="1" x14ac:dyDescent="0.4"/>
    <row r="207" ht="30" customHeight="1" x14ac:dyDescent="0.4"/>
    <row r="208" ht="30" customHeight="1" x14ac:dyDescent="0.4"/>
    <row r="209" ht="30" customHeight="1" x14ac:dyDescent="0.4"/>
    <row r="210" ht="30" customHeight="1" x14ac:dyDescent="0.4"/>
    <row r="211" ht="30" customHeight="1" x14ac:dyDescent="0.4"/>
    <row r="212" ht="30" customHeight="1" x14ac:dyDescent="0.4"/>
    <row r="213" ht="30" customHeight="1" x14ac:dyDescent="0.4"/>
    <row r="214" ht="30" customHeight="1" x14ac:dyDescent="0.4"/>
    <row r="215" ht="30" customHeight="1" x14ac:dyDescent="0.4"/>
    <row r="216" ht="30" customHeight="1" x14ac:dyDescent="0.4"/>
    <row r="217" ht="30" customHeight="1" x14ac:dyDescent="0.4"/>
    <row r="218" ht="30" customHeight="1" x14ac:dyDescent="0.4"/>
    <row r="219" ht="30" customHeight="1" x14ac:dyDescent="0.4"/>
    <row r="220" ht="30" customHeight="1" x14ac:dyDescent="0.4"/>
    <row r="221" ht="30" customHeight="1" x14ac:dyDescent="0.4"/>
    <row r="222" ht="30" customHeight="1" x14ac:dyDescent="0.4"/>
    <row r="223" ht="30" customHeight="1" x14ac:dyDescent="0.4"/>
    <row r="224" ht="30" customHeight="1" x14ac:dyDescent="0.4"/>
    <row r="225" ht="30" customHeight="1" x14ac:dyDescent="0.4"/>
    <row r="226" ht="30" customHeight="1" x14ac:dyDescent="0.4"/>
    <row r="227" ht="30" customHeight="1" x14ac:dyDescent="0.4"/>
    <row r="228" ht="30" customHeight="1" x14ac:dyDescent="0.4"/>
    <row r="229" ht="30" customHeight="1" x14ac:dyDescent="0.4"/>
    <row r="230" ht="30" customHeight="1" x14ac:dyDescent="0.4"/>
    <row r="231" ht="30" customHeight="1" x14ac:dyDescent="0.4"/>
    <row r="232" ht="30" customHeight="1" x14ac:dyDescent="0.4"/>
    <row r="233" ht="30" customHeight="1" x14ac:dyDescent="0.4"/>
    <row r="234" ht="30" customHeight="1" x14ac:dyDescent="0.4"/>
    <row r="235" ht="30" customHeight="1" x14ac:dyDescent="0.4"/>
    <row r="236" ht="30" customHeight="1" x14ac:dyDescent="0.4"/>
    <row r="237" ht="30" customHeight="1" x14ac:dyDescent="0.4"/>
    <row r="238" ht="30" customHeight="1" x14ac:dyDescent="0.4"/>
    <row r="239" ht="30" customHeight="1" x14ac:dyDescent="0.4"/>
    <row r="240" ht="30" customHeight="1" x14ac:dyDescent="0.4"/>
    <row r="241" ht="30" customHeight="1" x14ac:dyDescent="0.4"/>
    <row r="242" ht="30" customHeight="1" x14ac:dyDescent="0.4"/>
    <row r="243" ht="30" customHeight="1" x14ac:dyDescent="0.4"/>
    <row r="244" ht="30" customHeight="1" x14ac:dyDescent="0.4"/>
    <row r="245" ht="30" customHeight="1" x14ac:dyDescent="0.4"/>
    <row r="246" ht="30" customHeight="1" x14ac:dyDescent="0.4"/>
    <row r="247" ht="30" customHeight="1" x14ac:dyDescent="0.4"/>
    <row r="248" ht="30" customHeight="1" x14ac:dyDescent="0.4"/>
    <row r="249" ht="30" customHeight="1" x14ac:dyDescent="0.4"/>
    <row r="250" ht="30" customHeight="1" x14ac:dyDescent="0.4"/>
    <row r="251" ht="30" customHeight="1" x14ac:dyDescent="0.4"/>
    <row r="252" ht="30" customHeight="1" x14ac:dyDescent="0.4"/>
    <row r="253" ht="30" customHeight="1" x14ac:dyDescent="0.4"/>
    <row r="254" ht="30" customHeight="1" x14ac:dyDescent="0.4"/>
    <row r="255" ht="30" customHeight="1" x14ac:dyDescent="0.4"/>
    <row r="256" ht="30" customHeight="1" x14ac:dyDescent="0.4"/>
    <row r="257" ht="30" customHeight="1" x14ac:dyDescent="0.4"/>
    <row r="258" ht="30" customHeight="1" x14ac:dyDescent="0.4"/>
    <row r="259" ht="30" customHeight="1" x14ac:dyDescent="0.4"/>
    <row r="260" ht="30" customHeight="1" x14ac:dyDescent="0.4"/>
    <row r="261" ht="30" customHeight="1" x14ac:dyDescent="0.4"/>
    <row r="262" ht="30" customHeight="1" x14ac:dyDescent="0.4"/>
    <row r="263" ht="30" customHeight="1" x14ac:dyDescent="0.4"/>
    <row r="264" ht="30" customHeight="1" x14ac:dyDescent="0.4"/>
    <row r="265" ht="30" customHeight="1" x14ac:dyDescent="0.4"/>
    <row r="266" ht="30" customHeight="1" x14ac:dyDescent="0.4"/>
    <row r="267" ht="30" customHeight="1" x14ac:dyDescent="0.4"/>
    <row r="268" ht="30" customHeight="1" x14ac:dyDescent="0.4"/>
    <row r="269" ht="30" customHeight="1" x14ac:dyDescent="0.4"/>
    <row r="270" ht="30" customHeight="1" x14ac:dyDescent="0.4"/>
    <row r="271" ht="30" customHeight="1" x14ac:dyDescent="0.4"/>
    <row r="272" ht="30" customHeight="1" x14ac:dyDescent="0.4"/>
    <row r="273" ht="30" customHeight="1" x14ac:dyDescent="0.4"/>
    <row r="274" ht="30" customHeight="1" x14ac:dyDescent="0.4"/>
    <row r="275" ht="30" customHeight="1" x14ac:dyDescent="0.4"/>
    <row r="276" ht="30" customHeight="1" x14ac:dyDescent="0.4"/>
    <row r="277" ht="30" customHeight="1" x14ac:dyDescent="0.4"/>
    <row r="278" ht="30" customHeight="1" x14ac:dyDescent="0.4"/>
    <row r="279" ht="30" customHeight="1" x14ac:dyDescent="0.4"/>
    <row r="280" ht="30" customHeight="1" x14ac:dyDescent="0.4"/>
    <row r="281" ht="30" customHeight="1" x14ac:dyDescent="0.4"/>
    <row r="282" ht="30" customHeight="1" x14ac:dyDescent="0.4"/>
    <row r="283" ht="30" customHeight="1" x14ac:dyDescent="0.4"/>
    <row r="284" ht="30" customHeight="1" x14ac:dyDescent="0.4"/>
    <row r="285" ht="30" customHeight="1" x14ac:dyDescent="0.4"/>
    <row r="286" ht="30" customHeight="1" x14ac:dyDescent="0.4"/>
    <row r="287" ht="30" customHeight="1" x14ac:dyDescent="0.4"/>
    <row r="288" ht="30" customHeight="1" x14ac:dyDescent="0.4"/>
    <row r="289" ht="30" customHeight="1" x14ac:dyDescent="0.4"/>
    <row r="290" ht="30" customHeight="1" x14ac:dyDescent="0.4"/>
    <row r="291" ht="30" customHeight="1" x14ac:dyDescent="0.4"/>
    <row r="292" ht="30" customHeight="1" x14ac:dyDescent="0.4"/>
    <row r="293" ht="30" customHeight="1" x14ac:dyDescent="0.4"/>
    <row r="294" ht="30" customHeight="1" x14ac:dyDescent="0.4"/>
    <row r="295" ht="30" customHeight="1" x14ac:dyDescent="0.4"/>
    <row r="296" ht="30" customHeight="1" x14ac:dyDescent="0.4"/>
    <row r="297" ht="30" customHeight="1" x14ac:dyDescent="0.4"/>
    <row r="298" ht="30" customHeight="1" x14ac:dyDescent="0.4"/>
    <row r="299" ht="30" customHeight="1" x14ac:dyDescent="0.4"/>
    <row r="300" ht="30" customHeight="1" x14ac:dyDescent="0.4"/>
    <row r="301" ht="30" customHeight="1" x14ac:dyDescent="0.4"/>
    <row r="302" ht="30" customHeight="1" x14ac:dyDescent="0.4"/>
    <row r="303" ht="30" customHeight="1" x14ac:dyDescent="0.4"/>
    <row r="304" ht="30" customHeight="1" x14ac:dyDescent="0.4"/>
    <row r="305" ht="30" customHeight="1" x14ac:dyDescent="0.4"/>
    <row r="306" ht="30" customHeight="1" x14ac:dyDescent="0.4"/>
    <row r="307" ht="30" customHeight="1" x14ac:dyDescent="0.4"/>
    <row r="308" ht="30" customHeight="1" x14ac:dyDescent="0.4"/>
    <row r="309" ht="30" customHeight="1" x14ac:dyDescent="0.4"/>
    <row r="310" ht="30" customHeight="1" x14ac:dyDescent="0.4"/>
    <row r="311" ht="30" customHeight="1" x14ac:dyDescent="0.4"/>
    <row r="312" ht="30" customHeight="1" x14ac:dyDescent="0.4"/>
    <row r="313" ht="30" customHeight="1" x14ac:dyDescent="0.4"/>
    <row r="314" ht="30" customHeight="1" x14ac:dyDescent="0.4"/>
    <row r="315" ht="30" customHeight="1" x14ac:dyDescent="0.4"/>
    <row r="316" ht="30" customHeight="1" x14ac:dyDescent="0.4"/>
    <row r="317" ht="30" customHeight="1" x14ac:dyDescent="0.4"/>
    <row r="318" ht="30" customHeight="1" x14ac:dyDescent="0.4"/>
    <row r="319" ht="30" customHeight="1" x14ac:dyDescent="0.4"/>
    <row r="320" ht="30" customHeight="1" x14ac:dyDescent="0.4"/>
    <row r="321" ht="30" customHeight="1" x14ac:dyDescent="0.4"/>
    <row r="322" ht="30" customHeight="1" x14ac:dyDescent="0.4"/>
    <row r="323" ht="30" customHeight="1" x14ac:dyDescent="0.4"/>
    <row r="324" ht="30" customHeight="1" x14ac:dyDescent="0.4"/>
    <row r="325" ht="30" customHeight="1" x14ac:dyDescent="0.4"/>
    <row r="326" ht="30" customHeight="1" x14ac:dyDescent="0.4"/>
    <row r="327" ht="30" customHeight="1" x14ac:dyDescent="0.4"/>
    <row r="328" ht="30" customHeight="1" x14ac:dyDescent="0.4"/>
    <row r="329" ht="30" customHeight="1" x14ac:dyDescent="0.4"/>
    <row r="330" ht="30" customHeight="1" x14ac:dyDescent="0.4"/>
    <row r="331" ht="30" customHeight="1" x14ac:dyDescent="0.4"/>
    <row r="332" ht="30" customHeight="1" x14ac:dyDescent="0.4"/>
    <row r="333" ht="30" customHeight="1" x14ac:dyDescent="0.4"/>
    <row r="334" ht="30" customHeight="1" x14ac:dyDescent="0.4"/>
    <row r="335" ht="30" customHeight="1" x14ac:dyDescent="0.4"/>
    <row r="336" ht="30" customHeight="1" x14ac:dyDescent="0.4"/>
    <row r="337" ht="30" customHeight="1" x14ac:dyDescent="0.4"/>
    <row r="338" ht="30" customHeight="1" x14ac:dyDescent="0.4"/>
    <row r="339" ht="30" customHeight="1" x14ac:dyDescent="0.4"/>
    <row r="340" ht="30" customHeight="1" x14ac:dyDescent="0.4"/>
    <row r="341" ht="30" customHeight="1" x14ac:dyDescent="0.4"/>
    <row r="342" ht="30" customHeight="1" x14ac:dyDescent="0.4"/>
    <row r="343" ht="30" customHeight="1" x14ac:dyDescent="0.4"/>
    <row r="344" ht="30" customHeight="1" x14ac:dyDescent="0.4"/>
    <row r="345" ht="30" customHeight="1" x14ac:dyDescent="0.4"/>
    <row r="346" ht="30" customHeight="1" x14ac:dyDescent="0.4"/>
    <row r="347" ht="30" customHeight="1" x14ac:dyDescent="0.4"/>
    <row r="348" ht="30" customHeight="1" x14ac:dyDescent="0.4"/>
    <row r="349" ht="30" customHeight="1" x14ac:dyDescent="0.4"/>
    <row r="350" ht="30" customHeight="1" x14ac:dyDescent="0.4"/>
    <row r="351" ht="30" customHeight="1" x14ac:dyDescent="0.4"/>
    <row r="352" ht="30" customHeight="1" x14ac:dyDescent="0.4"/>
    <row r="353" ht="30" customHeight="1" x14ac:dyDescent="0.4"/>
    <row r="354" ht="30" customHeight="1" x14ac:dyDescent="0.4"/>
    <row r="355" ht="30" customHeight="1" x14ac:dyDescent="0.4"/>
    <row r="356" ht="30" customHeight="1" x14ac:dyDescent="0.4"/>
    <row r="357" ht="30" customHeight="1" x14ac:dyDescent="0.4"/>
    <row r="358" ht="30" customHeight="1" x14ac:dyDescent="0.4"/>
    <row r="359" ht="30" customHeight="1" x14ac:dyDescent="0.4"/>
    <row r="360" ht="30" customHeight="1" x14ac:dyDescent="0.4"/>
    <row r="361" ht="30" customHeight="1" x14ac:dyDescent="0.4"/>
    <row r="362" ht="30" customHeight="1" x14ac:dyDescent="0.4"/>
    <row r="363" ht="30" customHeight="1" x14ac:dyDescent="0.4"/>
    <row r="364" ht="30" customHeight="1" x14ac:dyDescent="0.4"/>
    <row r="365" ht="30" customHeight="1" x14ac:dyDescent="0.4"/>
    <row r="366" ht="30" customHeight="1" x14ac:dyDescent="0.4"/>
    <row r="367" ht="30" customHeight="1" x14ac:dyDescent="0.4"/>
    <row r="368" ht="30" customHeight="1" x14ac:dyDescent="0.4"/>
    <row r="369" ht="30" customHeight="1" x14ac:dyDescent="0.4"/>
    <row r="370" ht="30" customHeight="1" x14ac:dyDescent="0.4"/>
    <row r="371" ht="30" customHeight="1" x14ac:dyDescent="0.4"/>
    <row r="372" ht="30" customHeight="1" x14ac:dyDescent="0.4"/>
    <row r="373" ht="30" customHeight="1" x14ac:dyDescent="0.4"/>
    <row r="374" ht="30" customHeight="1" x14ac:dyDescent="0.4"/>
    <row r="375" ht="30" customHeight="1" x14ac:dyDescent="0.4"/>
    <row r="376" ht="30" customHeight="1" x14ac:dyDescent="0.4"/>
    <row r="377" ht="30" customHeight="1" x14ac:dyDescent="0.4"/>
    <row r="378" ht="30" customHeight="1" x14ac:dyDescent="0.4"/>
    <row r="379" ht="30" customHeight="1" x14ac:dyDescent="0.4"/>
    <row r="380" ht="30" customHeight="1" x14ac:dyDescent="0.4"/>
    <row r="381" ht="30" customHeight="1" x14ac:dyDescent="0.4"/>
    <row r="382" ht="30" customHeight="1" x14ac:dyDescent="0.4"/>
    <row r="383" ht="30" customHeight="1" x14ac:dyDescent="0.4"/>
    <row r="384" ht="30" customHeight="1" x14ac:dyDescent="0.4"/>
    <row r="385" ht="30" customHeight="1" x14ac:dyDescent="0.4"/>
    <row r="386" ht="30" customHeight="1" x14ac:dyDescent="0.4"/>
    <row r="387" ht="30" customHeight="1" x14ac:dyDescent="0.4"/>
    <row r="388" ht="30" customHeight="1" x14ac:dyDescent="0.4"/>
    <row r="389" ht="30" customHeight="1" x14ac:dyDescent="0.4"/>
    <row r="390" ht="30" customHeight="1" x14ac:dyDescent="0.4"/>
    <row r="391" ht="30" customHeight="1" x14ac:dyDescent="0.4"/>
    <row r="392" ht="30" customHeight="1" x14ac:dyDescent="0.4"/>
    <row r="393" ht="30" customHeight="1" x14ac:dyDescent="0.4"/>
    <row r="394" ht="30" customHeight="1" x14ac:dyDescent="0.4"/>
    <row r="395" ht="30" customHeight="1" x14ac:dyDescent="0.4"/>
    <row r="396" ht="30" customHeight="1" x14ac:dyDescent="0.4"/>
    <row r="397" ht="30" customHeight="1" x14ac:dyDescent="0.4"/>
    <row r="398" ht="30" customHeight="1" x14ac:dyDescent="0.4"/>
    <row r="399" ht="30" customHeight="1" x14ac:dyDescent="0.4"/>
    <row r="400" ht="30" customHeight="1" x14ac:dyDescent="0.4"/>
    <row r="401" ht="30" customHeight="1" x14ac:dyDescent="0.4"/>
    <row r="402" ht="30" customHeight="1" x14ac:dyDescent="0.4"/>
    <row r="403" ht="30" customHeight="1" x14ac:dyDescent="0.4"/>
    <row r="404" ht="30" customHeight="1" x14ac:dyDescent="0.4"/>
    <row r="405" ht="30" customHeight="1" x14ac:dyDescent="0.4"/>
    <row r="406" ht="30" customHeight="1" x14ac:dyDescent="0.4"/>
    <row r="407" ht="30" customHeight="1" x14ac:dyDescent="0.4"/>
    <row r="408" ht="30" customHeight="1" x14ac:dyDescent="0.4"/>
    <row r="409" ht="30" customHeight="1" x14ac:dyDescent="0.4"/>
    <row r="410" ht="30" customHeight="1" x14ac:dyDescent="0.4"/>
    <row r="411" ht="30" customHeight="1" x14ac:dyDescent="0.4"/>
    <row r="412" ht="30" customHeight="1" x14ac:dyDescent="0.4"/>
    <row r="413" ht="30" customHeight="1" x14ac:dyDescent="0.4"/>
    <row r="414" ht="30" customHeight="1" x14ac:dyDescent="0.4"/>
    <row r="415" ht="30" customHeight="1" x14ac:dyDescent="0.4"/>
    <row r="416" ht="30" customHeight="1" x14ac:dyDescent="0.4"/>
    <row r="417" ht="30" customHeight="1" x14ac:dyDescent="0.4"/>
    <row r="418" ht="30" customHeight="1" x14ac:dyDescent="0.4"/>
    <row r="419" ht="30" customHeight="1" x14ac:dyDescent="0.4"/>
    <row r="420" ht="30" customHeight="1" x14ac:dyDescent="0.4"/>
    <row r="421" ht="30" customHeight="1" x14ac:dyDescent="0.4"/>
    <row r="422" ht="30" customHeight="1" x14ac:dyDescent="0.4"/>
    <row r="423" ht="30" customHeight="1" x14ac:dyDescent="0.4"/>
    <row r="424" ht="30" customHeight="1" x14ac:dyDescent="0.4"/>
    <row r="425" ht="30" customHeight="1" x14ac:dyDescent="0.4"/>
    <row r="426" ht="30" customHeight="1" x14ac:dyDescent="0.4"/>
    <row r="427" ht="30" customHeight="1" x14ac:dyDescent="0.4"/>
    <row r="428" ht="30" customHeight="1" x14ac:dyDescent="0.4"/>
    <row r="429" ht="30" customHeight="1" x14ac:dyDescent="0.4"/>
    <row r="430" ht="30" customHeight="1" x14ac:dyDescent="0.4"/>
    <row r="431" ht="30" customHeight="1" x14ac:dyDescent="0.4"/>
    <row r="432" ht="30" customHeight="1" x14ac:dyDescent="0.4"/>
    <row r="433" ht="30" customHeight="1" x14ac:dyDescent="0.4"/>
    <row r="434" ht="30" customHeight="1" x14ac:dyDescent="0.4"/>
    <row r="435" ht="30" customHeight="1" x14ac:dyDescent="0.4"/>
    <row r="436" ht="30" customHeight="1" x14ac:dyDescent="0.4"/>
    <row r="437" ht="30" customHeight="1" x14ac:dyDescent="0.4"/>
    <row r="438" ht="30" customHeight="1" x14ac:dyDescent="0.4"/>
    <row r="439" ht="30" customHeight="1" x14ac:dyDescent="0.4"/>
    <row r="440" ht="30" customHeight="1" x14ac:dyDescent="0.4"/>
    <row r="441" ht="30" customHeight="1" x14ac:dyDescent="0.4"/>
    <row r="442" ht="30" customHeight="1" x14ac:dyDescent="0.4"/>
    <row r="443" ht="30" customHeight="1" x14ac:dyDescent="0.4"/>
    <row r="444" ht="30" customHeight="1" x14ac:dyDescent="0.4"/>
    <row r="445" ht="30" customHeight="1" x14ac:dyDescent="0.4"/>
    <row r="446" ht="30" customHeight="1" x14ac:dyDescent="0.4"/>
    <row r="447" ht="30" customHeight="1" x14ac:dyDescent="0.4"/>
    <row r="448" ht="30" customHeight="1" x14ac:dyDescent="0.4"/>
    <row r="449" ht="30" customHeight="1" x14ac:dyDescent="0.4"/>
    <row r="450" ht="30" customHeight="1" x14ac:dyDescent="0.4"/>
    <row r="451" ht="30" customHeight="1" x14ac:dyDescent="0.4"/>
    <row r="452" ht="30" customHeight="1" x14ac:dyDescent="0.4"/>
    <row r="453" ht="30" customHeight="1" x14ac:dyDescent="0.4"/>
    <row r="454" ht="30" customHeight="1" x14ac:dyDescent="0.4"/>
    <row r="455" ht="30" customHeight="1" x14ac:dyDescent="0.4"/>
    <row r="456" ht="30" customHeight="1" x14ac:dyDescent="0.4"/>
    <row r="457" ht="30" customHeight="1" x14ac:dyDescent="0.4"/>
    <row r="458" ht="30" customHeight="1" x14ac:dyDescent="0.4"/>
    <row r="459" ht="30" customHeight="1" x14ac:dyDescent="0.4"/>
    <row r="460" ht="30" customHeight="1" x14ac:dyDescent="0.4"/>
    <row r="461" ht="30" customHeight="1" x14ac:dyDescent="0.4"/>
    <row r="462" ht="30" customHeight="1" x14ac:dyDescent="0.4"/>
    <row r="463" ht="30" customHeight="1" x14ac:dyDescent="0.4"/>
    <row r="464" ht="30" customHeight="1" x14ac:dyDescent="0.4"/>
    <row r="465" ht="30" customHeight="1" x14ac:dyDescent="0.4"/>
    <row r="466" ht="30" customHeight="1" x14ac:dyDescent="0.4"/>
    <row r="467" ht="30" customHeight="1" x14ac:dyDescent="0.4"/>
    <row r="468" ht="30" customHeight="1" x14ac:dyDescent="0.4"/>
    <row r="469" ht="30" customHeight="1" x14ac:dyDescent="0.4"/>
    <row r="470" ht="30" customHeight="1" x14ac:dyDescent="0.4"/>
    <row r="471" ht="30" customHeight="1" x14ac:dyDescent="0.4"/>
    <row r="472" ht="30" customHeight="1" x14ac:dyDescent="0.4"/>
    <row r="473" ht="30" customHeight="1" x14ac:dyDescent="0.4"/>
    <row r="474" ht="30" customHeight="1" x14ac:dyDescent="0.4"/>
    <row r="475" ht="30" customHeight="1" x14ac:dyDescent="0.4"/>
    <row r="476" ht="30" customHeight="1" x14ac:dyDescent="0.4"/>
    <row r="477" ht="30" customHeight="1" x14ac:dyDescent="0.4"/>
    <row r="478" ht="30" customHeight="1" x14ac:dyDescent="0.4"/>
    <row r="479" ht="30" customHeight="1" x14ac:dyDescent="0.4"/>
    <row r="480" ht="30" customHeight="1" x14ac:dyDescent="0.4"/>
    <row r="481" ht="30" customHeight="1" x14ac:dyDescent="0.4"/>
    <row r="482" ht="30" customHeight="1" x14ac:dyDescent="0.4"/>
    <row r="483" ht="30" customHeight="1" x14ac:dyDescent="0.4"/>
    <row r="484" ht="30" customHeight="1" x14ac:dyDescent="0.4"/>
    <row r="485" ht="30" customHeight="1" x14ac:dyDescent="0.4"/>
    <row r="486" ht="30" customHeight="1" x14ac:dyDescent="0.4"/>
    <row r="487" ht="30" customHeight="1" x14ac:dyDescent="0.4"/>
    <row r="488" ht="30" customHeight="1" x14ac:dyDescent="0.4"/>
    <row r="489" ht="30" customHeight="1" x14ac:dyDescent="0.4"/>
    <row r="490" ht="30" customHeight="1" x14ac:dyDescent="0.4"/>
    <row r="491" ht="30" customHeight="1" x14ac:dyDescent="0.4"/>
    <row r="492" ht="30" customHeight="1" x14ac:dyDescent="0.4"/>
    <row r="493" ht="30" customHeight="1" x14ac:dyDescent="0.4"/>
    <row r="494" ht="30" customHeight="1" x14ac:dyDescent="0.4"/>
    <row r="495" ht="30" customHeight="1" x14ac:dyDescent="0.4"/>
    <row r="496" ht="30" customHeight="1" x14ac:dyDescent="0.4"/>
    <row r="497" ht="30" customHeight="1" x14ac:dyDescent="0.4"/>
    <row r="498" ht="30" customHeight="1" x14ac:dyDescent="0.4"/>
    <row r="499" ht="30" customHeight="1" x14ac:dyDescent="0.4"/>
    <row r="500" ht="30" customHeight="1" x14ac:dyDescent="0.4"/>
    <row r="501" ht="30" customHeight="1" x14ac:dyDescent="0.4"/>
    <row r="502" ht="30" customHeight="1" x14ac:dyDescent="0.4"/>
    <row r="503" ht="30" customHeight="1" x14ac:dyDescent="0.4"/>
    <row r="504" ht="30" customHeight="1" x14ac:dyDescent="0.4"/>
    <row r="505" ht="30" customHeight="1" x14ac:dyDescent="0.4"/>
    <row r="506" ht="30" customHeight="1" x14ac:dyDescent="0.4"/>
    <row r="507" ht="30" customHeight="1" x14ac:dyDescent="0.4"/>
    <row r="508" ht="30" customHeight="1" x14ac:dyDescent="0.4"/>
    <row r="509" ht="30" customHeight="1" x14ac:dyDescent="0.4"/>
    <row r="510" ht="30" customHeight="1" x14ac:dyDescent="0.4"/>
    <row r="511" ht="30" customHeight="1" x14ac:dyDescent="0.4"/>
    <row r="512" ht="30" customHeight="1" x14ac:dyDescent="0.4"/>
    <row r="513" ht="30" customHeight="1" x14ac:dyDescent="0.4"/>
    <row r="514" ht="30" customHeight="1" x14ac:dyDescent="0.4"/>
    <row r="515" ht="30" customHeight="1" x14ac:dyDescent="0.4"/>
    <row r="516" ht="30" customHeight="1" x14ac:dyDescent="0.4"/>
    <row r="517" ht="30" customHeight="1" x14ac:dyDescent="0.4"/>
    <row r="518" ht="30" customHeight="1" x14ac:dyDescent="0.4"/>
    <row r="519" ht="30" customHeight="1" x14ac:dyDescent="0.4"/>
    <row r="520" ht="30" customHeight="1" x14ac:dyDescent="0.4"/>
    <row r="521" ht="30" customHeight="1" x14ac:dyDescent="0.4"/>
    <row r="522" ht="30" customHeight="1" x14ac:dyDescent="0.4"/>
    <row r="523" ht="30" customHeight="1" x14ac:dyDescent="0.4"/>
    <row r="524" ht="30" customHeight="1" x14ac:dyDescent="0.4"/>
    <row r="525" ht="30" customHeight="1" x14ac:dyDescent="0.4"/>
    <row r="526" ht="30" customHeight="1" x14ac:dyDescent="0.4"/>
    <row r="527" ht="30" customHeight="1" x14ac:dyDescent="0.4"/>
    <row r="528" ht="30" customHeight="1" x14ac:dyDescent="0.4"/>
    <row r="529" ht="30" customHeight="1" x14ac:dyDescent="0.4"/>
    <row r="530" ht="30" customHeight="1" x14ac:dyDescent="0.4"/>
    <row r="531" ht="30" customHeight="1" x14ac:dyDescent="0.4"/>
    <row r="532" ht="30" customHeight="1" x14ac:dyDescent="0.4"/>
    <row r="533" ht="30" customHeight="1" x14ac:dyDescent="0.4"/>
    <row r="534" ht="30" customHeight="1" x14ac:dyDescent="0.4"/>
    <row r="535" ht="30" customHeight="1" x14ac:dyDescent="0.4"/>
    <row r="536" ht="30" customHeight="1" x14ac:dyDescent="0.4"/>
    <row r="537" ht="30" customHeight="1" x14ac:dyDescent="0.4"/>
    <row r="538" ht="30" customHeight="1" x14ac:dyDescent="0.4"/>
    <row r="539" ht="30" customHeight="1" x14ac:dyDescent="0.4"/>
    <row r="540" ht="30" customHeight="1" x14ac:dyDescent="0.4"/>
    <row r="541" ht="30" customHeight="1" x14ac:dyDescent="0.4"/>
    <row r="542" ht="30" customHeight="1" x14ac:dyDescent="0.4"/>
    <row r="543" ht="30" customHeight="1" x14ac:dyDescent="0.4"/>
    <row r="544" ht="30" customHeight="1" x14ac:dyDescent="0.4"/>
    <row r="545" ht="30" customHeight="1" x14ac:dyDescent="0.4"/>
    <row r="546" ht="30" customHeight="1" x14ac:dyDescent="0.4"/>
    <row r="547" ht="30" customHeight="1" x14ac:dyDescent="0.4"/>
    <row r="548" ht="30" customHeight="1" x14ac:dyDescent="0.4"/>
    <row r="549" ht="30" customHeight="1" x14ac:dyDescent="0.4"/>
    <row r="550" ht="30" customHeight="1" x14ac:dyDescent="0.4"/>
    <row r="551" ht="30" customHeight="1" x14ac:dyDescent="0.4"/>
    <row r="552" ht="30" customHeight="1" x14ac:dyDescent="0.4"/>
    <row r="553" ht="30" customHeight="1" x14ac:dyDescent="0.4"/>
    <row r="554" ht="30" customHeight="1" x14ac:dyDescent="0.4"/>
    <row r="555" ht="30" customHeight="1" x14ac:dyDescent="0.4"/>
    <row r="556" ht="30" customHeight="1" x14ac:dyDescent="0.4"/>
    <row r="557" ht="30" customHeight="1" x14ac:dyDescent="0.4"/>
    <row r="558" ht="30" customHeight="1" x14ac:dyDescent="0.4"/>
    <row r="559" ht="30" customHeight="1" x14ac:dyDescent="0.4"/>
    <row r="560" ht="30" customHeight="1" x14ac:dyDescent="0.4"/>
    <row r="561" ht="30" customHeight="1" x14ac:dyDescent="0.4"/>
    <row r="562" ht="30" customHeight="1" x14ac:dyDescent="0.4"/>
    <row r="563" ht="30" customHeight="1" x14ac:dyDescent="0.4"/>
    <row r="564" ht="30" customHeight="1" x14ac:dyDescent="0.4"/>
    <row r="565" ht="30" customHeight="1" x14ac:dyDescent="0.4"/>
    <row r="566" ht="30" customHeight="1" x14ac:dyDescent="0.4"/>
    <row r="567" ht="30" customHeight="1" x14ac:dyDescent="0.4"/>
    <row r="568" ht="30" customHeight="1" x14ac:dyDescent="0.4"/>
    <row r="569" ht="30" customHeight="1" x14ac:dyDescent="0.4"/>
    <row r="570" ht="30" customHeight="1" x14ac:dyDescent="0.4"/>
    <row r="571" ht="30" customHeight="1" x14ac:dyDescent="0.4"/>
    <row r="572" ht="30" customHeight="1" x14ac:dyDescent="0.4"/>
    <row r="573" ht="30" customHeight="1" x14ac:dyDescent="0.4"/>
    <row r="574" ht="30" customHeight="1" x14ac:dyDescent="0.4"/>
    <row r="575" ht="30" customHeight="1" x14ac:dyDescent="0.4"/>
    <row r="576" ht="30" customHeight="1" x14ac:dyDescent="0.4"/>
    <row r="577" ht="30" customHeight="1" x14ac:dyDescent="0.4"/>
    <row r="578" ht="30" customHeight="1" x14ac:dyDescent="0.4"/>
    <row r="579" ht="30" customHeight="1" x14ac:dyDescent="0.4"/>
    <row r="580" ht="30" customHeight="1" x14ac:dyDescent="0.4"/>
    <row r="581" ht="30" customHeight="1" x14ac:dyDescent="0.4"/>
    <row r="582" ht="30" customHeight="1" x14ac:dyDescent="0.4"/>
    <row r="583" ht="30" customHeight="1" x14ac:dyDescent="0.4"/>
    <row r="584" ht="30" customHeight="1" x14ac:dyDescent="0.4"/>
    <row r="585" ht="30" customHeight="1" x14ac:dyDescent="0.4"/>
    <row r="586" ht="30" customHeight="1" x14ac:dyDescent="0.4"/>
    <row r="587" ht="30" customHeight="1" x14ac:dyDescent="0.4"/>
    <row r="588" ht="30" customHeight="1" x14ac:dyDescent="0.4"/>
    <row r="589" ht="30" customHeight="1" x14ac:dyDescent="0.4"/>
    <row r="590" ht="30" customHeight="1" x14ac:dyDescent="0.4"/>
    <row r="591" ht="30" customHeight="1" x14ac:dyDescent="0.4"/>
    <row r="592" ht="30" customHeight="1" x14ac:dyDescent="0.4"/>
    <row r="593" ht="30" customHeight="1" x14ac:dyDescent="0.4"/>
    <row r="594" ht="30" customHeight="1" x14ac:dyDescent="0.4"/>
    <row r="595" ht="30" customHeight="1" x14ac:dyDescent="0.4"/>
    <row r="596" ht="30" customHeight="1" x14ac:dyDescent="0.4"/>
    <row r="597" ht="30" customHeight="1" x14ac:dyDescent="0.4"/>
    <row r="598" ht="30" customHeight="1" x14ac:dyDescent="0.4"/>
    <row r="599" ht="30" customHeight="1" x14ac:dyDescent="0.4"/>
    <row r="600" ht="30" customHeight="1" x14ac:dyDescent="0.4"/>
    <row r="601" ht="30" customHeight="1" x14ac:dyDescent="0.4"/>
    <row r="602" ht="30" customHeight="1" x14ac:dyDescent="0.4"/>
    <row r="603" ht="30" customHeight="1" x14ac:dyDescent="0.4"/>
    <row r="604" ht="30" customHeight="1" x14ac:dyDescent="0.4"/>
    <row r="605" ht="30" customHeight="1" x14ac:dyDescent="0.4"/>
    <row r="606" ht="30" customHeight="1" x14ac:dyDescent="0.4"/>
    <row r="607" ht="30" customHeight="1" x14ac:dyDescent="0.4"/>
    <row r="608" ht="30" customHeight="1" x14ac:dyDescent="0.4"/>
    <row r="609" ht="30" customHeight="1" x14ac:dyDescent="0.4"/>
    <row r="610" ht="30" customHeight="1" x14ac:dyDescent="0.4"/>
    <row r="611" ht="30" customHeight="1" x14ac:dyDescent="0.4"/>
    <row r="612" ht="30" customHeight="1" x14ac:dyDescent="0.4"/>
    <row r="613" ht="30" customHeight="1" x14ac:dyDescent="0.4"/>
    <row r="614" ht="30" customHeight="1" x14ac:dyDescent="0.4"/>
    <row r="615" ht="30" customHeight="1" x14ac:dyDescent="0.4"/>
    <row r="616" ht="30" customHeight="1" x14ac:dyDescent="0.4"/>
    <row r="617" ht="30" customHeight="1" x14ac:dyDescent="0.4"/>
    <row r="618" ht="30" customHeight="1" x14ac:dyDescent="0.4"/>
    <row r="619" ht="30" customHeight="1" x14ac:dyDescent="0.4"/>
    <row r="620" ht="30" customHeight="1" x14ac:dyDescent="0.4"/>
    <row r="621" ht="30" customHeight="1" x14ac:dyDescent="0.4"/>
    <row r="622" ht="30" customHeight="1" x14ac:dyDescent="0.4"/>
    <row r="623" ht="30" customHeight="1" x14ac:dyDescent="0.4"/>
    <row r="624" ht="30" customHeight="1" x14ac:dyDescent="0.4"/>
    <row r="625" ht="30" customHeight="1" x14ac:dyDescent="0.4"/>
    <row r="626" ht="30" customHeight="1" x14ac:dyDescent="0.4"/>
    <row r="627" ht="30" customHeight="1" x14ac:dyDescent="0.4"/>
    <row r="628" ht="30" customHeight="1" x14ac:dyDescent="0.4"/>
    <row r="629" ht="30" customHeight="1" x14ac:dyDescent="0.4"/>
    <row r="630" ht="30" customHeight="1" x14ac:dyDescent="0.4"/>
    <row r="631" ht="30" customHeight="1" x14ac:dyDescent="0.4"/>
    <row r="632" ht="30" customHeight="1" x14ac:dyDescent="0.4"/>
    <row r="633" ht="30" customHeight="1" x14ac:dyDescent="0.4"/>
    <row r="634" ht="30" customHeight="1" x14ac:dyDescent="0.4"/>
    <row r="635" ht="30" customHeight="1" x14ac:dyDescent="0.4"/>
    <row r="636" ht="30" customHeight="1" x14ac:dyDescent="0.4"/>
    <row r="637" ht="30" customHeight="1" x14ac:dyDescent="0.4"/>
    <row r="638" ht="30" customHeight="1" x14ac:dyDescent="0.4"/>
    <row r="639" ht="30" customHeight="1" x14ac:dyDescent="0.4"/>
    <row r="640" ht="30" customHeight="1" x14ac:dyDescent="0.4"/>
    <row r="641" ht="30" customHeight="1" x14ac:dyDescent="0.4"/>
    <row r="642" ht="30" customHeight="1" x14ac:dyDescent="0.4"/>
    <row r="643" ht="30" customHeight="1" x14ac:dyDescent="0.4"/>
    <row r="644" ht="30" customHeight="1" x14ac:dyDescent="0.4"/>
    <row r="645" ht="30" customHeight="1" x14ac:dyDescent="0.4"/>
    <row r="646" ht="30" customHeight="1" x14ac:dyDescent="0.4"/>
    <row r="647" ht="30" customHeight="1" x14ac:dyDescent="0.4"/>
    <row r="648" ht="30" customHeight="1" x14ac:dyDescent="0.4"/>
    <row r="649" ht="30" customHeight="1" x14ac:dyDescent="0.4"/>
    <row r="650" ht="30" customHeight="1" x14ac:dyDescent="0.4"/>
    <row r="651" ht="30" customHeight="1" x14ac:dyDescent="0.4"/>
    <row r="652" ht="30" customHeight="1" x14ac:dyDescent="0.4"/>
    <row r="653" ht="30" customHeight="1" x14ac:dyDescent="0.4"/>
    <row r="654" ht="30" customHeight="1" x14ac:dyDescent="0.4"/>
    <row r="655" ht="30" customHeight="1" x14ac:dyDescent="0.4"/>
    <row r="656" ht="30" customHeight="1" x14ac:dyDescent="0.4"/>
    <row r="657" ht="30" customHeight="1" x14ac:dyDescent="0.4"/>
    <row r="658" ht="30" customHeight="1" x14ac:dyDescent="0.4"/>
    <row r="659" ht="30" customHeight="1" x14ac:dyDescent="0.4"/>
    <row r="660" ht="30" customHeight="1" x14ac:dyDescent="0.4"/>
    <row r="661" ht="30" customHeight="1" x14ac:dyDescent="0.4"/>
    <row r="662" ht="30" customHeight="1" x14ac:dyDescent="0.4"/>
    <row r="663" ht="30" customHeight="1" x14ac:dyDescent="0.4"/>
    <row r="664" ht="30" customHeight="1" x14ac:dyDescent="0.4"/>
    <row r="665" ht="30" customHeight="1" x14ac:dyDescent="0.4"/>
    <row r="666" ht="30" customHeight="1" x14ac:dyDescent="0.4"/>
    <row r="667" ht="30" customHeight="1" x14ac:dyDescent="0.4"/>
    <row r="668" ht="30" customHeight="1" x14ac:dyDescent="0.4"/>
    <row r="669" ht="30" customHeight="1" x14ac:dyDescent="0.4"/>
    <row r="670" ht="30" customHeight="1" x14ac:dyDescent="0.4"/>
    <row r="671" ht="30" customHeight="1" x14ac:dyDescent="0.4"/>
    <row r="672" ht="30" customHeight="1" x14ac:dyDescent="0.4"/>
    <row r="673" ht="30" customHeight="1" x14ac:dyDescent="0.4"/>
    <row r="674" ht="30" customHeight="1" x14ac:dyDescent="0.4"/>
    <row r="675" ht="30" customHeight="1" x14ac:dyDescent="0.4"/>
    <row r="676" ht="30" customHeight="1" x14ac:dyDescent="0.4"/>
    <row r="677" ht="30" customHeight="1" x14ac:dyDescent="0.4"/>
    <row r="678" ht="30" customHeight="1" x14ac:dyDescent="0.4"/>
    <row r="679" ht="30" customHeight="1" x14ac:dyDescent="0.4"/>
    <row r="680" ht="30" customHeight="1" x14ac:dyDescent="0.4"/>
    <row r="681" ht="30" customHeight="1" x14ac:dyDescent="0.4"/>
    <row r="682" ht="30" customHeight="1" x14ac:dyDescent="0.4"/>
    <row r="683" ht="30" customHeight="1" x14ac:dyDescent="0.4"/>
    <row r="684" ht="30" customHeight="1" x14ac:dyDescent="0.4"/>
    <row r="685" ht="30" customHeight="1" x14ac:dyDescent="0.4"/>
    <row r="686" ht="30" customHeight="1" x14ac:dyDescent="0.4"/>
    <row r="687" ht="30" customHeight="1" x14ac:dyDescent="0.4"/>
    <row r="688" ht="30" customHeight="1" x14ac:dyDescent="0.4"/>
    <row r="689" ht="30" customHeight="1" x14ac:dyDescent="0.4"/>
    <row r="690" ht="30" customHeight="1" x14ac:dyDescent="0.4"/>
    <row r="691" ht="30" customHeight="1" x14ac:dyDescent="0.4"/>
    <row r="692" ht="30" customHeight="1" x14ac:dyDescent="0.4"/>
    <row r="693" ht="30" customHeight="1" x14ac:dyDescent="0.4"/>
    <row r="694" ht="30" customHeight="1" x14ac:dyDescent="0.4"/>
    <row r="695" ht="30" customHeight="1" x14ac:dyDescent="0.4"/>
    <row r="696" ht="30" customHeight="1" x14ac:dyDescent="0.4"/>
    <row r="697" ht="30" customHeight="1" x14ac:dyDescent="0.4"/>
    <row r="698" ht="30" customHeight="1" x14ac:dyDescent="0.4"/>
    <row r="699" ht="30" customHeight="1" x14ac:dyDescent="0.4"/>
    <row r="700" ht="30" customHeight="1" x14ac:dyDescent="0.4"/>
    <row r="701" ht="30" customHeight="1" x14ac:dyDescent="0.4"/>
    <row r="702" ht="30" customHeight="1" x14ac:dyDescent="0.4"/>
    <row r="703" ht="30" customHeight="1" x14ac:dyDescent="0.4"/>
    <row r="704" ht="30" customHeight="1" x14ac:dyDescent="0.4"/>
    <row r="705" ht="30" customHeight="1" x14ac:dyDescent="0.4"/>
    <row r="706" ht="30" customHeight="1" x14ac:dyDescent="0.4"/>
    <row r="707" ht="30" customHeight="1" x14ac:dyDescent="0.4"/>
    <row r="708" ht="30" customHeight="1" x14ac:dyDescent="0.4"/>
    <row r="709" ht="30" customHeight="1" x14ac:dyDescent="0.4"/>
    <row r="710" ht="30" customHeight="1" x14ac:dyDescent="0.4"/>
    <row r="711" ht="30" customHeight="1" x14ac:dyDescent="0.4"/>
    <row r="712" ht="30" customHeight="1" x14ac:dyDescent="0.4"/>
    <row r="713" ht="30" customHeight="1" x14ac:dyDescent="0.4"/>
    <row r="714" ht="30" customHeight="1" x14ac:dyDescent="0.4"/>
    <row r="715" ht="30" customHeight="1" x14ac:dyDescent="0.4"/>
    <row r="716" ht="30" customHeight="1" x14ac:dyDescent="0.4"/>
    <row r="717" ht="30" customHeight="1" x14ac:dyDescent="0.4"/>
    <row r="718" ht="30" customHeight="1" x14ac:dyDescent="0.4"/>
    <row r="719" ht="30" customHeight="1" x14ac:dyDescent="0.4"/>
    <row r="720" ht="30" customHeight="1" x14ac:dyDescent="0.4"/>
    <row r="721" ht="30" customHeight="1" x14ac:dyDescent="0.4"/>
    <row r="722" ht="30" customHeight="1" x14ac:dyDescent="0.4"/>
    <row r="723" ht="30" customHeight="1" x14ac:dyDescent="0.4"/>
    <row r="724" ht="30" customHeight="1" x14ac:dyDescent="0.4"/>
    <row r="725" ht="30" customHeight="1" x14ac:dyDescent="0.4"/>
    <row r="726" ht="30" customHeight="1" x14ac:dyDescent="0.4"/>
    <row r="727" ht="30" customHeight="1" x14ac:dyDescent="0.4"/>
    <row r="728" ht="30" customHeight="1" x14ac:dyDescent="0.4"/>
    <row r="729" ht="30" customHeight="1" x14ac:dyDescent="0.4"/>
    <row r="730" ht="30" customHeight="1" x14ac:dyDescent="0.4"/>
    <row r="731" ht="30" customHeight="1" x14ac:dyDescent="0.4"/>
    <row r="732" ht="30" customHeight="1" x14ac:dyDescent="0.4"/>
    <row r="733" ht="30" customHeight="1" x14ac:dyDescent="0.4"/>
    <row r="734" ht="30" customHeight="1" x14ac:dyDescent="0.4"/>
    <row r="735" ht="30" customHeight="1" x14ac:dyDescent="0.4"/>
    <row r="736" ht="30" customHeight="1" x14ac:dyDescent="0.4"/>
    <row r="737" ht="30" customHeight="1" x14ac:dyDescent="0.4"/>
    <row r="738" ht="30" customHeight="1" x14ac:dyDescent="0.4"/>
    <row r="739" ht="30" customHeight="1" x14ac:dyDescent="0.4"/>
    <row r="740" ht="30" customHeight="1" x14ac:dyDescent="0.4"/>
    <row r="741" ht="30" customHeight="1" x14ac:dyDescent="0.4"/>
    <row r="742" ht="30" customHeight="1" x14ac:dyDescent="0.4"/>
    <row r="743" ht="30" customHeight="1" x14ac:dyDescent="0.4"/>
    <row r="744" ht="30" customHeight="1" x14ac:dyDescent="0.4"/>
    <row r="745" ht="30" customHeight="1" x14ac:dyDescent="0.4"/>
    <row r="746" ht="30" customHeight="1" x14ac:dyDescent="0.4"/>
    <row r="747" ht="30" customHeight="1" x14ac:dyDescent="0.4"/>
    <row r="748" ht="30" customHeight="1" x14ac:dyDescent="0.4"/>
    <row r="749" ht="30" customHeight="1" x14ac:dyDescent="0.4"/>
    <row r="750" ht="30" customHeight="1" x14ac:dyDescent="0.4"/>
    <row r="751" ht="30" customHeight="1" x14ac:dyDescent="0.4"/>
    <row r="752" ht="30" customHeight="1" x14ac:dyDescent="0.4"/>
    <row r="753" ht="30" customHeight="1" x14ac:dyDescent="0.4"/>
    <row r="754" ht="30" customHeight="1" x14ac:dyDescent="0.4"/>
    <row r="755" ht="30" customHeight="1" x14ac:dyDescent="0.4"/>
    <row r="756" ht="30" customHeight="1" x14ac:dyDescent="0.4"/>
    <row r="757" ht="30" customHeight="1" x14ac:dyDescent="0.4"/>
    <row r="758" ht="30" customHeight="1" x14ac:dyDescent="0.4"/>
    <row r="759" ht="30" customHeight="1" x14ac:dyDescent="0.4"/>
    <row r="760" ht="30" customHeight="1" x14ac:dyDescent="0.4"/>
    <row r="761" ht="30" customHeight="1" x14ac:dyDescent="0.4"/>
    <row r="762" ht="30" customHeight="1" x14ac:dyDescent="0.4"/>
    <row r="763" ht="30" customHeight="1" x14ac:dyDescent="0.4"/>
    <row r="764" ht="30" customHeight="1" x14ac:dyDescent="0.4"/>
    <row r="765" ht="30" customHeight="1" x14ac:dyDescent="0.4"/>
    <row r="766" ht="30" customHeight="1" x14ac:dyDescent="0.4"/>
    <row r="767" ht="30" customHeight="1" x14ac:dyDescent="0.4"/>
    <row r="768" ht="30" customHeight="1" x14ac:dyDescent="0.4"/>
    <row r="769" ht="30" customHeight="1" x14ac:dyDescent="0.4"/>
    <row r="770" ht="30" customHeight="1" x14ac:dyDescent="0.4"/>
    <row r="771" ht="30" customHeight="1" x14ac:dyDescent="0.4"/>
    <row r="772" ht="30" customHeight="1" x14ac:dyDescent="0.4"/>
    <row r="773" ht="30" customHeight="1" x14ac:dyDescent="0.4"/>
    <row r="774" ht="30" customHeight="1" x14ac:dyDescent="0.4"/>
    <row r="775" ht="30" customHeight="1" x14ac:dyDescent="0.4"/>
    <row r="776" ht="30" customHeight="1" x14ac:dyDescent="0.4"/>
    <row r="777" ht="30" customHeight="1" x14ac:dyDescent="0.4"/>
    <row r="778" ht="30" customHeight="1" x14ac:dyDescent="0.4"/>
    <row r="779" ht="30" customHeight="1" x14ac:dyDescent="0.4"/>
    <row r="780" ht="30" customHeight="1" x14ac:dyDescent="0.4"/>
    <row r="781" ht="30" customHeight="1" x14ac:dyDescent="0.4"/>
    <row r="782" ht="30" customHeight="1" x14ac:dyDescent="0.4"/>
    <row r="783" ht="30" customHeight="1" x14ac:dyDescent="0.4"/>
    <row r="784" ht="30" customHeight="1" x14ac:dyDescent="0.4"/>
    <row r="785" ht="30" customHeight="1" x14ac:dyDescent="0.4"/>
    <row r="786" ht="30" customHeight="1" x14ac:dyDescent="0.4"/>
    <row r="787" ht="30" customHeight="1" x14ac:dyDescent="0.4"/>
    <row r="788" ht="30" customHeight="1" x14ac:dyDescent="0.4"/>
    <row r="789" ht="30" customHeight="1" x14ac:dyDescent="0.4"/>
    <row r="790" ht="30" customHeight="1" x14ac:dyDescent="0.4"/>
    <row r="791" ht="30" customHeight="1" x14ac:dyDescent="0.4"/>
    <row r="792" ht="30" customHeight="1" x14ac:dyDescent="0.4"/>
    <row r="793" ht="30" customHeight="1" x14ac:dyDescent="0.4"/>
    <row r="794" ht="30" customHeight="1" x14ac:dyDescent="0.4"/>
    <row r="795" ht="30" customHeight="1" x14ac:dyDescent="0.4"/>
    <row r="796" ht="30" customHeight="1" x14ac:dyDescent="0.4"/>
    <row r="797" ht="30" customHeight="1" x14ac:dyDescent="0.4"/>
    <row r="798" ht="30" customHeight="1" x14ac:dyDescent="0.4"/>
    <row r="799" ht="30" customHeight="1" x14ac:dyDescent="0.4"/>
    <row r="800" ht="30" customHeight="1" x14ac:dyDescent="0.4"/>
    <row r="801" ht="30" customHeight="1" x14ac:dyDescent="0.4"/>
    <row r="802" ht="30" customHeight="1" x14ac:dyDescent="0.4"/>
    <row r="803" ht="30" customHeight="1" x14ac:dyDescent="0.4"/>
    <row r="804" ht="30" customHeight="1" x14ac:dyDescent="0.4"/>
    <row r="805" ht="30" customHeight="1" x14ac:dyDescent="0.4"/>
    <row r="806" ht="30" customHeight="1" x14ac:dyDescent="0.4"/>
    <row r="807" ht="30" customHeight="1" x14ac:dyDescent="0.4"/>
    <row r="808" ht="30" customHeight="1" x14ac:dyDescent="0.4"/>
    <row r="809" ht="30" customHeight="1" x14ac:dyDescent="0.4"/>
    <row r="810" ht="30" customHeight="1" x14ac:dyDescent="0.4"/>
    <row r="811" ht="30" customHeight="1" x14ac:dyDescent="0.4"/>
    <row r="812" ht="30" customHeight="1" x14ac:dyDescent="0.4"/>
    <row r="813" ht="30" customHeight="1" x14ac:dyDescent="0.4"/>
    <row r="814" ht="30" customHeight="1" x14ac:dyDescent="0.4"/>
    <row r="815" ht="30" customHeight="1" x14ac:dyDescent="0.4"/>
    <row r="816" ht="30" customHeight="1" x14ac:dyDescent="0.4"/>
    <row r="817" ht="30" customHeight="1" x14ac:dyDescent="0.4"/>
    <row r="818" ht="30" customHeight="1" x14ac:dyDescent="0.4"/>
    <row r="819" ht="30" customHeight="1" x14ac:dyDescent="0.4"/>
    <row r="820" ht="30" customHeight="1" x14ac:dyDescent="0.4"/>
    <row r="821" ht="30" customHeight="1" x14ac:dyDescent="0.4"/>
    <row r="822" ht="30" customHeight="1" x14ac:dyDescent="0.4"/>
    <row r="823" ht="30" customHeight="1" x14ac:dyDescent="0.4"/>
    <row r="824" ht="30" customHeight="1" x14ac:dyDescent="0.4"/>
    <row r="825" ht="30" customHeight="1" x14ac:dyDescent="0.4"/>
    <row r="826" ht="30" customHeight="1" x14ac:dyDescent="0.4"/>
    <row r="827" ht="30" customHeight="1" x14ac:dyDescent="0.4"/>
    <row r="828" ht="30" customHeight="1" x14ac:dyDescent="0.4"/>
    <row r="829" ht="30" customHeight="1" x14ac:dyDescent="0.4"/>
    <row r="830" ht="30" customHeight="1" x14ac:dyDescent="0.4"/>
    <row r="831" ht="30" customHeight="1" x14ac:dyDescent="0.4"/>
    <row r="832" ht="30" customHeight="1" x14ac:dyDescent="0.4"/>
    <row r="833" ht="30" customHeight="1" x14ac:dyDescent="0.4"/>
    <row r="834" ht="30" customHeight="1" x14ac:dyDescent="0.4"/>
    <row r="835" ht="30" customHeight="1" x14ac:dyDescent="0.4"/>
    <row r="836" ht="30" customHeight="1" x14ac:dyDescent="0.4"/>
    <row r="837" ht="30" customHeight="1" x14ac:dyDescent="0.4"/>
    <row r="838" ht="30" customHeight="1" x14ac:dyDescent="0.4"/>
    <row r="839" ht="30" customHeight="1" x14ac:dyDescent="0.4"/>
    <row r="840" ht="30" customHeight="1" x14ac:dyDescent="0.4"/>
    <row r="841" ht="30" customHeight="1" x14ac:dyDescent="0.4"/>
    <row r="842" ht="30" customHeight="1" x14ac:dyDescent="0.4"/>
    <row r="843" ht="30" customHeight="1" x14ac:dyDescent="0.4"/>
    <row r="844" ht="30" customHeight="1" x14ac:dyDescent="0.4"/>
    <row r="845" ht="30" customHeight="1" x14ac:dyDescent="0.4"/>
    <row r="846" ht="30" customHeight="1" x14ac:dyDescent="0.4"/>
    <row r="847" ht="30" customHeight="1" x14ac:dyDescent="0.4"/>
    <row r="848" ht="30" customHeight="1" x14ac:dyDescent="0.4"/>
    <row r="849" ht="30" customHeight="1" x14ac:dyDescent="0.4"/>
    <row r="850" ht="30" customHeight="1" x14ac:dyDescent="0.4"/>
    <row r="851" ht="30" customHeight="1" x14ac:dyDescent="0.4"/>
    <row r="852" ht="30" customHeight="1" x14ac:dyDescent="0.4"/>
    <row r="853" ht="30" customHeight="1" x14ac:dyDescent="0.4"/>
    <row r="854" ht="30" customHeight="1" x14ac:dyDescent="0.4"/>
    <row r="855" ht="30" customHeight="1" x14ac:dyDescent="0.4"/>
    <row r="856" ht="30" customHeight="1" x14ac:dyDescent="0.4"/>
    <row r="857" ht="30" customHeight="1" x14ac:dyDescent="0.4"/>
    <row r="858" ht="30" customHeight="1" x14ac:dyDescent="0.4"/>
    <row r="859" ht="30" customHeight="1" x14ac:dyDescent="0.4"/>
    <row r="860" ht="30" customHeight="1" x14ac:dyDescent="0.4"/>
    <row r="861" ht="30" customHeight="1" x14ac:dyDescent="0.4"/>
    <row r="862" ht="30" customHeight="1" x14ac:dyDescent="0.4"/>
    <row r="863" ht="30" customHeight="1" x14ac:dyDescent="0.4"/>
    <row r="864" ht="30" customHeight="1" x14ac:dyDescent="0.4"/>
    <row r="865" ht="30" customHeight="1" x14ac:dyDescent="0.4"/>
    <row r="866" ht="30" customHeight="1" x14ac:dyDescent="0.4"/>
    <row r="867" ht="30" customHeight="1" x14ac:dyDescent="0.4"/>
    <row r="868" ht="30" customHeight="1" x14ac:dyDescent="0.4"/>
    <row r="869" ht="30" customHeight="1" x14ac:dyDescent="0.4"/>
    <row r="870" ht="30" customHeight="1" x14ac:dyDescent="0.4"/>
    <row r="871" ht="30" customHeight="1" x14ac:dyDescent="0.4"/>
    <row r="872" ht="30" customHeight="1" x14ac:dyDescent="0.4"/>
    <row r="873" ht="30" customHeight="1" x14ac:dyDescent="0.4"/>
    <row r="874" ht="30" customHeight="1" x14ac:dyDescent="0.4"/>
    <row r="875" ht="30" customHeight="1" x14ac:dyDescent="0.4"/>
    <row r="876" ht="30" customHeight="1" x14ac:dyDescent="0.4"/>
    <row r="877" ht="30" customHeight="1" x14ac:dyDescent="0.4"/>
    <row r="878" ht="30" customHeight="1" x14ac:dyDescent="0.4"/>
    <row r="879" ht="30" customHeight="1" x14ac:dyDescent="0.4"/>
    <row r="880" ht="30" customHeight="1" x14ac:dyDescent="0.4"/>
    <row r="881" ht="30" customHeight="1" x14ac:dyDescent="0.4"/>
    <row r="882" ht="30" customHeight="1" x14ac:dyDescent="0.4"/>
    <row r="883" ht="30" customHeight="1" x14ac:dyDescent="0.4"/>
    <row r="884" ht="30" customHeight="1" x14ac:dyDescent="0.4"/>
    <row r="885" ht="30" customHeight="1" x14ac:dyDescent="0.4"/>
    <row r="886" ht="30" customHeight="1" x14ac:dyDescent="0.4"/>
    <row r="887" ht="30" customHeight="1" x14ac:dyDescent="0.4"/>
    <row r="888" ht="30" customHeight="1" x14ac:dyDescent="0.4"/>
    <row r="889" ht="30" customHeight="1" x14ac:dyDescent="0.4"/>
    <row r="890" ht="30" customHeight="1" x14ac:dyDescent="0.4"/>
    <row r="891" ht="30" customHeight="1" x14ac:dyDescent="0.4"/>
    <row r="892" ht="30" customHeight="1" x14ac:dyDescent="0.4"/>
    <row r="893" ht="30" customHeight="1" x14ac:dyDescent="0.4"/>
    <row r="894" ht="30" customHeight="1" x14ac:dyDescent="0.4"/>
    <row r="895" ht="30" customHeight="1" x14ac:dyDescent="0.4"/>
    <row r="896" ht="30" customHeight="1" x14ac:dyDescent="0.4"/>
    <row r="897" ht="30" customHeight="1" x14ac:dyDescent="0.4"/>
    <row r="898" ht="30" customHeight="1" x14ac:dyDescent="0.4"/>
    <row r="899" ht="30" customHeight="1" x14ac:dyDescent="0.4"/>
    <row r="900" ht="30" customHeight="1" x14ac:dyDescent="0.4"/>
    <row r="901" ht="30" customHeight="1" x14ac:dyDescent="0.4"/>
    <row r="902" ht="30" customHeight="1" x14ac:dyDescent="0.4"/>
    <row r="903" ht="30" customHeight="1" x14ac:dyDescent="0.4"/>
    <row r="904" ht="30" customHeight="1" x14ac:dyDescent="0.4"/>
    <row r="905" ht="30" customHeight="1" x14ac:dyDescent="0.4"/>
    <row r="906" ht="30" customHeight="1" x14ac:dyDescent="0.4"/>
    <row r="907" ht="30" customHeight="1" x14ac:dyDescent="0.4"/>
    <row r="908" ht="30" customHeight="1" x14ac:dyDescent="0.4"/>
    <row r="909" ht="30" customHeight="1" x14ac:dyDescent="0.4"/>
    <row r="910" ht="30" customHeight="1" x14ac:dyDescent="0.4"/>
    <row r="911" ht="30" customHeight="1" x14ac:dyDescent="0.4"/>
    <row r="912" ht="30" customHeight="1" x14ac:dyDescent="0.4"/>
    <row r="913" ht="30" customHeight="1" x14ac:dyDescent="0.4"/>
    <row r="914" ht="30" customHeight="1" x14ac:dyDescent="0.4"/>
    <row r="915" ht="30" customHeight="1" x14ac:dyDescent="0.4"/>
    <row r="916" ht="30" customHeight="1" x14ac:dyDescent="0.4"/>
    <row r="917" ht="30" customHeight="1" x14ac:dyDescent="0.4"/>
    <row r="918" ht="30" customHeight="1" x14ac:dyDescent="0.4"/>
    <row r="919" ht="30" customHeight="1" x14ac:dyDescent="0.4"/>
    <row r="920" ht="30" customHeight="1" x14ac:dyDescent="0.4"/>
    <row r="921" ht="30" customHeight="1" x14ac:dyDescent="0.4"/>
    <row r="922" ht="30" customHeight="1" x14ac:dyDescent="0.4"/>
    <row r="923" ht="30" customHeight="1" x14ac:dyDescent="0.4"/>
    <row r="924" ht="30" customHeight="1" x14ac:dyDescent="0.4"/>
    <row r="925" ht="30" customHeight="1" x14ac:dyDescent="0.4"/>
    <row r="926" ht="30" customHeight="1" x14ac:dyDescent="0.4"/>
    <row r="927" ht="30" customHeight="1" x14ac:dyDescent="0.4"/>
    <row r="928" ht="30" customHeight="1" x14ac:dyDescent="0.4"/>
    <row r="929" ht="30" customHeight="1" x14ac:dyDescent="0.4"/>
    <row r="930" ht="30" customHeight="1" x14ac:dyDescent="0.4"/>
    <row r="931" ht="30" customHeight="1" x14ac:dyDescent="0.4"/>
    <row r="932" ht="30" customHeight="1" x14ac:dyDescent="0.4"/>
    <row r="933" ht="30" customHeight="1" x14ac:dyDescent="0.4"/>
    <row r="934" ht="30" customHeight="1" x14ac:dyDescent="0.4"/>
    <row r="935" ht="30" customHeight="1" x14ac:dyDescent="0.4"/>
    <row r="936" ht="30" customHeight="1" x14ac:dyDescent="0.4"/>
    <row r="937" ht="30" customHeight="1" x14ac:dyDescent="0.4"/>
    <row r="938" ht="30" customHeight="1" x14ac:dyDescent="0.4"/>
    <row r="939" ht="30" customHeight="1" x14ac:dyDescent="0.4"/>
    <row r="940" ht="30" customHeight="1" x14ac:dyDescent="0.4"/>
    <row r="941" ht="30" customHeight="1" x14ac:dyDescent="0.4"/>
    <row r="942" ht="30" customHeight="1" x14ac:dyDescent="0.4"/>
    <row r="943" ht="30" customHeight="1" x14ac:dyDescent="0.4"/>
    <row r="944" ht="30" customHeight="1" x14ac:dyDescent="0.4"/>
    <row r="945" ht="30" customHeight="1" x14ac:dyDescent="0.4"/>
    <row r="946" ht="30" customHeight="1" x14ac:dyDescent="0.4"/>
    <row r="947" ht="30" customHeight="1" x14ac:dyDescent="0.4"/>
    <row r="948" ht="30" customHeight="1" x14ac:dyDescent="0.4"/>
    <row r="949" ht="30" customHeight="1" x14ac:dyDescent="0.4"/>
    <row r="950" ht="30" customHeight="1" x14ac:dyDescent="0.4"/>
    <row r="951" ht="30" customHeight="1" x14ac:dyDescent="0.4"/>
    <row r="952" ht="30" customHeight="1" x14ac:dyDescent="0.4"/>
    <row r="953" ht="30" customHeight="1" x14ac:dyDescent="0.4"/>
    <row r="954" ht="30" customHeight="1" x14ac:dyDescent="0.4"/>
    <row r="955" ht="30" customHeight="1" x14ac:dyDescent="0.4"/>
    <row r="956" ht="30" customHeight="1" x14ac:dyDescent="0.4"/>
    <row r="957" ht="30" customHeight="1" x14ac:dyDescent="0.4"/>
    <row r="958" ht="30" customHeight="1" x14ac:dyDescent="0.4"/>
    <row r="959" ht="30" customHeight="1" x14ac:dyDescent="0.4"/>
    <row r="960" ht="30" customHeight="1" x14ac:dyDescent="0.4"/>
    <row r="961" ht="30" customHeight="1" x14ac:dyDescent="0.4"/>
    <row r="962" ht="30" customHeight="1" x14ac:dyDescent="0.4"/>
    <row r="963" ht="30" customHeight="1" x14ac:dyDescent="0.4"/>
    <row r="964" ht="30" customHeight="1" x14ac:dyDescent="0.4"/>
    <row r="965" ht="30" customHeight="1" x14ac:dyDescent="0.4"/>
    <row r="966" ht="30" customHeight="1" x14ac:dyDescent="0.4"/>
    <row r="967" ht="30" customHeight="1" x14ac:dyDescent="0.4"/>
    <row r="968" ht="30" customHeight="1" x14ac:dyDescent="0.4"/>
    <row r="969" ht="30" customHeight="1" x14ac:dyDescent="0.4"/>
    <row r="970" ht="30" customHeight="1" x14ac:dyDescent="0.4"/>
    <row r="971" ht="30" customHeight="1" x14ac:dyDescent="0.4"/>
    <row r="972" ht="30" customHeight="1" x14ac:dyDescent="0.4"/>
    <row r="973" ht="30" customHeight="1" x14ac:dyDescent="0.4"/>
    <row r="974" ht="30" customHeight="1" x14ac:dyDescent="0.4"/>
    <row r="975" ht="30" customHeight="1" x14ac:dyDescent="0.4"/>
    <row r="976" ht="30" customHeight="1" x14ac:dyDescent="0.4"/>
    <row r="977" ht="30" customHeight="1" x14ac:dyDescent="0.4"/>
    <row r="978" ht="30" customHeight="1" x14ac:dyDescent="0.4"/>
    <row r="979" ht="30" customHeight="1" x14ac:dyDescent="0.4"/>
    <row r="980" ht="30" customHeight="1" x14ac:dyDescent="0.4"/>
    <row r="981" ht="30" customHeight="1" x14ac:dyDescent="0.4"/>
    <row r="982" ht="30" customHeight="1" x14ac:dyDescent="0.4"/>
    <row r="983" ht="30" customHeight="1" x14ac:dyDescent="0.4"/>
    <row r="984" ht="30" customHeight="1" x14ac:dyDescent="0.4"/>
    <row r="985" ht="30" customHeight="1" x14ac:dyDescent="0.4"/>
    <row r="986" ht="30" customHeight="1" x14ac:dyDescent="0.4"/>
    <row r="987" ht="30" customHeight="1" x14ac:dyDescent="0.4"/>
    <row r="988" ht="30" customHeight="1" x14ac:dyDescent="0.4"/>
    <row r="989" ht="30" customHeight="1" x14ac:dyDescent="0.4"/>
    <row r="990" ht="30" customHeight="1" x14ac:dyDescent="0.4"/>
    <row r="991" ht="30" customHeight="1" x14ac:dyDescent="0.4"/>
    <row r="992" ht="30" customHeight="1" x14ac:dyDescent="0.4"/>
    <row r="993" ht="30" customHeight="1" x14ac:dyDescent="0.4"/>
    <row r="994" ht="30" customHeight="1" x14ac:dyDescent="0.4"/>
    <row r="995" ht="30" customHeight="1" x14ac:dyDescent="0.4"/>
    <row r="996" ht="30" customHeight="1" x14ac:dyDescent="0.4"/>
    <row r="997" ht="30" customHeight="1" x14ac:dyDescent="0.4"/>
    <row r="998" ht="30" customHeight="1" x14ac:dyDescent="0.4"/>
    <row r="999" ht="30" customHeight="1" x14ac:dyDescent="0.4"/>
    <row r="1000" ht="30" customHeight="1" x14ac:dyDescent="0.4"/>
  </sheetData>
  <mergeCells count="13">
    <mergeCell ref="D28:N28"/>
    <mergeCell ref="B1:P1"/>
    <mergeCell ref="C3:D3"/>
    <mergeCell ref="L3:P3"/>
    <mergeCell ref="L4:P4"/>
    <mergeCell ref="L5:P5"/>
    <mergeCell ref="N6:P6"/>
    <mergeCell ref="D8:H8"/>
    <mergeCell ref="I8:O8"/>
    <mergeCell ref="N9:O9"/>
    <mergeCell ref="D25:N25"/>
    <mergeCell ref="D26:N26"/>
    <mergeCell ref="D27:O27"/>
  </mergeCells>
  <printOptions horizontalCentered="1"/>
  <pageMargins left="0.75" right="0.75" top="0.5" bottom="0.5" header="0" footer="0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BE5F1"/>
    <pageSetUpPr fitToPage="1"/>
  </sheetPr>
  <dimension ref="B1:P1000"/>
  <sheetViews>
    <sheetView showGridLines="0" workbookViewId="0"/>
  </sheetViews>
  <sheetFormatPr defaultColWidth="12.625" defaultRowHeight="15" customHeight="1" x14ac:dyDescent="0.4"/>
  <cols>
    <col min="1" max="1" width="2.625" customWidth="1"/>
    <col min="2" max="13" width="15" customWidth="1"/>
    <col min="14" max="15" width="11.25" customWidth="1"/>
    <col min="16" max="16" width="15" customWidth="1"/>
    <col min="17" max="26" width="9" customWidth="1"/>
  </cols>
  <sheetData>
    <row r="1" spans="2:16" ht="55.5" customHeight="1" x14ac:dyDescent="0.65">
      <c r="B1" s="50" t="s">
        <v>38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</row>
    <row r="2" spans="2:16" ht="42.75" customHeight="1" x14ac:dyDescent="0.4">
      <c r="B2" s="1"/>
      <c r="C2" s="1"/>
      <c r="D2" s="1"/>
    </row>
    <row r="3" spans="2:16" ht="30" customHeight="1" x14ac:dyDescent="0.4">
      <c r="C3" s="46"/>
      <c r="D3" s="47"/>
      <c r="K3" s="2" t="s">
        <v>1</v>
      </c>
      <c r="L3" s="53" t="str">
        <f>'Biweekly Time Sheet'!H3</f>
        <v>Jarrett Zorzi</v>
      </c>
      <c r="M3" s="54"/>
      <c r="N3" s="54"/>
      <c r="O3" s="54"/>
      <c r="P3" s="55"/>
    </row>
    <row r="4" spans="2:16" ht="30" customHeight="1" x14ac:dyDescent="0.4">
      <c r="K4" s="3" t="s">
        <v>3</v>
      </c>
      <c r="L4" s="53">
        <f>'Biweekly Time Sheet'!H4</f>
        <v>46097</v>
      </c>
      <c r="M4" s="54"/>
      <c r="N4" s="54"/>
      <c r="O4" s="54"/>
      <c r="P4" s="55"/>
    </row>
    <row r="5" spans="2:16" ht="30" customHeight="1" x14ac:dyDescent="0.4">
      <c r="K5" s="3" t="s">
        <v>4</v>
      </c>
      <c r="L5" s="53">
        <f>'Biweekly Time Sheet'!H5</f>
        <v>46110</v>
      </c>
      <c r="M5" s="54"/>
      <c r="N5" s="54"/>
      <c r="O5" s="54"/>
      <c r="P5" s="55"/>
    </row>
    <row r="6" spans="2:16" ht="30" customHeight="1" x14ac:dyDescent="0.4">
      <c r="N6" s="46"/>
      <c r="O6" s="47"/>
      <c r="P6" s="47"/>
    </row>
    <row r="8" spans="2:16" ht="22.5" customHeight="1" x14ac:dyDescent="0.4">
      <c r="D8" s="56" t="s">
        <v>24</v>
      </c>
      <c r="E8" s="57"/>
      <c r="F8" s="57"/>
      <c r="G8" s="57"/>
      <c r="H8" s="58"/>
      <c r="I8" s="56" t="s">
        <v>25</v>
      </c>
      <c r="J8" s="57"/>
      <c r="K8" s="57"/>
      <c r="L8" s="57"/>
      <c r="M8" s="57"/>
      <c r="N8" s="57"/>
      <c r="O8" s="58"/>
    </row>
    <row r="9" spans="2:16" ht="39.75" customHeight="1" x14ac:dyDescent="0.4">
      <c r="B9" s="5" t="s">
        <v>5</v>
      </c>
      <c r="C9" s="5" t="s">
        <v>6</v>
      </c>
      <c r="D9" s="23" t="s">
        <v>26</v>
      </c>
      <c r="E9" s="24" t="s">
        <v>27</v>
      </c>
      <c r="F9" s="24" t="s">
        <v>28</v>
      </c>
      <c r="G9" s="24" t="s">
        <v>29</v>
      </c>
      <c r="H9" s="25" t="s">
        <v>30</v>
      </c>
      <c r="I9" s="23" t="s">
        <v>31</v>
      </c>
      <c r="J9" s="24" t="s">
        <v>32</v>
      </c>
      <c r="K9" s="24" t="s">
        <v>33</v>
      </c>
      <c r="L9" s="24" t="s">
        <v>34</v>
      </c>
      <c r="M9" s="24" t="s">
        <v>35</v>
      </c>
      <c r="N9" s="59" t="s">
        <v>36</v>
      </c>
      <c r="O9" s="60"/>
      <c r="P9" s="26" t="s">
        <v>15</v>
      </c>
    </row>
    <row r="10" spans="2:16" ht="30" customHeight="1" x14ac:dyDescent="0.4">
      <c r="B10" s="5" t="str">
        <f>IFERROR(TEXT('Biweekly Expense Report USD'!$C10,"aaaa"), "")</f>
        <v>Monday</v>
      </c>
      <c r="C10" s="9">
        <f>L4</f>
        <v>46097</v>
      </c>
      <c r="D10" s="27"/>
      <c r="E10" s="28"/>
      <c r="F10" s="29"/>
      <c r="G10" s="28"/>
      <c r="H10" s="30"/>
      <c r="I10" s="31"/>
      <c r="J10" s="29"/>
      <c r="K10" s="28"/>
      <c r="L10" s="29"/>
      <c r="M10" s="28"/>
      <c r="N10" s="32"/>
      <c r="O10" s="33">
        <v>0.48</v>
      </c>
      <c r="P10" s="34">
        <f t="shared" ref="P10:P23" si="0">IFERROR(SUM(D10:M10)+(N10*O10), "")</f>
        <v>0</v>
      </c>
    </row>
    <row r="11" spans="2:16" ht="30" customHeight="1" x14ac:dyDescent="0.4">
      <c r="B11" s="5" t="str">
        <f>IFERROR(TEXT('Biweekly Expense Report USD'!$C11,"aaaa"), "")</f>
        <v>Tuesday</v>
      </c>
      <c r="C11" s="9">
        <f>IF($L$4="","",$L$4+1)</f>
        <v>46098</v>
      </c>
      <c r="D11" s="27"/>
      <c r="E11" s="28"/>
      <c r="F11" s="29"/>
      <c r="G11" s="28"/>
      <c r="H11" s="30"/>
      <c r="I11" s="31"/>
      <c r="J11" s="29"/>
      <c r="K11" s="28"/>
      <c r="L11" s="29"/>
      <c r="M11" s="28"/>
      <c r="N11" s="32"/>
      <c r="O11" s="33">
        <v>0.48</v>
      </c>
      <c r="P11" s="34">
        <f t="shared" si="0"/>
        <v>0</v>
      </c>
    </row>
    <row r="12" spans="2:16" ht="30" customHeight="1" x14ac:dyDescent="0.4">
      <c r="B12" s="5" t="str">
        <f>IFERROR(TEXT('Biweekly Expense Report USD'!$C12,"aaaa"), "")</f>
        <v>Wednesday</v>
      </c>
      <c r="C12" s="9">
        <f>IF($L$4="","",$L$4+2)</f>
        <v>46099</v>
      </c>
      <c r="D12" s="27"/>
      <c r="E12" s="28"/>
      <c r="F12" s="29"/>
      <c r="G12" s="28"/>
      <c r="H12" s="30"/>
      <c r="I12" s="31"/>
      <c r="J12" s="29"/>
      <c r="K12" s="28"/>
      <c r="L12" s="29"/>
      <c r="M12" s="28"/>
      <c r="N12" s="32"/>
      <c r="O12" s="33">
        <v>0.48</v>
      </c>
      <c r="P12" s="34">
        <f t="shared" si="0"/>
        <v>0</v>
      </c>
    </row>
    <row r="13" spans="2:16" ht="30" customHeight="1" x14ac:dyDescent="0.4">
      <c r="B13" s="5" t="str">
        <f>IFERROR(TEXT('Biweekly Expense Report USD'!$C13,"aaaa"), "")</f>
        <v>Thursday</v>
      </c>
      <c r="C13" s="9">
        <f>IF($L$4="","",$L$4+3)</f>
        <v>46100</v>
      </c>
      <c r="D13" s="27"/>
      <c r="E13" s="28"/>
      <c r="F13" s="29"/>
      <c r="G13" s="28"/>
      <c r="H13" s="30"/>
      <c r="I13" s="31"/>
      <c r="J13" s="29"/>
      <c r="K13" s="28"/>
      <c r="L13" s="29"/>
      <c r="M13" s="28"/>
      <c r="N13" s="32"/>
      <c r="O13" s="33">
        <v>0.48</v>
      </c>
      <c r="P13" s="34">
        <f t="shared" si="0"/>
        <v>0</v>
      </c>
    </row>
    <row r="14" spans="2:16" ht="30" customHeight="1" x14ac:dyDescent="0.4">
      <c r="B14" s="5" t="str">
        <f>IFERROR(TEXT('Biweekly Expense Report USD'!$C14,"aaaa"), "")</f>
        <v>Friday</v>
      </c>
      <c r="C14" s="9">
        <f>IF($L$4="","",$L$4+4)</f>
        <v>46101</v>
      </c>
      <c r="D14" s="27"/>
      <c r="E14" s="28"/>
      <c r="F14" s="29"/>
      <c r="G14" s="28"/>
      <c r="H14" s="30"/>
      <c r="I14" s="31"/>
      <c r="J14" s="29"/>
      <c r="K14" s="28"/>
      <c r="L14" s="29"/>
      <c r="M14" s="28"/>
      <c r="N14" s="32"/>
      <c r="O14" s="33">
        <v>0.48</v>
      </c>
      <c r="P14" s="34">
        <f t="shared" si="0"/>
        <v>0</v>
      </c>
    </row>
    <row r="15" spans="2:16" ht="30" customHeight="1" x14ac:dyDescent="0.4">
      <c r="B15" s="5" t="str">
        <f>IFERROR(TEXT('Biweekly Expense Report USD'!$C15,"aaaa"), "")</f>
        <v>Saturday</v>
      </c>
      <c r="C15" s="9">
        <f>IF($L$4="","",$L$4+5)</f>
        <v>46102</v>
      </c>
      <c r="D15" s="27"/>
      <c r="E15" s="28"/>
      <c r="F15" s="29"/>
      <c r="G15" s="28"/>
      <c r="H15" s="30"/>
      <c r="I15" s="31"/>
      <c r="J15" s="29"/>
      <c r="K15" s="28"/>
      <c r="L15" s="29"/>
      <c r="M15" s="28"/>
      <c r="N15" s="32"/>
      <c r="O15" s="33">
        <v>0.48</v>
      </c>
      <c r="P15" s="34">
        <f t="shared" si="0"/>
        <v>0</v>
      </c>
    </row>
    <row r="16" spans="2:16" ht="30" customHeight="1" x14ac:dyDescent="0.4">
      <c r="B16" s="5" t="str">
        <f>IFERROR(TEXT('Biweekly Expense Report USD'!$C16,"aaaa"), "")</f>
        <v>Sunday</v>
      </c>
      <c r="C16" s="9">
        <f>IF($L$4="","",$L$4+6)</f>
        <v>46103</v>
      </c>
      <c r="D16" s="27"/>
      <c r="E16" s="28"/>
      <c r="F16" s="29"/>
      <c r="G16" s="28"/>
      <c r="H16" s="30"/>
      <c r="I16" s="31"/>
      <c r="J16" s="29"/>
      <c r="K16" s="28"/>
      <c r="L16" s="29"/>
      <c r="M16" s="28"/>
      <c r="N16" s="32"/>
      <c r="O16" s="33">
        <v>0.48</v>
      </c>
      <c r="P16" s="34">
        <f t="shared" si="0"/>
        <v>0</v>
      </c>
    </row>
    <row r="17" spans="2:16" ht="30" customHeight="1" x14ac:dyDescent="0.4">
      <c r="B17" s="5" t="str">
        <f>IFERROR(TEXT('Biweekly Expense Report USD'!$C17,"aaaa"), "")</f>
        <v>Monday</v>
      </c>
      <c r="C17" s="9">
        <f>IF($L$4="","",$L$4+7)</f>
        <v>46104</v>
      </c>
      <c r="D17" s="27"/>
      <c r="E17" s="28"/>
      <c r="F17" s="29"/>
      <c r="G17" s="28"/>
      <c r="H17" s="30"/>
      <c r="I17" s="31"/>
      <c r="J17" s="29"/>
      <c r="K17" s="28"/>
      <c r="L17" s="29"/>
      <c r="M17" s="28"/>
      <c r="N17" s="32"/>
      <c r="O17" s="33">
        <v>0.48</v>
      </c>
      <c r="P17" s="34">
        <f t="shared" si="0"/>
        <v>0</v>
      </c>
    </row>
    <row r="18" spans="2:16" ht="30" customHeight="1" x14ac:dyDescent="0.4">
      <c r="B18" s="5" t="str">
        <f>IFERROR(TEXT('Biweekly Expense Report USD'!$C18,"aaaa"), "")</f>
        <v>Tuesday</v>
      </c>
      <c r="C18" s="9">
        <f>IF($L$4="","",$L$4+8)</f>
        <v>46105</v>
      </c>
      <c r="D18" s="27"/>
      <c r="E18" s="28"/>
      <c r="F18" s="29"/>
      <c r="G18" s="28"/>
      <c r="H18" s="30"/>
      <c r="I18" s="31"/>
      <c r="J18" s="29"/>
      <c r="K18" s="28"/>
      <c r="L18" s="29"/>
      <c r="M18" s="28"/>
      <c r="N18" s="32"/>
      <c r="O18" s="33">
        <v>0.48</v>
      </c>
      <c r="P18" s="34">
        <f t="shared" si="0"/>
        <v>0</v>
      </c>
    </row>
    <row r="19" spans="2:16" ht="30" customHeight="1" x14ac:dyDescent="0.4">
      <c r="B19" s="5" t="str">
        <f>IFERROR(TEXT('Biweekly Expense Report USD'!$C19,"aaaa"), "")</f>
        <v>Wednesday</v>
      </c>
      <c r="C19" s="9">
        <f>IF($L$4="","",$L$4+9)</f>
        <v>46106</v>
      </c>
      <c r="D19" s="27"/>
      <c r="E19" s="28"/>
      <c r="F19" s="29"/>
      <c r="G19" s="28"/>
      <c r="H19" s="30"/>
      <c r="I19" s="31"/>
      <c r="J19" s="29"/>
      <c r="K19" s="28"/>
      <c r="L19" s="29"/>
      <c r="M19" s="28"/>
      <c r="N19" s="32"/>
      <c r="O19" s="33">
        <v>0.48</v>
      </c>
      <c r="P19" s="34">
        <f t="shared" si="0"/>
        <v>0</v>
      </c>
    </row>
    <row r="20" spans="2:16" ht="30" customHeight="1" x14ac:dyDescent="0.4">
      <c r="B20" s="5" t="str">
        <f>IFERROR(TEXT('Biweekly Expense Report USD'!$C20,"aaaa"), "")</f>
        <v>Thursday</v>
      </c>
      <c r="C20" s="9">
        <f>IF($L$4="","",$L$4+10)</f>
        <v>46107</v>
      </c>
      <c r="D20" s="27"/>
      <c r="E20" s="28"/>
      <c r="F20" s="29"/>
      <c r="G20" s="28"/>
      <c r="H20" s="30"/>
      <c r="I20" s="31"/>
      <c r="J20" s="29"/>
      <c r="K20" s="28"/>
      <c r="L20" s="29"/>
      <c r="M20" s="28"/>
      <c r="N20" s="32"/>
      <c r="O20" s="33">
        <v>0.48</v>
      </c>
      <c r="P20" s="34">
        <f t="shared" si="0"/>
        <v>0</v>
      </c>
    </row>
    <row r="21" spans="2:16" ht="30" customHeight="1" x14ac:dyDescent="0.4">
      <c r="B21" s="5" t="str">
        <f>IFERROR(TEXT('Biweekly Expense Report USD'!$C21,"aaaa"), "")</f>
        <v>Friday</v>
      </c>
      <c r="C21" s="9">
        <f>IF($L$4="","",$L$4+11)</f>
        <v>46108</v>
      </c>
      <c r="D21" s="27"/>
      <c r="E21" s="28"/>
      <c r="F21" s="29"/>
      <c r="G21" s="28"/>
      <c r="H21" s="30"/>
      <c r="I21" s="31"/>
      <c r="J21" s="29"/>
      <c r="K21" s="28"/>
      <c r="L21" s="29"/>
      <c r="M21" s="28"/>
      <c r="N21" s="32"/>
      <c r="O21" s="33">
        <v>0.48</v>
      </c>
      <c r="P21" s="34">
        <f t="shared" si="0"/>
        <v>0</v>
      </c>
    </row>
    <row r="22" spans="2:16" ht="30" customHeight="1" x14ac:dyDescent="0.4">
      <c r="B22" s="5" t="str">
        <f>IFERROR(TEXT('Biweekly Expense Report USD'!$C22,"aaaa"), "")</f>
        <v>Saturday</v>
      </c>
      <c r="C22" s="9">
        <f>IF($L$4="","",$L$4+12)</f>
        <v>46109</v>
      </c>
      <c r="D22" s="27"/>
      <c r="E22" s="28"/>
      <c r="F22" s="29"/>
      <c r="G22" s="28"/>
      <c r="H22" s="30"/>
      <c r="I22" s="31"/>
      <c r="J22" s="29"/>
      <c r="K22" s="28"/>
      <c r="L22" s="29"/>
      <c r="M22" s="28"/>
      <c r="N22" s="32"/>
      <c r="O22" s="33">
        <v>0.48</v>
      </c>
      <c r="P22" s="34">
        <f t="shared" si="0"/>
        <v>0</v>
      </c>
    </row>
    <row r="23" spans="2:16" ht="30" customHeight="1" x14ac:dyDescent="0.4">
      <c r="B23" s="15" t="str">
        <f>IFERROR(TEXT('Biweekly Expense Report USD'!$C23,"aaaa"), "")</f>
        <v>Sunday</v>
      </c>
      <c r="C23" s="16">
        <f>IF($L$4="","",$L$4+13)</f>
        <v>46110</v>
      </c>
      <c r="D23" s="27"/>
      <c r="E23" s="28"/>
      <c r="F23" s="29"/>
      <c r="G23" s="28"/>
      <c r="H23" s="30"/>
      <c r="I23" s="31"/>
      <c r="J23" s="29"/>
      <c r="K23" s="28"/>
      <c r="L23" s="29"/>
      <c r="M23" s="28"/>
      <c r="N23" s="32"/>
      <c r="O23" s="33">
        <v>0.48</v>
      </c>
      <c r="P23" s="34">
        <f t="shared" si="0"/>
        <v>0</v>
      </c>
    </row>
    <row r="24" spans="2:16" ht="30" customHeight="1" x14ac:dyDescent="0.4">
      <c r="C24" s="15" t="s">
        <v>15</v>
      </c>
      <c r="D24" s="35">
        <f t="shared" ref="D24:M24" si="1">IFERROR(SUM(D10:D23), "")</f>
        <v>0</v>
      </c>
      <c r="E24" s="36">
        <f t="shared" si="1"/>
        <v>0</v>
      </c>
      <c r="F24" s="36">
        <f t="shared" si="1"/>
        <v>0</v>
      </c>
      <c r="G24" s="36">
        <f t="shared" si="1"/>
        <v>0</v>
      </c>
      <c r="H24" s="37">
        <f t="shared" si="1"/>
        <v>0</v>
      </c>
      <c r="I24" s="35">
        <f t="shared" si="1"/>
        <v>0</v>
      </c>
      <c r="J24" s="36">
        <f t="shared" si="1"/>
        <v>0</v>
      </c>
      <c r="K24" s="36">
        <f t="shared" si="1"/>
        <v>0</v>
      </c>
      <c r="L24" s="36">
        <f t="shared" si="1"/>
        <v>0</v>
      </c>
      <c r="M24" s="36">
        <f t="shared" si="1"/>
        <v>0</v>
      </c>
      <c r="N24" s="38"/>
      <c r="O24" s="39"/>
      <c r="P24" s="40">
        <f>IFERROR(SUM(P10:P23),"$")</f>
        <v>0</v>
      </c>
    </row>
    <row r="25" spans="2:16" ht="30" customHeight="1" x14ac:dyDescent="0.4">
      <c r="D25" s="46"/>
      <c r="E25" s="47"/>
      <c r="F25" s="47"/>
      <c r="G25" s="47"/>
      <c r="H25" s="47"/>
      <c r="I25" s="47"/>
      <c r="J25" s="47"/>
      <c r="K25" s="47"/>
      <c r="L25" s="47"/>
      <c r="M25" s="47"/>
      <c r="N25" s="47"/>
    </row>
    <row r="26" spans="2:16" ht="30" customHeight="1" x14ac:dyDescent="0.4">
      <c r="D26" s="46"/>
      <c r="E26" s="47"/>
      <c r="F26" s="47"/>
      <c r="G26" s="47"/>
      <c r="H26" s="47"/>
      <c r="I26" s="47"/>
      <c r="J26" s="47"/>
      <c r="K26" s="47"/>
      <c r="L26" s="47"/>
      <c r="M26" s="47"/>
      <c r="N26" s="47"/>
    </row>
    <row r="27" spans="2:16" ht="30" customHeight="1" x14ac:dyDescent="0.4">
      <c r="D27" s="61">
        <f>'Biweekly Time Sheet'!D26:J26</f>
        <v>0</v>
      </c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5"/>
      <c r="P27" s="41">
        <f>'Biweekly Time Sheet'!L26</f>
        <v>0</v>
      </c>
    </row>
    <row r="28" spans="2:16" ht="30" customHeight="1" x14ac:dyDescent="0.4">
      <c r="D28" s="46" t="s">
        <v>21</v>
      </c>
      <c r="E28" s="47"/>
      <c r="F28" s="47"/>
      <c r="G28" s="47"/>
      <c r="H28" s="47"/>
      <c r="I28" s="47"/>
      <c r="J28" s="47"/>
      <c r="K28" s="47"/>
      <c r="L28" s="47"/>
      <c r="M28" s="47"/>
      <c r="N28" s="47"/>
      <c r="P28" s="21" t="s">
        <v>6</v>
      </c>
    </row>
    <row r="29" spans="2:16" ht="30" customHeight="1" x14ac:dyDescent="0.4">
      <c r="P29" s="22" t="s">
        <v>37</v>
      </c>
    </row>
    <row r="30" spans="2:16" ht="30" customHeight="1" x14ac:dyDescent="0.4"/>
    <row r="31" spans="2:16" ht="30" customHeight="1" x14ac:dyDescent="0.4"/>
    <row r="32" spans="2:16" ht="30" customHeight="1" x14ac:dyDescent="0.4"/>
    <row r="33" ht="30" customHeight="1" x14ac:dyDescent="0.4"/>
    <row r="34" ht="30" customHeight="1" x14ac:dyDescent="0.4"/>
    <row r="35" ht="30" customHeight="1" x14ac:dyDescent="0.4"/>
    <row r="36" ht="30" customHeight="1" x14ac:dyDescent="0.4"/>
    <row r="37" ht="30" customHeight="1" x14ac:dyDescent="0.4"/>
    <row r="38" ht="30" customHeight="1" x14ac:dyDescent="0.4"/>
    <row r="39" ht="30" customHeight="1" x14ac:dyDescent="0.4"/>
    <row r="40" ht="30" customHeight="1" x14ac:dyDescent="0.4"/>
    <row r="41" ht="30" customHeight="1" x14ac:dyDescent="0.4"/>
    <row r="42" ht="30" customHeight="1" x14ac:dyDescent="0.4"/>
    <row r="43" ht="30" customHeight="1" x14ac:dyDescent="0.4"/>
    <row r="44" ht="30" customHeight="1" x14ac:dyDescent="0.4"/>
    <row r="45" ht="30" customHeight="1" x14ac:dyDescent="0.4"/>
    <row r="46" ht="30" customHeight="1" x14ac:dyDescent="0.4"/>
    <row r="47" ht="30" customHeight="1" x14ac:dyDescent="0.4"/>
    <row r="48" ht="30" customHeight="1" x14ac:dyDescent="0.4"/>
    <row r="49" ht="30" customHeight="1" x14ac:dyDescent="0.4"/>
    <row r="50" ht="30" customHeight="1" x14ac:dyDescent="0.4"/>
    <row r="51" ht="30" customHeight="1" x14ac:dyDescent="0.4"/>
    <row r="52" ht="30" customHeight="1" x14ac:dyDescent="0.4"/>
    <row r="53" ht="30" customHeight="1" x14ac:dyDescent="0.4"/>
    <row r="54" ht="30" customHeight="1" x14ac:dyDescent="0.4"/>
    <row r="55" ht="30" customHeight="1" x14ac:dyDescent="0.4"/>
    <row r="56" ht="30" customHeight="1" x14ac:dyDescent="0.4"/>
    <row r="57" ht="30" customHeight="1" x14ac:dyDescent="0.4"/>
    <row r="58" ht="30" customHeight="1" x14ac:dyDescent="0.4"/>
    <row r="59" ht="30" customHeight="1" x14ac:dyDescent="0.4"/>
    <row r="60" ht="30" customHeight="1" x14ac:dyDescent="0.4"/>
    <row r="61" ht="30" customHeight="1" x14ac:dyDescent="0.4"/>
    <row r="62" ht="30" customHeight="1" x14ac:dyDescent="0.4"/>
    <row r="63" ht="30" customHeight="1" x14ac:dyDescent="0.4"/>
    <row r="64" ht="30" customHeight="1" x14ac:dyDescent="0.4"/>
    <row r="65" ht="30" customHeight="1" x14ac:dyDescent="0.4"/>
    <row r="66" ht="30" customHeight="1" x14ac:dyDescent="0.4"/>
    <row r="67" ht="30" customHeight="1" x14ac:dyDescent="0.4"/>
    <row r="68" ht="30" customHeight="1" x14ac:dyDescent="0.4"/>
    <row r="69" ht="30" customHeight="1" x14ac:dyDescent="0.4"/>
    <row r="70" ht="30" customHeight="1" x14ac:dyDescent="0.4"/>
    <row r="71" ht="30" customHeight="1" x14ac:dyDescent="0.4"/>
    <row r="72" ht="30" customHeight="1" x14ac:dyDescent="0.4"/>
    <row r="73" ht="30" customHeight="1" x14ac:dyDescent="0.4"/>
    <row r="74" ht="30" customHeight="1" x14ac:dyDescent="0.4"/>
    <row r="75" ht="30" customHeight="1" x14ac:dyDescent="0.4"/>
    <row r="76" ht="30" customHeight="1" x14ac:dyDescent="0.4"/>
    <row r="77" ht="30" customHeight="1" x14ac:dyDescent="0.4"/>
    <row r="78" ht="30" customHeight="1" x14ac:dyDescent="0.4"/>
    <row r="79" ht="30" customHeight="1" x14ac:dyDescent="0.4"/>
    <row r="80" ht="30" customHeight="1" x14ac:dyDescent="0.4"/>
    <row r="81" ht="30" customHeight="1" x14ac:dyDescent="0.4"/>
    <row r="82" ht="30" customHeight="1" x14ac:dyDescent="0.4"/>
    <row r="83" ht="30" customHeight="1" x14ac:dyDescent="0.4"/>
    <row r="84" ht="30" customHeight="1" x14ac:dyDescent="0.4"/>
    <row r="85" ht="30" customHeight="1" x14ac:dyDescent="0.4"/>
    <row r="86" ht="30" customHeight="1" x14ac:dyDescent="0.4"/>
    <row r="87" ht="30" customHeight="1" x14ac:dyDescent="0.4"/>
    <row r="88" ht="30" customHeight="1" x14ac:dyDescent="0.4"/>
    <row r="89" ht="30" customHeight="1" x14ac:dyDescent="0.4"/>
    <row r="90" ht="30" customHeight="1" x14ac:dyDescent="0.4"/>
    <row r="91" ht="30" customHeight="1" x14ac:dyDescent="0.4"/>
    <row r="92" ht="30" customHeight="1" x14ac:dyDescent="0.4"/>
    <row r="93" ht="30" customHeight="1" x14ac:dyDescent="0.4"/>
    <row r="94" ht="30" customHeight="1" x14ac:dyDescent="0.4"/>
    <row r="95" ht="30" customHeight="1" x14ac:dyDescent="0.4"/>
    <row r="96" ht="30" customHeight="1" x14ac:dyDescent="0.4"/>
    <row r="97" ht="30" customHeight="1" x14ac:dyDescent="0.4"/>
    <row r="98" ht="30" customHeight="1" x14ac:dyDescent="0.4"/>
    <row r="99" ht="30" customHeight="1" x14ac:dyDescent="0.4"/>
    <row r="100" ht="30" customHeight="1" x14ac:dyDescent="0.4"/>
    <row r="101" ht="30" customHeight="1" x14ac:dyDescent="0.4"/>
    <row r="102" ht="30" customHeight="1" x14ac:dyDescent="0.4"/>
    <row r="103" ht="30" customHeight="1" x14ac:dyDescent="0.4"/>
    <row r="104" ht="30" customHeight="1" x14ac:dyDescent="0.4"/>
    <row r="105" ht="30" customHeight="1" x14ac:dyDescent="0.4"/>
    <row r="106" ht="30" customHeight="1" x14ac:dyDescent="0.4"/>
    <row r="107" ht="30" customHeight="1" x14ac:dyDescent="0.4"/>
    <row r="108" ht="30" customHeight="1" x14ac:dyDescent="0.4"/>
    <row r="109" ht="30" customHeight="1" x14ac:dyDescent="0.4"/>
    <row r="110" ht="30" customHeight="1" x14ac:dyDescent="0.4"/>
    <row r="111" ht="30" customHeight="1" x14ac:dyDescent="0.4"/>
    <row r="112" ht="30" customHeight="1" x14ac:dyDescent="0.4"/>
    <row r="113" ht="30" customHeight="1" x14ac:dyDescent="0.4"/>
    <row r="114" ht="30" customHeight="1" x14ac:dyDescent="0.4"/>
    <row r="115" ht="30" customHeight="1" x14ac:dyDescent="0.4"/>
    <row r="116" ht="30" customHeight="1" x14ac:dyDescent="0.4"/>
    <row r="117" ht="30" customHeight="1" x14ac:dyDescent="0.4"/>
    <row r="118" ht="30" customHeight="1" x14ac:dyDescent="0.4"/>
    <row r="119" ht="30" customHeight="1" x14ac:dyDescent="0.4"/>
    <row r="120" ht="30" customHeight="1" x14ac:dyDescent="0.4"/>
    <row r="121" ht="30" customHeight="1" x14ac:dyDescent="0.4"/>
    <row r="122" ht="30" customHeight="1" x14ac:dyDescent="0.4"/>
    <row r="123" ht="30" customHeight="1" x14ac:dyDescent="0.4"/>
    <row r="124" ht="30" customHeight="1" x14ac:dyDescent="0.4"/>
    <row r="125" ht="30" customHeight="1" x14ac:dyDescent="0.4"/>
    <row r="126" ht="30" customHeight="1" x14ac:dyDescent="0.4"/>
    <row r="127" ht="30" customHeight="1" x14ac:dyDescent="0.4"/>
    <row r="128" ht="30" customHeight="1" x14ac:dyDescent="0.4"/>
    <row r="129" ht="30" customHeight="1" x14ac:dyDescent="0.4"/>
    <row r="130" ht="30" customHeight="1" x14ac:dyDescent="0.4"/>
    <row r="131" ht="30" customHeight="1" x14ac:dyDescent="0.4"/>
    <row r="132" ht="30" customHeight="1" x14ac:dyDescent="0.4"/>
    <row r="133" ht="30" customHeight="1" x14ac:dyDescent="0.4"/>
    <row r="134" ht="30" customHeight="1" x14ac:dyDescent="0.4"/>
    <row r="135" ht="30" customHeight="1" x14ac:dyDescent="0.4"/>
    <row r="136" ht="30" customHeight="1" x14ac:dyDescent="0.4"/>
    <row r="137" ht="30" customHeight="1" x14ac:dyDescent="0.4"/>
    <row r="138" ht="30" customHeight="1" x14ac:dyDescent="0.4"/>
    <row r="139" ht="30" customHeight="1" x14ac:dyDescent="0.4"/>
    <row r="140" ht="30" customHeight="1" x14ac:dyDescent="0.4"/>
    <row r="141" ht="30" customHeight="1" x14ac:dyDescent="0.4"/>
    <row r="142" ht="30" customHeight="1" x14ac:dyDescent="0.4"/>
    <row r="143" ht="30" customHeight="1" x14ac:dyDescent="0.4"/>
    <row r="144" ht="30" customHeight="1" x14ac:dyDescent="0.4"/>
    <row r="145" ht="30" customHeight="1" x14ac:dyDescent="0.4"/>
    <row r="146" ht="30" customHeight="1" x14ac:dyDescent="0.4"/>
    <row r="147" ht="30" customHeight="1" x14ac:dyDescent="0.4"/>
    <row r="148" ht="30" customHeight="1" x14ac:dyDescent="0.4"/>
    <row r="149" ht="30" customHeight="1" x14ac:dyDescent="0.4"/>
    <row r="150" ht="30" customHeight="1" x14ac:dyDescent="0.4"/>
    <row r="151" ht="30" customHeight="1" x14ac:dyDescent="0.4"/>
    <row r="152" ht="30" customHeight="1" x14ac:dyDescent="0.4"/>
    <row r="153" ht="30" customHeight="1" x14ac:dyDescent="0.4"/>
    <row r="154" ht="30" customHeight="1" x14ac:dyDescent="0.4"/>
    <row r="155" ht="30" customHeight="1" x14ac:dyDescent="0.4"/>
    <row r="156" ht="30" customHeight="1" x14ac:dyDescent="0.4"/>
    <row r="157" ht="30" customHeight="1" x14ac:dyDescent="0.4"/>
    <row r="158" ht="30" customHeight="1" x14ac:dyDescent="0.4"/>
    <row r="159" ht="30" customHeight="1" x14ac:dyDescent="0.4"/>
    <row r="160" ht="30" customHeight="1" x14ac:dyDescent="0.4"/>
    <row r="161" ht="30" customHeight="1" x14ac:dyDescent="0.4"/>
    <row r="162" ht="30" customHeight="1" x14ac:dyDescent="0.4"/>
    <row r="163" ht="30" customHeight="1" x14ac:dyDescent="0.4"/>
    <row r="164" ht="30" customHeight="1" x14ac:dyDescent="0.4"/>
    <row r="165" ht="30" customHeight="1" x14ac:dyDescent="0.4"/>
    <row r="166" ht="30" customHeight="1" x14ac:dyDescent="0.4"/>
    <row r="167" ht="30" customHeight="1" x14ac:dyDescent="0.4"/>
    <row r="168" ht="30" customHeight="1" x14ac:dyDescent="0.4"/>
    <row r="169" ht="30" customHeight="1" x14ac:dyDescent="0.4"/>
    <row r="170" ht="30" customHeight="1" x14ac:dyDescent="0.4"/>
    <row r="171" ht="30" customHeight="1" x14ac:dyDescent="0.4"/>
    <row r="172" ht="30" customHeight="1" x14ac:dyDescent="0.4"/>
    <row r="173" ht="30" customHeight="1" x14ac:dyDescent="0.4"/>
    <row r="174" ht="30" customHeight="1" x14ac:dyDescent="0.4"/>
    <row r="175" ht="30" customHeight="1" x14ac:dyDescent="0.4"/>
    <row r="176" ht="30" customHeight="1" x14ac:dyDescent="0.4"/>
    <row r="177" ht="30" customHeight="1" x14ac:dyDescent="0.4"/>
    <row r="178" ht="30" customHeight="1" x14ac:dyDescent="0.4"/>
    <row r="179" ht="30" customHeight="1" x14ac:dyDescent="0.4"/>
    <row r="180" ht="30" customHeight="1" x14ac:dyDescent="0.4"/>
    <row r="181" ht="30" customHeight="1" x14ac:dyDescent="0.4"/>
    <row r="182" ht="30" customHeight="1" x14ac:dyDescent="0.4"/>
    <row r="183" ht="30" customHeight="1" x14ac:dyDescent="0.4"/>
    <row r="184" ht="30" customHeight="1" x14ac:dyDescent="0.4"/>
    <row r="185" ht="30" customHeight="1" x14ac:dyDescent="0.4"/>
    <row r="186" ht="30" customHeight="1" x14ac:dyDescent="0.4"/>
    <row r="187" ht="30" customHeight="1" x14ac:dyDescent="0.4"/>
    <row r="188" ht="30" customHeight="1" x14ac:dyDescent="0.4"/>
    <row r="189" ht="30" customHeight="1" x14ac:dyDescent="0.4"/>
    <row r="190" ht="30" customHeight="1" x14ac:dyDescent="0.4"/>
    <row r="191" ht="30" customHeight="1" x14ac:dyDescent="0.4"/>
    <row r="192" ht="30" customHeight="1" x14ac:dyDescent="0.4"/>
    <row r="193" ht="30" customHeight="1" x14ac:dyDescent="0.4"/>
    <row r="194" ht="30" customHeight="1" x14ac:dyDescent="0.4"/>
    <row r="195" ht="30" customHeight="1" x14ac:dyDescent="0.4"/>
    <row r="196" ht="30" customHeight="1" x14ac:dyDescent="0.4"/>
    <row r="197" ht="30" customHeight="1" x14ac:dyDescent="0.4"/>
    <row r="198" ht="30" customHeight="1" x14ac:dyDescent="0.4"/>
    <row r="199" ht="30" customHeight="1" x14ac:dyDescent="0.4"/>
    <row r="200" ht="30" customHeight="1" x14ac:dyDescent="0.4"/>
    <row r="201" ht="30" customHeight="1" x14ac:dyDescent="0.4"/>
    <row r="202" ht="30" customHeight="1" x14ac:dyDescent="0.4"/>
    <row r="203" ht="30" customHeight="1" x14ac:dyDescent="0.4"/>
    <row r="204" ht="30" customHeight="1" x14ac:dyDescent="0.4"/>
    <row r="205" ht="30" customHeight="1" x14ac:dyDescent="0.4"/>
    <row r="206" ht="30" customHeight="1" x14ac:dyDescent="0.4"/>
    <row r="207" ht="30" customHeight="1" x14ac:dyDescent="0.4"/>
    <row r="208" ht="30" customHeight="1" x14ac:dyDescent="0.4"/>
    <row r="209" ht="30" customHeight="1" x14ac:dyDescent="0.4"/>
    <row r="210" ht="30" customHeight="1" x14ac:dyDescent="0.4"/>
    <row r="211" ht="30" customHeight="1" x14ac:dyDescent="0.4"/>
    <row r="212" ht="30" customHeight="1" x14ac:dyDescent="0.4"/>
    <row r="213" ht="30" customHeight="1" x14ac:dyDescent="0.4"/>
    <row r="214" ht="30" customHeight="1" x14ac:dyDescent="0.4"/>
    <row r="215" ht="30" customHeight="1" x14ac:dyDescent="0.4"/>
    <row r="216" ht="30" customHeight="1" x14ac:dyDescent="0.4"/>
    <row r="217" ht="30" customHeight="1" x14ac:dyDescent="0.4"/>
    <row r="218" ht="30" customHeight="1" x14ac:dyDescent="0.4"/>
    <row r="219" ht="30" customHeight="1" x14ac:dyDescent="0.4"/>
    <row r="220" ht="30" customHeight="1" x14ac:dyDescent="0.4"/>
    <row r="221" ht="30" customHeight="1" x14ac:dyDescent="0.4"/>
    <row r="222" ht="30" customHeight="1" x14ac:dyDescent="0.4"/>
    <row r="223" ht="30" customHeight="1" x14ac:dyDescent="0.4"/>
    <row r="224" ht="30" customHeight="1" x14ac:dyDescent="0.4"/>
    <row r="225" ht="30" customHeight="1" x14ac:dyDescent="0.4"/>
    <row r="226" ht="30" customHeight="1" x14ac:dyDescent="0.4"/>
    <row r="227" ht="30" customHeight="1" x14ac:dyDescent="0.4"/>
    <row r="228" ht="30" customHeight="1" x14ac:dyDescent="0.4"/>
    <row r="229" ht="30" customHeight="1" x14ac:dyDescent="0.4"/>
    <row r="230" ht="30" customHeight="1" x14ac:dyDescent="0.4"/>
    <row r="231" ht="30" customHeight="1" x14ac:dyDescent="0.4"/>
    <row r="232" ht="30" customHeight="1" x14ac:dyDescent="0.4"/>
    <row r="233" ht="30" customHeight="1" x14ac:dyDescent="0.4"/>
    <row r="234" ht="30" customHeight="1" x14ac:dyDescent="0.4"/>
    <row r="235" ht="30" customHeight="1" x14ac:dyDescent="0.4"/>
    <row r="236" ht="30" customHeight="1" x14ac:dyDescent="0.4"/>
    <row r="237" ht="30" customHeight="1" x14ac:dyDescent="0.4"/>
    <row r="238" ht="30" customHeight="1" x14ac:dyDescent="0.4"/>
    <row r="239" ht="30" customHeight="1" x14ac:dyDescent="0.4"/>
    <row r="240" ht="30" customHeight="1" x14ac:dyDescent="0.4"/>
    <row r="241" ht="30" customHeight="1" x14ac:dyDescent="0.4"/>
    <row r="242" ht="30" customHeight="1" x14ac:dyDescent="0.4"/>
    <row r="243" ht="30" customHeight="1" x14ac:dyDescent="0.4"/>
    <row r="244" ht="30" customHeight="1" x14ac:dyDescent="0.4"/>
    <row r="245" ht="30" customHeight="1" x14ac:dyDescent="0.4"/>
    <row r="246" ht="30" customHeight="1" x14ac:dyDescent="0.4"/>
    <row r="247" ht="30" customHeight="1" x14ac:dyDescent="0.4"/>
    <row r="248" ht="30" customHeight="1" x14ac:dyDescent="0.4"/>
    <row r="249" ht="30" customHeight="1" x14ac:dyDescent="0.4"/>
    <row r="250" ht="30" customHeight="1" x14ac:dyDescent="0.4"/>
    <row r="251" ht="30" customHeight="1" x14ac:dyDescent="0.4"/>
    <row r="252" ht="30" customHeight="1" x14ac:dyDescent="0.4"/>
    <row r="253" ht="30" customHeight="1" x14ac:dyDescent="0.4"/>
    <row r="254" ht="30" customHeight="1" x14ac:dyDescent="0.4"/>
    <row r="255" ht="30" customHeight="1" x14ac:dyDescent="0.4"/>
    <row r="256" ht="30" customHeight="1" x14ac:dyDescent="0.4"/>
    <row r="257" ht="30" customHeight="1" x14ac:dyDescent="0.4"/>
    <row r="258" ht="30" customHeight="1" x14ac:dyDescent="0.4"/>
    <row r="259" ht="30" customHeight="1" x14ac:dyDescent="0.4"/>
    <row r="260" ht="30" customHeight="1" x14ac:dyDescent="0.4"/>
    <row r="261" ht="30" customHeight="1" x14ac:dyDescent="0.4"/>
    <row r="262" ht="30" customHeight="1" x14ac:dyDescent="0.4"/>
    <row r="263" ht="30" customHeight="1" x14ac:dyDescent="0.4"/>
    <row r="264" ht="30" customHeight="1" x14ac:dyDescent="0.4"/>
    <row r="265" ht="30" customHeight="1" x14ac:dyDescent="0.4"/>
    <row r="266" ht="30" customHeight="1" x14ac:dyDescent="0.4"/>
    <row r="267" ht="30" customHeight="1" x14ac:dyDescent="0.4"/>
    <row r="268" ht="30" customHeight="1" x14ac:dyDescent="0.4"/>
    <row r="269" ht="30" customHeight="1" x14ac:dyDescent="0.4"/>
    <row r="270" ht="30" customHeight="1" x14ac:dyDescent="0.4"/>
    <row r="271" ht="30" customHeight="1" x14ac:dyDescent="0.4"/>
    <row r="272" ht="30" customHeight="1" x14ac:dyDescent="0.4"/>
    <row r="273" ht="30" customHeight="1" x14ac:dyDescent="0.4"/>
    <row r="274" ht="30" customHeight="1" x14ac:dyDescent="0.4"/>
    <row r="275" ht="30" customHeight="1" x14ac:dyDescent="0.4"/>
    <row r="276" ht="30" customHeight="1" x14ac:dyDescent="0.4"/>
    <row r="277" ht="30" customHeight="1" x14ac:dyDescent="0.4"/>
    <row r="278" ht="30" customHeight="1" x14ac:dyDescent="0.4"/>
    <row r="279" ht="30" customHeight="1" x14ac:dyDescent="0.4"/>
    <row r="280" ht="30" customHeight="1" x14ac:dyDescent="0.4"/>
    <row r="281" ht="30" customHeight="1" x14ac:dyDescent="0.4"/>
    <row r="282" ht="30" customHeight="1" x14ac:dyDescent="0.4"/>
    <row r="283" ht="30" customHeight="1" x14ac:dyDescent="0.4"/>
    <row r="284" ht="30" customHeight="1" x14ac:dyDescent="0.4"/>
    <row r="285" ht="30" customHeight="1" x14ac:dyDescent="0.4"/>
    <row r="286" ht="30" customHeight="1" x14ac:dyDescent="0.4"/>
    <row r="287" ht="30" customHeight="1" x14ac:dyDescent="0.4"/>
    <row r="288" ht="30" customHeight="1" x14ac:dyDescent="0.4"/>
    <row r="289" ht="30" customHeight="1" x14ac:dyDescent="0.4"/>
    <row r="290" ht="30" customHeight="1" x14ac:dyDescent="0.4"/>
    <row r="291" ht="30" customHeight="1" x14ac:dyDescent="0.4"/>
    <row r="292" ht="30" customHeight="1" x14ac:dyDescent="0.4"/>
    <row r="293" ht="30" customHeight="1" x14ac:dyDescent="0.4"/>
    <row r="294" ht="30" customHeight="1" x14ac:dyDescent="0.4"/>
    <row r="295" ht="30" customHeight="1" x14ac:dyDescent="0.4"/>
    <row r="296" ht="30" customHeight="1" x14ac:dyDescent="0.4"/>
    <row r="297" ht="30" customHeight="1" x14ac:dyDescent="0.4"/>
    <row r="298" ht="30" customHeight="1" x14ac:dyDescent="0.4"/>
    <row r="299" ht="30" customHeight="1" x14ac:dyDescent="0.4"/>
    <row r="300" ht="30" customHeight="1" x14ac:dyDescent="0.4"/>
    <row r="301" ht="30" customHeight="1" x14ac:dyDescent="0.4"/>
    <row r="302" ht="30" customHeight="1" x14ac:dyDescent="0.4"/>
    <row r="303" ht="30" customHeight="1" x14ac:dyDescent="0.4"/>
    <row r="304" ht="30" customHeight="1" x14ac:dyDescent="0.4"/>
    <row r="305" ht="30" customHeight="1" x14ac:dyDescent="0.4"/>
    <row r="306" ht="30" customHeight="1" x14ac:dyDescent="0.4"/>
    <row r="307" ht="30" customHeight="1" x14ac:dyDescent="0.4"/>
    <row r="308" ht="30" customHeight="1" x14ac:dyDescent="0.4"/>
    <row r="309" ht="30" customHeight="1" x14ac:dyDescent="0.4"/>
    <row r="310" ht="30" customHeight="1" x14ac:dyDescent="0.4"/>
    <row r="311" ht="30" customHeight="1" x14ac:dyDescent="0.4"/>
    <row r="312" ht="30" customHeight="1" x14ac:dyDescent="0.4"/>
    <row r="313" ht="30" customHeight="1" x14ac:dyDescent="0.4"/>
    <row r="314" ht="30" customHeight="1" x14ac:dyDescent="0.4"/>
    <row r="315" ht="30" customHeight="1" x14ac:dyDescent="0.4"/>
    <row r="316" ht="30" customHeight="1" x14ac:dyDescent="0.4"/>
    <row r="317" ht="30" customHeight="1" x14ac:dyDescent="0.4"/>
    <row r="318" ht="30" customHeight="1" x14ac:dyDescent="0.4"/>
    <row r="319" ht="30" customHeight="1" x14ac:dyDescent="0.4"/>
    <row r="320" ht="30" customHeight="1" x14ac:dyDescent="0.4"/>
    <row r="321" ht="30" customHeight="1" x14ac:dyDescent="0.4"/>
    <row r="322" ht="30" customHeight="1" x14ac:dyDescent="0.4"/>
    <row r="323" ht="30" customHeight="1" x14ac:dyDescent="0.4"/>
    <row r="324" ht="30" customHeight="1" x14ac:dyDescent="0.4"/>
    <row r="325" ht="30" customHeight="1" x14ac:dyDescent="0.4"/>
    <row r="326" ht="30" customHeight="1" x14ac:dyDescent="0.4"/>
    <row r="327" ht="30" customHeight="1" x14ac:dyDescent="0.4"/>
    <row r="328" ht="30" customHeight="1" x14ac:dyDescent="0.4"/>
    <row r="329" ht="30" customHeight="1" x14ac:dyDescent="0.4"/>
    <row r="330" ht="30" customHeight="1" x14ac:dyDescent="0.4"/>
    <row r="331" ht="30" customHeight="1" x14ac:dyDescent="0.4"/>
    <row r="332" ht="30" customHeight="1" x14ac:dyDescent="0.4"/>
    <row r="333" ht="30" customHeight="1" x14ac:dyDescent="0.4"/>
    <row r="334" ht="30" customHeight="1" x14ac:dyDescent="0.4"/>
    <row r="335" ht="30" customHeight="1" x14ac:dyDescent="0.4"/>
    <row r="336" ht="30" customHeight="1" x14ac:dyDescent="0.4"/>
    <row r="337" ht="30" customHeight="1" x14ac:dyDescent="0.4"/>
    <row r="338" ht="30" customHeight="1" x14ac:dyDescent="0.4"/>
    <row r="339" ht="30" customHeight="1" x14ac:dyDescent="0.4"/>
    <row r="340" ht="30" customHeight="1" x14ac:dyDescent="0.4"/>
    <row r="341" ht="30" customHeight="1" x14ac:dyDescent="0.4"/>
    <row r="342" ht="30" customHeight="1" x14ac:dyDescent="0.4"/>
    <row r="343" ht="30" customHeight="1" x14ac:dyDescent="0.4"/>
    <row r="344" ht="30" customHeight="1" x14ac:dyDescent="0.4"/>
    <row r="345" ht="30" customHeight="1" x14ac:dyDescent="0.4"/>
    <row r="346" ht="30" customHeight="1" x14ac:dyDescent="0.4"/>
    <row r="347" ht="30" customHeight="1" x14ac:dyDescent="0.4"/>
    <row r="348" ht="30" customHeight="1" x14ac:dyDescent="0.4"/>
    <row r="349" ht="30" customHeight="1" x14ac:dyDescent="0.4"/>
    <row r="350" ht="30" customHeight="1" x14ac:dyDescent="0.4"/>
    <row r="351" ht="30" customHeight="1" x14ac:dyDescent="0.4"/>
    <row r="352" ht="30" customHeight="1" x14ac:dyDescent="0.4"/>
    <row r="353" ht="30" customHeight="1" x14ac:dyDescent="0.4"/>
    <row r="354" ht="30" customHeight="1" x14ac:dyDescent="0.4"/>
    <row r="355" ht="30" customHeight="1" x14ac:dyDescent="0.4"/>
    <row r="356" ht="30" customHeight="1" x14ac:dyDescent="0.4"/>
    <row r="357" ht="30" customHeight="1" x14ac:dyDescent="0.4"/>
    <row r="358" ht="30" customHeight="1" x14ac:dyDescent="0.4"/>
    <row r="359" ht="30" customHeight="1" x14ac:dyDescent="0.4"/>
    <row r="360" ht="30" customHeight="1" x14ac:dyDescent="0.4"/>
    <row r="361" ht="30" customHeight="1" x14ac:dyDescent="0.4"/>
    <row r="362" ht="30" customHeight="1" x14ac:dyDescent="0.4"/>
    <row r="363" ht="30" customHeight="1" x14ac:dyDescent="0.4"/>
    <row r="364" ht="30" customHeight="1" x14ac:dyDescent="0.4"/>
    <row r="365" ht="30" customHeight="1" x14ac:dyDescent="0.4"/>
    <row r="366" ht="30" customHeight="1" x14ac:dyDescent="0.4"/>
    <row r="367" ht="30" customHeight="1" x14ac:dyDescent="0.4"/>
    <row r="368" ht="30" customHeight="1" x14ac:dyDescent="0.4"/>
    <row r="369" ht="30" customHeight="1" x14ac:dyDescent="0.4"/>
    <row r="370" ht="30" customHeight="1" x14ac:dyDescent="0.4"/>
    <row r="371" ht="30" customHeight="1" x14ac:dyDescent="0.4"/>
    <row r="372" ht="30" customHeight="1" x14ac:dyDescent="0.4"/>
    <row r="373" ht="30" customHeight="1" x14ac:dyDescent="0.4"/>
    <row r="374" ht="30" customHeight="1" x14ac:dyDescent="0.4"/>
    <row r="375" ht="30" customHeight="1" x14ac:dyDescent="0.4"/>
    <row r="376" ht="30" customHeight="1" x14ac:dyDescent="0.4"/>
    <row r="377" ht="30" customHeight="1" x14ac:dyDescent="0.4"/>
    <row r="378" ht="30" customHeight="1" x14ac:dyDescent="0.4"/>
    <row r="379" ht="30" customHeight="1" x14ac:dyDescent="0.4"/>
    <row r="380" ht="30" customHeight="1" x14ac:dyDescent="0.4"/>
    <row r="381" ht="30" customHeight="1" x14ac:dyDescent="0.4"/>
    <row r="382" ht="30" customHeight="1" x14ac:dyDescent="0.4"/>
    <row r="383" ht="30" customHeight="1" x14ac:dyDescent="0.4"/>
    <row r="384" ht="30" customHeight="1" x14ac:dyDescent="0.4"/>
    <row r="385" ht="30" customHeight="1" x14ac:dyDescent="0.4"/>
    <row r="386" ht="30" customHeight="1" x14ac:dyDescent="0.4"/>
    <row r="387" ht="30" customHeight="1" x14ac:dyDescent="0.4"/>
    <row r="388" ht="30" customHeight="1" x14ac:dyDescent="0.4"/>
    <row r="389" ht="30" customHeight="1" x14ac:dyDescent="0.4"/>
    <row r="390" ht="30" customHeight="1" x14ac:dyDescent="0.4"/>
    <row r="391" ht="30" customHeight="1" x14ac:dyDescent="0.4"/>
    <row r="392" ht="30" customHeight="1" x14ac:dyDescent="0.4"/>
    <row r="393" ht="30" customHeight="1" x14ac:dyDescent="0.4"/>
    <row r="394" ht="30" customHeight="1" x14ac:dyDescent="0.4"/>
    <row r="395" ht="30" customHeight="1" x14ac:dyDescent="0.4"/>
    <row r="396" ht="30" customHeight="1" x14ac:dyDescent="0.4"/>
    <row r="397" ht="30" customHeight="1" x14ac:dyDescent="0.4"/>
    <row r="398" ht="30" customHeight="1" x14ac:dyDescent="0.4"/>
    <row r="399" ht="30" customHeight="1" x14ac:dyDescent="0.4"/>
    <row r="400" ht="30" customHeight="1" x14ac:dyDescent="0.4"/>
    <row r="401" ht="30" customHeight="1" x14ac:dyDescent="0.4"/>
    <row r="402" ht="30" customHeight="1" x14ac:dyDescent="0.4"/>
    <row r="403" ht="30" customHeight="1" x14ac:dyDescent="0.4"/>
    <row r="404" ht="30" customHeight="1" x14ac:dyDescent="0.4"/>
    <row r="405" ht="30" customHeight="1" x14ac:dyDescent="0.4"/>
    <row r="406" ht="30" customHeight="1" x14ac:dyDescent="0.4"/>
    <row r="407" ht="30" customHeight="1" x14ac:dyDescent="0.4"/>
    <row r="408" ht="30" customHeight="1" x14ac:dyDescent="0.4"/>
    <row r="409" ht="30" customHeight="1" x14ac:dyDescent="0.4"/>
    <row r="410" ht="30" customHeight="1" x14ac:dyDescent="0.4"/>
    <row r="411" ht="30" customHeight="1" x14ac:dyDescent="0.4"/>
    <row r="412" ht="30" customHeight="1" x14ac:dyDescent="0.4"/>
    <row r="413" ht="30" customHeight="1" x14ac:dyDescent="0.4"/>
    <row r="414" ht="30" customHeight="1" x14ac:dyDescent="0.4"/>
    <row r="415" ht="30" customHeight="1" x14ac:dyDescent="0.4"/>
    <row r="416" ht="30" customHeight="1" x14ac:dyDescent="0.4"/>
    <row r="417" ht="30" customHeight="1" x14ac:dyDescent="0.4"/>
    <row r="418" ht="30" customHeight="1" x14ac:dyDescent="0.4"/>
    <row r="419" ht="30" customHeight="1" x14ac:dyDescent="0.4"/>
    <row r="420" ht="30" customHeight="1" x14ac:dyDescent="0.4"/>
    <row r="421" ht="30" customHeight="1" x14ac:dyDescent="0.4"/>
    <row r="422" ht="30" customHeight="1" x14ac:dyDescent="0.4"/>
    <row r="423" ht="30" customHeight="1" x14ac:dyDescent="0.4"/>
    <row r="424" ht="30" customHeight="1" x14ac:dyDescent="0.4"/>
    <row r="425" ht="30" customHeight="1" x14ac:dyDescent="0.4"/>
    <row r="426" ht="30" customHeight="1" x14ac:dyDescent="0.4"/>
    <row r="427" ht="30" customHeight="1" x14ac:dyDescent="0.4"/>
    <row r="428" ht="30" customHeight="1" x14ac:dyDescent="0.4"/>
    <row r="429" ht="30" customHeight="1" x14ac:dyDescent="0.4"/>
    <row r="430" ht="30" customHeight="1" x14ac:dyDescent="0.4"/>
    <row r="431" ht="30" customHeight="1" x14ac:dyDescent="0.4"/>
    <row r="432" ht="30" customHeight="1" x14ac:dyDescent="0.4"/>
    <row r="433" ht="30" customHeight="1" x14ac:dyDescent="0.4"/>
    <row r="434" ht="30" customHeight="1" x14ac:dyDescent="0.4"/>
    <row r="435" ht="30" customHeight="1" x14ac:dyDescent="0.4"/>
    <row r="436" ht="30" customHeight="1" x14ac:dyDescent="0.4"/>
    <row r="437" ht="30" customHeight="1" x14ac:dyDescent="0.4"/>
    <row r="438" ht="30" customHeight="1" x14ac:dyDescent="0.4"/>
    <row r="439" ht="30" customHeight="1" x14ac:dyDescent="0.4"/>
    <row r="440" ht="30" customHeight="1" x14ac:dyDescent="0.4"/>
    <row r="441" ht="30" customHeight="1" x14ac:dyDescent="0.4"/>
    <row r="442" ht="30" customHeight="1" x14ac:dyDescent="0.4"/>
    <row r="443" ht="30" customHeight="1" x14ac:dyDescent="0.4"/>
    <row r="444" ht="30" customHeight="1" x14ac:dyDescent="0.4"/>
    <row r="445" ht="30" customHeight="1" x14ac:dyDescent="0.4"/>
    <row r="446" ht="30" customHeight="1" x14ac:dyDescent="0.4"/>
    <row r="447" ht="30" customHeight="1" x14ac:dyDescent="0.4"/>
    <row r="448" ht="30" customHeight="1" x14ac:dyDescent="0.4"/>
    <row r="449" ht="30" customHeight="1" x14ac:dyDescent="0.4"/>
    <row r="450" ht="30" customHeight="1" x14ac:dyDescent="0.4"/>
    <row r="451" ht="30" customHeight="1" x14ac:dyDescent="0.4"/>
    <row r="452" ht="30" customHeight="1" x14ac:dyDescent="0.4"/>
    <row r="453" ht="30" customHeight="1" x14ac:dyDescent="0.4"/>
    <row r="454" ht="30" customHeight="1" x14ac:dyDescent="0.4"/>
    <row r="455" ht="30" customHeight="1" x14ac:dyDescent="0.4"/>
    <row r="456" ht="30" customHeight="1" x14ac:dyDescent="0.4"/>
    <row r="457" ht="30" customHeight="1" x14ac:dyDescent="0.4"/>
    <row r="458" ht="30" customHeight="1" x14ac:dyDescent="0.4"/>
    <row r="459" ht="30" customHeight="1" x14ac:dyDescent="0.4"/>
    <row r="460" ht="30" customHeight="1" x14ac:dyDescent="0.4"/>
    <row r="461" ht="30" customHeight="1" x14ac:dyDescent="0.4"/>
    <row r="462" ht="30" customHeight="1" x14ac:dyDescent="0.4"/>
    <row r="463" ht="30" customHeight="1" x14ac:dyDescent="0.4"/>
    <row r="464" ht="30" customHeight="1" x14ac:dyDescent="0.4"/>
    <row r="465" ht="30" customHeight="1" x14ac:dyDescent="0.4"/>
    <row r="466" ht="30" customHeight="1" x14ac:dyDescent="0.4"/>
    <row r="467" ht="30" customHeight="1" x14ac:dyDescent="0.4"/>
    <row r="468" ht="30" customHeight="1" x14ac:dyDescent="0.4"/>
    <row r="469" ht="30" customHeight="1" x14ac:dyDescent="0.4"/>
    <row r="470" ht="30" customHeight="1" x14ac:dyDescent="0.4"/>
    <row r="471" ht="30" customHeight="1" x14ac:dyDescent="0.4"/>
    <row r="472" ht="30" customHeight="1" x14ac:dyDescent="0.4"/>
    <row r="473" ht="30" customHeight="1" x14ac:dyDescent="0.4"/>
    <row r="474" ht="30" customHeight="1" x14ac:dyDescent="0.4"/>
    <row r="475" ht="30" customHeight="1" x14ac:dyDescent="0.4"/>
    <row r="476" ht="30" customHeight="1" x14ac:dyDescent="0.4"/>
    <row r="477" ht="30" customHeight="1" x14ac:dyDescent="0.4"/>
    <row r="478" ht="30" customHeight="1" x14ac:dyDescent="0.4"/>
    <row r="479" ht="30" customHeight="1" x14ac:dyDescent="0.4"/>
    <row r="480" ht="30" customHeight="1" x14ac:dyDescent="0.4"/>
    <row r="481" ht="30" customHeight="1" x14ac:dyDescent="0.4"/>
    <row r="482" ht="30" customHeight="1" x14ac:dyDescent="0.4"/>
    <row r="483" ht="30" customHeight="1" x14ac:dyDescent="0.4"/>
    <row r="484" ht="30" customHeight="1" x14ac:dyDescent="0.4"/>
    <row r="485" ht="30" customHeight="1" x14ac:dyDescent="0.4"/>
    <row r="486" ht="30" customHeight="1" x14ac:dyDescent="0.4"/>
    <row r="487" ht="30" customHeight="1" x14ac:dyDescent="0.4"/>
    <row r="488" ht="30" customHeight="1" x14ac:dyDescent="0.4"/>
    <row r="489" ht="30" customHeight="1" x14ac:dyDescent="0.4"/>
    <row r="490" ht="30" customHeight="1" x14ac:dyDescent="0.4"/>
    <row r="491" ht="30" customHeight="1" x14ac:dyDescent="0.4"/>
    <row r="492" ht="30" customHeight="1" x14ac:dyDescent="0.4"/>
    <row r="493" ht="30" customHeight="1" x14ac:dyDescent="0.4"/>
    <row r="494" ht="30" customHeight="1" x14ac:dyDescent="0.4"/>
    <row r="495" ht="30" customHeight="1" x14ac:dyDescent="0.4"/>
    <row r="496" ht="30" customHeight="1" x14ac:dyDescent="0.4"/>
    <row r="497" ht="30" customHeight="1" x14ac:dyDescent="0.4"/>
    <row r="498" ht="30" customHeight="1" x14ac:dyDescent="0.4"/>
    <row r="499" ht="30" customHeight="1" x14ac:dyDescent="0.4"/>
    <row r="500" ht="30" customHeight="1" x14ac:dyDescent="0.4"/>
    <row r="501" ht="30" customHeight="1" x14ac:dyDescent="0.4"/>
    <row r="502" ht="30" customHeight="1" x14ac:dyDescent="0.4"/>
    <row r="503" ht="30" customHeight="1" x14ac:dyDescent="0.4"/>
    <row r="504" ht="30" customHeight="1" x14ac:dyDescent="0.4"/>
    <row r="505" ht="30" customHeight="1" x14ac:dyDescent="0.4"/>
    <row r="506" ht="30" customHeight="1" x14ac:dyDescent="0.4"/>
    <row r="507" ht="30" customHeight="1" x14ac:dyDescent="0.4"/>
    <row r="508" ht="30" customHeight="1" x14ac:dyDescent="0.4"/>
    <row r="509" ht="30" customHeight="1" x14ac:dyDescent="0.4"/>
    <row r="510" ht="30" customHeight="1" x14ac:dyDescent="0.4"/>
    <row r="511" ht="30" customHeight="1" x14ac:dyDescent="0.4"/>
    <row r="512" ht="30" customHeight="1" x14ac:dyDescent="0.4"/>
    <row r="513" ht="30" customHeight="1" x14ac:dyDescent="0.4"/>
    <row r="514" ht="30" customHeight="1" x14ac:dyDescent="0.4"/>
    <row r="515" ht="30" customHeight="1" x14ac:dyDescent="0.4"/>
    <row r="516" ht="30" customHeight="1" x14ac:dyDescent="0.4"/>
    <row r="517" ht="30" customHeight="1" x14ac:dyDescent="0.4"/>
    <row r="518" ht="30" customHeight="1" x14ac:dyDescent="0.4"/>
    <row r="519" ht="30" customHeight="1" x14ac:dyDescent="0.4"/>
    <row r="520" ht="30" customHeight="1" x14ac:dyDescent="0.4"/>
    <row r="521" ht="30" customHeight="1" x14ac:dyDescent="0.4"/>
    <row r="522" ht="30" customHeight="1" x14ac:dyDescent="0.4"/>
    <row r="523" ht="30" customHeight="1" x14ac:dyDescent="0.4"/>
    <row r="524" ht="30" customHeight="1" x14ac:dyDescent="0.4"/>
    <row r="525" ht="30" customHeight="1" x14ac:dyDescent="0.4"/>
    <row r="526" ht="30" customHeight="1" x14ac:dyDescent="0.4"/>
    <row r="527" ht="30" customHeight="1" x14ac:dyDescent="0.4"/>
    <row r="528" ht="30" customHeight="1" x14ac:dyDescent="0.4"/>
    <row r="529" ht="30" customHeight="1" x14ac:dyDescent="0.4"/>
    <row r="530" ht="30" customHeight="1" x14ac:dyDescent="0.4"/>
    <row r="531" ht="30" customHeight="1" x14ac:dyDescent="0.4"/>
    <row r="532" ht="30" customHeight="1" x14ac:dyDescent="0.4"/>
    <row r="533" ht="30" customHeight="1" x14ac:dyDescent="0.4"/>
    <row r="534" ht="30" customHeight="1" x14ac:dyDescent="0.4"/>
    <row r="535" ht="30" customHeight="1" x14ac:dyDescent="0.4"/>
    <row r="536" ht="30" customHeight="1" x14ac:dyDescent="0.4"/>
    <row r="537" ht="30" customHeight="1" x14ac:dyDescent="0.4"/>
    <row r="538" ht="30" customHeight="1" x14ac:dyDescent="0.4"/>
    <row r="539" ht="30" customHeight="1" x14ac:dyDescent="0.4"/>
    <row r="540" ht="30" customHeight="1" x14ac:dyDescent="0.4"/>
    <row r="541" ht="30" customHeight="1" x14ac:dyDescent="0.4"/>
    <row r="542" ht="30" customHeight="1" x14ac:dyDescent="0.4"/>
    <row r="543" ht="30" customHeight="1" x14ac:dyDescent="0.4"/>
    <row r="544" ht="30" customHeight="1" x14ac:dyDescent="0.4"/>
    <row r="545" ht="30" customHeight="1" x14ac:dyDescent="0.4"/>
    <row r="546" ht="30" customHeight="1" x14ac:dyDescent="0.4"/>
    <row r="547" ht="30" customHeight="1" x14ac:dyDescent="0.4"/>
    <row r="548" ht="30" customHeight="1" x14ac:dyDescent="0.4"/>
    <row r="549" ht="30" customHeight="1" x14ac:dyDescent="0.4"/>
    <row r="550" ht="30" customHeight="1" x14ac:dyDescent="0.4"/>
    <row r="551" ht="30" customHeight="1" x14ac:dyDescent="0.4"/>
    <row r="552" ht="30" customHeight="1" x14ac:dyDescent="0.4"/>
    <row r="553" ht="30" customHeight="1" x14ac:dyDescent="0.4"/>
    <row r="554" ht="30" customHeight="1" x14ac:dyDescent="0.4"/>
    <row r="555" ht="30" customHeight="1" x14ac:dyDescent="0.4"/>
    <row r="556" ht="30" customHeight="1" x14ac:dyDescent="0.4"/>
    <row r="557" ht="30" customHeight="1" x14ac:dyDescent="0.4"/>
    <row r="558" ht="30" customHeight="1" x14ac:dyDescent="0.4"/>
    <row r="559" ht="30" customHeight="1" x14ac:dyDescent="0.4"/>
    <row r="560" ht="30" customHeight="1" x14ac:dyDescent="0.4"/>
    <row r="561" ht="30" customHeight="1" x14ac:dyDescent="0.4"/>
    <row r="562" ht="30" customHeight="1" x14ac:dyDescent="0.4"/>
    <row r="563" ht="30" customHeight="1" x14ac:dyDescent="0.4"/>
    <row r="564" ht="30" customHeight="1" x14ac:dyDescent="0.4"/>
    <row r="565" ht="30" customHeight="1" x14ac:dyDescent="0.4"/>
    <row r="566" ht="30" customHeight="1" x14ac:dyDescent="0.4"/>
    <row r="567" ht="30" customHeight="1" x14ac:dyDescent="0.4"/>
    <row r="568" ht="30" customHeight="1" x14ac:dyDescent="0.4"/>
    <row r="569" ht="30" customHeight="1" x14ac:dyDescent="0.4"/>
    <row r="570" ht="30" customHeight="1" x14ac:dyDescent="0.4"/>
    <row r="571" ht="30" customHeight="1" x14ac:dyDescent="0.4"/>
    <row r="572" ht="30" customHeight="1" x14ac:dyDescent="0.4"/>
    <row r="573" ht="30" customHeight="1" x14ac:dyDescent="0.4"/>
    <row r="574" ht="30" customHeight="1" x14ac:dyDescent="0.4"/>
    <row r="575" ht="30" customHeight="1" x14ac:dyDescent="0.4"/>
    <row r="576" ht="30" customHeight="1" x14ac:dyDescent="0.4"/>
    <row r="577" ht="30" customHeight="1" x14ac:dyDescent="0.4"/>
    <row r="578" ht="30" customHeight="1" x14ac:dyDescent="0.4"/>
    <row r="579" ht="30" customHeight="1" x14ac:dyDescent="0.4"/>
    <row r="580" ht="30" customHeight="1" x14ac:dyDescent="0.4"/>
    <row r="581" ht="30" customHeight="1" x14ac:dyDescent="0.4"/>
    <row r="582" ht="30" customHeight="1" x14ac:dyDescent="0.4"/>
    <row r="583" ht="30" customHeight="1" x14ac:dyDescent="0.4"/>
    <row r="584" ht="30" customHeight="1" x14ac:dyDescent="0.4"/>
    <row r="585" ht="30" customHeight="1" x14ac:dyDescent="0.4"/>
    <row r="586" ht="30" customHeight="1" x14ac:dyDescent="0.4"/>
    <row r="587" ht="30" customHeight="1" x14ac:dyDescent="0.4"/>
    <row r="588" ht="30" customHeight="1" x14ac:dyDescent="0.4"/>
    <row r="589" ht="30" customHeight="1" x14ac:dyDescent="0.4"/>
    <row r="590" ht="30" customHeight="1" x14ac:dyDescent="0.4"/>
    <row r="591" ht="30" customHeight="1" x14ac:dyDescent="0.4"/>
    <row r="592" ht="30" customHeight="1" x14ac:dyDescent="0.4"/>
    <row r="593" ht="30" customHeight="1" x14ac:dyDescent="0.4"/>
    <row r="594" ht="30" customHeight="1" x14ac:dyDescent="0.4"/>
    <row r="595" ht="30" customHeight="1" x14ac:dyDescent="0.4"/>
    <row r="596" ht="30" customHeight="1" x14ac:dyDescent="0.4"/>
    <row r="597" ht="30" customHeight="1" x14ac:dyDescent="0.4"/>
    <row r="598" ht="30" customHeight="1" x14ac:dyDescent="0.4"/>
    <row r="599" ht="30" customHeight="1" x14ac:dyDescent="0.4"/>
    <row r="600" ht="30" customHeight="1" x14ac:dyDescent="0.4"/>
    <row r="601" ht="30" customHeight="1" x14ac:dyDescent="0.4"/>
    <row r="602" ht="30" customHeight="1" x14ac:dyDescent="0.4"/>
    <row r="603" ht="30" customHeight="1" x14ac:dyDescent="0.4"/>
    <row r="604" ht="30" customHeight="1" x14ac:dyDescent="0.4"/>
    <row r="605" ht="30" customHeight="1" x14ac:dyDescent="0.4"/>
    <row r="606" ht="30" customHeight="1" x14ac:dyDescent="0.4"/>
    <row r="607" ht="30" customHeight="1" x14ac:dyDescent="0.4"/>
    <row r="608" ht="30" customHeight="1" x14ac:dyDescent="0.4"/>
    <row r="609" ht="30" customHeight="1" x14ac:dyDescent="0.4"/>
    <row r="610" ht="30" customHeight="1" x14ac:dyDescent="0.4"/>
    <row r="611" ht="30" customHeight="1" x14ac:dyDescent="0.4"/>
    <row r="612" ht="30" customHeight="1" x14ac:dyDescent="0.4"/>
    <row r="613" ht="30" customHeight="1" x14ac:dyDescent="0.4"/>
    <row r="614" ht="30" customHeight="1" x14ac:dyDescent="0.4"/>
    <row r="615" ht="30" customHeight="1" x14ac:dyDescent="0.4"/>
    <row r="616" ht="30" customHeight="1" x14ac:dyDescent="0.4"/>
    <row r="617" ht="30" customHeight="1" x14ac:dyDescent="0.4"/>
    <row r="618" ht="30" customHeight="1" x14ac:dyDescent="0.4"/>
    <row r="619" ht="30" customHeight="1" x14ac:dyDescent="0.4"/>
    <row r="620" ht="30" customHeight="1" x14ac:dyDescent="0.4"/>
    <row r="621" ht="30" customHeight="1" x14ac:dyDescent="0.4"/>
    <row r="622" ht="30" customHeight="1" x14ac:dyDescent="0.4"/>
    <row r="623" ht="30" customHeight="1" x14ac:dyDescent="0.4"/>
    <row r="624" ht="30" customHeight="1" x14ac:dyDescent="0.4"/>
    <row r="625" ht="30" customHeight="1" x14ac:dyDescent="0.4"/>
    <row r="626" ht="30" customHeight="1" x14ac:dyDescent="0.4"/>
    <row r="627" ht="30" customHeight="1" x14ac:dyDescent="0.4"/>
    <row r="628" ht="30" customHeight="1" x14ac:dyDescent="0.4"/>
    <row r="629" ht="30" customHeight="1" x14ac:dyDescent="0.4"/>
    <row r="630" ht="30" customHeight="1" x14ac:dyDescent="0.4"/>
    <row r="631" ht="30" customHeight="1" x14ac:dyDescent="0.4"/>
    <row r="632" ht="30" customHeight="1" x14ac:dyDescent="0.4"/>
    <row r="633" ht="30" customHeight="1" x14ac:dyDescent="0.4"/>
    <row r="634" ht="30" customHeight="1" x14ac:dyDescent="0.4"/>
    <row r="635" ht="30" customHeight="1" x14ac:dyDescent="0.4"/>
    <row r="636" ht="30" customHeight="1" x14ac:dyDescent="0.4"/>
    <row r="637" ht="30" customHeight="1" x14ac:dyDescent="0.4"/>
    <row r="638" ht="30" customHeight="1" x14ac:dyDescent="0.4"/>
    <row r="639" ht="30" customHeight="1" x14ac:dyDescent="0.4"/>
    <row r="640" ht="30" customHeight="1" x14ac:dyDescent="0.4"/>
    <row r="641" ht="30" customHeight="1" x14ac:dyDescent="0.4"/>
    <row r="642" ht="30" customHeight="1" x14ac:dyDescent="0.4"/>
    <row r="643" ht="30" customHeight="1" x14ac:dyDescent="0.4"/>
    <row r="644" ht="30" customHeight="1" x14ac:dyDescent="0.4"/>
    <row r="645" ht="30" customHeight="1" x14ac:dyDescent="0.4"/>
    <row r="646" ht="30" customHeight="1" x14ac:dyDescent="0.4"/>
    <row r="647" ht="30" customHeight="1" x14ac:dyDescent="0.4"/>
    <row r="648" ht="30" customHeight="1" x14ac:dyDescent="0.4"/>
    <row r="649" ht="30" customHeight="1" x14ac:dyDescent="0.4"/>
    <row r="650" ht="30" customHeight="1" x14ac:dyDescent="0.4"/>
    <row r="651" ht="30" customHeight="1" x14ac:dyDescent="0.4"/>
    <row r="652" ht="30" customHeight="1" x14ac:dyDescent="0.4"/>
    <row r="653" ht="30" customHeight="1" x14ac:dyDescent="0.4"/>
    <row r="654" ht="30" customHeight="1" x14ac:dyDescent="0.4"/>
    <row r="655" ht="30" customHeight="1" x14ac:dyDescent="0.4"/>
    <row r="656" ht="30" customHeight="1" x14ac:dyDescent="0.4"/>
    <row r="657" ht="30" customHeight="1" x14ac:dyDescent="0.4"/>
    <row r="658" ht="30" customHeight="1" x14ac:dyDescent="0.4"/>
    <row r="659" ht="30" customHeight="1" x14ac:dyDescent="0.4"/>
    <row r="660" ht="30" customHeight="1" x14ac:dyDescent="0.4"/>
    <row r="661" ht="30" customHeight="1" x14ac:dyDescent="0.4"/>
    <row r="662" ht="30" customHeight="1" x14ac:dyDescent="0.4"/>
    <row r="663" ht="30" customHeight="1" x14ac:dyDescent="0.4"/>
    <row r="664" ht="30" customHeight="1" x14ac:dyDescent="0.4"/>
    <row r="665" ht="30" customHeight="1" x14ac:dyDescent="0.4"/>
    <row r="666" ht="30" customHeight="1" x14ac:dyDescent="0.4"/>
    <row r="667" ht="30" customHeight="1" x14ac:dyDescent="0.4"/>
    <row r="668" ht="30" customHeight="1" x14ac:dyDescent="0.4"/>
    <row r="669" ht="30" customHeight="1" x14ac:dyDescent="0.4"/>
    <row r="670" ht="30" customHeight="1" x14ac:dyDescent="0.4"/>
    <row r="671" ht="30" customHeight="1" x14ac:dyDescent="0.4"/>
    <row r="672" ht="30" customHeight="1" x14ac:dyDescent="0.4"/>
    <row r="673" ht="30" customHeight="1" x14ac:dyDescent="0.4"/>
    <row r="674" ht="30" customHeight="1" x14ac:dyDescent="0.4"/>
    <row r="675" ht="30" customHeight="1" x14ac:dyDescent="0.4"/>
    <row r="676" ht="30" customHeight="1" x14ac:dyDescent="0.4"/>
    <row r="677" ht="30" customHeight="1" x14ac:dyDescent="0.4"/>
    <row r="678" ht="30" customHeight="1" x14ac:dyDescent="0.4"/>
    <row r="679" ht="30" customHeight="1" x14ac:dyDescent="0.4"/>
    <row r="680" ht="30" customHeight="1" x14ac:dyDescent="0.4"/>
    <row r="681" ht="30" customHeight="1" x14ac:dyDescent="0.4"/>
    <row r="682" ht="30" customHeight="1" x14ac:dyDescent="0.4"/>
    <row r="683" ht="30" customHeight="1" x14ac:dyDescent="0.4"/>
    <row r="684" ht="30" customHeight="1" x14ac:dyDescent="0.4"/>
    <row r="685" ht="30" customHeight="1" x14ac:dyDescent="0.4"/>
    <row r="686" ht="30" customHeight="1" x14ac:dyDescent="0.4"/>
    <row r="687" ht="30" customHeight="1" x14ac:dyDescent="0.4"/>
    <row r="688" ht="30" customHeight="1" x14ac:dyDescent="0.4"/>
    <row r="689" ht="30" customHeight="1" x14ac:dyDescent="0.4"/>
    <row r="690" ht="30" customHeight="1" x14ac:dyDescent="0.4"/>
    <row r="691" ht="30" customHeight="1" x14ac:dyDescent="0.4"/>
    <row r="692" ht="30" customHeight="1" x14ac:dyDescent="0.4"/>
    <row r="693" ht="30" customHeight="1" x14ac:dyDescent="0.4"/>
    <row r="694" ht="30" customHeight="1" x14ac:dyDescent="0.4"/>
    <row r="695" ht="30" customHeight="1" x14ac:dyDescent="0.4"/>
    <row r="696" ht="30" customHeight="1" x14ac:dyDescent="0.4"/>
    <row r="697" ht="30" customHeight="1" x14ac:dyDescent="0.4"/>
    <row r="698" ht="30" customHeight="1" x14ac:dyDescent="0.4"/>
    <row r="699" ht="30" customHeight="1" x14ac:dyDescent="0.4"/>
    <row r="700" ht="30" customHeight="1" x14ac:dyDescent="0.4"/>
    <row r="701" ht="30" customHeight="1" x14ac:dyDescent="0.4"/>
    <row r="702" ht="30" customHeight="1" x14ac:dyDescent="0.4"/>
    <row r="703" ht="30" customHeight="1" x14ac:dyDescent="0.4"/>
    <row r="704" ht="30" customHeight="1" x14ac:dyDescent="0.4"/>
    <row r="705" ht="30" customHeight="1" x14ac:dyDescent="0.4"/>
    <row r="706" ht="30" customHeight="1" x14ac:dyDescent="0.4"/>
    <row r="707" ht="30" customHeight="1" x14ac:dyDescent="0.4"/>
    <row r="708" ht="30" customHeight="1" x14ac:dyDescent="0.4"/>
    <row r="709" ht="30" customHeight="1" x14ac:dyDescent="0.4"/>
    <row r="710" ht="30" customHeight="1" x14ac:dyDescent="0.4"/>
    <row r="711" ht="30" customHeight="1" x14ac:dyDescent="0.4"/>
    <row r="712" ht="30" customHeight="1" x14ac:dyDescent="0.4"/>
    <row r="713" ht="30" customHeight="1" x14ac:dyDescent="0.4"/>
    <row r="714" ht="30" customHeight="1" x14ac:dyDescent="0.4"/>
    <row r="715" ht="30" customHeight="1" x14ac:dyDescent="0.4"/>
    <row r="716" ht="30" customHeight="1" x14ac:dyDescent="0.4"/>
    <row r="717" ht="30" customHeight="1" x14ac:dyDescent="0.4"/>
    <row r="718" ht="30" customHeight="1" x14ac:dyDescent="0.4"/>
    <row r="719" ht="30" customHeight="1" x14ac:dyDescent="0.4"/>
    <row r="720" ht="30" customHeight="1" x14ac:dyDescent="0.4"/>
    <row r="721" ht="30" customHeight="1" x14ac:dyDescent="0.4"/>
    <row r="722" ht="30" customHeight="1" x14ac:dyDescent="0.4"/>
    <row r="723" ht="30" customHeight="1" x14ac:dyDescent="0.4"/>
    <row r="724" ht="30" customHeight="1" x14ac:dyDescent="0.4"/>
    <row r="725" ht="30" customHeight="1" x14ac:dyDescent="0.4"/>
    <row r="726" ht="30" customHeight="1" x14ac:dyDescent="0.4"/>
    <row r="727" ht="30" customHeight="1" x14ac:dyDescent="0.4"/>
    <row r="728" ht="30" customHeight="1" x14ac:dyDescent="0.4"/>
    <row r="729" ht="30" customHeight="1" x14ac:dyDescent="0.4"/>
    <row r="730" ht="30" customHeight="1" x14ac:dyDescent="0.4"/>
    <row r="731" ht="30" customHeight="1" x14ac:dyDescent="0.4"/>
    <row r="732" ht="30" customHeight="1" x14ac:dyDescent="0.4"/>
    <row r="733" ht="30" customHeight="1" x14ac:dyDescent="0.4"/>
    <row r="734" ht="30" customHeight="1" x14ac:dyDescent="0.4"/>
    <row r="735" ht="30" customHeight="1" x14ac:dyDescent="0.4"/>
    <row r="736" ht="30" customHeight="1" x14ac:dyDescent="0.4"/>
    <row r="737" ht="30" customHeight="1" x14ac:dyDescent="0.4"/>
    <row r="738" ht="30" customHeight="1" x14ac:dyDescent="0.4"/>
    <row r="739" ht="30" customHeight="1" x14ac:dyDescent="0.4"/>
    <row r="740" ht="30" customHeight="1" x14ac:dyDescent="0.4"/>
    <row r="741" ht="30" customHeight="1" x14ac:dyDescent="0.4"/>
    <row r="742" ht="30" customHeight="1" x14ac:dyDescent="0.4"/>
    <row r="743" ht="30" customHeight="1" x14ac:dyDescent="0.4"/>
    <row r="744" ht="30" customHeight="1" x14ac:dyDescent="0.4"/>
    <row r="745" ht="30" customHeight="1" x14ac:dyDescent="0.4"/>
    <row r="746" ht="30" customHeight="1" x14ac:dyDescent="0.4"/>
    <row r="747" ht="30" customHeight="1" x14ac:dyDescent="0.4"/>
    <row r="748" ht="30" customHeight="1" x14ac:dyDescent="0.4"/>
    <row r="749" ht="30" customHeight="1" x14ac:dyDescent="0.4"/>
    <row r="750" ht="30" customHeight="1" x14ac:dyDescent="0.4"/>
    <row r="751" ht="30" customHeight="1" x14ac:dyDescent="0.4"/>
    <row r="752" ht="30" customHeight="1" x14ac:dyDescent="0.4"/>
    <row r="753" ht="30" customHeight="1" x14ac:dyDescent="0.4"/>
    <row r="754" ht="30" customHeight="1" x14ac:dyDescent="0.4"/>
    <row r="755" ht="30" customHeight="1" x14ac:dyDescent="0.4"/>
    <row r="756" ht="30" customHeight="1" x14ac:dyDescent="0.4"/>
    <row r="757" ht="30" customHeight="1" x14ac:dyDescent="0.4"/>
    <row r="758" ht="30" customHeight="1" x14ac:dyDescent="0.4"/>
    <row r="759" ht="30" customHeight="1" x14ac:dyDescent="0.4"/>
    <row r="760" ht="30" customHeight="1" x14ac:dyDescent="0.4"/>
    <row r="761" ht="30" customHeight="1" x14ac:dyDescent="0.4"/>
    <row r="762" ht="30" customHeight="1" x14ac:dyDescent="0.4"/>
    <row r="763" ht="30" customHeight="1" x14ac:dyDescent="0.4"/>
    <row r="764" ht="30" customHeight="1" x14ac:dyDescent="0.4"/>
    <row r="765" ht="30" customHeight="1" x14ac:dyDescent="0.4"/>
    <row r="766" ht="30" customHeight="1" x14ac:dyDescent="0.4"/>
    <row r="767" ht="30" customHeight="1" x14ac:dyDescent="0.4"/>
    <row r="768" ht="30" customHeight="1" x14ac:dyDescent="0.4"/>
    <row r="769" ht="30" customHeight="1" x14ac:dyDescent="0.4"/>
    <row r="770" ht="30" customHeight="1" x14ac:dyDescent="0.4"/>
    <row r="771" ht="30" customHeight="1" x14ac:dyDescent="0.4"/>
    <row r="772" ht="30" customHeight="1" x14ac:dyDescent="0.4"/>
    <row r="773" ht="30" customHeight="1" x14ac:dyDescent="0.4"/>
    <row r="774" ht="30" customHeight="1" x14ac:dyDescent="0.4"/>
    <row r="775" ht="30" customHeight="1" x14ac:dyDescent="0.4"/>
    <row r="776" ht="30" customHeight="1" x14ac:dyDescent="0.4"/>
    <row r="777" ht="30" customHeight="1" x14ac:dyDescent="0.4"/>
    <row r="778" ht="30" customHeight="1" x14ac:dyDescent="0.4"/>
    <row r="779" ht="30" customHeight="1" x14ac:dyDescent="0.4"/>
    <row r="780" ht="30" customHeight="1" x14ac:dyDescent="0.4"/>
    <row r="781" ht="30" customHeight="1" x14ac:dyDescent="0.4"/>
    <row r="782" ht="30" customHeight="1" x14ac:dyDescent="0.4"/>
    <row r="783" ht="30" customHeight="1" x14ac:dyDescent="0.4"/>
    <row r="784" ht="30" customHeight="1" x14ac:dyDescent="0.4"/>
    <row r="785" ht="30" customHeight="1" x14ac:dyDescent="0.4"/>
    <row r="786" ht="30" customHeight="1" x14ac:dyDescent="0.4"/>
    <row r="787" ht="30" customHeight="1" x14ac:dyDescent="0.4"/>
    <row r="788" ht="30" customHeight="1" x14ac:dyDescent="0.4"/>
    <row r="789" ht="30" customHeight="1" x14ac:dyDescent="0.4"/>
    <row r="790" ht="30" customHeight="1" x14ac:dyDescent="0.4"/>
    <row r="791" ht="30" customHeight="1" x14ac:dyDescent="0.4"/>
    <row r="792" ht="30" customHeight="1" x14ac:dyDescent="0.4"/>
    <row r="793" ht="30" customHeight="1" x14ac:dyDescent="0.4"/>
    <row r="794" ht="30" customHeight="1" x14ac:dyDescent="0.4"/>
    <row r="795" ht="30" customHeight="1" x14ac:dyDescent="0.4"/>
    <row r="796" ht="30" customHeight="1" x14ac:dyDescent="0.4"/>
    <row r="797" ht="30" customHeight="1" x14ac:dyDescent="0.4"/>
    <row r="798" ht="30" customHeight="1" x14ac:dyDescent="0.4"/>
    <row r="799" ht="30" customHeight="1" x14ac:dyDescent="0.4"/>
    <row r="800" ht="30" customHeight="1" x14ac:dyDescent="0.4"/>
    <row r="801" ht="30" customHeight="1" x14ac:dyDescent="0.4"/>
    <row r="802" ht="30" customHeight="1" x14ac:dyDescent="0.4"/>
    <row r="803" ht="30" customHeight="1" x14ac:dyDescent="0.4"/>
    <row r="804" ht="30" customHeight="1" x14ac:dyDescent="0.4"/>
    <row r="805" ht="30" customHeight="1" x14ac:dyDescent="0.4"/>
    <row r="806" ht="30" customHeight="1" x14ac:dyDescent="0.4"/>
    <row r="807" ht="30" customHeight="1" x14ac:dyDescent="0.4"/>
    <row r="808" ht="30" customHeight="1" x14ac:dyDescent="0.4"/>
    <row r="809" ht="30" customHeight="1" x14ac:dyDescent="0.4"/>
    <row r="810" ht="30" customHeight="1" x14ac:dyDescent="0.4"/>
    <row r="811" ht="30" customHeight="1" x14ac:dyDescent="0.4"/>
    <row r="812" ht="30" customHeight="1" x14ac:dyDescent="0.4"/>
    <row r="813" ht="30" customHeight="1" x14ac:dyDescent="0.4"/>
    <row r="814" ht="30" customHeight="1" x14ac:dyDescent="0.4"/>
    <row r="815" ht="30" customHeight="1" x14ac:dyDescent="0.4"/>
    <row r="816" ht="30" customHeight="1" x14ac:dyDescent="0.4"/>
    <row r="817" ht="30" customHeight="1" x14ac:dyDescent="0.4"/>
    <row r="818" ht="30" customHeight="1" x14ac:dyDescent="0.4"/>
    <row r="819" ht="30" customHeight="1" x14ac:dyDescent="0.4"/>
    <row r="820" ht="30" customHeight="1" x14ac:dyDescent="0.4"/>
    <row r="821" ht="30" customHeight="1" x14ac:dyDescent="0.4"/>
    <row r="822" ht="30" customHeight="1" x14ac:dyDescent="0.4"/>
    <row r="823" ht="30" customHeight="1" x14ac:dyDescent="0.4"/>
    <row r="824" ht="30" customHeight="1" x14ac:dyDescent="0.4"/>
    <row r="825" ht="30" customHeight="1" x14ac:dyDescent="0.4"/>
    <row r="826" ht="30" customHeight="1" x14ac:dyDescent="0.4"/>
    <row r="827" ht="30" customHeight="1" x14ac:dyDescent="0.4"/>
    <row r="828" ht="30" customHeight="1" x14ac:dyDescent="0.4"/>
    <row r="829" ht="30" customHeight="1" x14ac:dyDescent="0.4"/>
    <row r="830" ht="30" customHeight="1" x14ac:dyDescent="0.4"/>
    <row r="831" ht="30" customHeight="1" x14ac:dyDescent="0.4"/>
    <row r="832" ht="30" customHeight="1" x14ac:dyDescent="0.4"/>
    <row r="833" ht="30" customHeight="1" x14ac:dyDescent="0.4"/>
    <row r="834" ht="30" customHeight="1" x14ac:dyDescent="0.4"/>
    <row r="835" ht="30" customHeight="1" x14ac:dyDescent="0.4"/>
    <row r="836" ht="30" customHeight="1" x14ac:dyDescent="0.4"/>
    <row r="837" ht="30" customHeight="1" x14ac:dyDescent="0.4"/>
    <row r="838" ht="30" customHeight="1" x14ac:dyDescent="0.4"/>
    <row r="839" ht="30" customHeight="1" x14ac:dyDescent="0.4"/>
    <row r="840" ht="30" customHeight="1" x14ac:dyDescent="0.4"/>
    <row r="841" ht="30" customHeight="1" x14ac:dyDescent="0.4"/>
    <row r="842" ht="30" customHeight="1" x14ac:dyDescent="0.4"/>
    <row r="843" ht="30" customHeight="1" x14ac:dyDescent="0.4"/>
    <row r="844" ht="30" customHeight="1" x14ac:dyDescent="0.4"/>
    <row r="845" ht="30" customHeight="1" x14ac:dyDescent="0.4"/>
    <row r="846" ht="30" customHeight="1" x14ac:dyDescent="0.4"/>
    <row r="847" ht="30" customHeight="1" x14ac:dyDescent="0.4"/>
    <row r="848" ht="30" customHeight="1" x14ac:dyDescent="0.4"/>
    <row r="849" ht="30" customHeight="1" x14ac:dyDescent="0.4"/>
    <row r="850" ht="30" customHeight="1" x14ac:dyDescent="0.4"/>
    <row r="851" ht="30" customHeight="1" x14ac:dyDescent="0.4"/>
    <row r="852" ht="30" customHeight="1" x14ac:dyDescent="0.4"/>
    <row r="853" ht="30" customHeight="1" x14ac:dyDescent="0.4"/>
    <row r="854" ht="30" customHeight="1" x14ac:dyDescent="0.4"/>
    <row r="855" ht="30" customHeight="1" x14ac:dyDescent="0.4"/>
    <row r="856" ht="30" customHeight="1" x14ac:dyDescent="0.4"/>
    <row r="857" ht="30" customHeight="1" x14ac:dyDescent="0.4"/>
    <row r="858" ht="30" customHeight="1" x14ac:dyDescent="0.4"/>
    <row r="859" ht="30" customHeight="1" x14ac:dyDescent="0.4"/>
    <row r="860" ht="30" customHeight="1" x14ac:dyDescent="0.4"/>
    <row r="861" ht="30" customHeight="1" x14ac:dyDescent="0.4"/>
    <row r="862" ht="30" customHeight="1" x14ac:dyDescent="0.4"/>
    <row r="863" ht="30" customHeight="1" x14ac:dyDescent="0.4"/>
    <row r="864" ht="30" customHeight="1" x14ac:dyDescent="0.4"/>
    <row r="865" ht="30" customHeight="1" x14ac:dyDescent="0.4"/>
    <row r="866" ht="30" customHeight="1" x14ac:dyDescent="0.4"/>
    <row r="867" ht="30" customHeight="1" x14ac:dyDescent="0.4"/>
    <row r="868" ht="30" customHeight="1" x14ac:dyDescent="0.4"/>
    <row r="869" ht="30" customHeight="1" x14ac:dyDescent="0.4"/>
    <row r="870" ht="30" customHeight="1" x14ac:dyDescent="0.4"/>
    <row r="871" ht="30" customHeight="1" x14ac:dyDescent="0.4"/>
    <row r="872" ht="30" customHeight="1" x14ac:dyDescent="0.4"/>
    <row r="873" ht="30" customHeight="1" x14ac:dyDescent="0.4"/>
    <row r="874" ht="30" customHeight="1" x14ac:dyDescent="0.4"/>
    <row r="875" ht="30" customHeight="1" x14ac:dyDescent="0.4"/>
    <row r="876" ht="30" customHeight="1" x14ac:dyDescent="0.4"/>
    <row r="877" ht="30" customHeight="1" x14ac:dyDescent="0.4"/>
    <row r="878" ht="30" customHeight="1" x14ac:dyDescent="0.4"/>
    <row r="879" ht="30" customHeight="1" x14ac:dyDescent="0.4"/>
    <row r="880" ht="30" customHeight="1" x14ac:dyDescent="0.4"/>
    <row r="881" ht="30" customHeight="1" x14ac:dyDescent="0.4"/>
    <row r="882" ht="30" customHeight="1" x14ac:dyDescent="0.4"/>
    <row r="883" ht="30" customHeight="1" x14ac:dyDescent="0.4"/>
    <row r="884" ht="30" customHeight="1" x14ac:dyDescent="0.4"/>
    <row r="885" ht="30" customHeight="1" x14ac:dyDescent="0.4"/>
    <row r="886" ht="30" customHeight="1" x14ac:dyDescent="0.4"/>
    <row r="887" ht="30" customHeight="1" x14ac:dyDescent="0.4"/>
    <row r="888" ht="30" customHeight="1" x14ac:dyDescent="0.4"/>
    <row r="889" ht="30" customHeight="1" x14ac:dyDescent="0.4"/>
    <row r="890" ht="30" customHeight="1" x14ac:dyDescent="0.4"/>
    <row r="891" ht="30" customHeight="1" x14ac:dyDescent="0.4"/>
    <row r="892" ht="30" customHeight="1" x14ac:dyDescent="0.4"/>
    <row r="893" ht="30" customHeight="1" x14ac:dyDescent="0.4"/>
    <row r="894" ht="30" customHeight="1" x14ac:dyDescent="0.4"/>
    <row r="895" ht="30" customHeight="1" x14ac:dyDescent="0.4"/>
    <row r="896" ht="30" customHeight="1" x14ac:dyDescent="0.4"/>
    <row r="897" ht="30" customHeight="1" x14ac:dyDescent="0.4"/>
    <row r="898" ht="30" customHeight="1" x14ac:dyDescent="0.4"/>
    <row r="899" ht="30" customHeight="1" x14ac:dyDescent="0.4"/>
    <row r="900" ht="30" customHeight="1" x14ac:dyDescent="0.4"/>
    <row r="901" ht="30" customHeight="1" x14ac:dyDescent="0.4"/>
    <row r="902" ht="30" customHeight="1" x14ac:dyDescent="0.4"/>
    <row r="903" ht="30" customHeight="1" x14ac:dyDescent="0.4"/>
    <row r="904" ht="30" customHeight="1" x14ac:dyDescent="0.4"/>
    <row r="905" ht="30" customHeight="1" x14ac:dyDescent="0.4"/>
    <row r="906" ht="30" customHeight="1" x14ac:dyDescent="0.4"/>
    <row r="907" ht="30" customHeight="1" x14ac:dyDescent="0.4"/>
    <row r="908" ht="30" customHeight="1" x14ac:dyDescent="0.4"/>
    <row r="909" ht="30" customHeight="1" x14ac:dyDescent="0.4"/>
    <row r="910" ht="30" customHeight="1" x14ac:dyDescent="0.4"/>
    <row r="911" ht="30" customHeight="1" x14ac:dyDescent="0.4"/>
    <row r="912" ht="30" customHeight="1" x14ac:dyDescent="0.4"/>
    <row r="913" ht="30" customHeight="1" x14ac:dyDescent="0.4"/>
    <row r="914" ht="30" customHeight="1" x14ac:dyDescent="0.4"/>
    <row r="915" ht="30" customHeight="1" x14ac:dyDescent="0.4"/>
    <row r="916" ht="30" customHeight="1" x14ac:dyDescent="0.4"/>
    <row r="917" ht="30" customHeight="1" x14ac:dyDescent="0.4"/>
    <row r="918" ht="30" customHeight="1" x14ac:dyDescent="0.4"/>
    <row r="919" ht="30" customHeight="1" x14ac:dyDescent="0.4"/>
    <row r="920" ht="30" customHeight="1" x14ac:dyDescent="0.4"/>
    <row r="921" ht="30" customHeight="1" x14ac:dyDescent="0.4"/>
    <row r="922" ht="30" customHeight="1" x14ac:dyDescent="0.4"/>
    <row r="923" ht="30" customHeight="1" x14ac:dyDescent="0.4"/>
    <row r="924" ht="30" customHeight="1" x14ac:dyDescent="0.4"/>
    <row r="925" ht="30" customHeight="1" x14ac:dyDescent="0.4"/>
    <row r="926" ht="30" customHeight="1" x14ac:dyDescent="0.4"/>
    <row r="927" ht="30" customHeight="1" x14ac:dyDescent="0.4"/>
    <row r="928" ht="30" customHeight="1" x14ac:dyDescent="0.4"/>
    <row r="929" ht="30" customHeight="1" x14ac:dyDescent="0.4"/>
    <row r="930" ht="30" customHeight="1" x14ac:dyDescent="0.4"/>
    <row r="931" ht="30" customHeight="1" x14ac:dyDescent="0.4"/>
    <row r="932" ht="30" customHeight="1" x14ac:dyDescent="0.4"/>
    <row r="933" ht="30" customHeight="1" x14ac:dyDescent="0.4"/>
    <row r="934" ht="30" customHeight="1" x14ac:dyDescent="0.4"/>
    <row r="935" ht="30" customHeight="1" x14ac:dyDescent="0.4"/>
    <row r="936" ht="30" customHeight="1" x14ac:dyDescent="0.4"/>
    <row r="937" ht="30" customHeight="1" x14ac:dyDescent="0.4"/>
    <row r="938" ht="30" customHeight="1" x14ac:dyDescent="0.4"/>
    <row r="939" ht="30" customHeight="1" x14ac:dyDescent="0.4"/>
    <row r="940" ht="30" customHeight="1" x14ac:dyDescent="0.4"/>
    <row r="941" ht="30" customHeight="1" x14ac:dyDescent="0.4"/>
    <row r="942" ht="30" customHeight="1" x14ac:dyDescent="0.4"/>
    <row r="943" ht="30" customHeight="1" x14ac:dyDescent="0.4"/>
    <row r="944" ht="30" customHeight="1" x14ac:dyDescent="0.4"/>
    <row r="945" ht="30" customHeight="1" x14ac:dyDescent="0.4"/>
    <row r="946" ht="30" customHeight="1" x14ac:dyDescent="0.4"/>
    <row r="947" ht="30" customHeight="1" x14ac:dyDescent="0.4"/>
    <row r="948" ht="30" customHeight="1" x14ac:dyDescent="0.4"/>
    <row r="949" ht="30" customHeight="1" x14ac:dyDescent="0.4"/>
    <row r="950" ht="30" customHeight="1" x14ac:dyDescent="0.4"/>
    <row r="951" ht="30" customHeight="1" x14ac:dyDescent="0.4"/>
    <row r="952" ht="30" customHeight="1" x14ac:dyDescent="0.4"/>
    <row r="953" ht="30" customHeight="1" x14ac:dyDescent="0.4"/>
    <row r="954" ht="30" customHeight="1" x14ac:dyDescent="0.4"/>
    <row r="955" ht="30" customHeight="1" x14ac:dyDescent="0.4"/>
    <row r="956" ht="30" customHeight="1" x14ac:dyDescent="0.4"/>
    <row r="957" ht="30" customHeight="1" x14ac:dyDescent="0.4"/>
    <row r="958" ht="30" customHeight="1" x14ac:dyDescent="0.4"/>
    <row r="959" ht="30" customHeight="1" x14ac:dyDescent="0.4"/>
    <row r="960" ht="30" customHeight="1" x14ac:dyDescent="0.4"/>
    <row r="961" ht="30" customHeight="1" x14ac:dyDescent="0.4"/>
    <row r="962" ht="30" customHeight="1" x14ac:dyDescent="0.4"/>
    <row r="963" ht="30" customHeight="1" x14ac:dyDescent="0.4"/>
    <row r="964" ht="30" customHeight="1" x14ac:dyDescent="0.4"/>
    <row r="965" ht="30" customHeight="1" x14ac:dyDescent="0.4"/>
    <row r="966" ht="30" customHeight="1" x14ac:dyDescent="0.4"/>
    <row r="967" ht="30" customHeight="1" x14ac:dyDescent="0.4"/>
    <row r="968" ht="30" customHeight="1" x14ac:dyDescent="0.4"/>
    <row r="969" ht="30" customHeight="1" x14ac:dyDescent="0.4"/>
    <row r="970" ht="30" customHeight="1" x14ac:dyDescent="0.4"/>
    <row r="971" ht="30" customHeight="1" x14ac:dyDescent="0.4"/>
    <row r="972" ht="30" customHeight="1" x14ac:dyDescent="0.4"/>
    <row r="973" ht="30" customHeight="1" x14ac:dyDescent="0.4"/>
    <row r="974" ht="30" customHeight="1" x14ac:dyDescent="0.4"/>
    <row r="975" ht="30" customHeight="1" x14ac:dyDescent="0.4"/>
    <row r="976" ht="30" customHeight="1" x14ac:dyDescent="0.4"/>
    <row r="977" ht="30" customHeight="1" x14ac:dyDescent="0.4"/>
    <row r="978" ht="30" customHeight="1" x14ac:dyDescent="0.4"/>
    <row r="979" ht="30" customHeight="1" x14ac:dyDescent="0.4"/>
    <row r="980" ht="30" customHeight="1" x14ac:dyDescent="0.4"/>
    <row r="981" ht="30" customHeight="1" x14ac:dyDescent="0.4"/>
    <row r="982" ht="30" customHeight="1" x14ac:dyDescent="0.4"/>
    <row r="983" ht="30" customHeight="1" x14ac:dyDescent="0.4"/>
    <row r="984" ht="30" customHeight="1" x14ac:dyDescent="0.4"/>
    <row r="985" ht="30" customHeight="1" x14ac:dyDescent="0.4"/>
    <row r="986" ht="30" customHeight="1" x14ac:dyDescent="0.4"/>
    <row r="987" ht="30" customHeight="1" x14ac:dyDescent="0.4"/>
    <row r="988" ht="30" customHeight="1" x14ac:dyDescent="0.4"/>
    <row r="989" ht="30" customHeight="1" x14ac:dyDescent="0.4"/>
    <row r="990" ht="30" customHeight="1" x14ac:dyDescent="0.4"/>
    <row r="991" ht="30" customHeight="1" x14ac:dyDescent="0.4"/>
    <row r="992" ht="30" customHeight="1" x14ac:dyDescent="0.4"/>
    <row r="993" ht="30" customHeight="1" x14ac:dyDescent="0.4"/>
    <row r="994" ht="30" customHeight="1" x14ac:dyDescent="0.4"/>
    <row r="995" ht="30" customHeight="1" x14ac:dyDescent="0.4"/>
    <row r="996" ht="30" customHeight="1" x14ac:dyDescent="0.4"/>
    <row r="997" ht="30" customHeight="1" x14ac:dyDescent="0.4"/>
    <row r="998" ht="30" customHeight="1" x14ac:dyDescent="0.4"/>
    <row r="999" ht="30" customHeight="1" x14ac:dyDescent="0.4"/>
    <row r="1000" ht="30" customHeight="1" x14ac:dyDescent="0.4"/>
  </sheetData>
  <mergeCells count="13">
    <mergeCell ref="D28:N28"/>
    <mergeCell ref="B1:P1"/>
    <mergeCell ref="C3:D3"/>
    <mergeCell ref="L3:P3"/>
    <mergeCell ref="L4:P4"/>
    <mergeCell ref="L5:P5"/>
    <mergeCell ref="N6:P6"/>
    <mergeCell ref="D8:H8"/>
    <mergeCell ref="I8:O8"/>
    <mergeCell ref="N9:O9"/>
    <mergeCell ref="D25:N25"/>
    <mergeCell ref="D26:N26"/>
    <mergeCell ref="D27:O27"/>
  </mergeCells>
  <printOptions horizontalCentered="1"/>
  <pageMargins left="0.75" right="0.75" top="0.5" bottom="0.5" header="0" footer="0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BE5F1"/>
  </sheetPr>
  <dimension ref="A1:D1000"/>
  <sheetViews>
    <sheetView workbookViewId="0"/>
  </sheetViews>
  <sheetFormatPr defaultColWidth="12.625" defaultRowHeight="15" customHeight="1" x14ac:dyDescent="0.4"/>
  <cols>
    <col min="1" max="1" width="24.375" customWidth="1"/>
    <col min="2" max="26" width="8.625" customWidth="1"/>
  </cols>
  <sheetData>
    <row r="1" spans="1:4" ht="16.5" customHeight="1" x14ac:dyDescent="0.4">
      <c r="A1" s="42" t="s">
        <v>39</v>
      </c>
      <c r="B1" s="42"/>
      <c r="C1" s="42"/>
      <c r="D1" s="42"/>
    </row>
    <row r="2" spans="1:4" ht="16.5" customHeight="1" x14ac:dyDescent="0.4">
      <c r="A2" s="43" t="s">
        <v>40</v>
      </c>
      <c r="B2" s="43"/>
      <c r="C2" s="44">
        <f>'Biweekly Time Sheet'!D$23</f>
        <v>77.5</v>
      </c>
      <c r="D2" s="43"/>
    </row>
    <row r="3" spans="1:4" ht="16.5" customHeight="1" x14ac:dyDescent="0.4">
      <c r="A3" s="43" t="s">
        <v>41</v>
      </c>
      <c r="B3" s="43"/>
      <c r="C3" s="44">
        <f>'Biweekly Time Sheet'!E$23</f>
        <v>6.5</v>
      </c>
      <c r="D3" s="43"/>
    </row>
    <row r="4" spans="1:4" ht="16.5" customHeight="1" x14ac:dyDescent="0.4">
      <c r="A4" s="43" t="s">
        <v>42</v>
      </c>
      <c r="B4" s="43"/>
      <c r="C4" s="44">
        <f>'Biweekly Time Sheet'!F$23</f>
        <v>0</v>
      </c>
      <c r="D4" s="43"/>
    </row>
    <row r="5" spans="1:4" ht="16.5" customHeight="1" x14ac:dyDescent="0.4">
      <c r="A5" s="43" t="s">
        <v>43</v>
      </c>
      <c r="B5" s="43"/>
      <c r="C5" s="44">
        <f>'Biweekly Time Sheet'!G$23</f>
        <v>11.5</v>
      </c>
      <c r="D5" s="43"/>
    </row>
    <row r="6" spans="1:4" ht="16.5" customHeight="1" x14ac:dyDescent="0.4">
      <c r="A6" s="43" t="s">
        <v>44</v>
      </c>
      <c r="B6" s="43"/>
      <c r="C6" s="44">
        <f>'Biweekly Time Sheet'!H$23</f>
        <v>0</v>
      </c>
      <c r="D6" s="43"/>
    </row>
    <row r="7" spans="1:4" ht="16.5" customHeight="1" x14ac:dyDescent="0.4">
      <c r="A7" s="43" t="s">
        <v>45</v>
      </c>
      <c r="B7" s="43"/>
      <c r="C7" s="44">
        <f>'Biweekly Time Sheet'!I$23</f>
        <v>0</v>
      </c>
      <c r="D7" s="43"/>
    </row>
    <row r="8" spans="1:4" ht="16.5" customHeight="1" x14ac:dyDescent="0.4">
      <c r="A8" s="43" t="s">
        <v>46</v>
      </c>
      <c r="B8" s="43"/>
      <c r="C8" s="44">
        <f>'Biweekly Time Sheet'!J$23</f>
        <v>0</v>
      </c>
      <c r="D8" s="43"/>
    </row>
    <row r="9" spans="1:4" ht="16.5" customHeight="1" x14ac:dyDescent="0.4">
      <c r="A9" s="43" t="s">
        <v>47</v>
      </c>
      <c r="B9" s="43"/>
      <c r="C9" s="44">
        <f>'Biweekly Time Sheet'!K$23</f>
        <v>0</v>
      </c>
      <c r="D9" s="43"/>
    </row>
    <row r="10" spans="1:4" ht="16.5" customHeight="1" x14ac:dyDescent="0.4">
      <c r="A10" s="43" t="s">
        <v>48</v>
      </c>
      <c r="B10" s="43"/>
      <c r="C10" s="45">
        <f>'Biweekly Expense Report CAD'!P24</f>
        <v>490</v>
      </c>
      <c r="D10" s="43" t="s">
        <v>49</v>
      </c>
    </row>
    <row r="11" spans="1:4" ht="16.5" customHeight="1" x14ac:dyDescent="0.4">
      <c r="A11" s="43" t="s">
        <v>50</v>
      </c>
      <c r="B11" s="43"/>
      <c r="C11" s="45">
        <f>'Biweekly Expense Report USD'!P24</f>
        <v>0</v>
      </c>
      <c r="D11" s="43" t="s">
        <v>51</v>
      </c>
    </row>
    <row r="12" spans="1:4" ht="16.5" customHeight="1" x14ac:dyDescent="0.4"/>
    <row r="13" spans="1:4" ht="16.5" customHeight="1" x14ac:dyDescent="0.4"/>
    <row r="14" spans="1:4" ht="16.5" customHeight="1" x14ac:dyDescent="0.4"/>
    <row r="15" spans="1:4" ht="16.5" customHeight="1" x14ac:dyDescent="0.4"/>
    <row r="16" spans="1:4" ht="16.5" customHeight="1" x14ac:dyDescent="0.4"/>
    <row r="17" ht="16.5" customHeight="1" x14ac:dyDescent="0.4"/>
    <row r="18" ht="16.5" customHeight="1" x14ac:dyDescent="0.4"/>
    <row r="19" ht="16.5" customHeight="1" x14ac:dyDescent="0.4"/>
    <row r="20" ht="16.5" customHeight="1" x14ac:dyDescent="0.4"/>
    <row r="21" ht="16.5" customHeight="1" x14ac:dyDescent="0.4"/>
    <row r="22" ht="16.5" customHeight="1" x14ac:dyDescent="0.4"/>
    <row r="23" ht="16.5" customHeight="1" x14ac:dyDescent="0.4"/>
    <row r="24" ht="16.5" customHeight="1" x14ac:dyDescent="0.4"/>
    <row r="25" ht="16.5" customHeight="1" x14ac:dyDescent="0.4"/>
    <row r="26" ht="16.5" customHeight="1" x14ac:dyDescent="0.4"/>
    <row r="27" ht="16.5" customHeight="1" x14ac:dyDescent="0.4"/>
    <row r="28" ht="16.5" customHeight="1" x14ac:dyDescent="0.4"/>
    <row r="29" ht="16.5" customHeight="1" x14ac:dyDescent="0.4"/>
    <row r="30" ht="16.5" customHeight="1" x14ac:dyDescent="0.4"/>
    <row r="31" ht="16.5" customHeight="1" x14ac:dyDescent="0.4"/>
    <row r="32" ht="16.5" customHeight="1" x14ac:dyDescent="0.4"/>
    <row r="33" ht="16.5" customHeight="1" x14ac:dyDescent="0.4"/>
    <row r="34" ht="16.5" customHeight="1" x14ac:dyDescent="0.4"/>
    <row r="35" ht="16.5" customHeight="1" x14ac:dyDescent="0.4"/>
    <row r="36" ht="16.5" customHeight="1" x14ac:dyDescent="0.4"/>
    <row r="37" ht="16.5" customHeight="1" x14ac:dyDescent="0.4"/>
    <row r="38" ht="16.5" customHeight="1" x14ac:dyDescent="0.4"/>
    <row r="39" ht="16.5" customHeight="1" x14ac:dyDescent="0.4"/>
    <row r="40" ht="16.5" customHeight="1" x14ac:dyDescent="0.4"/>
    <row r="41" ht="16.5" customHeight="1" x14ac:dyDescent="0.4"/>
    <row r="42" ht="16.5" customHeight="1" x14ac:dyDescent="0.4"/>
    <row r="43" ht="16.5" customHeight="1" x14ac:dyDescent="0.4"/>
    <row r="44" ht="16.5" customHeight="1" x14ac:dyDescent="0.4"/>
    <row r="45" ht="16.5" customHeight="1" x14ac:dyDescent="0.4"/>
    <row r="46" ht="16.5" customHeight="1" x14ac:dyDescent="0.4"/>
    <row r="47" ht="16.5" customHeight="1" x14ac:dyDescent="0.4"/>
    <row r="48" ht="16.5" customHeight="1" x14ac:dyDescent="0.4"/>
    <row r="49" ht="16.5" customHeight="1" x14ac:dyDescent="0.4"/>
    <row r="50" ht="16.5" customHeight="1" x14ac:dyDescent="0.4"/>
    <row r="51" ht="16.5" customHeight="1" x14ac:dyDescent="0.4"/>
    <row r="52" ht="16.5" customHeight="1" x14ac:dyDescent="0.4"/>
    <row r="53" ht="16.5" customHeight="1" x14ac:dyDescent="0.4"/>
    <row r="54" ht="16.5" customHeight="1" x14ac:dyDescent="0.4"/>
    <row r="55" ht="16.5" customHeight="1" x14ac:dyDescent="0.4"/>
    <row r="56" ht="16.5" customHeight="1" x14ac:dyDescent="0.4"/>
    <row r="57" ht="16.5" customHeight="1" x14ac:dyDescent="0.4"/>
    <row r="58" ht="16.5" customHeight="1" x14ac:dyDescent="0.4"/>
    <row r="59" ht="16.5" customHeight="1" x14ac:dyDescent="0.4"/>
    <row r="60" ht="16.5" customHeight="1" x14ac:dyDescent="0.4"/>
    <row r="61" ht="16.5" customHeight="1" x14ac:dyDescent="0.4"/>
    <row r="62" ht="16.5" customHeight="1" x14ac:dyDescent="0.4"/>
    <row r="63" ht="16.5" customHeight="1" x14ac:dyDescent="0.4"/>
    <row r="64" ht="16.5" customHeight="1" x14ac:dyDescent="0.4"/>
    <row r="65" ht="16.5" customHeight="1" x14ac:dyDescent="0.4"/>
    <row r="66" ht="16.5" customHeight="1" x14ac:dyDescent="0.4"/>
    <row r="67" ht="16.5" customHeight="1" x14ac:dyDescent="0.4"/>
    <row r="68" ht="16.5" customHeight="1" x14ac:dyDescent="0.4"/>
    <row r="69" ht="16.5" customHeight="1" x14ac:dyDescent="0.4"/>
    <row r="70" ht="16.5" customHeight="1" x14ac:dyDescent="0.4"/>
    <row r="71" ht="16.5" customHeight="1" x14ac:dyDescent="0.4"/>
    <row r="72" ht="16.5" customHeight="1" x14ac:dyDescent="0.4"/>
    <row r="73" ht="16.5" customHeight="1" x14ac:dyDescent="0.4"/>
    <row r="74" ht="16.5" customHeight="1" x14ac:dyDescent="0.4"/>
    <row r="75" ht="16.5" customHeight="1" x14ac:dyDescent="0.4"/>
    <row r="76" ht="16.5" customHeight="1" x14ac:dyDescent="0.4"/>
    <row r="77" ht="16.5" customHeight="1" x14ac:dyDescent="0.4"/>
    <row r="78" ht="16.5" customHeight="1" x14ac:dyDescent="0.4"/>
    <row r="79" ht="16.5" customHeight="1" x14ac:dyDescent="0.4"/>
    <row r="80" ht="16.5" customHeight="1" x14ac:dyDescent="0.4"/>
    <row r="81" ht="16.5" customHeight="1" x14ac:dyDescent="0.4"/>
    <row r="82" ht="16.5" customHeight="1" x14ac:dyDescent="0.4"/>
    <row r="83" ht="16.5" customHeight="1" x14ac:dyDescent="0.4"/>
    <row r="84" ht="16.5" customHeight="1" x14ac:dyDescent="0.4"/>
    <row r="85" ht="16.5" customHeight="1" x14ac:dyDescent="0.4"/>
    <row r="86" ht="16.5" customHeight="1" x14ac:dyDescent="0.4"/>
    <row r="87" ht="16.5" customHeight="1" x14ac:dyDescent="0.4"/>
    <row r="88" ht="16.5" customHeight="1" x14ac:dyDescent="0.4"/>
    <row r="89" ht="16.5" customHeight="1" x14ac:dyDescent="0.4"/>
    <row r="90" ht="16.5" customHeight="1" x14ac:dyDescent="0.4"/>
    <row r="91" ht="16.5" customHeight="1" x14ac:dyDescent="0.4"/>
    <row r="92" ht="16.5" customHeight="1" x14ac:dyDescent="0.4"/>
    <row r="93" ht="16.5" customHeight="1" x14ac:dyDescent="0.4"/>
    <row r="94" ht="16.5" customHeight="1" x14ac:dyDescent="0.4"/>
    <row r="95" ht="16.5" customHeight="1" x14ac:dyDescent="0.4"/>
    <row r="96" ht="16.5" customHeight="1" x14ac:dyDescent="0.4"/>
    <row r="97" ht="16.5" customHeight="1" x14ac:dyDescent="0.4"/>
    <row r="98" ht="16.5" customHeight="1" x14ac:dyDescent="0.4"/>
    <row r="99" ht="16.5" customHeight="1" x14ac:dyDescent="0.4"/>
    <row r="100" ht="16.5" customHeight="1" x14ac:dyDescent="0.4"/>
    <row r="101" ht="16.5" customHeight="1" x14ac:dyDescent="0.4"/>
    <row r="102" ht="16.5" customHeight="1" x14ac:dyDescent="0.4"/>
    <row r="103" ht="16.5" customHeight="1" x14ac:dyDescent="0.4"/>
    <row r="104" ht="16.5" customHeight="1" x14ac:dyDescent="0.4"/>
    <row r="105" ht="16.5" customHeight="1" x14ac:dyDescent="0.4"/>
    <row r="106" ht="16.5" customHeight="1" x14ac:dyDescent="0.4"/>
    <row r="107" ht="16.5" customHeight="1" x14ac:dyDescent="0.4"/>
    <row r="108" ht="16.5" customHeight="1" x14ac:dyDescent="0.4"/>
    <row r="109" ht="16.5" customHeight="1" x14ac:dyDescent="0.4"/>
    <row r="110" ht="16.5" customHeight="1" x14ac:dyDescent="0.4"/>
    <row r="111" ht="16.5" customHeight="1" x14ac:dyDescent="0.4"/>
    <row r="112" ht="16.5" customHeight="1" x14ac:dyDescent="0.4"/>
    <row r="113" ht="16.5" customHeight="1" x14ac:dyDescent="0.4"/>
    <row r="114" ht="16.5" customHeight="1" x14ac:dyDescent="0.4"/>
    <row r="115" ht="16.5" customHeight="1" x14ac:dyDescent="0.4"/>
    <row r="116" ht="16.5" customHeight="1" x14ac:dyDescent="0.4"/>
    <row r="117" ht="16.5" customHeight="1" x14ac:dyDescent="0.4"/>
    <row r="118" ht="16.5" customHeight="1" x14ac:dyDescent="0.4"/>
    <row r="119" ht="16.5" customHeight="1" x14ac:dyDescent="0.4"/>
    <row r="120" ht="16.5" customHeight="1" x14ac:dyDescent="0.4"/>
    <row r="121" ht="16.5" customHeight="1" x14ac:dyDescent="0.4"/>
    <row r="122" ht="16.5" customHeight="1" x14ac:dyDescent="0.4"/>
    <row r="123" ht="16.5" customHeight="1" x14ac:dyDescent="0.4"/>
    <row r="124" ht="16.5" customHeight="1" x14ac:dyDescent="0.4"/>
    <row r="125" ht="16.5" customHeight="1" x14ac:dyDescent="0.4"/>
    <row r="126" ht="16.5" customHeight="1" x14ac:dyDescent="0.4"/>
    <row r="127" ht="16.5" customHeight="1" x14ac:dyDescent="0.4"/>
    <row r="128" ht="16.5" customHeight="1" x14ac:dyDescent="0.4"/>
    <row r="129" ht="16.5" customHeight="1" x14ac:dyDescent="0.4"/>
    <row r="130" ht="16.5" customHeight="1" x14ac:dyDescent="0.4"/>
    <row r="131" ht="16.5" customHeight="1" x14ac:dyDescent="0.4"/>
    <row r="132" ht="16.5" customHeight="1" x14ac:dyDescent="0.4"/>
    <row r="133" ht="16.5" customHeight="1" x14ac:dyDescent="0.4"/>
    <row r="134" ht="16.5" customHeight="1" x14ac:dyDescent="0.4"/>
    <row r="135" ht="16.5" customHeight="1" x14ac:dyDescent="0.4"/>
    <row r="136" ht="16.5" customHeight="1" x14ac:dyDescent="0.4"/>
    <row r="137" ht="16.5" customHeight="1" x14ac:dyDescent="0.4"/>
    <row r="138" ht="16.5" customHeight="1" x14ac:dyDescent="0.4"/>
    <row r="139" ht="16.5" customHeight="1" x14ac:dyDescent="0.4"/>
    <row r="140" ht="16.5" customHeight="1" x14ac:dyDescent="0.4"/>
    <row r="141" ht="16.5" customHeight="1" x14ac:dyDescent="0.4"/>
    <row r="142" ht="16.5" customHeight="1" x14ac:dyDescent="0.4"/>
    <row r="143" ht="16.5" customHeight="1" x14ac:dyDescent="0.4"/>
    <row r="144" ht="16.5" customHeight="1" x14ac:dyDescent="0.4"/>
    <row r="145" ht="16.5" customHeight="1" x14ac:dyDescent="0.4"/>
    <row r="146" ht="16.5" customHeight="1" x14ac:dyDescent="0.4"/>
    <row r="147" ht="16.5" customHeight="1" x14ac:dyDescent="0.4"/>
    <row r="148" ht="16.5" customHeight="1" x14ac:dyDescent="0.4"/>
    <row r="149" ht="16.5" customHeight="1" x14ac:dyDescent="0.4"/>
    <row r="150" ht="16.5" customHeight="1" x14ac:dyDescent="0.4"/>
    <row r="151" ht="16.5" customHeight="1" x14ac:dyDescent="0.4"/>
    <row r="152" ht="16.5" customHeight="1" x14ac:dyDescent="0.4"/>
    <row r="153" ht="16.5" customHeight="1" x14ac:dyDescent="0.4"/>
    <row r="154" ht="16.5" customHeight="1" x14ac:dyDescent="0.4"/>
    <row r="155" ht="16.5" customHeight="1" x14ac:dyDescent="0.4"/>
    <row r="156" ht="16.5" customHeight="1" x14ac:dyDescent="0.4"/>
    <row r="157" ht="16.5" customHeight="1" x14ac:dyDescent="0.4"/>
    <row r="158" ht="16.5" customHeight="1" x14ac:dyDescent="0.4"/>
    <row r="159" ht="16.5" customHeight="1" x14ac:dyDescent="0.4"/>
    <row r="160" ht="16.5" customHeight="1" x14ac:dyDescent="0.4"/>
    <row r="161" ht="16.5" customHeight="1" x14ac:dyDescent="0.4"/>
    <row r="162" ht="16.5" customHeight="1" x14ac:dyDescent="0.4"/>
    <row r="163" ht="16.5" customHeight="1" x14ac:dyDescent="0.4"/>
    <row r="164" ht="16.5" customHeight="1" x14ac:dyDescent="0.4"/>
    <row r="165" ht="16.5" customHeight="1" x14ac:dyDescent="0.4"/>
    <row r="166" ht="16.5" customHeight="1" x14ac:dyDescent="0.4"/>
    <row r="167" ht="16.5" customHeight="1" x14ac:dyDescent="0.4"/>
    <row r="168" ht="16.5" customHeight="1" x14ac:dyDescent="0.4"/>
    <row r="169" ht="16.5" customHeight="1" x14ac:dyDescent="0.4"/>
    <row r="170" ht="16.5" customHeight="1" x14ac:dyDescent="0.4"/>
    <row r="171" ht="16.5" customHeight="1" x14ac:dyDescent="0.4"/>
    <row r="172" ht="16.5" customHeight="1" x14ac:dyDescent="0.4"/>
    <row r="173" ht="16.5" customHeight="1" x14ac:dyDescent="0.4"/>
    <row r="174" ht="16.5" customHeight="1" x14ac:dyDescent="0.4"/>
    <row r="175" ht="16.5" customHeight="1" x14ac:dyDescent="0.4"/>
    <row r="176" ht="16.5" customHeight="1" x14ac:dyDescent="0.4"/>
    <row r="177" ht="16.5" customHeight="1" x14ac:dyDescent="0.4"/>
    <row r="178" ht="16.5" customHeight="1" x14ac:dyDescent="0.4"/>
    <row r="179" ht="16.5" customHeight="1" x14ac:dyDescent="0.4"/>
    <row r="180" ht="16.5" customHeight="1" x14ac:dyDescent="0.4"/>
    <row r="181" ht="16.5" customHeight="1" x14ac:dyDescent="0.4"/>
    <row r="182" ht="16.5" customHeight="1" x14ac:dyDescent="0.4"/>
    <row r="183" ht="16.5" customHeight="1" x14ac:dyDescent="0.4"/>
    <row r="184" ht="16.5" customHeight="1" x14ac:dyDescent="0.4"/>
    <row r="185" ht="16.5" customHeight="1" x14ac:dyDescent="0.4"/>
    <row r="186" ht="16.5" customHeight="1" x14ac:dyDescent="0.4"/>
    <row r="187" ht="16.5" customHeight="1" x14ac:dyDescent="0.4"/>
    <row r="188" ht="16.5" customHeight="1" x14ac:dyDescent="0.4"/>
    <row r="189" ht="16.5" customHeight="1" x14ac:dyDescent="0.4"/>
    <row r="190" ht="16.5" customHeight="1" x14ac:dyDescent="0.4"/>
    <row r="191" ht="16.5" customHeight="1" x14ac:dyDescent="0.4"/>
    <row r="192" ht="16.5" customHeight="1" x14ac:dyDescent="0.4"/>
    <row r="193" ht="16.5" customHeight="1" x14ac:dyDescent="0.4"/>
    <row r="194" ht="16.5" customHeight="1" x14ac:dyDescent="0.4"/>
    <row r="195" ht="16.5" customHeight="1" x14ac:dyDescent="0.4"/>
    <row r="196" ht="16.5" customHeight="1" x14ac:dyDescent="0.4"/>
    <row r="197" ht="16.5" customHeight="1" x14ac:dyDescent="0.4"/>
    <row r="198" ht="16.5" customHeight="1" x14ac:dyDescent="0.4"/>
    <row r="199" ht="16.5" customHeight="1" x14ac:dyDescent="0.4"/>
    <row r="200" ht="16.5" customHeight="1" x14ac:dyDescent="0.4"/>
    <row r="201" ht="16.5" customHeight="1" x14ac:dyDescent="0.4"/>
    <row r="202" ht="16.5" customHeight="1" x14ac:dyDescent="0.4"/>
    <row r="203" ht="16.5" customHeight="1" x14ac:dyDescent="0.4"/>
    <row r="204" ht="16.5" customHeight="1" x14ac:dyDescent="0.4"/>
    <row r="205" ht="16.5" customHeight="1" x14ac:dyDescent="0.4"/>
    <row r="206" ht="16.5" customHeight="1" x14ac:dyDescent="0.4"/>
    <row r="207" ht="16.5" customHeight="1" x14ac:dyDescent="0.4"/>
    <row r="208" ht="16.5" customHeight="1" x14ac:dyDescent="0.4"/>
    <row r="209" ht="16.5" customHeight="1" x14ac:dyDescent="0.4"/>
    <row r="210" ht="16.5" customHeight="1" x14ac:dyDescent="0.4"/>
    <row r="211" ht="16.5" customHeight="1" x14ac:dyDescent="0.4"/>
    <row r="212" ht="16.5" customHeight="1" x14ac:dyDescent="0.4"/>
    <row r="213" ht="16.5" customHeight="1" x14ac:dyDescent="0.4"/>
    <row r="214" ht="16.5" customHeight="1" x14ac:dyDescent="0.4"/>
    <row r="215" ht="16.5" customHeight="1" x14ac:dyDescent="0.4"/>
    <row r="216" ht="16.5" customHeight="1" x14ac:dyDescent="0.4"/>
    <row r="217" ht="16.5" customHeight="1" x14ac:dyDescent="0.4"/>
    <row r="218" ht="16.5" customHeight="1" x14ac:dyDescent="0.4"/>
    <row r="219" ht="16.5" customHeight="1" x14ac:dyDescent="0.4"/>
    <row r="220" ht="16.5" customHeight="1" x14ac:dyDescent="0.4"/>
    <row r="221" ht="16.5" customHeight="1" x14ac:dyDescent="0.4"/>
    <row r="222" ht="16.5" customHeight="1" x14ac:dyDescent="0.4"/>
    <row r="223" ht="16.5" customHeight="1" x14ac:dyDescent="0.4"/>
    <row r="224" ht="16.5" customHeight="1" x14ac:dyDescent="0.4"/>
    <row r="225" ht="16.5" customHeight="1" x14ac:dyDescent="0.4"/>
    <row r="226" ht="16.5" customHeight="1" x14ac:dyDescent="0.4"/>
    <row r="227" ht="16.5" customHeight="1" x14ac:dyDescent="0.4"/>
    <row r="228" ht="16.5" customHeight="1" x14ac:dyDescent="0.4"/>
    <row r="229" ht="16.5" customHeight="1" x14ac:dyDescent="0.4"/>
    <row r="230" ht="16.5" customHeight="1" x14ac:dyDescent="0.4"/>
    <row r="231" ht="16.5" customHeight="1" x14ac:dyDescent="0.4"/>
    <row r="232" ht="16.5" customHeight="1" x14ac:dyDescent="0.4"/>
    <row r="233" ht="16.5" customHeight="1" x14ac:dyDescent="0.4"/>
    <row r="234" ht="16.5" customHeight="1" x14ac:dyDescent="0.4"/>
    <row r="235" ht="16.5" customHeight="1" x14ac:dyDescent="0.4"/>
    <row r="236" ht="16.5" customHeight="1" x14ac:dyDescent="0.4"/>
    <row r="237" ht="16.5" customHeight="1" x14ac:dyDescent="0.4"/>
    <row r="238" ht="16.5" customHeight="1" x14ac:dyDescent="0.4"/>
    <row r="239" ht="16.5" customHeight="1" x14ac:dyDescent="0.4"/>
    <row r="240" ht="16.5" customHeight="1" x14ac:dyDescent="0.4"/>
    <row r="241" ht="16.5" customHeight="1" x14ac:dyDescent="0.4"/>
    <row r="242" ht="16.5" customHeight="1" x14ac:dyDescent="0.4"/>
    <row r="243" ht="16.5" customHeight="1" x14ac:dyDescent="0.4"/>
    <row r="244" ht="16.5" customHeight="1" x14ac:dyDescent="0.4"/>
    <row r="245" ht="16.5" customHeight="1" x14ac:dyDescent="0.4"/>
    <row r="246" ht="16.5" customHeight="1" x14ac:dyDescent="0.4"/>
    <row r="247" ht="16.5" customHeight="1" x14ac:dyDescent="0.4"/>
    <row r="248" ht="16.5" customHeight="1" x14ac:dyDescent="0.4"/>
    <row r="249" ht="16.5" customHeight="1" x14ac:dyDescent="0.4"/>
    <row r="250" ht="16.5" customHeight="1" x14ac:dyDescent="0.4"/>
    <row r="251" ht="16.5" customHeight="1" x14ac:dyDescent="0.4"/>
    <row r="252" ht="16.5" customHeight="1" x14ac:dyDescent="0.4"/>
    <row r="253" ht="16.5" customHeight="1" x14ac:dyDescent="0.4"/>
    <row r="254" ht="16.5" customHeight="1" x14ac:dyDescent="0.4"/>
    <row r="255" ht="16.5" customHeight="1" x14ac:dyDescent="0.4"/>
    <row r="256" ht="16.5" customHeight="1" x14ac:dyDescent="0.4"/>
    <row r="257" ht="16.5" customHeight="1" x14ac:dyDescent="0.4"/>
    <row r="258" ht="16.5" customHeight="1" x14ac:dyDescent="0.4"/>
    <row r="259" ht="16.5" customHeight="1" x14ac:dyDescent="0.4"/>
    <row r="260" ht="16.5" customHeight="1" x14ac:dyDescent="0.4"/>
    <row r="261" ht="16.5" customHeight="1" x14ac:dyDescent="0.4"/>
    <row r="262" ht="16.5" customHeight="1" x14ac:dyDescent="0.4"/>
    <row r="263" ht="16.5" customHeight="1" x14ac:dyDescent="0.4"/>
    <row r="264" ht="16.5" customHeight="1" x14ac:dyDescent="0.4"/>
    <row r="265" ht="16.5" customHeight="1" x14ac:dyDescent="0.4"/>
    <row r="266" ht="16.5" customHeight="1" x14ac:dyDescent="0.4"/>
    <row r="267" ht="16.5" customHeight="1" x14ac:dyDescent="0.4"/>
    <row r="268" ht="16.5" customHeight="1" x14ac:dyDescent="0.4"/>
    <row r="269" ht="16.5" customHeight="1" x14ac:dyDescent="0.4"/>
    <row r="270" ht="16.5" customHeight="1" x14ac:dyDescent="0.4"/>
    <row r="271" ht="16.5" customHeight="1" x14ac:dyDescent="0.4"/>
    <row r="272" ht="16.5" customHeight="1" x14ac:dyDescent="0.4"/>
    <row r="273" ht="16.5" customHeight="1" x14ac:dyDescent="0.4"/>
    <row r="274" ht="16.5" customHeight="1" x14ac:dyDescent="0.4"/>
    <row r="275" ht="16.5" customHeight="1" x14ac:dyDescent="0.4"/>
    <row r="276" ht="16.5" customHeight="1" x14ac:dyDescent="0.4"/>
    <row r="277" ht="16.5" customHeight="1" x14ac:dyDescent="0.4"/>
    <row r="278" ht="16.5" customHeight="1" x14ac:dyDescent="0.4"/>
    <row r="279" ht="16.5" customHeight="1" x14ac:dyDescent="0.4"/>
    <row r="280" ht="16.5" customHeight="1" x14ac:dyDescent="0.4"/>
    <row r="281" ht="16.5" customHeight="1" x14ac:dyDescent="0.4"/>
    <row r="282" ht="16.5" customHeight="1" x14ac:dyDescent="0.4"/>
    <row r="283" ht="16.5" customHeight="1" x14ac:dyDescent="0.4"/>
    <row r="284" ht="16.5" customHeight="1" x14ac:dyDescent="0.4"/>
    <row r="285" ht="16.5" customHeight="1" x14ac:dyDescent="0.4"/>
    <row r="286" ht="16.5" customHeight="1" x14ac:dyDescent="0.4"/>
    <row r="287" ht="16.5" customHeight="1" x14ac:dyDescent="0.4"/>
    <row r="288" ht="16.5" customHeight="1" x14ac:dyDescent="0.4"/>
    <row r="289" ht="16.5" customHeight="1" x14ac:dyDescent="0.4"/>
    <row r="290" ht="16.5" customHeight="1" x14ac:dyDescent="0.4"/>
    <row r="291" ht="16.5" customHeight="1" x14ac:dyDescent="0.4"/>
    <row r="292" ht="16.5" customHeight="1" x14ac:dyDescent="0.4"/>
    <row r="293" ht="16.5" customHeight="1" x14ac:dyDescent="0.4"/>
    <row r="294" ht="16.5" customHeight="1" x14ac:dyDescent="0.4"/>
    <row r="295" ht="16.5" customHeight="1" x14ac:dyDescent="0.4"/>
    <row r="296" ht="16.5" customHeight="1" x14ac:dyDescent="0.4"/>
    <row r="297" ht="16.5" customHeight="1" x14ac:dyDescent="0.4"/>
    <row r="298" ht="16.5" customHeight="1" x14ac:dyDescent="0.4"/>
    <row r="299" ht="16.5" customHeight="1" x14ac:dyDescent="0.4"/>
    <row r="300" ht="16.5" customHeight="1" x14ac:dyDescent="0.4"/>
    <row r="301" ht="16.5" customHeight="1" x14ac:dyDescent="0.4"/>
    <row r="302" ht="16.5" customHeight="1" x14ac:dyDescent="0.4"/>
    <row r="303" ht="16.5" customHeight="1" x14ac:dyDescent="0.4"/>
    <row r="304" ht="16.5" customHeight="1" x14ac:dyDescent="0.4"/>
    <row r="305" ht="16.5" customHeight="1" x14ac:dyDescent="0.4"/>
    <row r="306" ht="16.5" customHeight="1" x14ac:dyDescent="0.4"/>
    <row r="307" ht="16.5" customHeight="1" x14ac:dyDescent="0.4"/>
    <row r="308" ht="16.5" customHeight="1" x14ac:dyDescent="0.4"/>
    <row r="309" ht="16.5" customHeight="1" x14ac:dyDescent="0.4"/>
    <row r="310" ht="16.5" customHeight="1" x14ac:dyDescent="0.4"/>
    <row r="311" ht="16.5" customHeight="1" x14ac:dyDescent="0.4"/>
    <row r="312" ht="16.5" customHeight="1" x14ac:dyDescent="0.4"/>
    <row r="313" ht="16.5" customHeight="1" x14ac:dyDescent="0.4"/>
    <row r="314" ht="16.5" customHeight="1" x14ac:dyDescent="0.4"/>
    <row r="315" ht="16.5" customHeight="1" x14ac:dyDescent="0.4"/>
    <row r="316" ht="16.5" customHeight="1" x14ac:dyDescent="0.4"/>
    <row r="317" ht="16.5" customHeight="1" x14ac:dyDescent="0.4"/>
    <row r="318" ht="16.5" customHeight="1" x14ac:dyDescent="0.4"/>
    <row r="319" ht="16.5" customHeight="1" x14ac:dyDescent="0.4"/>
    <row r="320" ht="16.5" customHeight="1" x14ac:dyDescent="0.4"/>
    <row r="321" ht="16.5" customHeight="1" x14ac:dyDescent="0.4"/>
    <row r="322" ht="16.5" customHeight="1" x14ac:dyDescent="0.4"/>
    <row r="323" ht="16.5" customHeight="1" x14ac:dyDescent="0.4"/>
    <row r="324" ht="16.5" customHeight="1" x14ac:dyDescent="0.4"/>
    <row r="325" ht="16.5" customHeight="1" x14ac:dyDescent="0.4"/>
    <row r="326" ht="16.5" customHeight="1" x14ac:dyDescent="0.4"/>
    <row r="327" ht="16.5" customHeight="1" x14ac:dyDescent="0.4"/>
    <row r="328" ht="16.5" customHeight="1" x14ac:dyDescent="0.4"/>
    <row r="329" ht="16.5" customHeight="1" x14ac:dyDescent="0.4"/>
    <row r="330" ht="16.5" customHeight="1" x14ac:dyDescent="0.4"/>
    <row r="331" ht="16.5" customHeight="1" x14ac:dyDescent="0.4"/>
    <row r="332" ht="16.5" customHeight="1" x14ac:dyDescent="0.4"/>
    <row r="333" ht="16.5" customHeight="1" x14ac:dyDescent="0.4"/>
    <row r="334" ht="16.5" customHeight="1" x14ac:dyDescent="0.4"/>
    <row r="335" ht="16.5" customHeight="1" x14ac:dyDescent="0.4"/>
    <row r="336" ht="16.5" customHeight="1" x14ac:dyDescent="0.4"/>
    <row r="337" ht="16.5" customHeight="1" x14ac:dyDescent="0.4"/>
    <row r="338" ht="16.5" customHeight="1" x14ac:dyDescent="0.4"/>
    <row r="339" ht="16.5" customHeight="1" x14ac:dyDescent="0.4"/>
    <row r="340" ht="16.5" customHeight="1" x14ac:dyDescent="0.4"/>
    <row r="341" ht="16.5" customHeight="1" x14ac:dyDescent="0.4"/>
    <row r="342" ht="16.5" customHeight="1" x14ac:dyDescent="0.4"/>
    <row r="343" ht="16.5" customHeight="1" x14ac:dyDescent="0.4"/>
    <row r="344" ht="16.5" customHeight="1" x14ac:dyDescent="0.4"/>
    <row r="345" ht="16.5" customHeight="1" x14ac:dyDescent="0.4"/>
    <row r="346" ht="16.5" customHeight="1" x14ac:dyDescent="0.4"/>
    <row r="347" ht="16.5" customHeight="1" x14ac:dyDescent="0.4"/>
    <row r="348" ht="16.5" customHeight="1" x14ac:dyDescent="0.4"/>
    <row r="349" ht="16.5" customHeight="1" x14ac:dyDescent="0.4"/>
    <row r="350" ht="16.5" customHeight="1" x14ac:dyDescent="0.4"/>
    <row r="351" ht="16.5" customHeight="1" x14ac:dyDescent="0.4"/>
    <row r="352" ht="16.5" customHeight="1" x14ac:dyDescent="0.4"/>
    <row r="353" ht="16.5" customHeight="1" x14ac:dyDescent="0.4"/>
    <row r="354" ht="16.5" customHeight="1" x14ac:dyDescent="0.4"/>
    <row r="355" ht="16.5" customHeight="1" x14ac:dyDescent="0.4"/>
    <row r="356" ht="16.5" customHeight="1" x14ac:dyDescent="0.4"/>
    <row r="357" ht="16.5" customHeight="1" x14ac:dyDescent="0.4"/>
    <row r="358" ht="16.5" customHeight="1" x14ac:dyDescent="0.4"/>
    <row r="359" ht="16.5" customHeight="1" x14ac:dyDescent="0.4"/>
    <row r="360" ht="16.5" customHeight="1" x14ac:dyDescent="0.4"/>
    <row r="361" ht="16.5" customHeight="1" x14ac:dyDescent="0.4"/>
    <row r="362" ht="16.5" customHeight="1" x14ac:dyDescent="0.4"/>
    <row r="363" ht="16.5" customHeight="1" x14ac:dyDescent="0.4"/>
    <row r="364" ht="16.5" customHeight="1" x14ac:dyDescent="0.4"/>
    <row r="365" ht="16.5" customHeight="1" x14ac:dyDescent="0.4"/>
    <row r="366" ht="16.5" customHeight="1" x14ac:dyDescent="0.4"/>
    <row r="367" ht="16.5" customHeight="1" x14ac:dyDescent="0.4"/>
    <row r="368" ht="16.5" customHeight="1" x14ac:dyDescent="0.4"/>
    <row r="369" ht="16.5" customHeight="1" x14ac:dyDescent="0.4"/>
    <row r="370" ht="16.5" customHeight="1" x14ac:dyDescent="0.4"/>
    <row r="371" ht="16.5" customHeight="1" x14ac:dyDescent="0.4"/>
    <row r="372" ht="16.5" customHeight="1" x14ac:dyDescent="0.4"/>
    <row r="373" ht="16.5" customHeight="1" x14ac:dyDescent="0.4"/>
    <row r="374" ht="16.5" customHeight="1" x14ac:dyDescent="0.4"/>
    <row r="375" ht="16.5" customHeight="1" x14ac:dyDescent="0.4"/>
    <row r="376" ht="16.5" customHeight="1" x14ac:dyDescent="0.4"/>
    <row r="377" ht="16.5" customHeight="1" x14ac:dyDescent="0.4"/>
    <row r="378" ht="16.5" customHeight="1" x14ac:dyDescent="0.4"/>
    <row r="379" ht="16.5" customHeight="1" x14ac:dyDescent="0.4"/>
    <row r="380" ht="16.5" customHeight="1" x14ac:dyDescent="0.4"/>
    <row r="381" ht="16.5" customHeight="1" x14ac:dyDescent="0.4"/>
    <row r="382" ht="16.5" customHeight="1" x14ac:dyDescent="0.4"/>
    <row r="383" ht="16.5" customHeight="1" x14ac:dyDescent="0.4"/>
    <row r="384" ht="16.5" customHeight="1" x14ac:dyDescent="0.4"/>
    <row r="385" ht="16.5" customHeight="1" x14ac:dyDescent="0.4"/>
    <row r="386" ht="16.5" customHeight="1" x14ac:dyDescent="0.4"/>
    <row r="387" ht="16.5" customHeight="1" x14ac:dyDescent="0.4"/>
    <row r="388" ht="16.5" customHeight="1" x14ac:dyDescent="0.4"/>
    <row r="389" ht="16.5" customHeight="1" x14ac:dyDescent="0.4"/>
    <row r="390" ht="16.5" customHeight="1" x14ac:dyDescent="0.4"/>
    <row r="391" ht="16.5" customHeight="1" x14ac:dyDescent="0.4"/>
    <row r="392" ht="16.5" customHeight="1" x14ac:dyDescent="0.4"/>
    <row r="393" ht="16.5" customHeight="1" x14ac:dyDescent="0.4"/>
    <row r="394" ht="16.5" customHeight="1" x14ac:dyDescent="0.4"/>
    <row r="395" ht="16.5" customHeight="1" x14ac:dyDescent="0.4"/>
    <row r="396" ht="16.5" customHeight="1" x14ac:dyDescent="0.4"/>
    <row r="397" ht="16.5" customHeight="1" x14ac:dyDescent="0.4"/>
    <row r="398" ht="16.5" customHeight="1" x14ac:dyDescent="0.4"/>
    <row r="399" ht="16.5" customHeight="1" x14ac:dyDescent="0.4"/>
    <row r="400" ht="16.5" customHeight="1" x14ac:dyDescent="0.4"/>
    <row r="401" ht="16.5" customHeight="1" x14ac:dyDescent="0.4"/>
    <row r="402" ht="16.5" customHeight="1" x14ac:dyDescent="0.4"/>
    <row r="403" ht="16.5" customHeight="1" x14ac:dyDescent="0.4"/>
    <row r="404" ht="16.5" customHeight="1" x14ac:dyDescent="0.4"/>
    <row r="405" ht="16.5" customHeight="1" x14ac:dyDescent="0.4"/>
    <row r="406" ht="16.5" customHeight="1" x14ac:dyDescent="0.4"/>
    <row r="407" ht="16.5" customHeight="1" x14ac:dyDescent="0.4"/>
    <row r="408" ht="16.5" customHeight="1" x14ac:dyDescent="0.4"/>
    <row r="409" ht="16.5" customHeight="1" x14ac:dyDescent="0.4"/>
    <row r="410" ht="16.5" customHeight="1" x14ac:dyDescent="0.4"/>
    <row r="411" ht="16.5" customHeight="1" x14ac:dyDescent="0.4"/>
    <row r="412" ht="16.5" customHeight="1" x14ac:dyDescent="0.4"/>
    <row r="413" ht="16.5" customHeight="1" x14ac:dyDescent="0.4"/>
    <row r="414" ht="16.5" customHeight="1" x14ac:dyDescent="0.4"/>
    <row r="415" ht="16.5" customHeight="1" x14ac:dyDescent="0.4"/>
    <row r="416" ht="16.5" customHeight="1" x14ac:dyDescent="0.4"/>
    <row r="417" ht="16.5" customHeight="1" x14ac:dyDescent="0.4"/>
    <row r="418" ht="16.5" customHeight="1" x14ac:dyDescent="0.4"/>
    <row r="419" ht="16.5" customHeight="1" x14ac:dyDescent="0.4"/>
    <row r="420" ht="16.5" customHeight="1" x14ac:dyDescent="0.4"/>
    <row r="421" ht="16.5" customHeight="1" x14ac:dyDescent="0.4"/>
    <row r="422" ht="16.5" customHeight="1" x14ac:dyDescent="0.4"/>
    <row r="423" ht="16.5" customHeight="1" x14ac:dyDescent="0.4"/>
    <row r="424" ht="16.5" customHeight="1" x14ac:dyDescent="0.4"/>
    <row r="425" ht="16.5" customHeight="1" x14ac:dyDescent="0.4"/>
    <row r="426" ht="16.5" customHeight="1" x14ac:dyDescent="0.4"/>
    <row r="427" ht="16.5" customHeight="1" x14ac:dyDescent="0.4"/>
    <row r="428" ht="16.5" customHeight="1" x14ac:dyDescent="0.4"/>
    <row r="429" ht="16.5" customHeight="1" x14ac:dyDescent="0.4"/>
    <row r="430" ht="16.5" customHeight="1" x14ac:dyDescent="0.4"/>
    <row r="431" ht="16.5" customHeight="1" x14ac:dyDescent="0.4"/>
    <row r="432" ht="16.5" customHeight="1" x14ac:dyDescent="0.4"/>
    <row r="433" ht="16.5" customHeight="1" x14ac:dyDescent="0.4"/>
    <row r="434" ht="16.5" customHeight="1" x14ac:dyDescent="0.4"/>
    <row r="435" ht="16.5" customHeight="1" x14ac:dyDescent="0.4"/>
    <row r="436" ht="16.5" customHeight="1" x14ac:dyDescent="0.4"/>
    <row r="437" ht="16.5" customHeight="1" x14ac:dyDescent="0.4"/>
    <row r="438" ht="16.5" customHeight="1" x14ac:dyDescent="0.4"/>
    <row r="439" ht="16.5" customHeight="1" x14ac:dyDescent="0.4"/>
    <row r="440" ht="16.5" customHeight="1" x14ac:dyDescent="0.4"/>
    <row r="441" ht="16.5" customHeight="1" x14ac:dyDescent="0.4"/>
    <row r="442" ht="16.5" customHeight="1" x14ac:dyDescent="0.4"/>
    <row r="443" ht="16.5" customHeight="1" x14ac:dyDescent="0.4"/>
    <row r="444" ht="16.5" customHeight="1" x14ac:dyDescent="0.4"/>
    <row r="445" ht="16.5" customHeight="1" x14ac:dyDescent="0.4"/>
    <row r="446" ht="16.5" customHeight="1" x14ac:dyDescent="0.4"/>
    <row r="447" ht="16.5" customHeight="1" x14ac:dyDescent="0.4"/>
    <row r="448" ht="16.5" customHeight="1" x14ac:dyDescent="0.4"/>
    <row r="449" ht="16.5" customHeight="1" x14ac:dyDescent="0.4"/>
    <row r="450" ht="16.5" customHeight="1" x14ac:dyDescent="0.4"/>
    <row r="451" ht="16.5" customHeight="1" x14ac:dyDescent="0.4"/>
    <row r="452" ht="16.5" customHeight="1" x14ac:dyDescent="0.4"/>
    <row r="453" ht="16.5" customHeight="1" x14ac:dyDescent="0.4"/>
    <row r="454" ht="16.5" customHeight="1" x14ac:dyDescent="0.4"/>
    <row r="455" ht="16.5" customHeight="1" x14ac:dyDescent="0.4"/>
    <row r="456" ht="16.5" customHeight="1" x14ac:dyDescent="0.4"/>
    <row r="457" ht="16.5" customHeight="1" x14ac:dyDescent="0.4"/>
    <row r="458" ht="16.5" customHeight="1" x14ac:dyDescent="0.4"/>
    <row r="459" ht="16.5" customHeight="1" x14ac:dyDescent="0.4"/>
    <row r="460" ht="16.5" customHeight="1" x14ac:dyDescent="0.4"/>
    <row r="461" ht="16.5" customHeight="1" x14ac:dyDescent="0.4"/>
    <row r="462" ht="16.5" customHeight="1" x14ac:dyDescent="0.4"/>
    <row r="463" ht="16.5" customHeight="1" x14ac:dyDescent="0.4"/>
    <row r="464" ht="16.5" customHeight="1" x14ac:dyDescent="0.4"/>
    <row r="465" ht="16.5" customHeight="1" x14ac:dyDescent="0.4"/>
    <row r="466" ht="16.5" customHeight="1" x14ac:dyDescent="0.4"/>
    <row r="467" ht="16.5" customHeight="1" x14ac:dyDescent="0.4"/>
    <row r="468" ht="16.5" customHeight="1" x14ac:dyDescent="0.4"/>
    <row r="469" ht="16.5" customHeight="1" x14ac:dyDescent="0.4"/>
    <row r="470" ht="16.5" customHeight="1" x14ac:dyDescent="0.4"/>
    <row r="471" ht="16.5" customHeight="1" x14ac:dyDescent="0.4"/>
    <row r="472" ht="16.5" customHeight="1" x14ac:dyDescent="0.4"/>
    <row r="473" ht="16.5" customHeight="1" x14ac:dyDescent="0.4"/>
    <row r="474" ht="16.5" customHeight="1" x14ac:dyDescent="0.4"/>
    <row r="475" ht="16.5" customHeight="1" x14ac:dyDescent="0.4"/>
    <row r="476" ht="16.5" customHeight="1" x14ac:dyDescent="0.4"/>
    <row r="477" ht="16.5" customHeight="1" x14ac:dyDescent="0.4"/>
    <row r="478" ht="16.5" customHeight="1" x14ac:dyDescent="0.4"/>
    <row r="479" ht="16.5" customHeight="1" x14ac:dyDescent="0.4"/>
    <row r="480" ht="16.5" customHeight="1" x14ac:dyDescent="0.4"/>
    <row r="481" ht="16.5" customHeight="1" x14ac:dyDescent="0.4"/>
    <row r="482" ht="16.5" customHeight="1" x14ac:dyDescent="0.4"/>
    <row r="483" ht="16.5" customHeight="1" x14ac:dyDescent="0.4"/>
    <row r="484" ht="16.5" customHeight="1" x14ac:dyDescent="0.4"/>
    <row r="485" ht="16.5" customHeight="1" x14ac:dyDescent="0.4"/>
    <row r="486" ht="16.5" customHeight="1" x14ac:dyDescent="0.4"/>
    <row r="487" ht="16.5" customHeight="1" x14ac:dyDescent="0.4"/>
    <row r="488" ht="16.5" customHeight="1" x14ac:dyDescent="0.4"/>
    <row r="489" ht="16.5" customHeight="1" x14ac:dyDescent="0.4"/>
    <row r="490" ht="16.5" customHeight="1" x14ac:dyDescent="0.4"/>
    <row r="491" ht="16.5" customHeight="1" x14ac:dyDescent="0.4"/>
    <row r="492" ht="16.5" customHeight="1" x14ac:dyDescent="0.4"/>
    <row r="493" ht="16.5" customHeight="1" x14ac:dyDescent="0.4"/>
    <row r="494" ht="16.5" customHeight="1" x14ac:dyDescent="0.4"/>
    <row r="495" ht="16.5" customHeight="1" x14ac:dyDescent="0.4"/>
    <row r="496" ht="16.5" customHeight="1" x14ac:dyDescent="0.4"/>
    <row r="497" ht="16.5" customHeight="1" x14ac:dyDescent="0.4"/>
    <row r="498" ht="16.5" customHeight="1" x14ac:dyDescent="0.4"/>
    <row r="499" ht="16.5" customHeight="1" x14ac:dyDescent="0.4"/>
    <row r="500" ht="16.5" customHeight="1" x14ac:dyDescent="0.4"/>
    <row r="501" ht="16.5" customHeight="1" x14ac:dyDescent="0.4"/>
    <row r="502" ht="16.5" customHeight="1" x14ac:dyDescent="0.4"/>
    <row r="503" ht="16.5" customHeight="1" x14ac:dyDescent="0.4"/>
    <row r="504" ht="16.5" customHeight="1" x14ac:dyDescent="0.4"/>
    <row r="505" ht="16.5" customHeight="1" x14ac:dyDescent="0.4"/>
    <row r="506" ht="16.5" customHeight="1" x14ac:dyDescent="0.4"/>
    <row r="507" ht="16.5" customHeight="1" x14ac:dyDescent="0.4"/>
    <row r="508" ht="16.5" customHeight="1" x14ac:dyDescent="0.4"/>
    <row r="509" ht="16.5" customHeight="1" x14ac:dyDescent="0.4"/>
    <row r="510" ht="16.5" customHeight="1" x14ac:dyDescent="0.4"/>
    <row r="511" ht="16.5" customHeight="1" x14ac:dyDescent="0.4"/>
    <row r="512" ht="16.5" customHeight="1" x14ac:dyDescent="0.4"/>
    <row r="513" ht="16.5" customHeight="1" x14ac:dyDescent="0.4"/>
    <row r="514" ht="16.5" customHeight="1" x14ac:dyDescent="0.4"/>
    <row r="515" ht="16.5" customHeight="1" x14ac:dyDescent="0.4"/>
    <row r="516" ht="16.5" customHeight="1" x14ac:dyDescent="0.4"/>
    <row r="517" ht="16.5" customHeight="1" x14ac:dyDescent="0.4"/>
    <row r="518" ht="16.5" customHeight="1" x14ac:dyDescent="0.4"/>
    <row r="519" ht="16.5" customHeight="1" x14ac:dyDescent="0.4"/>
    <row r="520" ht="16.5" customHeight="1" x14ac:dyDescent="0.4"/>
    <row r="521" ht="16.5" customHeight="1" x14ac:dyDescent="0.4"/>
    <row r="522" ht="16.5" customHeight="1" x14ac:dyDescent="0.4"/>
    <row r="523" ht="16.5" customHeight="1" x14ac:dyDescent="0.4"/>
    <row r="524" ht="16.5" customHeight="1" x14ac:dyDescent="0.4"/>
    <row r="525" ht="16.5" customHeight="1" x14ac:dyDescent="0.4"/>
    <row r="526" ht="16.5" customHeight="1" x14ac:dyDescent="0.4"/>
    <row r="527" ht="16.5" customHeight="1" x14ac:dyDescent="0.4"/>
    <row r="528" ht="16.5" customHeight="1" x14ac:dyDescent="0.4"/>
    <row r="529" ht="16.5" customHeight="1" x14ac:dyDescent="0.4"/>
    <row r="530" ht="16.5" customHeight="1" x14ac:dyDescent="0.4"/>
    <row r="531" ht="16.5" customHeight="1" x14ac:dyDescent="0.4"/>
    <row r="532" ht="16.5" customHeight="1" x14ac:dyDescent="0.4"/>
    <row r="533" ht="16.5" customHeight="1" x14ac:dyDescent="0.4"/>
    <row r="534" ht="16.5" customHeight="1" x14ac:dyDescent="0.4"/>
    <row r="535" ht="16.5" customHeight="1" x14ac:dyDescent="0.4"/>
    <row r="536" ht="16.5" customHeight="1" x14ac:dyDescent="0.4"/>
    <row r="537" ht="16.5" customHeight="1" x14ac:dyDescent="0.4"/>
    <row r="538" ht="16.5" customHeight="1" x14ac:dyDescent="0.4"/>
    <row r="539" ht="16.5" customHeight="1" x14ac:dyDescent="0.4"/>
    <row r="540" ht="16.5" customHeight="1" x14ac:dyDescent="0.4"/>
    <row r="541" ht="16.5" customHeight="1" x14ac:dyDescent="0.4"/>
    <row r="542" ht="16.5" customHeight="1" x14ac:dyDescent="0.4"/>
    <row r="543" ht="16.5" customHeight="1" x14ac:dyDescent="0.4"/>
    <row r="544" ht="16.5" customHeight="1" x14ac:dyDescent="0.4"/>
    <row r="545" ht="16.5" customHeight="1" x14ac:dyDescent="0.4"/>
    <row r="546" ht="16.5" customHeight="1" x14ac:dyDescent="0.4"/>
    <row r="547" ht="16.5" customHeight="1" x14ac:dyDescent="0.4"/>
    <row r="548" ht="16.5" customHeight="1" x14ac:dyDescent="0.4"/>
    <row r="549" ht="16.5" customHeight="1" x14ac:dyDescent="0.4"/>
    <row r="550" ht="16.5" customHeight="1" x14ac:dyDescent="0.4"/>
    <row r="551" ht="16.5" customHeight="1" x14ac:dyDescent="0.4"/>
    <row r="552" ht="16.5" customHeight="1" x14ac:dyDescent="0.4"/>
    <row r="553" ht="16.5" customHeight="1" x14ac:dyDescent="0.4"/>
    <row r="554" ht="16.5" customHeight="1" x14ac:dyDescent="0.4"/>
    <row r="555" ht="16.5" customHeight="1" x14ac:dyDescent="0.4"/>
    <row r="556" ht="16.5" customHeight="1" x14ac:dyDescent="0.4"/>
    <row r="557" ht="16.5" customHeight="1" x14ac:dyDescent="0.4"/>
    <row r="558" ht="16.5" customHeight="1" x14ac:dyDescent="0.4"/>
    <row r="559" ht="16.5" customHeight="1" x14ac:dyDescent="0.4"/>
    <row r="560" ht="16.5" customHeight="1" x14ac:dyDescent="0.4"/>
    <row r="561" ht="16.5" customHeight="1" x14ac:dyDescent="0.4"/>
    <row r="562" ht="16.5" customHeight="1" x14ac:dyDescent="0.4"/>
    <row r="563" ht="16.5" customHeight="1" x14ac:dyDescent="0.4"/>
    <row r="564" ht="16.5" customHeight="1" x14ac:dyDescent="0.4"/>
    <row r="565" ht="16.5" customHeight="1" x14ac:dyDescent="0.4"/>
    <row r="566" ht="16.5" customHeight="1" x14ac:dyDescent="0.4"/>
    <row r="567" ht="16.5" customHeight="1" x14ac:dyDescent="0.4"/>
    <row r="568" ht="16.5" customHeight="1" x14ac:dyDescent="0.4"/>
    <row r="569" ht="16.5" customHeight="1" x14ac:dyDescent="0.4"/>
    <row r="570" ht="16.5" customHeight="1" x14ac:dyDescent="0.4"/>
    <row r="571" ht="16.5" customHeight="1" x14ac:dyDescent="0.4"/>
    <row r="572" ht="16.5" customHeight="1" x14ac:dyDescent="0.4"/>
    <row r="573" ht="16.5" customHeight="1" x14ac:dyDescent="0.4"/>
    <row r="574" ht="16.5" customHeight="1" x14ac:dyDescent="0.4"/>
    <row r="575" ht="16.5" customHeight="1" x14ac:dyDescent="0.4"/>
    <row r="576" ht="16.5" customHeight="1" x14ac:dyDescent="0.4"/>
    <row r="577" ht="16.5" customHeight="1" x14ac:dyDescent="0.4"/>
    <row r="578" ht="16.5" customHeight="1" x14ac:dyDescent="0.4"/>
    <row r="579" ht="16.5" customHeight="1" x14ac:dyDescent="0.4"/>
    <row r="580" ht="16.5" customHeight="1" x14ac:dyDescent="0.4"/>
    <row r="581" ht="16.5" customHeight="1" x14ac:dyDescent="0.4"/>
    <row r="582" ht="16.5" customHeight="1" x14ac:dyDescent="0.4"/>
    <row r="583" ht="16.5" customHeight="1" x14ac:dyDescent="0.4"/>
    <row r="584" ht="16.5" customHeight="1" x14ac:dyDescent="0.4"/>
    <row r="585" ht="16.5" customHeight="1" x14ac:dyDescent="0.4"/>
    <row r="586" ht="16.5" customHeight="1" x14ac:dyDescent="0.4"/>
    <row r="587" ht="16.5" customHeight="1" x14ac:dyDescent="0.4"/>
    <row r="588" ht="16.5" customHeight="1" x14ac:dyDescent="0.4"/>
    <row r="589" ht="16.5" customHeight="1" x14ac:dyDescent="0.4"/>
    <row r="590" ht="16.5" customHeight="1" x14ac:dyDescent="0.4"/>
    <row r="591" ht="16.5" customHeight="1" x14ac:dyDescent="0.4"/>
    <row r="592" ht="16.5" customHeight="1" x14ac:dyDescent="0.4"/>
    <row r="593" ht="16.5" customHeight="1" x14ac:dyDescent="0.4"/>
    <row r="594" ht="16.5" customHeight="1" x14ac:dyDescent="0.4"/>
    <row r="595" ht="16.5" customHeight="1" x14ac:dyDescent="0.4"/>
    <row r="596" ht="16.5" customHeight="1" x14ac:dyDescent="0.4"/>
    <row r="597" ht="16.5" customHeight="1" x14ac:dyDescent="0.4"/>
    <row r="598" ht="16.5" customHeight="1" x14ac:dyDescent="0.4"/>
    <row r="599" ht="16.5" customHeight="1" x14ac:dyDescent="0.4"/>
    <row r="600" ht="16.5" customHeight="1" x14ac:dyDescent="0.4"/>
    <row r="601" ht="16.5" customHeight="1" x14ac:dyDescent="0.4"/>
    <row r="602" ht="16.5" customHeight="1" x14ac:dyDescent="0.4"/>
    <row r="603" ht="16.5" customHeight="1" x14ac:dyDescent="0.4"/>
    <row r="604" ht="16.5" customHeight="1" x14ac:dyDescent="0.4"/>
    <row r="605" ht="16.5" customHeight="1" x14ac:dyDescent="0.4"/>
    <row r="606" ht="16.5" customHeight="1" x14ac:dyDescent="0.4"/>
    <row r="607" ht="16.5" customHeight="1" x14ac:dyDescent="0.4"/>
    <row r="608" ht="16.5" customHeight="1" x14ac:dyDescent="0.4"/>
    <row r="609" ht="16.5" customHeight="1" x14ac:dyDescent="0.4"/>
    <row r="610" ht="16.5" customHeight="1" x14ac:dyDescent="0.4"/>
    <row r="611" ht="16.5" customHeight="1" x14ac:dyDescent="0.4"/>
    <row r="612" ht="16.5" customHeight="1" x14ac:dyDescent="0.4"/>
    <row r="613" ht="16.5" customHeight="1" x14ac:dyDescent="0.4"/>
    <row r="614" ht="16.5" customHeight="1" x14ac:dyDescent="0.4"/>
    <row r="615" ht="16.5" customHeight="1" x14ac:dyDescent="0.4"/>
    <row r="616" ht="16.5" customHeight="1" x14ac:dyDescent="0.4"/>
    <row r="617" ht="16.5" customHeight="1" x14ac:dyDescent="0.4"/>
    <row r="618" ht="16.5" customHeight="1" x14ac:dyDescent="0.4"/>
    <row r="619" ht="16.5" customHeight="1" x14ac:dyDescent="0.4"/>
    <row r="620" ht="16.5" customHeight="1" x14ac:dyDescent="0.4"/>
    <row r="621" ht="16.5" customHeight="1" x14ac:dyDescent="0.4"/>
    <row r="622" ht="16.5" customHeight="1" x14ac:dyDescent="0.4"/>
    <row r="623" ht="16.5" customHeight="1" x14ac:dyDescent="0.4"/>
    <row r="624" ht="16.5" customHeight="1" x14ac:dyDescent="0.4"/>
    <row r="625" ht="16.5" customHeight="1" x14ac:dyDescent="0.4"/>
    <row r="626" ht="16.5" customHeight="1" x14ac:dyDescent="0.4"/>
    <row r="627" ht="16.5" customHeight="1" x14ac:dyDescent="0.4"/>
    <row r="628" ht="16.5" customHeight="1" x14ac:dyDescent="0.4"/>
    <row r="629" ht="16.5" customHeight="1" x14ac:dyDescent="0.4"/>
    <row r="630" ht="16.5" customHeight="1" x14ac:dyDescent="0.4"/>
    <row r="631" ht="16.5" customHeight="1" x14ac:dyDescent="0.4"/>
    <row r="632" ht="16.5" customHeight="1" x14ac:dyDescent="0.4"/>
    <row r="633" ht="16.5" customHeight="1" x14ac:dyDescent="0.4"/>
    <row r="634" ht="16.5" customHeight="1" x14ac:dyDescent="0.4"/>
    <row r="635" ht="16.5" customHeight="1" x14ac:dyDescent="0.4"/>
    <row r="636" ht="16.5" customHeight="1" x14ac:dyDescent="0.4"/>
    <row r="637" ht="16.5" customHeight="1" x14ac:dyDescent="0.4"/>
    <row r="638" ht="16.5" customHeight="1" x14ac:dyDescent="0.4"/>
    <row r="639" ht="16.5" customHeight="1" x14ac:dyDescent="0.4"/>
    <row r="640" ht="16.5" customHeight="1" x14ac:dyDescent="0.4"/>
    <row r="641" ht="16.5" customHeight="1" x14ac:dyDescent="0.4"/>
    <row r="642" ht="16.5" customHeight="1" x14ac:dyDescent="0.4"/>
    <row r="643" ht="16.5" customHeight="1" x14ac:dyDescent="0.4"/>
    <row r="644" ht="16.5" customHeight="1" x14ac:dyDescent="0.4"/>
    <row r="645" ht="16.5" customHeight="1" x14ac:dyDescent="0.4"/>
    <row r="646" ht="16.5" customHeight="1" x14ac:dyDescent="0.4"/>
    <row r="647" ht="16.5" customHeight="1" x14ac:dyDescent="0.4"/>
    <row r="648" ht="16.5" customHeight="1" x14ac:dyDescent="0.4"/>
    <row r="649" ht="16.5" customHeight="1" x14ac:dyDescent="0.4"/>
    <row r="650" ht="16.5" customHeight="1" x14ac:dyDescent="0.4"/>
    <row r="651" ht="16.5" customHeight="1" x14ac:dyDescent="0.4"/>
    <row r="652" ht="16.5" customHeight="1" x14ac:dyDescent="0.4"/>
    <row r="653" ht="16.5" customHeight="1" x14ac:dyDescent="0.4"/>
    <row r="654" ht="16.5" customHeight="1" x14ac:dyDescent="0.4"/>
    <row r="655" ht="16.5" customHeight="1" x14ac:dyDescent="0.4"/>
    <row r="656" ht="16.5" customHeight="1" x14ac:dyDescent="0.4"/>
    <row r="657" ht="16.5" customHeight="1" x14ac:dyDescent="0.4"/>
    <row r="658" ht="16.5" customHeight="1" x14ac:dyDescent="0.4"/>
    <row r="659" ht="16.5" customHeight="1" x14ac:dyDescent="0.4"/>
    <row r="660" ht="16.5" customHeight="1" x14ac:dyDescent="0.4"/>
    <row r="661" ht="16.5" customHeight="1" x14ac:dyDescent="0.4"/>
    <row r="662" ht="16.5" customHeight="1" x14ac:dyDescent="0.4"/>
    <row r="663" ht="16.5" customHeight="1" x14ac:dyDescent="0.4"/>
    <row r="664" ht="16.5" customHeight="1" x14ac:dyDescent="0.4"/>
    <row r="665" ht="16.5" customHeight="1" x14ac:dyDescent="0.4"/>
    <row r="666" ht="16.5" customHeight="1" x14ac:dyDescent="0.4"/>
    <row r="667" ht="16.5" customHeight="1" x14ac:dyDescent="0.4"/>
    <row r="668" ht="16.5" customHeight="1" x14ac:dyDescent="0.4"/>
    <row r="669" ht="16.5" customHeight="1" x14ac:dyDescent="0.4"/>
    <row r="670" ht="16.5" customHeight="1" x14ac:dyDescent="0.4"/>
    <row r="671" ht="16.5" customHeight="1" x14ac:dyDescent="0.4"/>
    <row r="672" ht="16.5" customHeight="1" x14ac:dyDescent="0.4"/>
    <row r="673" ht="16.5" customHeight="1" x14ac:dyDescent="0.4"/>
    <row r="674" ht="16.5" customHeight="1" x14ac:dyDescent="0.4"/>
    <row r="675" ht="16.5" customHeight="1" x14ac:dyDescent="0.4"/>
    <row r="676" ht="16.5" customHeight="1" x14ac:dyDescent="0.4"/>
    <row r="677" ht="16.5" customHeight="1" x14ac:dyDescent="0.4"/>
    <row r="678" ht="16.5" customHeight="1" x14ac:dyDescent="0.4"/>
    <row r="679" ht="16.5" customHeight="1" x14ac:dyDescent="0.4"/>
    <row r="680" ht="16.5" customHeight="1" x14ac:dyDescent="0.4"/>
    <row r="681" ht="16.5" customHeight="1" x14ac:dyDescent="0.4"/>
    <row r="682" ht="16.5" customHeight="1" x14ac:dyDescent="0.4"/>
    <row r="683" ht="16.5" customHeight="1" x14ac:dyDescent="0.4"/>
    <row r="684" ht="16.5" customHeight="1" x14ac:dyDescent="0.4"/>
    <row r="685" ht="16.5" customHeight="1" x14ac:dyDescent="0.4"/>
    <row r="686" ht="16.5" customHeight="1" x14ac:dyDescent="0.4"/>
    <row r="687" ht="16.5" customHeight="1" x14ac:dyDescent="0.4"/>
    <row r="688" ht="16.5" customHeight="1" x14ac:dyDescent="0.4"/>
    <row r="689" ht="16.5" customHeight="1" x14ac:dyDescent="0.4"/>
    <row r="690" ht="16.5" customHeight="1" x14ac:dyDescent="0.4"/>
    <row r="691" ht="16.5" customHeight="1" x14ac:dyDescent="0.4"/>
    <row r="692" ht="16.5" customHeight="1" x14ac:dyDescent="0.4"/>
    <row r="693" ht="16.5" customHeight="1" x14ac:dyDescent="0.4"/>
    <row r="694" ht="16.5" customHeight="1" x14ac:dyDescent="0.4"/>
    <row r="695" ht="16.5" customHeight="1" x14ac:dyDescent="0.4"/>
    <row r="696" ht="16.5" customHeight="1" x14ac:dyDescent="0.4"/>
    <row r="697" ht="16.5" customHeight="1" x14ac:dyDescent="0.4"/>
    <row r="698" ht="16.5" customHeight="1" x14ac:dyDescent="0.4"/>
    <row r="699" ht="16.5" customHeight="1" x14ac:dyDescent="0.4"/>
    <row r="700" ht="16.5" customHeight="1" x14ac:dyDescent="0.4"/>
    <row r="701" ht="16.5" customHeight="1" x14ac:dyDescent="0.4"/>
    <row r="702" ht="16.5" customHeight="1" x14ac:dyDescent="0.4"/>
    <row r="703" ht="16.5" customHeight="1" x14ac:dyDescent="0.4"/>
    <row r="704" ht="16.5" customHeight="1" x14ac:dyDescent="0.4"/>
    <row r="705" ht="16.5" customHeight="1" x14ac:dyDescent="0.4"/>
    <row r="706" ht="16.5" customHeight="1" x14ac:dyDescent="0.4"/>
    <row r="707" ht="16.5" customHeight="1" x14ac:dyDescent="0.4"/>
    <row r="708" ht="16.5" customHeight="1" x14ac:dyDescent="0.4"/>
    <row r="709" ht="16.5" customHeight="1" x14ac:dyDescent="0.4"/>
    <row r="710" ht="16.5" customHeight="1" x14ac:dyDescent="0.4"/>
    <row r="711" ht="16.5" customHeight="1" x14ac:dyDescent="0.4"/>
    <row r="712" ht="16.5" customHeight="1" x14ac:dyDescent="0.4"/>
    <row r="713" ht="16.5" customHeight="1" x14ac:dyDescent="0.4"/>
    <row r="714" ht="16.5" customHeight="1" x14ac:dyDescent="0.4"/>
    <row r="715" ht="16.5" customHeight="1" x14ac:dyDescent="0.4"/>
    <row r="716" ht="16.5" customHeight="1" x14ac:dyDescent="0.4"/>
    <row r="717" ht="16.5" customHeight="1" x14ac:dyDescent="0.4"/>
    <row r="718" ht="16.5" customHeight="1" x14ac:dyDescent="0.4"/>
    <row r="719" ht="16.5" customHeight="1" x14ac:dyDescent="0.4"/>
    <row r="720" ht="16.5" customHeight="1" x14ac:dyDescent="0.4"/>
    <row r="721" ht="16.5" customHeight="1" x14ac:dyDescent="0.4"/>
    <row r="722" ht="16.5" customHeight="1" x14ac:dyDescent="0.4"/>
    <row r="723" ht="16.5" customHeight="1" x14ac:dyDescent="0.4"/>
    <row r="724" ht="16.5" customHeight="1" x14ac:dyDescent="0.4"/>
    <row r="725" ht="16.5" customHeight="1" x14ac:dyDescent="0.4"/>
    <row r="726" ht="16.5" customHeight="1" x14ac:dyDescent="0.4"/>
    <row r="727" ht="16.5" customHeight="1" x14ac:dyDescent="0.4"/>
    <row r="728" ht="16.5" customHeight="1" x14ac:dyDescent="0.4"/>
    <row r="729" ht="16.5" customHeight="1" x14ac:dyDescent="0.4"/>
    <row r="730" ht="16.5" customHeight="1" x14ac:dyDescent="0.4"/>
    <row r="731" ht="16.5" customHeight="1" x14ac:dyDescent="0.4"/>
    <row r="732" ht="16.5" customHeight="1" x14ac:dyDescent="0.4"/>
    <row r="733" ht="16.5" customHeight="1" x14ac:dyDescent="0.4"/>
    <row r="734" ht="16.5" customHeight="1" x14ac:dyDescent="0.4"/>
    <row r="735" ht="16.5" customHeight="1" x14ac:dyDescent="0.4"/>
    <row r="736" ht="16.5" customHeight="1" x14ac:dyDescent="0.4"/>
    <row r="737" ht="16.5" customHeight="1" x14ac:dyDescent="0.4"/>
    <row r="738" ht="16.5" customHeight="1" x14ac:dyDescent="0.4"/>
    <row r="739" ht="16.5" customHeight="1" x14ac:dyDescent="0.4"/>
    <row r="740" ht="16.5" customHeight="1" x14ac:dyDescent="0.4"/>
    <row r="741" ht="16.5" customHeight="1" x14ac:dyDescent="0.4"/>
    <row r="742" ht="16.5" customHeight="1" x14ac:dyDescent="0.4"/>
    <row r="743" ht="16.5" customHeight="1" x14ac:dyDescent="0.4"/>
    <row r="744" ht="16.5" customHeight="1" x14ac:dyDescent="0.4"/>
    <row r="745" ht="16.5" customHeight="1" x14ac:dyDescent="0.4"/>
    <row r="746" ht="16.5" customHeight="1" x14ac:dyDescent="0.4"/>
    <row r="747" ht="16.5" customHeight="1" x14ac:dyDescent="0.4"/>
    <row r="748" ht="16.5" customHeight="1" x14ac:dyDescent="0.4"/>
    <row r="749" ht="16.5" customHeight="1" x14ac:dyDescent="0.4"/>
    <row r="750" ht="16.5" customHeight="1" x14ac:dyDescent="0.4"/>
    <row r="751" ht="16.5" customHeight="1" x14ac:dyDescent="0.4"/>
    <row r="752" ht="16.5" customHeight="1" x14ac:dyDescent="0.4"/>
    <row r="753" ht="16.5" customHeight="1" x14ac:dyDescent="0.4"/>
    <row r="754" ht="16.5" customHeight="1" x14ac:dyDescent="0.4"/>
    <row r="755" ht="16.5" customHeight="1" x14ac:dyDescent="0.4"/>
    <row r="756" ht="16.5" customHeight="1" x14ac:dyDescent="0.4"/>
    <row r="757" ht="16.5" customHeight="1" x14ac:dyDescent="0.4"/>
    <row r="758" ht="16.5" customHeight="1" x14ac:dyDescent="0.4"/>
    <row r="759" ht="16.5" customHeight="1" x14ac:dyDescent="0.4"/>
    <row r="760" ht="16.5" customHeight="1" x14ac:dyDescent="0.4"/>
    <row r="761" ht="16.5" customHeight="1" x14ac:dyDescent="0.4"/>
    <row r="762" ht="16.5" customHeight="1" x14ac:dyDescent="0.4"/>
    <row r="763" ht="16.5" customHeight="1" x14ac:dyDescent="0.4"/>
    <row r="764" ht="16.5" customHeight="1" x14ac:dyDescent="0.4"/>
    <row r="765" ht="16.5" customHeight="1" x14ac:dyDescent="0.4"/>
    <row r="766" ht="16.5" customHeight="1" x14ac:dyDescent="0.4"/>
    <row r="767" ht="16.5" customHeight="1" x14ac:dyDescent="0.4"/>
    <row r="768" ht="16.5" customHeight="1" x14ac:dyDescent="0.4"/>
    <row r="769" ht="16.5" customHeight="1" x14ac:dyDescent="0.4"/>
    <row r="770" ht="16.5" customHeight="1" x14ac:dyDescent="0.4"/>
    <row r="771" ht="16.5" customHeight="1" x14ac:dyDescent="0.4"/>
    <row r="772" ht="16.5" customHeight="1" x14ac:dyDescent="0.4"/>
    <row r="773" ht="16.5" customHeight="1" x14ac:dyDescent="0.4"/>
    <row r="774" ht="16.5" customHeight="1" x14ac:dyDescent="0.4"/>
    <row r="775" ht="16.5" customHeight="1" x14ac:dyDescent="0.4"/>
    <row r="776" ht="16.5" customHeight="1" x14ac:dyDescent="0.4"/>
    <row r="777" ht="16.5" customHeight="1" x14ac:dyDescent="0.4"/>
    <row r="778" ht="16.5" customHeight="1" x14ac:dyDescent="0.4"/>
    <row r="779" ht="16.5" customHeight="1" x14ac:dyDescent="0.4"/>
    <row r="780" ht="16.5" customHeight="1" x14ac:dyDescent="0.4"/>
    <row r="781" ht="16.5" customHeight="1" x14ac:dyDescent="0.4"/>
    <row r="782" ht="16.5" customHeight="1" x14ac:dyDescent="0.4"/>
    <row r="783" ht="16.5" customHeight="1" x14ac:dyDescent="0.4"/>
    <row r="784" ht="16.5" customHeight="1" x14ac:dyDescent="0.4"/>
    <row r="785" ht="16.5" customHeight="1" x14ac:dyDescent="0.4"/>
    <row r="786" ht="16.5" customHeight="1" x14ac:dyDescent="0.4"/>
    <row r="787" ht="16.5" customHeight="1" x14ac:dyDescent="0.4"/>
    <row r="788" ht="16.5" customHeight="1" x14ac:dyDescent="0.4"/>
    <row r="789" ht="16.5" customHeight="1" x14ac:dyDescent="0.4"/>
    <row r="790" ht="16.5" customHeight="1" x14ac:dyDescent="0.4"/>
    <row r="791" ht="16.5" customHeight="1" x14ac:dyDescent="0.4"/>
    <row r="792" ht="16.5" customHeight="1" x14ac:dyDescent="0.4"/>
    <row r="793" ht="16.5" customHeight="1" x14ac:dyDescent="0.4"/>
    <row r="794" ht="16.5" customHeight="1" x14ac:dyDescent="0.4"/>
    <row r="795" ht="16.5" customHeight="1" x14ac:dyDescent="0.4"/>
    <row r="796" ht="16.5" customHeight="1" x14ac:dyDescent="0.4"/>
    <row r="797" ht="16.5" customHeight="1" x14ac:dyDescent="0.4"/>
    <row r="798" ht="16.5" customHeight="1" x14ac:dyDescent="0.4"/>
    <row r="799" ht="16.5" customHeight="1" x14ac:dyDescent="0.4"/>
    <row r="800" ht="16.5" customHeight="1" x14ac:dyDescent="0.4"/>
    <row r="801" ht="16.5" customHeight="1" x14ac:dyDescent="0.4"/>
    <row r="802" ht="16.5" customHeight="1" x14ac:dyDescent="0.4"/>
    <row r="803" ht="16.5" customHeight="1" x14ac:dyDescent="0.4"/>
    <row r="804" ht="16.5" customHeight="1" x14ac:dyDescent="0.4"/>
    <row r="805" ht="16.5" customHeight="1" x14ac:dyDescent="0.4"/>
    <row r="806" ht="16.5" customHeight="1" x14ac:dyDescent="0.4"/>
    <row r="807" ht="16.5" customHeight="1" x14ac:dyDescent="0.4"/>
    <row r="808" ht="16.5" customHeight="1" x14ac:dyDescent="0.4"/>
    <row r="809" ht="16.5" customHeight="1" x14ac:dyDescent="0.4"/>
    <row r="810" ht="16.5" customHeight="1" x14ac:dyDescent="0.4"/>
    <row r="811" ht="16.5" customHeight="1" x14ac:dyDescent="0.4"/>
    <row r="812" ht="16.5" customHeight="1" x14ac:dyDescent="0.4"/>
    <row r="813" ht="16.5" customHeight="1" x14ac:dyDescent="0.4"/>
    <row r="814" ht="16.5" customHeight="1" x14ac:dyDescent="0.4"/>
    <row r="815" ht="16.5" customHeight="1" x14ac:dyDescent="0.4"/>
    <row r="816" ht="16.5" customHeight="1" x14ac:dyDescent="0.4"/>
    <row r="817" ht="16.5" customHeight="1" x14ac:dyDescent="0.4"/>
    <row r="818" ht="16.5" customHeight="1" x14ac:dyDescent="0.4"/>
    <row r="819" ht="16.5" customHeight="1" x14ac:dyDescent="0.4"/>
    <row r="820" ht="16.5" customHeight="1" x14ac:dyDescent="0.4"/>
    <row r="821" ht="16.5" customHeight="1" x14ac:dyDescent="0.4"/>
    <row r="822" ht="16.5" customHeight="1" x14ac:dyDescent="0.4"/>
    <row r="823" ht="16.5" customHeight="1" x14ac:dyDescent="0.4"/>
    <row r="824" ht="16.5" customHeight="1" x14ac:dyDescent="0.4"/>
    <row r="825" ht="16.5" customHeight="1" x14ac:dyDescent="0.4"/>
    <row r="826" ht="16.5" customHeight="1" x14ac:dyDescent="0.4"/>
    <row r="827" ht="16.5" customHeight="1" x14ac:dyDescent="0.4"/>
    <row r="828" ht="16.5" customHeight="1" x14ac:dyDescent="0.4"/>
    <row r="829" ht="16.5" customHeight="1" x14ac:dyDescent="0.4"/>
    <row r="830" ht="16.5" customHeight="1" x14ac:dyDescent="0.4"/>
    <row r="831" ht="16.5" customHeight="1" x14ac:dyDescent="0.4"/>
    <row r="832" ht="16.5" customHeight="1" x14ac:dyDescent="0.4"/>
    <row r="833" ht="16.5" customHeight="1" x14ac:dyDescent="0.4"/>
    <row r="834" ht="16.5" customHeight="1" x14ac:dyDescent="0.4"/>
    <row r="835" ht="16.5" customHeight="1" x14ac:dyDescent="0.4"/>
    <row r="836" ht="16.5" customHeight="1" x14ac:dyDescent="0.4"/>
    <row r="837" ht="16.5" customHeight="1" x14ac:dyDescent="0.4"/>
    <row r="838" ht="16.5" customHeight="1" x14ac:dyDescent="0.4"/>
    <row r="839" ht="16.5" customHeight="1" x14ac:dyDescent="0.4"/>
    <row r="840" ht="16.5" customHeight="1" x14ac:dyDescent="0.4"/>
    <row r="841" ht="16.5" customHeight="1" x14ac:dyDescent="0.4"/>
    <row r="842" ht="16.5" customHeight="1" x14ac:dyDescent="0.4"/>
    <row r="843" ht="16.5" customHeight="1" x14ac:dyDescent="0.4"/>
    <row r="844" ht="16.5" customHeight="1" x14ac:dyDescent="0.4"/>
    <row r="845" ht="16.5" customHeight="1" x14ac:dyDescent="0.4"/>
    <row r="846" ht="16.5" customHeight="1" x14ac:dyDescent="0.4"/>
    <row r="847" ht="16.5" customHeight="1" x14ac:dyDescent="0.4"/>
    <row r="848" ht="16.5" customHeight="1" x14ac:dyDescent="0.4"/>
    <row r="849" ht="16.5" customHeight="1" x14ac:dyDescent="0.4"/>
    <row r="850" ht="16.5" customHeight="1" x14ac:dyDescent="0.4"/>
    <row r="851" ht="16.5" customHeight="1" x14ac:dyDescent="0.4"/>
    <row r="852" ht="16.5" customHeight="1" x14ac:dyDescent="0.4"/>
    <row r="853" ht="16.5" customHeight="1" x14ac:dyDescent="0.4"/>
    <row r="854" ht="16.5" customHeight="1" x14ac:dyDescent="0.4"/>
    <row r="855" ht="16.5" customHeight="1" x14ac:dyDescent="0.4"/>
    <row r="856" ht="16.5" customHeight="1" x14ac:dyDescent="0.4"/>
    <row r="857" ht="16.5" customHeight="1" x14ac:dyDescent="0.4"/>
    <row r="858" ht="16.5" customHeight="1" x14ac:dyDescent="0.4"/>
    <row r="859" ht="16.5" customHeight="1" x14ac:dyDescent="0.4"/>
    <row r="860" ht="16.5" customHeight="1" x14ac:dyDescent="0.4"/>
    <row r="861" ht="16.5" customHeight="1" x14ac:dyDescent="0.4"/>
    <row r="862" ht="16.5" customHeight="1" x14ac:dyDescent="0.4"/>
    <row r="863" ht="16.5" customHeight="1" x14ac:dyDescent="0.4"/>
    <row r="864" ht="16.5" customHeight="1" x14ac:dyDescent="0.4"/>
    <row r="865" ht="16.5" customHeight="1" x14ac:dyDescent="0.4"/>
    <row r="866" ht="16.5" customHeight="1" x14ac:dyDescent="0.4"/>
    <row r="867" ht="16.5" customHeight="1" x14ac:dyDescent="0.4"/>
    <row r="868" ht="16.5" customHeight="1" x14ac:dyDescent="0.4"/>
    <row r="869" ht="16.5" customHeight="1" x14ac:dyDescent="0.4"/>
    <row r="870" ht="16.5" customHeight="1" x14ac:dyDescent="0.4"/>
    <row r="871" ht="16.5" customHeight="1" x14ac:dyDescent="0.4"/>
    <row r="872" ht="16.5" customHeight="1" x14ac:dyDescent="0.4"/>
    <row r="873" ht="16.5" customHeight="1" x14ac:dyDescent="0.4"/>
    <row r="874" ht="16.5" customHeight="1" x14ac:dyDescent="0.4"/>
    <row r="875" ht="16.5" customHeight="1" x14ac:dyDescent="0.4"/>
    <row r="876" ht="16.5" customHeight="1" x14ac:dyDescent="0.4"/>
    <row r="877" ht="16.5" customHeight="1" x14ac:dyDescent="0.4"/>
    <row r="878" ht="16.5" customHeight="1" x14ac:dyDescent="0.4"/>
    <row r="879" ht="16.5" customHeight="1" x14ac:dyDescent="0.4"/>
    <row r="880" ht="16.5" customHeight="1" x14ac:dyDescent="0.4"/>
    <row r="881" ht="16.5" customHeight="1" x14ac:dyDescent="0.4"/>
    <row r="882" ht="16.5" customHeight="1" x14ac:dyDescent="0.4"/>
    <row r="883" ht="16.5" customHeight="1" x14ac:dyDescent="0.4"/>
    <row r="884" ht="16.5" customHeight="1" x14ac:dyDescent="0.4"/>
    <row r="885" ht="16.5" customHeight="1" x14ac:dyDescent="0.4"/>
    <row r="886" ht="16.5" customHeight="1" x14ac:dyDescent="0.4"/>
    <row r="887" ht="16.5" customHeight="1" x14ac:dyDescent="0.4"/>
    <row r="888" ht="16.5" customHeight="1" x14ac:dyDescent="0.4"/>
    <row r="889" ht="16.5" customHeight="1" x14ac:dyDescent="0.4"/>
    <row r="890" ht="16.5" customHeight="1" x14ac:dyDescent="0.4"/>
    <row r="891" ht="16.5" customHeight="1" x14ac:dyDescent="0.4"/>
    <row r="892" ht="16.5" customHeight="1" x14ac:dyDescent="0.4"/>
    <row r="893" ht="16.5" customHeight="1" x14ac:dyDescent="0.4"/>
    <row r="894" ht="16.5" customHeight="1" x14ac:dyDescent="0.4"/>
    <row r="895" ht="16.5" customHeight="1" x14ac:dyDescent="0.4"/>
    <row r="896" ht="16.5" customHeight="1" x14ac:dyDescent="0.4"/>
    <row r="897" ht="16.5" customHeight="1" x14ac:dyDescent="0.4"/>
    <row r="898" ht="16.5" customHeight="1" x14ac:dyDescent="0.4"/>
    <row r="899" ht="16.5" customHeight="1" x14ac:dyDescent="0.4"/>
    <row r="900" ht="16.5" customHeight="1" x14ac:dyDescent="0.4"/>
    <row r="901" ht="16.5" customHeight="1" x14ac:dyDescent="0.4"/>
    <row r="902" ht="16.5" customHeight="1" x14ac:dyDescent="0.4"/>
    <row r="903" ht="16.5" customHeight="1" x14ac:dyDescent="0.4"/>
    <row r="904" ht="16.5" customHeight="1" x14ac:dyDescent="0.4"/>
    <row r="905" ht="16.5" customHeight="1" x14ac:dyDescent="0.4"/>
    <row r="906" ht="16.5" customHeight="1" x14ac:dyDescent="0.4"/>
    <row r="907" ht="16.5" customHeight="1" x14ac:dyDescent="0.4"/>
    <row r="908" ht="16.5" customHeight="1" x14ac:dyDescent="0.4"/>
    <row r="909" ht="16.5" customHeight="1" x14ac:dyDescent="0.4"/>
    <row r="910" ht="16.5" customHeight="1" x14ac:dyDescent="0.4"/>
    <row r="911" ht="16.5" customHeight="1" x14ac:dyDescent="0.4"/>
    <row r="912" ht="16.5" customHeight="1" x14ac:dyDescent="0.4"/>
    <row r="913" ht="16.5" customHeight="1" x14ac:dyDescent="0.4"/>
    <row r="914" ht="16.5" customHeight="1" x14ac:dyDescent="0.4"/>
    <row r="915" ht="16.5" customHeight="1" x14ac:dyDescent="0.4"/>
    <row r="916" ht="16.5" customHeight="1" x14ac:dyDescent="0.4"/>
    <row r="917" ht="16.5" customHeight="1" x14ac:dyDescent="0.4"/>
    <row r="918" ht="16.5" customHeight="1" x14ac:dyDescent="0.4"/>
    <row r="919" ht="16.5" customHeight="1" x14ac:dyDescent="0.4"/>
    <row r="920" ht="16.5" customHeight="1" x14ac:dyDescent="0.4"/>
    <row r="921" ht="16.5" customHeight="1" x14ac:dyDescent="0.4"/>
    <row r="922" ht="16.5" customHeight="1" x14ac:dyDescent="0.4"/>
    <row r="923" ht="16.5" customHeight="1" x14ac:dyDescent="0.4"/>
    <row r="924" ht="16.5" customHeight="1" x14ac:dyDescent="0.4"/>
    <row r="925" ht="16.5" customHeight="1" x14ac:dyDescent="0.4"/>
    <row r="926" ht="16.5" customHeight="1" x14ac:dyDescent="0.4"/>
    <row r="927" ht="16.5" customHeight="1" x14ac:dyDescent="0.4"/>
    <row r="928" ht="16.5" customHeight="1" x14ac:dyDescent="0.4"/>
    <row r="929" ht="16.5" customHeight="1" x14ac:dyDescent="0.4"/>
    <row r="930" ht="16.5" customHeight="1" x14ac:dyDescent="0.4"/>
    <row r="931" ht="16.5" customHeight="1" x14ac:dyDescent="0.4"/>
    <row r="932" ht="16.5" customHeight="1" x14ac:dyDescent="0.4"/>
    <row r="933" ht="16.5" customHeight="1" x14ac:dyDescent="0.4"/>
    <row r="934" ht="16.5" customHeight="1" x14ac:dyDescent="0.4"/>
    <row r="935" ht="16.5" customHeight="1" x14ac:dyDescent="0.4"/>
    <row r="936" ht="16.5" customHeight="1" x14ac:dyDescent="0.4"/>
    <row r="937" ht="16.5" customHeight="1" x14ac:dyDescent="0.4"/>
    <row r="938" ht="16.5" customHeight="1" x14ac:dyDescent="0.4"/>
    <row r="939" ht="16.5" customHeight="1" x14ac:dyDescent="0.4"/>
    <row r="940" ht="16.5" customHeight="1" x14ac:dyDescent="0.4"/>
    <row r="941" ht="16.5" customHeight="1" x14ac:dyDescent="0.4"/>
    <row r="942" ht="16.5" customHeight="1" x14ac:dyDescent="0.4"/>
    <row r="943" ht="16.5" customHeight="1" x14ac:dyDescent="0.4"/>
    <row r="944" ht="16.5" customHeight="1" x14ac:dyDescent="0.4"/>
    <row r="945" ht="16.5" customHeight="1" x14ac:dyDescent="0.4"/>
    <row r="946" ht="16.5" customHeight="1" x14ac:dyDescent="0.4"/>
    <row r="947" ht="16.5" customHeight="1" x14ac:dyDescent="0.4"/>
    <row r="948" ht="16.5" customHeight="1" x14ac:dyDescent="0.4"/>
    <row r="949" ht="16.5" customHeight="1" x14ac:dyDescent="0.4"/>
    <row r="950" ht="16.5" customHeight="1" x14ac:dyDescent="0.4"/>
    <row r="951" ht="16.5" customHeight="1" x14ac:dyDescent="0.4"/>
    <row r="952" ht="16.5" customHeight="1" x14ac:dyDescent="0.4"/>
    <row r="953" ht="16.5" customHeight="1" x14ac:dyDescent="0.4"/>
    <row r="954" ht="16.5" customHeight="1" x14ac:dyDescent="0.4"/>
    <row r="955" ht="16.5" customHeight="1" x14ac:dyDescent="0.4"/>
    <row r="956" ht="16.5" customHeight="1" x14ac:dyDescent="0.4"/>
    <row r="957" ht="16.5" customHeight="1" x14ac:dyDescent="0.4"/>
    <row r="958" ht="16.5" customHeight="1" x14ac:dyDescent="0.4"/>
    <row r="959" ht="16.5" customHeight="1" x14ac:dyDescent="0.4"/>
    <row r="960" ht="16.5" customHeight="1" x14ac:dyDescent="0.4"/>
    <row r="961" ht="16.5" customHeight="1" x14ac:dyDescent="0.4"/>
    <row r="962" ht="16.5" customHeight="1" x14ac:dyDescent="0.4"/>
    <row r="963" ht="16.5" customHeight="1" x14ac:dyDescent="0.4"/>
    <row r="964" ht="16.5" customHeight="1" x14ac:dyDescent="0.4"/>
    <row r="965" ht="16.5" customHeight="1" x14ac:dyDescent="0.4"/>
    <row r="966" ht="16.5" customHeight="1" x14ac:dyDescent="0.4"/>
    <row r="967" ht="16.5" customHeight="1" x14ac:dyDescent="0.4"/>
    <row r="968" ht="16.5" customHeight="1" x14ac:dyDescent="0.4"/>
    <row r="969" ht="16.5" customHeight="1" x14ac:dyDescent="0.4"/>
    <row r="970" ht="16.5" customHeight="1" x14ac:dyDescent="0.4"/>
    <row r="971" ht="16.5" customHeight="1" x14ac:dyDescent="0.4"/>
    <row r="972" ht="16.5" customHeight="1" x14ac:dyDescent="0.4"/>
    <row r="973" ht="16.5" customHeight="1" x14ac:dyDescent="0.4"/>
    <row r="974" ht="16.5" customHeight="1" x14ac:dyDescent="0.4"/>
    <row r="975" ht="16.5" customHeight="1" x14ac:dyDescent="0.4"/>
    <row r="976" ht="16.5" customHeight="1" x14ac:dyDescent="0.4"/>
    <row r="977" ht="16.5" customHeight="1" x14ac:dyDescent="0.4"/>
    <row r="978" ht="16.5" customHeight="1" x14ac:dyDescent="0.4"/>
    <row r="979" ht="16.5" customHeight="1" x14ac:dyDescent="0.4"/>
    <row r="980" ht="16.5" customHeight="1" x14ac:dyDescent="0.4"/>
    <row r="981" ht="16.5" customHeight="1" x14ac:dyDescent="0.4"/>
    <row r="982" ht="16.5" customHeight="1" x14ac:dyDescent="0.4"/>
    <row r="983" ht="16.5" customHeight="1" x14ac:dyDescent="0.4"/>
    <row r="984" ht="16.5" customHeight="1" x14ac:dyDescent="0.4"/>
    <row r="985" ht="16.5" customHeight="1" x14ac:dyDescent="0.4"/>
    <row r="986" ht="16.5" customHeight="1" x14ac:dyDescent="0.4"/>
    <row r="987" ht="16.5" customHeight="1" x14ac:dyDescent="0.4"/>
    <row r="988" ht="16.5" customHeight="1" x14ac:dyDescent="0.4"/>
    <row r="989" ht="16.5" customHeight="1" x14ac:dyDescent="0.4"/>
    <row r="990" ht="16.5" customHeight="1" x14ac:dyDescent="0.4"/>
    <row r="991" ht="16.5" customHeight="1" x14ac:dyDescent="0.4"/>
    <row r="992" ht="16.5" customHeight="1" x14ac:dyDescent="0.4"/>
    <row r="993" ht="16.5" customHeight="1" x14ac:dyDescent="0.4"/>
    <row r="994" ht="16.5" customHeight="1" x14ac:dyDescent="0.4"/>
    <row r="995" ht="16.5" customHeight="1" x14ac:dyDescent="0.4"/>
    <row r="996" ht="16.5" customHeight="1" x14ac:dyDescent="0.4"/>
    <row r="997" ht="16.5" customHeight="1" x14ac:dyDescent="0.4"/>
    <row r="998" ht="16.5" customHeight="1" x14ac:dyDescent="0.4"/>
    <row r="999" ht="16.5" customHeight="1" x14ac:dyDescent="0.4"/>
    <row r="1000" ht="16.5" customHeight="1" x14ac:dyDescent="0.4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18</vt:i4>
      </vt:variant>
    </vt:vector>
  </HeadingPairs>
  <TitlesOfParts>
    <vt:vector size="22" baseType="lpstr">
      <vt:lpstr>Biweekly Time Sheet</vt:lpstr>
      <vt:lpstr>Biweekly Expense Report CAD</vt:lpstr>
      <vt:lpstr>Biweekly Expense Report USD</vt:lpstr>
      <vt:lpstr>Accounting Use Only</vt:lpstr>
      <vt:lpstr>'Biweekly Expense Report CAD'!RowTitleRegion1..C5</vt:lpstr>
      <vt:lpstr>'Biweekly Expense Report USD'!RowTitleRegion1..C5</vt:lpstr>
      <vt:lpstr>RowTitleRegion1..C5</vt:lpstr>
      <vt:lpstr>'Biweekly Expense Report CAD'!RowTitleRegion2..G4</vt:lpstr>
      <vt:lpstr>'Biweekly Expense Report USD'!RowTitleRegion2..G4</vt:lpstr>
      <vt:lpstr>RowTitleRegion2..G4</vt:lpstr>
      <vt:lpstr>'Biweekly Expense Report CAD'!RowTitleRegion3..C7</vt:lpstr>
      <vt:lpstr>'Biweekly Expense Report USD'!RowTitleRegion3..C7</vt:lpstr>
      <vt:lpstr>RowTitleRegion3..C7</vt:lpstr>
      <vt:lpstr>'Biweekly Expense Report CAD'!RowTitleRegion4..G7</vt:lpstr>
      <vt:lpstr>'Biweekly Expense Report USD'!RowTitleRegion4..G7</vt:lpstr>
      <vt:lpstr>RowTitleRegion4..G7</vt:lpstr>
      <vt:lpstr>'Biweekly Expense Report CAD'!RowTitleRegion5..H24</vt:lpstr>
      <vt:lpstr>'Biweekly Expense Report USD'!RowTitleRegion5..H24</vt:lpstr>
      <vt:lpstr>RowTitleRegion5..H24</vt:lpstr>
      <vt:lpstr>'Biweekly Expense Report CAD'!Title1</vt:lpstr>
      <vt:lpstr>'Biweekly Expense Report USD'!Title1</vt:lpstr>
      <vt:lpstr>Title1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Drew Alkemade</cp:lastModifiedBy>
  <dcterms:created xsi:type="dcterms:W3CDTF">2017-09-11T06:48:50Z</dcterms:created>
  <dcterms:modified xsi:type="dcterms:W3CDTF">2026-04-02T16:28:47Z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0x010100D6E7DC6D27137F45987D6DCFEBB7946B</vt:lpwstr>
  </property>
</Properties>
</file>