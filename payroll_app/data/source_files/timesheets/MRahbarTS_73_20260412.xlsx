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weekly Time Sheet" sheetId="1" r:id="rId4"/>
    <sheet state="visible" name="Biweekly Expense Report CAD" sheetId="2" r:id="rId5"/>
    <sheet state="visible" name="Biweekly Expense Report USD" sheetId="3" r:id="rId6"/>
    <sheet state="visible" name="Accounting Use Only" sheetId="4" r:id="rId7"/>
  </sheets>
  <definedNames>
    <definedName localSheetId="1" name="RowTitleRegion6..G25">'Biweekly Expense Report CAD'!#REF!</definedName>
    <definedName localSheetId="2" name="RowTitleRegion6..G25">'Biweekly Expense Report USD'!#REF!</definedName>
    <definedName name="RowTitleRegion6..G25">'Biweekly Time Sheet'!#REF!</definedName>
    <definedName localSheetId="1" name="RowTitleRegion7..H26">'Biweekly Expense Report CAD'!#REF!</definedName>
    <definedName localSheetId="2" name="RowTitleRegion7..H26">'Biweekly Expense Report USD'!#REF!</definedName>
    <definedName name="RowTitleRegion7..H26">'Biweekly Time Sheet'!#REF!</definedName>
    <definedName localSheetId="2" name="Title1">'Biweekly Expense Report USD'!$B$9</definedName>
    <definedName name="RowTitleRegion2..G4">'Biweekly Time Sheet'!$G$4</definedName>
    <definedName localSheetId="1" name="RowTitleRegion3..C7">'Biweekly Expense Report CAD'!$K$3</definedName>
    <definedName name="RowTitleRegion4..G7">'Biweekly Time Sheet'!$I$6</definedName>
    <definedName localSheetId="1" name="Title1">'Biweekly Expense Report CAD'!$B$9</definedName>
    <definedName name="RowTitleRegion3..C7">'Biweekly Time Sheet'!$G$3</definedName>
    <definedName localSheetId="2" name="RowTitleRegion3..C7">'Biweekly Expense Report USD'!$K$3</definedName>
    <definedName name="Title1">'Biweekly Time Sheet'!$B$8</definedName>
    <definedName localSheetId="1" name="RowTitleRegion1..C5">'Biweekly Expense Report CAD'!$B$3</definedName>
    <definedName localSheetId="1" name="RowTitleRegion2..G4">'Biweekly Expense Report CAD'!$K$4</definedName>
    <definedName name="RowTitleRegion1..C5">'Biweekly Time Sheet'!$B$3</definedName>
    <definedName localSheetId="2" name="RowTitleRegion1..C5">'Biweekly Expense Report USD'!$B$3</definedName>
    <definedName localSheetId="2" name="RowTitleRegion2..G4">'Biweekly Expense Report USD'!$K$4</definedName>
    <definedName localSheetId="2" name="RowTitleRegion5..H24">'Biweekly Expense Report USD'!$C$24</definedName>
    <definedName localSheetId="2" name="RowTitleRegion4..G7">'Biweekly Expense Report USD'!$M$6</definedName>
    <definedName name="RowTitleRegion5..H24">'Biweekly Time Sheet'!$C$23</definedName>
    <definedName localSheetId="1" name="RowTitleRegion5..H24">'Biweekly Expense Report CAD'!$C$24</definedName>
    <definedName localSheetId="1" name="RowTitleRegion4..G7">'Biweekly Expense Report CAD'!$M$6</definedName>
  </definedNames>
  <calcPr/>
  <extLst>
    <ext uri="GoogleSheetsCustomDataVersion2">
      <go:sheetsCustomData xmlns:go="http://customooxmlschemas.google.com/" r:id="rId8" roundtripDataChecksum="97v5oT1HUPkH11lmF16ud68mkmQ2UtQOMIjgj54EKDQ="/>
    </ext>
  </extLst>
</workbook>
</file>

<file path=xl/sharedStrings.xml><?xml version="1.0" encoding="utf-8"?>
<sst xmlns="http://schemas.openxmlformats.org/spreadsheetml/2006/main" count="96" uniqueCount="56">
  <si>
    <t>R&amp;D Controls Corp. Biweekly Time Sheet</t>
  </si>
  <si>
    <t>Employee:</t>
  </si>
  <si>
    <t>Matina Rahbar</t>
  </si>
  <si>
    <t>Pay period start date:</t>
  </si>
  <si>
    <t>Pay period end date:</t>
  </si>
  <si>
    <t>Day</t>
  </si>
  <si>
    <t>Date</t>
  </si>
  <si>
    <t>Regular Hours</t>
  </si>
  <si>
    <t>Overtime 1 Hours</t>
  </si>
  <si>
    <t>Overtime 2 Hours</t>
  </si>
  <si>
    <t>Drive Hours</t>
  </si>
  <si>
    <t>Sick/PEL</t>
  </si>
  <si>
    <t>Vacation</t>
  </si>
  <si>
    <t>Holiday</t>
  </si>
  <si>
    <t>Non-Billable</t>
  </si>
  <si>
    <t>Total</t>
  </si>
  <si>
    <t>Note [Please explain Non-Billable Time]</t>
  </si>
  <si>
    <t>Monday</t>
  </si>
  <si>
    <t>Tuesday</t>
  </si>
  <si>
    <t>Wednesday</t>
  </si>
  <si>
    <t>Thursday</t>
  </si>
  <si>
    <t>Friday</t>
  </si>
  <si>
    <t>Saturday</t>
  </si>
  <si>
    <t>Sunday</t>
  </si>
  <si>
    <t>Total hours</t>
  </si>
  <si>
    <t>Employee signature</t>
  </si>
  <si>
    <t>EmpTS_00x-Default_v2.1</t>
  </si>
  <si>
    <t>R&amp;D Controls Corp. Biweekly Expense Report - Canadian Dollars</t>
  </si>
  <si>
    <t>Travel Expenses</t>
  </si>
  <si>
    <t>Transportation</t>
  </si>
  <si>
    <t>Per Diem - Travel</t>
  </si>
  <si>
    <t>Per Diem - Full</t>
  </si>
  <si>
    <t>Lodging</t>
  </si>
  <si>
    <t>Lodging - Per Receipt</t>
  </si>
  <si>
    <t>Luggage</t>
  </si>
  <si>
    <t>Car Rental</t>
  </si>
  <si>
    <t>Tolls</t>
  </si>
  <si>
    <t>Vehicle Maintenance</t>
  </si>
  <si>
    <t>Parking Fees</t>
  </si>
  <si>
    <t>Taxi</t>
  </si>
  <si>
    <t>Mileage</t>
  </si>
  <si>
    <t>EmpTS_00x-Default_v2.0</t>
  </si>
  <si>
    <t>R&amp;D Controls Corp. Biweekly Expense Report - US Dollars</t>
  </si>
  <si>
    <t>Accounting Use Only</t>
  </si>
  <si>
    <t>Total Regular Hours</t>
  </si>
  <si>
    <t>Total Overtime 1 Hours</t>
  </si>
  <si>
    <t>Total Overtime 2 Hours</t>
  </si>
  <si>
    <t>Total Drive Hours</t>
  </si>
  <si>
    <t>Total Sick/PEL Hours</t>
  </si>
  <si>
    <t>Total Vacation Hours</t>
  </si>
  <si>
    <t>Total Holiday Hours</t>
  </si>
  <si>
    <t>Total Non-Billable Hours</t>
  </si>
  <si>
    <t>Total Expenses - CAD</t>
  </si>
  <si>
    <t>CAD</t>
  </si>
  <si>
    <t>Total Expenses - USD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</si>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</sst>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"/>
  </numFmts>
  <fonts count="9">
    <font>
      <sz val="11.0"/>
      <color rgb="FF000000"/>
      <name val="Century Gothic"/>
      <scheme val="minor"/>
    </font>
    <font>
      <b/>
      <sz val="22.0"/>
      <color rgb="FF7F7F7F"/>
      <name val="Century Gothic"/>
    </font>
    <font>
      <b/>
      <sz val="22.0"/>
      <color rgb="FF3F3F3F"/>
      <name val="Century Gothic"/>
    </font>
    <font>
      <sz val="11.0"/>
      <color theme="1"/>
      <name val="Century Gothic"/>
    </font>
    <font/>
    <font>
      <b/>
      <sz val="11.0"/>
      <color theme="1"/>
      <name val="Century Gothic"/>
    </font>
    <font>
      <color theme="1"/>
      <name val="Century Gothic"/>
    </font>
    <font>
      <sz val="10.0"/>
      <color theme="1"/>
      <name val="Century Gothic"/>
    </font>
    <font>
      <b/>
      <sz val="14.0"/>
      <color theme="1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</fills>
  <borders count="31">
    <border/>
    <border>
      <bottom style="thin">
        <color theme="1"/>
      </bottom>
    </border>
    <border>
      <left/>
      <top/>
      <bottom style="thin">
        <color theme="1"/>
      </bottom>
    </border>
    <border>
      <top/>
      <bottom style="thin">
        <color theme="1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thin">
        <color theme="1"/>
      </bottom>
    </border>
    <border>
      <left/>
      <right/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vertical="bottom"/>
    </xf>
    <xf borderId="1" fillId="0" fontId="3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horizontal="left" vertical="center"/>
    </xf>
    <xf borderId="0" fillId="0" fontId="3" numFmtId="0" xfId="0" applyAlignment="1" applyFont="1">
      <alignment horizontal="right" vertical="bottom"/>
    </xf>
    <xf borderId="1" fillId="0" fontId="3" numFmtId="14" xfId="0" applyAlignment="1" applyBorder="1" applyFont="1" applyNumberFormat="1">
      <alignment horizontal="left" readingOrder="0" shrinkToFit="0" vertical="bottom" wrapText="1"/>
    </xf>
    <xf borderId="2" fillId="2" fontId="3" numFmtId="14" xfId="0" applyAlignment="1" applyBorder="1" applyFill="1" applyFont="1" applyNumberFormat="1">
      <alignment horizontal="left" shrinkToFit="0" vertical="bottom" wrapText="1"/>
    </xf>
    <xf borderId="3" fillId="0" fontId="4" numFmtId="0" xfId="0" applyAlignment="1" applyBorder="1" applyFont="1">
      <alignment horizontal="left" vertical="center"/>
    </xf>
    <xf borderId="4" fillId="3" fontId="5" numFmtId="0" xfId="0" applyAlignment="1" applyBorder="1" applyFill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left" readingOrder="0" vertical="center"/>
    </xf>
    <xf borderId="4" fillId="2" fontId="3" numFmtId="14" xfId="0" applyAlignment="1" applyBorder="1" applyFont="1" applyNumberFormat="1">
      <alignment horizontal="left" vertical="center"/>
    </xf>
    <xf borderId="7" fillId="0" fontId="3" numFmtId="2" xfId="0" applyAlignment="1" applyBorder="1" applyFont="1" applyNumberFormat="1">
      <alignment horizontal="right" vertical="center"/>
    </xf>
    <xf borderId="4" fillId="4" fontId="3" numFmtId="2" xfId="0" applyAlignment="1" applyBorder="1" applyFill="1" applyFont="1" applyNumberFormat="1">
      <alignment horizontal="right" vertical="center"/>
    </xf>
    <xf borderId="4" fillId="4" fontId="3" numFmtId="2" xfId="0" applyAlignment="1" applyBorder="1" applyFont="1" applyNumberFormat="1">
      <alignment horizontal="right" readingOrder="0" vertical="center"/>
    </xf>
    <xf borderId="5" fillId="5" fontId="3" numFmtId="2" xfId="0" applyAlignment="1" applyBorder="1" applyFill="1" applyFont="1" applyNumberFormat="1">
      <alignment horizontal="right" vertical="center"/>
    </xf>
    <xf borderId="6" fillId="0" fontId="3" numFmtId="0" xfId="0" applyAlignment="1" applyBorder="1" applyFont="1">
      <alignment horizontal="left" vertical="center"/>
    </xf>
    <xf borderId="8" fillId="2" fontId="3" numFmtId="14" xfId="0" applyAlignment="1" applyBorder="1" applyFont="1" applyNumberFormat="1">
      <alignment horizontal="left" vertical="center"/>
    </xf>
    <xf borderId="9" fillId="0" fontId="3" numFmtId="2" xfId="0" applyAlignment="1" applyBorder="1" applyFont="1" applyNumberFormat="1">
      <alignment horizontal="right" vertical="center"/>
    </xf>
    <xf borderId="8" fillId="4" fontId="3" numFmtId="2" xfId="0" applyAlignment="1" applyBorder="1" applyFont="1" applyNumberFormat="1">
      <alignment horizontal="right" vertical="center"/>
    </xf>
    <xf borderId="6" fillId="2" fontId="5" numFmtId="2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left" vertical="bottom"/>
    </xf>
    <xf borderId="1" fillId="0" fontId="3" numFmtId="14" xfId="0" applyAlignment="1" applyBorder="1" applyFont="1" applyNumberFormat="1">
      <alignment horizontal="left" shrinkToFit="0" vertical="bottom" wrapText="1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right" vertical="center"/>
    </xf>
    <xf borderId="10" fillId="0" fontId="8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vertical="center"/>
    </xf>
    <xf borderId="13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6" fillId="3" fontId="5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left" vertical="center"/>
    </xf>
    <xf borderId="18" fillId="3" fontId="5" numFmtId="0" xfId="0" applyAlignment="1" applyBorder="1" applyFont="1">
      <alignment horizontal="center" vertical="center"/>
    </xf>
    <xf borderId="19" fillId="0" fontId="3" numFmtId="164" xfId="0" applyAlignment="1" applyBorder="1" applyFont="1" applyNumberFormat="1">
      <alignment horizontal="right" vertical="center"/>
    </xf>
    <xf borderId="4" fillId="4" fontId="3" numFmtId="164" xfId="0" applyAlignment="1" applyBorder="1" applyFont="1" applyNumberFormat="1">
      <alignment horizontal="right" vertical="center"/>
    </xf>
    <xf borderId="7" fillId="0" fontId="3" numFmtId="164" xfId="0" applyAlignment="1" applyBorder="1" applyFont="1" applyNumberFormat="1">
      <alignment horizontal="right" vertical="center"/>
    </xf>
    <xf borderId="20" fillId="0" fontId="3" numFmtId="164" xfId="0" applyAlignment="1" applyBorder="1" applyFont="1" applyNumberFormat="1">
      <alignment horizontal="right" vertical="center"/>
    </xf>
    <xf borderId="21" fillId="4" fontId="3" numFmtId="164" xfId="0" applyAlignment="1" applyBorder="1" applyFont="1" applyNumberFormat="1">
      <alignment horizontal="right" vertical="center"/>
    </xf>
    <xf borderId="6" fillId="0" fontId="3" numFmtId="165" xfId="0" applyAlignment="1" applyBorder="1" applyFont="1" applyNumberFormat="1">
      <alignment horizontal="right" vertical="center"/>
    </xf>
    <xf borderId="22" fillId="0" fontId="3" numFmtId="164" xfId="0" applyAlignment="1" applyBorder="1" applyFont="1" applyNumberFormat="1">
      <alignment horizontal="right" vertical="center"/>
    </xf>
    <xf borderId="23" fillId="4" fontId="3" numFmtId="164" xfId="0" applyAlignment="1" applyBorder="1" applyFont="1" applyNumberFormat="1">
      <alignment horizontal="right" vertical="center"/>
    </xf>
    <xf borderId="8" fillId="3" fontId="5" numFmtId="0" xfId="0" applyAlignment="1" applyBorder="1" applyFont="1">
      <alignment horizontal="left" vertical="center"/>
    </xf>
    <xf borderId="24" fillId="2" fontId="5" numFmtId="164" xfId="0" applyAlignment="1" applyBorder="1" applyFont="1" applyNumberFormat="1">
      <alignment horizontal="right" vertical="center"/>
    </xf>
    <xf borderId="25" fillId="2" fontId="5" numFmtId="164" xfId="0" applyAlignment="1" applyBorder="1" applyFont="1" applyNumberFormat="1">
      <alignment horizontal="right" vertical="center"/>
    </xf>
    <xf borderId="26" fillId="2" fontId="5" numFmtId="164" xfId="0" applyAlignment="1" applyBorder="1" applyFont="1" applyNumberFormat="1">
      <alignment horizontal="right" vertical="center"/>
    </xf>
    <xf borderId="0" fillId="0" fontId="5" numFmtId="165" xfId="0" applyAlignment="1" applyFont="1" applyNumberFormat="1">
      <alignment horizontal="right" vertical="center"/>
    </xf>
    <xf borderId="0" fillId="0" fontId="5" numFmtId="164" xfId="0" applyAlignment="1" applyFont="1" applyNumberFormat="1">
      <alignment horizontal="right" vertical="center"/>
    </xf>
    <xf borderId="27" fillId="2" fontId="5" numFmtId="164" xfId="0" applyAlignment="1" applyBorder="1" applyFont="1" applyNumberFormat="1">
      <alignment horizontal="right" vertical="center"/>
    </xf>
    <xf borderId="2" fillId="2" fontId="3" numFmtId="14" xfId="0" applyAlignment="1" applyBorder="1" applyFont="1" applyNumberFormat="1">
      <alignment horizontal="center" shrinkToFit="0" vertical="bottom" wrapText="1"/>
    </xf>
    <xf borderId="28" fillId="2" fontId="3" numFmtId="14" xfId="0" applyAlignment="1" applyBorder="1" applyFont="1" applyNumberFormat="1">
      <alignment horizontal="left" shrinkToFit="0" vertical="bottom" wrapText="1"/>
    </xf>
    <xf borderId="29" fillId="6" fontId="5" numFmtId="0" xfId="0" applyAlignment="1" applyBorder="1" applyFill="1" applyFont="1">
      <alignment horizontal="left" vertical="center"/>
    </xf>
    <xf borderId="30" fillId="6" fontId="5" numFmtId="0" xfId="0" applyAlignment="1" applyBorder="1" applyFont="1">
      <alignment horizontal="left" vertical="center"/>
    </xf>
    <xf borderId="30" fillId="6" fontId="5" numFmtId="2" xfId="0" applyAlignment="1" applyBorder="1" applyFont="1" applyNumberFormat="1">
      <alignment horizontal="left" vertical="center"/>
    </xf>
    <xf borderId="30" fillId="6" fontId="5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76575" cy="2714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4" width="16.63"/>
    <col customWidth="1" min="5" max="5" width="18.13"/>
    <col customWidth="1" min="6" max="6" width="18.5"/>
    <col customWidth="1" min="7" max="8" width="16.75"/>
    <col customWidth="1" min="9" max="11" width="16.63"/>
    <col customWidth="1" min="12" max="12" width="18.63"/>
    <col customWidth="1" min="13" max="13" width="2.63"/>
    <col customWidth="1" min="14" max="14" width="8.63"/>
    <col customWidth="1" min="15" max="15" width="62.25"/>
    <col customWidth="1" min="16" max="26" width="8.63"/>
  </cols>
  <sheetData>
    <row r="1" ht="55.5" customHeight="1">
      <c r="B1" s="1" t="s">
        <v>0</v>
      </c>
    </row>
    <row r="2" ht="42.75" customHeight="1">
      <c r="B2" s="2"/>
      <c r="C2" s="2"/>
      <c r="D2" s="2"/>
    </row>
    <row r="3" ht="30.0" customHeight="1">
      <c r="C3" s="3"/>
      <c r="G3" s="4" t="s">
        <v>1</v>
      </c>
      <c r="H3" s="5" t="s">
        <v>2</v>
      </c>
      <c r="I3" s="6"/>
      <c r="J3" s="6"/>
      <c r="K3" s="6"/>
      <c r="L3" s="6"/>
    </row>
    <row r="4" ht="30.0" customHeight="1">
      <c r="G4" s="7" t="s">
        <v>3</v>
      </c>
      <c r="H4" s="8">
        <v>46111.0</v>
      </c>
      <c r="I4" s="6"/>
      <c r="J4" s="6"/>
      <c r="K4" s="6"/>
      <c r="L4" s="6"/>
    </row>
    <row r="5" ht="30.0" customHeight="1">
      <c r="G5" s="7" t="s">
        <v>4</v>
      </c>
      <c r="H5" s="9">
        <f>IFERROR(IF($H$4="","",$H$4+13), "")</f>
        <v>46124</v>
      </c>
      <c r="I5" s="10"/>
      <c r="J5" s="10"/>
      <c r="K5" s="10"/>
      <c r="L5" s="10"/>
    </row>
    <row r="6" ht="30.0" customHeight="1">
      <c r="J6" s="3"/>
    </row>
    <row r="7" ht="15.0" customHeight="1"/>
    <row r="8" ht="30.0" customHeight="1">
      <c r="B8" s="11" t="s">
        <v>5</v>
      </c>
      <c r="C8" s="11" t="s">
        <v>6</v>
      </c>
      <c r="D8" s="12" t="s">
        <v>7</v>
      </c>
      <c r="E8" s="12" t="s">
        <v>8</v>
      </c>
      <c r="F8" s="12" t="s">
        <v>9</v>
      </c>
      <c r="G8" s="12" t="s">
        <v>10</v>
      </c>
      <c r="H8" s="12" t="s">
        <v>11</v>
      </c>
      <c r="I8" s="12" t="s">
        <v>12</v>
      </c>
      <c r="J8" s="12" t="s">
        <v>13</v>
      </c>
      <c r="K8" s="12" t="s">
        <v>14</v>
      </c>
      <c r="L8" s="13" t="s">
        <v>15</v>
      </c>
      <c r="O8" s="14" t="s">
        <v>16</v>
      </c>
    </row>
    <row r="9" ht="30.0" customHeight="1">
      <c r="B9" s="15" t="s">
        <v>17</v>
      </c>
      <c r="C9" s="16">
        <f>H4</f>
        <v>46111</v>
      </c>
      <c r="D9" s="17"/>
      <c r="E9" s="18"/>
      <c r="F9" s="17"/>
      <c r="G9" s="18"/>
      <c r="H9" s="17"/>
      <c r="I9" s="18"/>
      <c r="J9" s="17"/>
      <c r="K9" s="19">
        <v>8.0</v>
      </c>
      <c r="L9" s="20">
        <f t="shared" ref="L9:L23" si="1">IFERROR(SUM(D9:K9), "")</f>
        <v>8</v>
      </c>
      <c r="O9" s="21"/>
    </row>
    <row r="10" ht="30.0" customHeight="1">
      <c r="B10" s="15" t="s">
        <v>18</v>
      </c>
      <c r="C10" s="16">
        <f>IF($H$4="","",$H$4+1)</f>
        <v>46112</v>
      </c>
      <c r="D10" s="17"/>
      <c r="E10" s="18"/>
      <c r="F10" s="17"/>
      <c r="G10" s="18"/>
      <c r="H10" s="17"/>
      <c r="I10" s="18"/>
      <c r="J10" s="17"/>
      <c r="K10" s="18">
        <v>8.0</v>
      </c>
      <c r="L10" s="20">
        <f t="shared" si="1"/>
        <v>8</v>
      </c>
      <c r="O10" s="21"/>
    </row>
    <row r="11" ht="30.0" customHeight="1">
      <c r="B11" s="15" t="s">
        <v>19</v>
      </c>
      <c r="C11" s="16">
        <f>IF($H$4="","",$H$4+2)</f>
        <v>46113</v>
      </c>
      <c r="D11" s="17"/>
      <c r="E11" s="18"/>
      <c r="F11" s="17"/>
      <c r="G11" s="18"/>
      <c r="H11" s="17"/>
      <c r="I11" s="18"/>
      <c r="J11" s="17"/>
      <c r="K11" s="18">
        <v>8.0</v>
      </c>
      <c r="L11" s="20">
        <f t="shared" si="1"/>
        <v>8</v>
      </c>
      <c r="O11" s="21"/>
    </row>
    <row r="12" ht="30.0" customHeight="1">
      <c r="B12" s="15" t="s">
        <v>20</v>
      </c>
      <c r="C12" s="16">
        <f>IF($H$4="","",$H$4+3)</f>
        <v>46114</v>
      </c>
      <c r="D12" s="17"/>
      <c r="E12" s="18"/>
      <c r="F12" s="17"/>
      <c r="G12" s="18"/>
      <c r="H12" s="17"/>
      <c r="I12" s="18"/>
      <c r="J12" s="17"/>
      <c r="K12" s="18">
        <v>8.0</v>
      </c>
      <c r="L12" s="20">
        <f t="shared" si="1"/>
        <v>8</v>
      </c>
      <c r="O12" s="21"/>
    </row>
    <row r="13" ht="30.0" customHeight="1">
      <c r="B13" s="15" t="s">
        <v>21</v>
      </c>
      <c r="C13" s="16">
        <f>IF($H$4="","",$H$4+4)</f>
        <v>46115</v>
      </c>
      <c r="D13" s="17"/>
      <c r="E13" s="18"/>
      <c r="F13" s="17"/>
      <c r="G13" s="18"/>
      <c r="H13" s="17"/>
      <c r="I13" s="18"/>
      <c r="J13" s="17"/>
      <c r="K13" s="19">
        <v>0.0</v>
      </c>
      <c r="L13" s="20">
        <f t="shared" si="1"/>
        <v>0</v>
      </c>
      <c r="O13" s="21"/>
    </row>
    <row r="14" ht="30.0" customHeight="1">
      <c r="B14" s="15" t="s">
        <v>22</v>
      </c>
      <c r="C14" s="16">
        <f>IF($H$4="","",$H$4+5)</f>
        <v>46116</v>
      </c>
      <c r="D14" s="17"/>
      <c r="E14" s="18"/>
      <c r="F14" s="17"/>
      <c r="G14" s="18"/>
      <c r="H14" s="17"/>
      <c r="I14" s="18"/>
      <c r="J14" s="17"/>
      <c r="K14" s="18"/>
      <c r="L14" s="20">
        <f t="shared" si="1"/>
        <v>0</v>
      </c>
      <c r="O14" s="21"/>
    </row>
    <row r="15" ht="30.0" customHeight="1">
      <c r="B15" s="15" t="s">
        <v>23</v>
      </c>
      <c r="C15" s="16">
        <f>IF($H$4="","",$H$4+6)</f>
        <v>46117</v>
      </c>
      <c r="D15" s="17"/>
      <c r="E15" s="18"/>
      <c r="F15" s="17"/>
      <c r="G15" s="18"/>
      <c r="H15" s="17"/>
      <c r="I15" s="18"/>
      <c r="J15" s="17"/>
      <c r="K15" s="18"/>
      <c r="L15" s="20">
        <f t="shared" si="1"/>
        <v>0</v>
      </c>
      <c r="O15" s="21"/>
    </row>
    <row r="16" ht="30.0" customHeight="1">
      <c r="B16" s="15" t="s">
        <v>17</v>
      </c>
      <c r="C16" s="16">
        <f>IF($H$4="","",$H$4+7)</f>
        <v>46118</v>
      </c>
      <c r="D16" s="17"/>
      <c r="E16" s="18"/>
      <c r="F16" s="17"/>
      <c r="G16" s="18"/>
      <c r="H16" s="17"/>
      <c r="I16" s="18"/>
      <c r="J16" s="17"/>
      <c r="K16" s="19">
        <v>0.0</v>
      </c>
      <c r="L16" s="20">
        <f t="shared" si="1"/>
        <v>0</v>
      </c>
      <c r="O16" s="21"/>
    </row>
    <row r="17" ht="30.0" customHeight="1">
      <c r="B17" s="15" t="s">
        <v>18</v>
      </c>
      <c r="C17" s="16">
        <f>IF($H$4="","",$H$4+8)</f>
        <v>46119</v>
      </c>
      <c r="D17" s="17"/>
      <c r="E17" s="18"/>
      <c r="F17" s="17"/>
      <c r="G17" s="18"/>
      <c r="H17" s="17"/>
      <c r="I17" s="18"/>
      <c r="J17" s="17"/>
      <c r="K17" s="19">
        <v>6.0</v>
      </c>
      <c r="L17" s="20">
        <f t="shared" si="1"/>
        <v>6</v>
      </c>
      <c r="O17" s="21"/>
    </row>
    <row r="18" ht="30.0" customHeight="1">
      <c r="B18" s="15" t="s">
        <v>19</v>
      </c>
      <c r="C18" s="16">
        <f>IF($H$4="","",$H$4+9)</f>
        <v>46120</v>
      </c>
      <c r="D18" s="17"/>
      <c r="E18" s="18"/>
      <c r="F18" s="17"/>
      <c r="G18" s="18"/>
      <c r="H18" s="17"/>
      <c r="I18" s="18"/>
      <c r="J18" s="17"/>
      <c r="K18" s="18">
        <v>8.0</v>
      </c>
      <c r="L18" s="20">
        <f t="shared" si="1"/>
        <v>8</v>
      </c>
      <c r="O18" s="21"/>
    </row>
    <row r="19" ht="30.0" customHeight="1">
      <c r="B19" s="15" t="s">
        <v>20</v>
      </c>
      <c r="C19" s="16">
        <f>IF($H$4="","",$H$4+10)</f>
        <v>46121</v>
      </c>
      <c r="D19" s="17"/>
      <c r="E19" s="18"/>
      <c r="F19" s="17"/>
      <c r="G19" s="18"/>
      <c r="H19" s="17"/>
      <c r="I19" s="18"/>
      <c r="J19" s="17"/>
      <c r="K19" s="18">
        <v>8.0</v>
      </c>
      <c r="L19" s="20">
        <f t="shared" si="1"/>
        <v>8</v>
      </c>
      <c r="O19" s="21"/>
    </row>
    <row r="20" ht="30.0" customHeight="1">
      <c r="B20" s="15" t="s">
        <v>21</v>
      </c>
      <c r="C20" s="16">
        <f>IF($H$4="","",$H$4+11)</f>
        <v>46122</v>
      </c>
      <c r="D20" s="17"/>
      <c r="E20" s="18"/>
      <c r="F20" s="17"/>
      <c r="G20" s="18"/>
      <c r="H20" s="17"/>
      <c r="I20" s="18"/>
      <c r="J20" s="17"/>
      <c r="K20" s="19">
        <v>0.0</v>
      </c>
      <c r="L20" s="20">
        <f t="shared" si="1"/>
        <v>0</v>
      </c>
      <c r="O20" s="21"/>
    </row>
    <row r="21" ht="30.0" customHeight="1">
      <c r="B21" s="15" t="s">
        <v>22</v>
      </c>
      <c r="C21" s="16">
        <f>IF($H$4="","",$H$4+12)</f>
        <v>46123</v>
      </c>
      <c r="D21" s="17"/>
      <c r="E21" s="18"/>
      <c r="F21" s="17"/>
      <c r="G21" s="18"/>
      <c r="H21" s="17"/>
      <c r="I21" s="18"/>
      <c r="J21" s="17"/>
      <c r="K21" s="18"/>
      <c r="L21" s="20">
        <f t="shared" si="1"/>
        <v>0</v>
      </c>
      <c r="O21" s="21"/>
    </row>
    <row r="22" ht="30.0" customHeight="1">
      <c r="B22" s="15" t="s">
        <v>23</v>
      </c>
      <c r="C22" s="22">
        <f>IF($H$4="","",$H$4+13)</f>
        <v>46124</v>
      </c>
      <c r="D22" s="23"/>
      <c r="E22" s="24"/>
      <c r="F22" s="23"/>
      <c r="G22" s="24"/>
      <c r="H22" s="23"/>
      <c r="I22" s="24"/>
      <c r="J22" s="23"/>
      <c r="K22" s="24"/>
      <c r="L22" s="20">
        <f t="shared" si="1"/>
        <v>0</v>
      </c>
      <c r="O22" s="21"/>
    </row>
    <row r="23" ht="30.0" customHeight="1">
      <c r="C23" s="14" t="s">
        <v>24</v>
      </c>
      <c r="D23" s="25">
        <f t="shared" ref="D23:K23" si="2">IFERROR(SUM(D9:D22), "")</f>
        <v>0</v>
      </c>
      <c r="E23" s="25">
        <f t="shared" si="2"/>
        <v>0</v>
      </c>
      <c r="F23" s="25">
        <f t="shared" si="2"/>
        <v>0</v>
      </c>
      <c r="G23" s="25">
        <f t="shared" si="2"/>
        <v>0</v>
      </c>
      <c r="H23" s="25">
        <f t="shared" si="2"/>
        <v>0</v>
      </c>
      <c r="I23" s="25">
        <f t="shared" si="2"/>
        <v>0</v>
      </c>
      <c r="J23" s="25">
        <f t="shared" si="2"/>
        <v>0</v>
      </c>
      <c r="K23" s="25">
        <f t="shared" si="2"/>
        <v>54</v>
      </c>
      <c r="L23" s="25">
        <f t="shared" si="1"/>
        <v>54</v>
      </c>
    </row>
    <row r="24" ht="30.0" customHeight="1">
      <c r="D24" s="3"/>
    </row>
    <row r="25" ht="30.0" customHeight="1">
      <c r="D25" s="3"/>
    </row>
    <row r="26" ht="30.0" customHeight="1">
      <c r="D26" s="26"/>
      <c r="E26" s="6"/>
      <c r="F26" s="6"/>
      <c r="G26" s="6"/>
      <c r="H26" s="6"/>
      <c r="I26" s="6"/>
      <c r="J26" s="6"/>
      <c r="K26" s="26"/>
      <c r="L26" s="27"/>
    </row>
    <row r="27" ht="30.0" customHeight="1">
      <c r="D27" s="3" t="s">
        <v>25</v>
      </c>
      <c r="L27" s="28" t="s">
        <v>6</v>
      </c>
    </row>
    <row r="28" ht="30.0" customHeight="1">
      <c r="L28" s="29" t="s">
        <v>26</v>
      </c>
    </row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0">
    <mergeCell ref="D25:J25"/>
    <mergeCell ref="D26:J26"/>
    <mergeCell ref="D27:J27"/>
    <mergeCell ref="B1:L1"/>
    <mergeCell ref="C3:D3"/>
    <mergeCell ref="H3:L3"/>
    <mergeCell ref="H4:L4"/>
    <mergeCell ref="H5:L5"/>
    <mergeCell ref="J6:L6"/>
    <mergeCell ref="D24:J24"/>
  </mergeCells>
  <printOptions horizont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13" width="15.0"/>
    <col customWidth="1" min="14" max="15" width="11.25"/>
    <col customWidth="1" min="16" max="16" width="15.0"/>
    <col customWidth="1" min="17" max="26" width="8.63"/>
  </cols>
  <sheetData>
    <row r="1" ht="55.5" customHeight="1">
      <c r="B1" s="1" t="s">
        <v>27</v>
      </c>
    </row>
    <row r="2" ht="42.75" customHeight="1">
      <c r="B2" s="2"/>
      <c r="C2" s="2"/>
      <c r="D2" s="2"/>
    </row>
    <row r="3" ht="30.0" customHeight="1">
      <c r="C3" s="3"/>
      <c r="K3" s="4" t="s">
        <v>1</v>
      </c>
      <c r="L3" s="9" t="str">
        <f>'Biweekly Time Sheet'!H3</f>
        <v>Matina Rahbar</v>
      </c>
      <c r="M3" s="10"/>
      <c r="N3" s="10"/>
      <c r="O3" s="10"/>
      <c r="P3" s="10"/>
    </row>
    <row r="4" ht="30.0" customHeight="1">
      <c r="K4" s="7" t="s">
        <v>3</v>
      </c>
      <c r="L4" s="9">
        <f>'Biweekly Time Sheet'!H4</f>
        <v>46111</v>
      </c>
      <c r="M4" s="10"/>
      <c r="N4" s="10"/>
      <c r="O4" s="10"/>
      <c r="P4" s="10"/>
    </row>
    <row r="5" ht="30.0" customHeight="1">
      <c r="K5" s="7" t="s">
        <v>4</v>
      </c>
      <c r="L5" s="9">
        <f>'Biweekly Time Sheet'!H5</f>
        <v>46124</v>
      </c>
      <c r="M5" s="10"/>
      <c r="N5" s="10"/>
      <c r="O5" s="10"/>
      <c r="P5" s="10"/>
    </row>
    <row r="6" ht="30.0" customHeight="1">
      <c r="N6" s="3"/>
    </row>
    <row r="7" ht="15.0" customHeight="1"/>
    <row r="8" ht="22.5" customHeight="1">
      <c r="D8" s="30" t="s">
        <v>28</v>
      </c>
      <c r="E8" s="31"/>
      <c r="F8" s="31"/>
      <c r="G8" s="31"/>
      <c r="H8" s="32"/>
      <c r="I8" s="30" t="s">
        <v>29</v>
      </c>
      <c r="J8" s="31"/>
      <c r="K8" s="31"/>
      <c r="L8" s="31"/>
      <c r="M8" s="31"/>
      <c r="N8" s="31"/>
      <c r="O8" s="32"/>
    </row>
    <row r="9" ht="39.75" customHeight="1">
      <c r="B9" s="11" t="s">
        <v>5</v>
      </c>
      <c r="C9" s="11" t="s">
        <v>6</v>
      </c>
      <c r="D9" s="33" t="s">
        <v>30</v>
      </c>
      <c r="E9" s="34" t="s">
        <v>31</v>
      </c>
      <c r="F9" s="34" t="s">
        <v>32</v>
      </c>
      <c r="G9" s="34" t="s">
        <v>33</v>
      </c>
      <c r="H9" s="35" t="s">
        <v>34</v>
      </c>
      <c r="I9" s="33" t="s">
        <v>35</v>
      </c>
      <c r="J9" s="34" t="s">
        <v>36</v>
      </c>
      <c r="K9" s="34" t="s">
        <v>37</v>
      </c>
      <c r="L9" s="34" t="s">
        <v>38</v>
      </c>
      <c r="M9" s="34" t="s">
        <v>39</v>
      </c>
      <c r="N9" s="36" t="s">
        <v>40</v>
      </c>
      <c r="O9" s="37"/>
      <c r="P9" s="38" t="s">
        <v>15</v>
      </c>
    </row>
    <row r="10" ht="30.0" customHeight="1">
      <c r="B10" s="11" t="str">
        <f>IFERROR(TEXT('Biweekly Expense Report CAD'!$C10,"aaaa"), "")</f>
        <v>aaaa</v>
      </c>
      <c r="C10" s="16">
        <f>L4</f>
        <v>46111</v>
      </c>
      <c r="D10" s="39"/>
      <c r="E10" s="40"/>
      <c r="F10" s="41"/>
      <c r="G10" s="40"/>
      <c r="H10" s="42"/>
      <c r="I10" s="43"/>
      <c r="J10" s="41"/>
      <c r="K10" s="40"/>
      <c r="L10" s="41"/>
      <c r="M10" s="40"/>
      <c r="N10" s="44"/>
      <c r="O10" s="45">
        <v>0.48</v>
      </c>
      <c r="P10" s="46">
        <f t="shared" ref="P10:P23" si="1">IFERROR(SUM(D10:M10)+(N10*O10), "")</f>
        <v>0</v>
      </c>
    </row>
    <row r="11" ht="30.0" customHeight="1">
      <c r="B11" s="11" t="str">
        <f>IFERROR(TEXT('Biweekly Expense Report CAD'!$C11,"aaaa"), "")</f>
        <v>aaaa</v>
      </c>
      <c r="C11" s="16">
        <f>IF($L$4="","",$L$4+1)</f>
        <v>46112</v>
      </c>
      <c r="D11" s="39"/>
      <c r="E11" s="40"/>
      <c r="F11" s="41"/>
      <c r="G11" s="40"/>
      <c r="H11" s="42"/>
      <c r="I11" s="43"/>
      <c r="J11" s="41"/>
      <c r="K11" s="40"/>
      <c r="L11" s="41"/>
      <c r="M11" s="40"/>
      <c r="N11" s="44"/>
      <c r="O11" s="45">
        <v>0.48</v>
      </c>
      <c r="P11" s="46">
        <f t="shared" si="1"/>
        <v>0</v>
      </c>
    </row>
    <row r="12" ht="30.0" customHeight="1">
      <c r="B12" s="11" t="str">
        <f>IFERROR(TEXT('Biweekly Expense Report CAD'!$C12,"aaaa"), "")</f>
        <v>aaaa</v>
      </c>
      <c r="C12" s="16">
        <f>IF($L$4="","",$L$4+2)</f>
        <v>46113</v>
      </c>
      <c r="D12" s="39"/>
      <c r="E12" s="40"/>
      <c r="F12" s="41"/>
      <c r="G12" s="40"/>
      <c r="H12" s="42"/>
      <c r="I12" s="43"/>
      <c r="J12" s="41"/>
      <c r="K12" s="40"/>
      <c r="L12" s="41"/>
      <c r="M12" s="40"/>
      <c r="N12" s="44"/>
      <c r="O12" s="45">
        <v>0.48</v>
      </c>
      <c r="P12" s="46">
        <f t="shared" si="1"/>
        <v>0</v>
      </c>
    </row>
    <row r="13" ht="30.0" customHeight="1">
      <c r="B13" s="11" t="str">
        <f>IFERROR(TEXT('Biweekly Expense Report CAD'!$C13,"aaaa"), "")</f>
        <v>aaaa</v>
      </c>
      <c r="C13" s="16">
        <f>IF($L$4="","",$L$4+3)</f>
        <v>46114</v>
      </c>
      <c r="D13" s="39"/>
      <c r="E13" s="40"/>
      <c r="F13" s="41"/>
      <c r="G13" s="40"/>
      <c r="H13" s="42"/>
      <c r="I13" s="43"/>
      <c r="J13" s="41"/>
      <c r="K13" s="40"/>
      <c r="L13" s="41"/>
      <c r="M13" s="40"/>
      <c r="N13" s="44"/>
      <c r="O13" s="45">
        <v>0.48</v>
      </c>
      <c r="P13" s="46">
        <f t="shared" si="1"/>
        <v>0</v>
      </c>
    </row>
    <row r="14" ht="30.0" customHeight="1">
      <c r="B14" s="11" t="str">
        <f>IFERROR(TEXT('Biweekly Expense Report CAD'!$C14,"aaaa"), "")</f>
        <v>aaaa</v>
      </c>
      <c r="C14" s="16">
        <f>IF($L$4="","",$L$4+4)</f>
        <v>46115</v>
      </c>
      <c r="D14" s="39"/>
      <c r="E14" s="40"/>
      <c r="F14" s="41"/>
      <c r="G14" s="40"/>
      <c r="H14" s="42"/>
      <c r="I14" s="43"/>
      <c r="J14" s="41"/>
      <c r="K14" s="40"/>
      <c r="L14" s="41"/>
      <c r="M14" s="40"/>
      <c r="N14" s="44"/>
      <c r="O14" s="45">
        <v>0.48</v>
      </c>
      <c r="P14" s="46">
        <f t="shared" si="1"/>
        <v>0</v>
      </c>
    </row>
    <row r="15" ht="30.0" customHeight="1">
      <c r="B15" s="11" t="str">
        <f>IFERROR(TEXT('Biweekly Expense Report CAD'!$C15,"aaaa"), "")</f>
        <v>aaaa</v>
      </c>
      <c r="C15" s="16">
        <f>IF($L$4="","",$L$4+5)</f>
        <v>46116</v>
      </c>
      <c r="D15" s="39"/>
      <c r="E15" s="40"/>
      <c r="F15" s="41"/>
      <c r="G15" s="40"/>
      <c r="H15" s="42"/>
      <c r="I15" s="43"/>
      <c r="J15" s="41"/>
      <c r="K15" s="40"/>
      <c r="L15" s="41"/>
      <c r="M15" s="40"/>
      <c r="N15" s="44"/>
      <c r="O15" s="45">
        <v>0.48</v>
      </c>
      <c r="P15" s="46">
        <f t="shared" si="1"/>
        <v>0</v>
      </c>
    </row>
    <row r="16" ht="30.0" customHeight="1">
      <c r="B16" s="11" t="str">
        <f>IFERROR(TEXT('Biweekly Expense Report CAD'!$C16,"aaaa"), "")</f>
        <v>aaaa</v>
      </c>
      <c r="C16" s="16">
        <f>IF($L$4="","",$L$4+6)</f>
        <v>46117</v>
      </c>
      <c r="D16" s="39"/>
      <c r="E16" s="40"/>
      <c r="F16" s="41"/>
      <c r="G16" s="40"/>
      <c r="H16" s="42"/>
      <c r="I16" s="43"/>
      <c r="J16" s="41"/>
      <c r="K16" s="40"/>
      <c r="L16" s="41"/>
      <c r="M16" s="40"/>
      <c r="N16" s="44"/>
      <c r="O16" s="45">
        <v>0.48</v>
      </c>
      <c r="P16" s="46">
        <f t="shared" si="1"/>
        <v>0</v>
      </c>
    </row>
    <row r="17" ht="30.0" customHeight="1">
      <c r="B17" s="11" t="str">
        <f>IFERROR(TEXT('Biweekly Expense Report CAD'!$C17,"aaaa"), "")</f>
        <v>aaaa</v>
      </c>
      <c r="C17" s="16">
        <f>IF($L$4="","",$L$4+7)</f>
        <v>46118</v>
      </c>
      <c r="D17" s="39"/>
      <c r="E17" s="40"/>
      <c r="F17" s="41"/>
      <c r="G17" s="40"/>
      <c r="H17" s="42"/>
      <c r="I17" s="43"/>
      <c r="J17" s="41"/>
      <c r="K17" s="40"/>
      <c r="L17" s="41"/>
      <c r="M17" s="40"/>
      <c r="N17" s="44"/>
      <c r="O17" s="45">
        <v>0.48</v>
      </c>
      <c r="P17" s="46">
        <f t="shared" si="1"/>
        <v>0</v>
      </c>
    </row>
    <row r="18" ht="30.0" customHeight="1">
      <c r="B18" s="11" t="str">
        <f>IFERROR(TEXT('Biweekly Expense Report CAD'!$C18,"aaaa"), "")</f>
        <v>aaaa</v>
      </c>
      <c r="C18" s="16">
        <f>IF($L$4="","",$L$4+8)</f>
        <v>46119</v>
      </c>
      <c r="D18" s="39"/>
      <c r="E18" s="40"/>
      <c r="F18" s="41"/>
      <c r="G18" s="40"/>
      <c r="H18" s="42"/>
      <c r="I18" s="43"/>
      <c r="J18" s="41"/>
      <c r="K18" s="40"/>
      <c r="L18" s="41"/>
      <c r="M18" s="40"/>
      <c r="N18" s="44"/>
      <c r="O18" s="45">
        <v>0.48</v>
      </c>
      <c r="P18" s="46">
        <f t="shared" si="1"/>
        <v>0</v>
      </c>
    </row>
    <row r="19" ht="30.0" customHeight="1">
      <c r="B19" s="11" t="str">
        <f>IFERROR(TEXT('Biweekly Expense Report CAD'!$C19,"aaaa"), "")</f>
        <v>aaaa</v>
      </c>
      <c r="C19" s="16">
        <f>IF($L$4="","",$L$4+9)</f>
        <v>46120</v>
      </c>
      <c r="D19" s="39"/>
      <c r="E19" s="40"/>
      <c r="F19" s="41"/>
      <c r="G19" s="40"/>
      <c r="H19" s="42"/>
      <c r="I19" s="43"/>
      <c r="J19" s="41"/>
      <c r="K19" s="40"/>
      <c r="L19" s="41"/>
      <c r="M19" s="40"/>
      <c r="N19" s="44"/>
      <c r="O19" s="45">
        <v>0.48</v>
      </c>
      <c r="P19" s="46">
        <f t="shared" si="1"/>
        <v>0</v>
      </c>
    </row>
    <row r="20" ht="30.0" customHeight="1">
      <c r="B20" s="11" t="str">
        <f>IFERROR(TEXT('Biweekly Expense Report CAD'!$C20,"aaaa"), "")</f>
        <v>aaaa</v>
      </c>
      <c r="C20" s="16">
        <f>IF($L$4="","",$L$4+10)</f>
        <v>46121</v>
      </c>
      <c r="D20" s="39"/>
      <c r="E20" s="40"/>
      <c r="F20" s="41"/>
      <c r="G20" s="40"/>
      <c r="H20" s="42"/>
      <c r="I20" s="43"/>
      <c r="J20" s="41"/>
      <c r="K20" s="40"/>
      <c r="L20" s="41"/>
      <c r="M20" s="40"/>
      <c r="N20" s="44"/>
      <c r="O20" s="45">
        <v>0.48</v>
      </c>
      <c r="P20" s="46">
        <f t="shared" si="1"/>
        <v>0</v>
      </c>
    </row>
    <row r="21" ht="30.0" customHeight="1">
      <c r="B21" s="11" t="str">
        <f>IFERROR(TEXT('Biweekly Expense Report CAD'!$C21,"aaaa"), "")</f>
        <v>aaaa</v>
      </c>
      <c r="C21" s="16">
        <f>IF($L$4="","",$L$4+11)</f>
        <v>46122</v>
      </c>
      <c r="D21" s="39"/>
      <c r="E21" s="40"/>
      <c r="F21" s="41"/>
      <c r="G21" s="40"/>
      <c r="H21" s="42"/>
      <c r="I21" s="43"/>
      <c r="J21" s="41"/>
      <c r="K21" s="40"/>
      <c r="L21" s="41"/>
      <c r="M21" s="40"/>
      <c r="N21" s="44"/>
      <c r="O21" s="45">
        <v>0.48</v>
      </c>
      <c r="P21" s="46">
        <f t="shared" si="1"/>
        <v>0</v>
      </c>
    </row>
    <row r="22" ht="30.0" customHeight="1">
      <c r="B22" s="11" t="str">
        <f>IFERROR(TEXT('Biweekly Expense Report CAD'!$C22,"aaaa"), "")</f>
        <v>aaaa</v>
      </c>
      <c r="C22" s="16">
        <f>IF($L$4="","",$L$4+12)</f>
        <v>46123</v>
      </c>
      <c r="D22" s="39"/>
      <c r="E22" s="40"/>
      <c r="F22" s="41"/>
      <c r="G22" s="40"/>
      <c r="H22" s="42"/>
      <c r="I22" s="43"/>
      <c r="J22" s="41"/>
      <c r="K22" s="40"/>
      <c r="L22" s="41"/>
      <c r="M22" s="40"/>
      <c r="N22" s="44"/>
      <c r="O22" s="45">
        <v>0.48</v>
      </c>
      <c r="P22" s="46">
        <f t="shared" si="1"/>
        <v>0</v>
      </c>
    </row>
    <row r="23" ht="30.0" customHeight="1">
      <c r="B23" s="47" t="str">
        <f>IFERROR(TEXT('Biweekly Expense Report CAD'!$C23,"aaaa"), "")</f>
        <v>aaaa</v>
      </c>
      <c r="C23" s="22">
        <f>IF($L$4="","",$L$4+13)</f>
        <v>46124</v>
      </c>
      <c r="D23" s="39"/>
      <c r="E23" s="40"/>
      <c r="F23" s="41"/>
      <c r="G23" s="40"/>
      <c r="H23" s="42"/>
      <c r="I23" s="43"/>
      <c r="J23" s="41"/>
      <c r="K23" s="40"/>
      <c r="L23" s="41"/>
      <c r="M23" s="40"/>
      <c r="N23" s="44"/>
      <c r="O23" s="45">
        <v>0.48</v>
      </c>
      <c r="P23" s="46">
        <f t="shared" si="1"/>
        <v>0</v>
      </c>
    </row>
    <row r="24" ht="30.0" customHeight="1">
      <c r="C24" s="47" t="s">
        <v>15</v>
      </c>
      <c r="D24" s="48">
        <f t="shared" ref="D24:M24" si="2">IFERROR(SUM(D10:D23), "")</f>
        <v>0</v>
      </c>
      <c r="E24" s="49">
        <f t="shared" si="2"/>
        <v>0</v>
      </c>
      <c r="F24" s="49">
        <f t="shared" si="2"/>
        <v>0</v>
      </c>
      <c r="G24" s="49">
        <f t="shared" si="2"/>
        <v>0</v>
      </c>
      <c r="H24" s="50">
        <f t="shared" si="2"/>
        <v>0</v>
      </c>
      <c r="I24" s="48">
        <f t="shared" si="2"/>
        <v>0</v>
      </c>
      <c r="J24" s="49">
        <f t="shared" si="2"/>
        <v>0</v>
      </c>
      <c r="K24" s="49">
        <f t="shared" si="2"/>
        <v>0</v>
      </c>
      <c r="L24" s="49">
        <f t="shared" si="2"/>
        <v>0</v>
      </c>
      <c r="M24" s="49">
        <f t="shared" si="2"/>
        <v>0</v>
      </c>
      <c r="N24" s="51"/>
      <c r="O24" s="52"/>
      <c r="P24" s="53">
        <f>IFERROR(SUM(P10:P23),"$")</f>
        <v>0</v>
      </c>
    </row>
    <row r="25" ht="30.0" customHeight="1">
      <c r="D25" s="3"/>
    </row>
    <row r="26" ht="30.0" customHeight="1">
      <c r="D26" s="3"/>
    </row>
    <row r="27" ht="30.0" customHeight="1">
      <c r="D27" s="54" t="str">
        <f>'Biweekly Time Sheet'!D26:J26</f>
        <v/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55" t="str">
        <f>'Biweekly Time Sheet'!L26</f>
        <v/>
      </c>
    </row>
    <row r="28" ht="30.0" customHeight="1">
      <c r="D28" s="3" t="s">
        <v>25</v>
      </c>
      <c r="P28" s="28" t="s">
        <v>6</v>
      </c>
    </row>
    <row r="29" ht="30.0" customHeight="1">
      <c r="P29" s="29" t="s">
        <v>41</v>
      </c>
    </row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3">
    <mergeCell ref="I8:O8"/>
    <mergeCell ref="N9:O9"/>
    <mergeCell ref="D25:N25"/>
    <mergeCell ref="D26:N26"/>
    <mergeCell ref="D27:O27"/>
    <mergeCell ref="D28:N28"/>
    <mergeCell ref="B1:P1"/>
    <mergeCell ref="C3:D3"/>
    <mergeCell ref="L3:P3"/>
    <mergeCell ref="L4:P4"/>
    <mergeCell ref="L5:P5"/>
    <mergeCell ref="N6:P6"/>
    <mergeCell ref="D8:H8"/>
  </mergeCells>
  <printOptions horizontalCentered="1"/>
  <pageMargins bottom="0.5" footer="0.0" header="0.0" left="0.75" right="0.75" top="0.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13" width="15.0"/>
    <col customWidth="1" min="14" max="15" width="11.25"/>
    <col customWidth="1" min="16" max="16" width="15.0"/>
    <col customWidth="1" min="17" max="26" width="8.63"/>
  </cols>
  <sheetData>
    <row r="1" ht="55.5" customHeight="1">
      <c r="B1" s="1" t="s">
        <v>42</v>
      </c>
    </row>
    <row r="2" ht="42.75" customHeight="1">
      <c r="B2" s="2"/>
      <c r="C2" s="2"/>
      <c r="D2" s="2"/>
    </row>
    <row r="3" ht="30.0" customHeight="1">
      <c r="C3" s="3"/>
      <c r="K3" s="4" t="s">
        <v>1</v>
      </c>
      <c r="L3" s="9" t="str">
        <f>'Biweekly Time Sheet'!H3</f>
        <v>Matina Rahbar</v>
      </c>
      <c r="M3" s="10"/>
      <c r="N3" s="10"/>
      <c r="O3" s="10"/>
      <c r="P3" s="10"/>
    </row>
    <row r="4" ht="30.0" customHeight="1">
      <c r="K4" s="7" t="s">
        <v>3</v>
      </c>
      <c r="L4" s="9">
        <f>'Biweekly Time Sheet'!H4</f>
        <v>46111</v>
      </c>
      <c r="M4" s="10"/>
      <c r="N4" s="10"/>
      <c r="O4" s="10"/>
      <c r="P4" s="10"/>
    </row>
    <row r="5" ht="30.0" customHeight="1">
      <c r="K5" s="7" t="s">
        <v>4</v>
      </c>
      <c r="L5" s="9">
        <f>'Biweekly Time Sheet'!H5</f>
        <v>46124</v>
      </c>
      <c r="M5" s="10"/>
      <c r="N5" s="10"/>
      <c r="O5" s="10"/>
      <c r="P5" s="10"/>
    </row>
    <row r="6" ht="30.0" customHeight="1">
      <c r="N6" s="3"/>
    </row>
    <row r="7" ht="15.0" customHeight="1"/>
    <row r="8" ht="22.5" customHeight="1">
      <c r="D8" s="30" t="s">
        <v>28</v>
      </c>
      <c r="E8" s="31"/>
      <c r="F8" s="31"/>
      <c r="G8" s="31"/>
      <c r="H8" s="32"/>
      <c r="I8" s="30" t="s">
        <v>29</v>
      </c>
      <c r="J8" s="31"/>
      <c r="K8" s="31"/>
      <c r="L8" s="31"/>
      <c r="M8" s="31"/>
      <c r="N8" s="31"/>
      <c r="O8" s="32"/>
    </row>
    <row r="9" ht="39.75" customHeight="1">
      <c r="B9" s="11" t="s">
        <v>5</v>
      </c>
      <c r="C9" s="11" t="s">
        <v>6</v>
      </c>
      <c r="D9" s="33" t="s">
        <v>30</v>
      </c>
      <c r="E9" s="34" t="s">
        <v>31</v>
      </c>
      <c r="F9" s="34" t="s">
        <v>32</v>
      </c>
      <c r="G9" s="34" t="s">
        <v>33</v>
      </c>
      <c r="H9" s="35" t="s">
        <v>34</v>
      </c>
      <c r="I9" s="33" t="s">
        <v>35</v>
      </c>
      <c r="J9" s="34" t="s">
        <v>36</v>
      </c>
      <c r="K9" s="34" t="s">
        <v>37</v>
      </c>
      <c r="L9" s="34" t="s">
        <v>38</v>
      </c>
      <c r="M9" s="34" t="s">
        <v>39</v>
      </c>
      <c r="N9" s="36" t="s">
        <v>40</v>
      </c>
      <c r="O9" s="37"/>
      <c r="P9" s="38" t="s">
        <v>15</v>
      </c>
    </row>
    <row r="10" ht="30.0" customHeight="1">
      <c r="B10" s="11" t="str">
        <f>IFERROR(TEXT('Biweekly Expense Report USD'!$C10,"aaaa"), "")</f>
        <v>aaaa</v>
      </c>
      <c r="C10" s="16">
        <f>L4</f>
        <v>46111</v>
      </c>
      <c r="D10" s="39"/>
      <c r="E10" s="40"/>
      <c r="F10" s="41"/>
      <c r="G10" s="40"/>
      <c r="H10" s="42"/>
      <c r="I10" s="43"/>
      <c r="J10" s="41"/>
      <c r="K10" s="40"/>
      <c r="L10" s="41"/>
      <c r="M10" s="40"/>
      <c r="N10" s="44"/>
      <c r="O10" s="45">
        <v>0.48</v>
      </c>
      <c r="P10" s="46">
        <f t="shared" ref="P10:P23" si="1">IFERROR(SUM(D10:M10)+(N10*O10), "")</f>
        <v>0</v>
      </c>
    </row>
    <row r="11" ht="30.0" customHeight="1">
      <c r="B11" s="11" t="str">
        <f>IFERROR(TEXT('Biweekly Expense Report USD'!$C11,"aaaa"), "")</f>
        <v>aaaa</v>
      </c>
      <c r="C11" s="16">
        <f>IF($L$4="","",$L$4+1)</f>
        <v>46112</v>
      </c>
      <c r="D11" s="39"/>
      <c r="E11" s="40"/>
      <c r="F11" s="41"/>
      <c r="G11" s="40"/>
      <c r="H11" s="42"/>
      <c r="I11" s="43"/>
      <c r="J11" s="41"/>
      <c r="K11" s="40"/>
      <c r="L11" s="41"/>
      <c r="M11" s="40"/>
      <c r="N11" s="44"/>
      <c r="O11" s="45">
        <v>0.48</v>
      </c>
      <c r="P11" s="46">
        <f t="shared" si="1"/>
        <v>0</v>
      </c>
    </row>
    <row r="12" ht="30.0" customHeight="1">
      <c r="B12" s="11" t="str">
        <f>IFERROR(TEXT('Biweekly Expense Report USD'!$C12,"aaaa"), "")</f>
        <v>aaaa</v>
      </c>
      <c r="C12" s="16">
        <f>IF($L$4="","",$L$4+2)</f>
        <v>46113</v>
      </c>
      <c r="D12" s="39"/>
      <c r="E12" s="40"/>
      <c r="F12" s="41"/>
      <c r="G12" s="40"/>
      <c r="H12" s="42"/>
      <c r="I12" s="43"/>
      <c r="J12" s="41"/>
      <c r="K12" s="40"/>
      <c r="L12" s="41"/>
      <c r="M12" s="40"/>
      <c r="N12" s="44"/>
      <c r="O12" s="45">
        <v>0.48</v>
      </c>
      <c r="P12" s="46">
        <f t="shared" si="1"/>
        <v>0</v>
      </c>
    </row>
    <row r="13" ht="30.0" customHeight="1">
      <c r="B13" s="11" t="str">
        <f>IFERROR(TEXT('Biweekly Expense Report USD'!$C13,"aaaa"), "")</f>
        <v>aaaa</v>
      </c>
      <c r="C13" s="16">
        <f>IF($L$4="","",$L$4+3)</f>
        <v>46114</v>
      </c>
      <c r="D13" s="39"/>
      <c r="E13" s="40"/>
      <c r="F13" s="41"/>
      <c r="G13" s="40"/>
      <c r="H13" s="42"/>
      <c r="I13" s="43"/>
      <c r="J13" s="41"/>
      <c r="K13" s="40"/>
      <c r="L13" s="41"/>
      <c r="M13" s="40"/>
      <c r="N13" s="44"/>
      <c r="O13" s="45">
        <v>0.48</v>
      </c>
      <c r="P13" s="46">
        <f t="shared" si="1"/>
        <v>0</v>
      </c>
    </row>
    <row r="14" ht="30.0" customHeight="1">
      <c r="B14" s="11" t="str">
        <f>IFERROR(TEXT('Biweekly Expense Report USD'!$C14,"aaaa"), "")</f>
        <v>aaaa</v>
      </c>
      <c r="C14" s="16">
        <f>IF($L$4="","",$L$4+4)</f>
        <v>46115</v>
      </c>
      <c r="D14" s="39"/>
      <c r="E14" s="40"/>
      <c r="F14" s="41"/>
      <c r="G14" s="40"/>
      <c r="H14" s="42"/>
      <c r="I14" s="43"/>
      <c r="J14" s="41"/>
      <c r="K14" s="40"/>
      <c r="L14" s="41"/>
      <c r="M14" s="40"/>
      <c r="N14" s="44"/>
      <c r="O14" s="45">
        <v>0.48</v>
      </c>
      <c r="P14" s="46">
        <f t="shared" si="1"/>
        <v>0</v>
      </c>
    </row>
    <row r="15" ht="30.0" customHeight="1">
      <c r="B15" s="11" t="str">
        <f>IFERROR(TEXT('Biweekly Expense Report USD'!$C15,"aaaa"), "")</f>
        <v>aaaa</v>
      </c>
      <c r="C15" s="16">
        <f>IF($L$4="","",$L$4+5)</f>
        <v>46116</v>
      </c>
      <c r="D15" s="39"/>
      <c r="E15" s="40"/>
      <c r="F15" s="41"/>
      <c r="G15" s="40"/>
      <c r="H15" s="42"/>
      <c r="I15" s="43"/>
      <c r="J15" s="41"/>
      <c r="K15" s="40"/>
      <c r="L15" s="41"/>
      <c r="M15" s="40"/>
      <c r="N15" s="44"/>
      <c r="O15" s="45">
        <v>0.48</v>
      </c>
      <c r="P15" s="46">
        <f t="shared" si="1"/>
        <v>0</v>
      </c>
    </row>
    <row r="16" ht="30.0" customHeight="1">
      <c r="B16" s="11" t="str">
        <f>IFERROR(TEXT('Biweekly Expense Report USD'!$C16,"aaaa"), "")</f>
        <v>aaaa</v>
      </c>
      <c r="C16" s="16">
        <f>IF($L$4="","",$L$4+6)</f>
        <v>46117</v>
      </c>
      <c r="D16" s="39"/>
      <c r="E16" s="40"/>
      <c r="F16" s="41"/>
      <c r="G16" s="40"/>
      <c r="H16" s="42"/>
      <c r="I16" s="43"/>
      <c r="J16" s="41"/>
      <c r="K16" s="40"/>
      <c r="L16" s="41"/>
      <c r="M16" s="40"/>
      <c r="N16" s="44"/>
      <c r="O16" s="45">
        <v>0.48</v>
      </c>
      <c r="P16" s="46">
        <f t="shared" si="1"/>
        <v>0</v>
      </c>
    </row>
    <row r="17" ht="30.0" customHeight="1">
      <c r="B17" s="11" t="str">
        <f>IFERROR(TEXT('Biweekly Expense Report USD'!$C17,"aaaa"), "")</f>
        <v>aaaa</v>
      </c>
      <c r="C17" s="16">
        <f>IF($L$4="","",$L$4+7)</f>
        <v>46118</v>
      </c>
      <c r="D17" s="39"/>
      <c r="E17" s="40"/>
      <c r="F17" s="41"/>
      <c r="G17" s="40"/>
      <c r="H17" s="42"/>
      <c r="I17" s="43"/>
      <c r="J17" s="41"/>
      <c r="K17" s="40"/>
      <c r="L17" s="41"/>
      <c r="M17" s="40"/>
      <c r="N17" s="44"/>
      <c r="O17" s="45">
        <v>0.48</v>
      </c>
      <c r="P17" s="46">
        <f t="shared" si="1"/>
        <v>0</v>
      </c>
    </row>
    <row r="18" ht="30.0" customHeight="1">
      <c r="B18" s="11" t="str">
        <f>IFERROR(TEXT('Biweekly Expense Report USD'!$C18,"aaaa"), "")</f>
        <v>aaaa</v>
      </c>
      <c r="C18" s="16">
        <f>IF($L$4="","",$L$4+8)</f>
        <v>46119</v>
      </c>
      <c r="D18" s="39"/>
      <c r="E18" s="40"/>
      <c r="F18" s="41"/>
      <c r="G18" s="40"/>
      <c r="H18" s="42"/>
      <c r="I18" s="43"/>
      <c r="J18" s="41"/>
      <c r="K18" s="40"/>
      <c r="L18" s="41"/>
      <c r="M18" s="40"/>
      <c r="N18" s="44"/>
      <c r="O18" s="45">
        <v>0.48</v>
      </c>
      <c r="P18" s="46">
        <f t="shared" si="1"/>
        <v>0</v>
      </c>
    </row>
    <row r="19" ht="30.0" customHeight="1">
      <c r="B19" s="11" t="str">
        <f>IFERROR(TEXT('Biweekly Expense Report USD'!$C19,"aaaa"), "")</f>
        <v>aaaa</v>
      </c>
      <c r="C19" s="16">
        <f>IF($L$4="","",$L$4+9)</f>
        <v>46120</v>
      </c>
      <c r="D19" s="39"/>
      <c r="E19" s="40"/>
      <c r="F19" s="41"/>
      <c r="G19" s="40"/>
      <c r="H19" s="42"/>
      <c r="I19" s="43"/>
      <c r="J19" s="41"/>
      <c r="K19" s="40"/>
      <c r="L19" s="41"/>
      <c r="M19" s="40"/>
      <c r="N19" s="44"/>
      <c r="O19" s="45">
        <v>0.48</v>
      </c>
      <c r="P19" s="46">
        <f t="shared" si="1"/>
        <v>0</v>
      </c>
    </row>
    <row r="20" ht="30.0" customHeight="1">
      <c r="B20" s="11" t="str">
        <f>IFERROR(TEXT('Biweekly Expense Report USD'!$C20,"aaaa"), "")</f>
        <v>aaaa</v>
      </c>
      <c r="C20" s="16">
        <f>IF($L$4="","",$L$4+10)</f>
        <v>46121</v>
      </c>
      <c r="D20" s="39"/>
      <c r="E20" s="40"/>
      <c r="F20" s="41"/>
      <c r="G20" s="40"/>
      <c r="H20" s="42"/>
      <c r="I20" s="43"/>
      <c r="J20" s="41"/>
      <c r="K20" s="40"/>
      <c r="L20" s="41"/>
      <c r="M20" s="40"/>
      <c r="N20" s="44"/>
      <c r="O20" s="45">
        <v>0.48</v>
      </c>
      <c r="P20" s="46">
        <f t="shared" si="1"/>
        <v>0</v>
      </c>
    </row>
    <row r="21" ht="30.0" customHeight="1">
      <c r="B21" s="11" t="str">
        <f>IFERROR(TEXT('Biweekly Expense Report USD'!$C21,"aaaa"), "")</f>
        <v>aaaa</v>
      </c>
      <c r="C21" s="16">
        <f>IF($L$4="","",$L$4+11)</f>
        <v>46122</v>
      </c>
      <c r="D21" s="39"/>
      <c r="E21" s="40"/>
      <c r="F21" s="41"/>
      <c r="G21" s="40"/>
      <c r="H21" s="42"/>
      <c r="I21" s="43"/>
      <c r="J21" s="41"/>
      <c r="K21" s="40"/>
      <c r="L21" s="41"/>
      <c r="M21" s="40"/>
      <c r="N21" s="44"/>
      <c r="O21" s="45">
        <v>0.48</v>
      </c>
      <c r="P21" s="46">
        <f t="shared" si="1"/>
        <v>0</v>
      </c>
    </row>
    <row r="22" ht="30.0" customHeight="1">
      <c r="B22" s="11" t="str">
        <f>IFERROR(TEXT('Biweekly Expense Report USD'!$C22,"aaaa"), "")</f>
        <v>aaaa</v>
      </c>
      <c r="C22" s="16">
        <f>IF($L$4="","",$L$4+12)</f>
        <v>46123</v>
      </c>
      <c r="D22" s="39"/>
      <c r="E22" s="40"/>
      <c r="F22" s="41"/>
      <c r="G22" s="40"/>
      <c r="H22" s="42"/>
      <c r="I22" s="43"/>
      <c r="J22" s="41"/>
      <c r="K22" s="40"/>
      <c r="L22" s="41"/>
      <c r="M22" s="40"/>
      <c r="N22" s="44"/>
      <c r="O22" s="45">
        <v>0.48</v>
      </c>
      <c r="P22" s="46">
        <f t="shared" si="1"/>
        <v>0</v>
      </c>
    </row>
    <row r="23" ht="30.0" customHeight="1">
      <c r="B23" s="47" t="str">
        <f>IFERROR(TEXT('Biweekly Expense Report USD'!$C23,"aaaa"), "")</f>
        <v>aaaa</v>
      </c>
      <c r="C23" s="22">
        <f>IF($L$4="","",$L$4+13)</f>
        <v>46124</v>
      </c>
      <c r="D23" s="39"/>
      <c r="E23" s="40"/>
      <c r="F23" s="41"/>
      <c r="G23" s="40"/>
      <c r="H23" s="42"/>
      <c r="I23" s="43"/>
      <c r="J23" s="41"/>
      <c r="K23" s="40"/>
      <c r="L23" s="41"/>
      <c r="M23" s="40"/>
      <c r="N23" s="44"/>
      <c r="O23" s="45">
        <v>0.48</v>
      </c>
      <c r="P23" s="46">
        <f t="shared" si="1"/>
        <v>0</v>
      </c>
    </row>
    <row r="24" ht="30.0" customHeight="1">
      <c r="C24" s="47" t="s">
        <v>15</v>
      </c>
      <c r="D24" s="48">
        <f t="shared" ref="D24:M24" si="2">IFERROR(SUM(D10:D23), "")</f>
        <v>0</v>
      </c>
      <c r="E24" s="49">
        <f t="shared" si="2"/>
        <v>0</v>
      </c>
      <c r="F24" s="49">
        <f t="shared" si="2"/>
        <v>0</v>
      </c>
      <c r="G24" s="49">
        <f t="shared" si="2"/>
        <v>0</v>
      </c>
      <c r="H24" s="50">
        <f t="shared" si="2"/>
        <v>0</v>
      </c>
      <c r="I24" s="48">
        <f t="shared" si="2"/>
        <v>0</v>
      </c>
      <c r="J24" s="49">
        <f t="shared" si="2"/>
        <v>0</v>
      </c>
      <c r="K24" s="49">
        <f t="shared" si="2"/>
        <v>0</v>
      </c>
      <c r="L24" s="49">
        <f t="shared" si="2"/>
        <v>0</v>
      </c>
      <c r="M24" s="49">
        <f t="shared" si="2"/>
        <v>0</v>
      </c>
      <c r="N24" s="51"/>
      <c r="O24" s="52"/>
      <c r="P24" s="53">
        <f>IFERROR(SUM(P10:P23),"$")</f>
        <v>0</v>
      </c>
    </row>
    <row r="25" ht="30.0" customHeight="1">
      <c r="D25" s="3"/>
    </row>
    <row r="26" ht="30.0" customHeight="1">
      <c r="D26" s="3"/>
    </row>
    <row r="27" ht="30.0" customHeight="1">
      <c r="D27" s="54" t="str">
        <f>'Biweekly Time Sheet'!D26:J26</f>
        <v/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55" t="str">
        <f>'Biweekly Time Sheet'!L26</f>
        <v/>
      </c>
    </row>
    <row r="28" ht="30.0" customHeight="1">
      <c r="D28" s="3" t="s">
        <v>25</v>
      </c>
      <c r="P28" s="28" t="s">
        <v>6</v>
      </c>
    </row>
    <row r="29" ht="30.0" customHeight="1">
      <c r="P29" s="29" t="s">
        <v>41</v>
      </c>
    </row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3">
    <mergeCell ref="I8:O8"/>
    <mergeCell ref="N9:O9"/>
    <mergeCell ref="D25:N25"/>
    <mergeCell ref="D26:N26"/>
    <mergeCell ref="D27:O27"/>
    <mergeCell ref="D28:N28"/>
    <mergeCell ref="B1:P1"/>
    <mergeCell ref="C3:D3"/>
    <mergeCell ref="L3:P3"/>
    <mergeCell ref="L4:P4"/>
    <mergeCell ref="L5:P5"/>
    <mergeCell ref="N6:P6"/>
    <mergeCell ref="D8:H8"/>
  </mergeCells>
  <printOptions horizontalCentered="1"/>
  <pageMargins bottom="0.5" footer="0.0" header="0.0" left="0.75" right="0.75" top="0.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6" width="8.63"/>
  </cols>
  <sheetData>
    <row r="1" ht="13.5" customHeight="1">
      <c r="A1" s="56" t="s">
        <v>43</v>
      </c>
      <c r="B1" s="56"/>
      <c r="C1" s="56"/>
      <c r="D1" s="56"/>
    </row>
    <row r="2" ht="13.5" customHeight="1">
      <c r="A2" s="57" t="s">
        <v>44</v>
      </c>
      <c r="B2" s="57"/>
      <c r="C2" s="58">
        <f>'Biweekly Time Sheet'!D$23</f>
        <v>0</v>
      </c>
      <c r="D2" s="57"/>
    </row>
    <row r="3" ht="13.5" customHeight="1">
      <c r="A3" s="57" t="s">
        <v>45</v>
      </c>
      <c r="B3" s="57"/>
      <c r="C3" s="58">
        <f>'Biweekly Time Sheet'!E$23</f>
        <v>0</v>
      </c>
      <c r="D3" s="57"/>
    </row>
    <row r="4" ht="13.5" customHeight="1">
      <c r="A4" s="57" t="s">
        <v>46</v>
      </c>
      <c r="B4" s="57"/>
      <c r="C4" s="58">
        <f>'Biweekly Time Sheet'!F$23</f>
        <v>0</v>
      </c>
      <c r="D4" s="57"/>
    </row>
    <row r="5" ht="13.5" customHeight="1">
      <c r="A5" s="57" t="s">
        <v>47</v>
      </c>
      <c r="B5" s="57"/>
      <c r="C5" s="58">
        <f>'Biweekly Time Sheet'!G$23</f>
        <v>0</v>
      </c>
      <c r="D5" s="57"/>
    </row>
    <row r="6" ht="13.5" customHeight="1">
      <c r="A6" s="57" t="s">
        <v>48</v>
      </c>
      <c r="B6" s="57"/>
      <c r="C6" s="58">
        <f>'Biweekly Time Sheet'!H$23</f>
        <v>0</v>
      </c>
      <c r="D6" s="57"/>
    </row>
    <row r="7" ht="13.5" customHeight="1">
      <c r="A7" s="57" t="s">
        <v>49</v>
      </c>
      <c r="B7" s="57"/>
      <c r="C7" s="58">
        <f>'Biweekly Time Sheet'!I$23</f>
        <v>0</v>
      </c>
      <c r="D7" s="57"/>
    </row>
    <row r="8" ht="13.5" customHeight="1">
      <c r="A8" s="57" t="s">
        <v>50</v>
      </c>
      <c r="B8" s="57"/>
      <c r="C8" s="58">
        <f>'Biweekly Time Sheet'!J$23</f>
        <v>0</v>
      </c>
      <c r="D8" s="57"/>
    </row>
    <row r="9" ht="13.5" customHeight="1">
      <c r="A9" s="57" t="s">
        <v>51</v>
      </c>
      <c r="B9" s="57"/>
      <c r="C9" s="58">
        <f>'Biweekly Time Sheet'!K$23</f>
        <v>54</v>
      </c>
      <c r="D9" s="57"/>
    </row>
    <row r="10" ht="13.5" customHeight="1">
      <c r="A10" s="57" t="s">
        <v>52</v>
      </c>
      <c r="B10" s="57"/>
      <c r="C10" s="59">
        <f>'Biweekly Expense Report CAD'!P24</f>
        <v>0</v>
      </c>
      <c r="D10" s="57" t="s">
        <v>53</v>
      </c>
    </row>
    <row r="11" ht="13.5" customHeight="1">
      <c r="A11" s="57" t="s">
        <v>54</v>
      </c>
      <c r="B11" s="57"/>
      <c r="C11" s="59">
        <f>'Biweekly Expense Report USD'!P24</f>
        <v>0</v>
      </c>
      <c r="D11" s="57" t="s">
        <v>55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2017-09-11T06:48:50Z</dcterms:created>
  <dc:creator>LAPTOP</dc:creator>
</cp:coreProperties>
</file>