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E30AFD85-0D60-4918-A796-1361B9BDD517}"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<sst xmlns="http://schemas.openxmlformats.org/spreadsheetml/2006/main" count="93" uniqueCount="51">
  <si>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</si>
  <si>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</si>
  <si>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</si>
  <si>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</si>
  <si>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</si>
  <si>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</si>
  <si>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</si>
  <si>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</si>
  <si>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</si>
  <si>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</si>
  <si>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</si>
  <si>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</si>
  <si>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</si>
  <si>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</si>
  <si>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</si>
  <si>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</si>
  <si>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</si>
  <si>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</si>
  <si>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</si>
  <si>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</si>
  <si>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</si>
  <si>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</si>
  <si>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</si>
  <si>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</si>
  <si>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</si>
  <si>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</si>
  <si>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</si>
  <si>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</si>
  <si>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</si>
  <si>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</si>
  <si>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</si>
  <si>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</si>
  <si>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</si>
  <si>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</si>
  <si>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</si>
  <si>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</si>
  <si>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</si>
  <si>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</si>
  <si>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</si>
  <si>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</si>
  <si>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</si>
  <si>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</si>
  <si>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</si>
  <si>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</si>
  <si>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</si>
  <si>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</si>
  <si>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</si>
  <si>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</si>
  <si>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</si>
  <si>
    <t>MRA mexico</t>
  </si>
  <si>
    <t>modatek milton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</si>
</sst>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H19" sqref="H19"/>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46083</v>
      </c>
      <c r="I4" s="53"/>
      <c r="J4" s="53"/>
      <c r="K4" s="53"/>
      <c r="L4" s="53"/>
    </row>
    <row r="5" spans="2:15" ht="30" customHeight="1" x14ac:dyDescent="0.25">
      <c r="G5" s="5" t="s">
        <v>7</v>
      </c>
      <c r="H5" s="48">
        <f>IFERROR(IF($H$4="","",$H$4+13), "")</f>
        <v>46096</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46083</v>
      </c>
      <c r="D9" s="12">
        <v>10</v>
      </c>
      <c r="E9" s="13"/>
      <c r="F9" s="12"/>
      <c r="G9" s="13"/>
      <c r="H9" s="12"/>
      <c r="I9" s="13"/>
      <c r="J9" s="12"/>
      <c r="K9" s="13"/>
      <c r="L9" s="43">
        <f>IFERROR(SUM(D9:K9), "")</f>
        <v>10</v>
      </c>
      <c r="O9" s="44" t="s">
        <v>49</v>
      </c>
    </row>
    <row r="10" spans="2:15" ht="30" customHeight="1" x14ac:dyDescent="0.25">
      <c r="B10" s="8" t="str">
        <f>IFERROR(TEXT('Biweekly Time Sheet'!$C10,"aaaa"), "")</f>
        <v>Tuesday</v>
      </c>
      <c r="C10" s="11">
        <f>IF($H$4="","",$H$4+1)</f>
        <v>46084</v>
      </c>
      <c r="D10" s="12">
        <v>10.5</v>
      </c>
      <c r="E10" s="13"/>
      <c r="F10" s="12"/>
      <c r="G10" s="13"/>
      <c r="H10" s="12"/>
      <c r="I10" s="13"/>
      <c r="J10" s="12"/>
      <c r="K10" s="13"/>
      <c r="L10" s="43">
        <f t="shared" ref="L10:L22" si="0">IFERROR(SUM(D10:K10), "")</f>
        <v>10.5</v>
      </c>
      <c r="O10" s="44" t="s">
        <v>49</v>
      </c>
    </row>
    <row r="11" spans="2:15" ht="30" customHeight="1" x14ac:dyDescent="0.25">
      <c r="B11" s="8" t="str">
        <f>IFERROR(TEXT('Biweekly Time Sheet'!$C11,"aaaa"), "")</f>
        <v>Wednesday</v>
      </c>
      <c r="C11" s="11">
        <f>IF($H$4="","",$H$4+2)</f>
        <v>46085</v>
      </c>
      <c r="D11" s="12">
        <v>10</v>
      </c>
      <c r="E11" s="13"/>
      <c r="F11" s="12"/>
      <c r="G11" s="13"/>
      <c r="H11" s="12"/>
      <c r="I11" s="13"/>
      <c r="J11" s="12"/>
      <c r="K11" s="13"/>
      <c r="L11" s="43">
        <f t="shared" si="0"/>
        <v>10</v>
      </c>
      <c r="O11" s="44" t="s">
        <v>49</v>
      </c>
    </row>
    <row r="12" spans="2:15" ht="30" customHeight="1" x14ac:dyDescent="0.25">
      <c r="B12" s="8" t="str">
        <f>IFERROR(TEXT('Biweekly Time Sheet'!$C12,"aaaa"), "")</f>
        <v>Thursday</v>
      </c>
      <c r="C12" s="11">
        <f>IF($H$4="","",$H$4+3)</f>
        <v>46086</v>
      </c>
      <c r="D12" s="12"/>
      <c r="E12" s="13"/>
      <c r="F12" s="12"/>
      <c r="G12" s="13">
        <v>13</v>
      </c>
      <c r="H12" s="12"/>
      <c r="I12" s="13"/>
      <c r="J12" s="12"/>
      <c r="K12" s="13"/>
      <c r="L12" s="43">
        <f t="shared" si="0"/>
        <v>13</v>
      </c>
      <c r="O12" s="44" t="s">
        <v>49</v>
      </c>
    </row>
    <row r="13" spans="2:15" ht="30" customHeight="1" x14ac:dyDescent="0.25">
      <c r="B13" s="8" t="str">
        <f>IFERROR(TEXT('Biweekly Time Sheet'!$C13,"aaaa"), "")</f>
        <v>Friday</v>
      </c>
      <c r="C13" s="11">
        <f>IF($H$4="","",$H$4+4)</f>
        <v>46087</v>
      </c>
      <c r="D13" s="12"/>
      <c r="E13" s="13"/>
      <c r="F13" s="12"/>
      <c r="G13" s="13"/>
      <c r="H13" s="12"/>
      <c r="I13" s="13"/>
      <c r="J13" s="12"/>
      <c r="K13" s="13"/>
      <c r="L13" s="43">
        <f t="shared" si="0"/>
        <v>0</v>
      </c>
      <c r="O13" s="44"/>
    </row>
    <row r="14" spans="2:15" ht="30" customHeight="1" x14ac:dyDescent="0.25">
      <c r="B14" s="8" t="str">
        <f>IFERROR(TEXT('Biweekly Time Sheet'!$C14,"aaaa"), "")</f>
        <v>Saturday</v>
      </c>
      <c r="C14" s="11">
        <f>IF($H$4="","",$H$4+5)</f>
        <v>46088</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46089</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46090</v>
      </c>
      <c r="D16" s="12">
        <v>8</v>
      </c>
      <c r="E16" s="13"/>
      <c r="F16" s="12"/>
      <c r="G16" s="13">
        <v>4</v>
      </c>
      <c r="H16" s="12"/>
      <c r="I16" s="13"/>
      <c r="J16" s="12"/>
      <c r="K16" s="13"/>
      <c r="L16" s="43">
        <f t="shared" si="0"/>
        <v>12</v>
      </c>
      <c r="O16" s="47" t="s">
        <v>50</v>
      </c>
    </row>
    <row r="17" spans="2:15" ht="30" customHeight="1" x14ac:dyDescent="0.25">
      <c r="B17" s="8" t="str">
        <f>IFERROR(TEXT('Biweekly Time Sheet'!$C17,"aaaa"), "")</f>
        <v>Tuesday</v>
      </c>
      <c r="C17" s="11">
        <f>IF($H$4="","",$H$4+8)</f>
        <v>46091</v>
      </c>
      <c r="D17" s="12">
        <v>12</v>
      </c>
      <c r="E17" s="13"/>
      <c r="F17" s="12"/>
      <c r="G17" s="13"/>
      <c r="H17" s="12"/>
      <c r="I17" s="13"/>
      <c r="J17" s="12"/>
      <c r="K17" s="13"/>
      <c r="L17" s="43">
        <f t="shared" si="0"/>
        <v>12</v>
      </c>
      <c r="O17" s="44" t="s">
        <v>50</v>
      </c>
    </row>
    <row r="18" spans="2:15" ht="30" customHeight="1" x14ac:dyDescent="0.25">
      <c r="B18" s="8" t="str">
        <f>IFERROR(TEXT('Biweekly Time Sheet'!$C18,"aaaa"), "")</f>
        <v>Wednesday</v>
      </c>
      <c r="C18" s="11">
        <f>IF($H$4="","",$H$4+9)</f>
        <v>46092</v>
      </c>
      <c r="D18" s="12">
        <v>12</v>
      </c>
      <c r="E18" s="13"/>
      <c r="F18" s="12"/>
      <c r="G18" s="13"/>
      <c r="H18" s="12"/>
      <c r="I18" s="13"/>
      <c r="J18" s="12"/>
      <c r="K18" s="13"/>
      <c r="L18" s="43">
        <f t="shared" si="0"/>
        <v>12</v>
      </c>
      <c r="O18" s="47" t="s">
        <v>50</v>
      </c>
    </row>
    <row r="19" spans="2:15" ht="30" customHeight="1" x14ac:dyDescent="0.25">
      <c r="B19" s="8" t="str">
        <f>IFERROR(TEXT('Biweekly Time Sheet'!$C19,"aaaa"), "")</f>
        <v>Thursday</v>
      </c>
      <c r="C19" s="11">
        <f>IF($H$4="","",$H$4+10)</f>
        <v>46093</v>
      </c>
      <c r="D19" s="12">
        <v>8</v>
      </c>
      <c r="E19" s="13">
        <v>4</v>
      </c>
      <c r="F19" s="12"/>
      <c r="G19" s="13"/>
      <c r="H19" s="12"/>
      <c r="I19" s="13"/>
      <c r="J19" s="12"/>
      <c r="K19" s="13"/>
      <c r="L19" s="43">
        <f t="shared" si="0"/>
        <v>12</v>
      </c>
      <c r="O19" s="44" t="s">
        <v>50</v>
      </c>
    </row>
    <row r="20" spans="2:15" ht="30" customHeight="1" x14ac:dyDescent="0.25">
      <c r="B20" s="8" t="str">
        <f>IFERROR(TEXT('Biweekly Time Sheet'!$C20,"aaaa"), "")</f>
        <v>Friday</v>
      </c>
      <c r="C20" s="11">
        <f>IF($H$4="","",$H$4+11)</f>
        <v>46094</v>
      </c>
      <c r="D20" s="12"/>
      <c r="E20" s="13">
        <v>12</v>
      </c>
      <c r="F20" s="12"/>
      <c r="G20" s="13"/>
      <c r="H20" s="12"/>
      <c r="I20" s="13"/>
      <c r="J20" s="12"/>
      <c r="K20" s="13"/>
      <c r="L20" s="43">
        <f t="shared" si="0"/>
        <v>12</v>
      </c>
      <c r="O20" s="44" t="s">
        <v>50</v>
      </c>
    </row>
    <row r="21" spans="2:15" ht="30" customHeight="1" x14ac:dyDescent="0.25">
      <c r="B21" s="8" t="str">
        <f>IFERROR(TEXT('Biweekly Time Sheet'!$C21,"aaaa"), "")</f>
        <v>Saturday</v>
      </c>
      <c r="C21" s="11">
        <f>IF($H$4="","",$H$4+12)</f>
        <v>46095</v>
      </c>
      <c r="D21" s="12"/>
      <c r="E21" s="13">
        <v>12</v>
      </c>
      <c r="F21" s="12"/>
      <c r="G21" s="13"/>
      <c r="H21" s="12"/>
      <c r="I21" s="13"/>
      <c r="J21" s="12"/>
      <c r="K21" s="13"/>
      <c r="L21" s="43">
        <f t="shared" si="0"/>
        <v>12</v>
      </c>
      <c r="O21" s="44" t="s">
        <v>50</v>
      </c>
    </row>
    <row r="22" spans="2:15" ht="30" customHeight="1" x14ac:dyDescent="0.25">
      <c r="B22" s="14" t="str">
        <f>IFERROR(TEXT('Biweekly Time Sheet'!$C22,"aaaa"), "")</f>
        <v>Sunday</v>
      </c>
      <c r="C22" s="15">
        <f>IF($H$4="","",$H$4+13)</f>
        <v>46096</v>
      </c>
      <c r="D22" s="16"/>
      <c r="E22" s="17"/>
      <c r="F22" s="16">
        <v>12</v>
      </c>
      <c r="G22" s="17"/>
      <c r="H22" s="16"/>
      <c r="I22" s="17"/>
      <c r="J22" s="16"/>
      <c r="K22" s="17"/>
      <c r="L22" s="43">
        <f t="shared" si="0"/>
        <v>12</v>
      </c>
      <c r="O22" s="44" t="s">
        <v>50</v>
      </c>
    </row>
    <row r="23" spans="2:15" ht="30" customHeight="1" x14ac:dyDescent="0.25">
      <c r="C23" s="2" t="s">
        <v>5</v>
      </c>
      <c r="D23" s="3">
        <f t="shared" ref="D23:K23" si="1">IFERROR(SUM(D9:D22), "")</f>
        <v>70.5</v>
      </c>
      <c r="E23" s="3">
        <f t="shared" si="1"/>
        <v>28</v>
      </c>
      <c r="F23" s="3">
        <f t="shared" si="1"/>
        <v>12</v>
      </c>
      <c r="G23" s="3">
        <f t="shared" si="1"/>
        <v>17</v>
      </c>
      <c r="H23" s="3">
        <f t="shared" si="1"/>
        <v>0</v>
      </c>
      <c r="I23" s="3">
        <f t="shared" si="1"/>
        <v>0</v>
      </c>
      <c r="J23" s="3">
        <f t="shared" si="1"/>
        <v>0</v>
      </c>
      <c r="K23" s="3">
        <f t="shared" si="1"/>
        <v>0</v>
      </c>
      <c r="L23" s="3">
        <f>IFERROR(SUM(D23:K23), "")</f>
        <v>127.5</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11" zoomScale="80" zoomScaleNormal="80" workbookViewId="0">
      <selection activeCell="I17" sqref="I17"/>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46083</v>
      </c>
      <c r="M4" s="48"/>
      <c r="N4" s="48"/>
      <c r="O4" s="48"/>
      <c r="P4" s="48"/>
    </row>
    <row r="5" spans="2:16" ht="30" customHeight="1" x14ac:dyDescent="0.25">
      <c r="K5" s="5" t="s">
        <v>7</v>
      </c>
      <c r="L5" s="48">
        <f>'Biweekly Time Sheet'!H5</f>
        <v>46096</v>
      </c>
      <c r="M5" s="48"/>
      <c r="N5" s="48"/>
      <c r="O5" s="48"/>
      <c r="P5" s="48"/>
    </row>
    <row r="6" spans="2:16" ht="30" customHeight="1" x14ac:dyDescent="0.25">
      <c r="N6" s="49"/>
      <c r="O6" s="49"/>
      <c r="P6" s="49"/>
    </row>
    <row r="7" spans="2:16" ht="15" customHeight="1" thickBot="1" x14ac:dyDescent="0.3"/>
    <row r="8" spans="2:16" ht="22.5" customHeight="1" thickBot="1" x14ac:dyDescent="0.3">
      <c r="D8" s="54" t="s">
        <v>26</v>
      </c>
      <c r="E8" s="55"/>
      <c r="F8" s="55"/>
      <c r="G8" s="55"/>
      <c r="H8" s="56"/>
      <c r="I8" s="54" t="s">
        <v>27</v>
      </c>
      <c r="J8" s="55"/>
      <c r="K8" s="55"/>
      <c r="L8" s="55"/>
      <c r="M8" s="55"/>
      <c r="N8" s="55"/>
      <c r="O8" s="56"/>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25">
      <c r="B10" s="8" t="str">
        <f>IFERROR(TEXT('Biweekly Expense Report CAD'!$C10,"aaaa"), "")</f>
        <v>Monday</v>
      </c>
      <c r="C10" s="11">
        <f>L4</f>
        <v>46083</v>
      </c>
      <c r="D10" s="21"/>
      <c r="E10" s="46">
        <v>70</v>
      </c>
      <c r="F10" s="19"/>
      <c r="G10" s="20"/>
      <c r="H10" s="22"/>
      <c r="I10" s="27"/>
      <c r="J10" s="19"/>
      <c r="K10" s="20"/>
      <c r="L10" s="19"/>
      <c r="M10" s="20"/>
      <c r="N10" s="41"/>
      <c r="O10" s="23">
        <v>0.48</v>
      </c>
      <c r="P10" s="40">
        <f>IFERROR(SUM(D10:M10)+(N10*O10), "")</f>
        <v>70</v>
      </c>
    </row>
    <row r="11" spans="2:16" ht="30" customHeight="1" x14ac:dyDescent="0.25">
      <c r="B11" s="8" t="str">
        <f>IFERROR(TEXT('Biweekly Expense Report CAD'!$C11,"aaaa"), "")</f>
        <v>Tuesday</v>
      </c>
      <c r="C11" s="11">
        <f>IF($L$4="","",$L$4+1)</f>
        <v>46084</v>
      </c>
      <c r="D11" s="21"/>
      <c r="E11" s="46">
        <v>70</v>
      </c>
      <c r="F11" s="19"/>
      <c r="G11" s="20"/>
      <c r="H11" s="22"/>
      <c r="I11" s="27"/>
      <c r="J11" s="19"/>
      <c r="K11" s="20"/>
      <c r="L11" s="19"/>
      <c r="M11" s="20"/>
      <c r="N11" s="41"/>
      <c r="O11" s="42">
        <v>0.48</v>
      </c>
      <c r="P11" s="40">
        <f t="shared" ref="P11:P23" si="0">IFERROR(SUM(D11:M11)+(N11*O11), "")</f>
        <v>70</v>
      </c>
    </row>
    <row r="12" spans="2:16" ht="30" customHeight="1" x14ac:dyDescent="0.25">
      <c r="B12" s="8" t="str">
        <f>IFERROR(TEXT('Biweekly Expense Report CAD'!$C12,"aaaa"), "")</f>
        <v>Wednesday</v>
      </c>
      <c r="C12" s="11">
        <f>IF($L$4="","",$L$4+2)</f>
        <v>46085</v>
      </c>
      <c r="D12" s="21"/>
      <c r="E12" s="46">
        <v>70</v>
      </c>
      <c r="F12" s="19"/>
      <c r="G12" s="20"/>
      <c r="H12" s="22"/>
      <c r="I12" s="27"/>
      <c r="J12" s="19"/>
      <c r="K12" s="20"/>
      <c r="L12" s="19"/>
      <c r="M12" s="20"/>
      <c r="N12" s="41"/>
      <c r="O12" s="42">
        <v>0.48</v>
      </c>
      <c r="P12" s="40">
        <f t="shared" si="0"/>
        <v>70</v>
      </c>
    </row>
    <row r="13" spans="2:16" ht="30" customHeight="1" x14ac:dyDescent="0.25">
      <c r="B13" s="8" t="str">
        <f>IFERROR(TEXT('Biweekly Expense Report CAD'!$C13,"aaaa"), "")</f>
        <v>Thursday</v>
      </c>
      <c r="C13" s="11">
        <f>IF($L$4="","",$L$4+3)</f>
        <v>46086</v>
      </c>
      <c r="D13" s="21"/>
      <c r="E13" s="46">
        <v>70</v>
      </c>
      <c r="F13" s="19"/>
      <c r="G13" s="20"/>
      <c r="H13" s="22">
        <v>55.93</v>
      </c>
      <c r="I13" s="27"/>
      <c r="J13" s="19"/>
      <c r="K13" s="20"/>
      <c r="L13" s="19"/>
      <c r="M13" s="20"/>
      <c r="N13" s="41"/>
      <c r="O13" s="42">
        <v>0.48</v>
      </c>
      <c r="P13" s="40">
        <f t="shared" si="0"/>
        <v>125.93</v>
      </c>
    </row>
    <row r="14" spans="2:16" ht="30" customHeight="1" x14ac:dyDescent="0.25">
      <c r="B14" s="8" t="str">
        <f>IFERROR(TEXT('Biweekly Expense Report CAD'!$C14,"aaaa"), "")</f>
        <v>Friday</v>
      </c>
      <c r="C14" s="11">
        <f>IF($L$4="","",$L$4+4)</f>
        <v>46087</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46088</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46089</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46090</v>
      </c>
      <c r="D17" s="21"/>
      <c r="E17" s="46">
        <v>70</v>
      </c>
      <c r="F17" s="19"/>
      <c r="G17" s="20"/>
      <c r="H17" s="22"/>
      <c r="I17" s="27"/>
      <c r="J17" s="19"/>
      <c r="K17" s="20"/>
      <c r="L17" s="19"/>
      <c r="M17" s="20"/>
      <c r="N17" s="41"/>
      <c r="O17" s="42">
        <v>0.48</v>
      </c>
      <c r="P17" s="40">
        <f t="shared" si="0"/>
        <v>70</v>
      </c>
    </row>
    <row r="18" spans="2:16" ht="30" customHeight="1" x14ac:dyDescent="0.25">
      <c r="B18" s="8" t="str">
        <f>IFERROR(TEXT('Biweekly Expense Report CAD'!$C18,"aaaa"), "")</f>
        <v>Tuesday</v>
      </c>
      <c r="C18" s="11">
        <f>IF($L$4="","",$L$4+8)</f>
        <v>46091</v>
      </c>
      <c r="D18" s="21"/>
      <c r="E18" s="46">
        <v>70</v>
      </c>
      <c r="F18" s="19"/>
      <c r="G18" s="20"/>
      <c r="H18" s="22"/>
      <c r="I18" s="27"/>
      <c r="J18" s="19"/>
      <c r="K18" s="20"/>
      <c r="L18" s="19"/>
      <c r="M18" s="20"/>
      <c r="N18" s="41"/>
      <c r="O18" s="42">
        <v>0.48</v>
      </c>
      <c r="P18" s="40">
        <f t="shared" si="0"/>
        <v>70</v>
      </c>
    </row>
    <row r="19" spans="2:16" ht="30" customHeight="1" x14ac:dyDescent="0.25">
      <c r="B19" s="8" t="str">
        <f>IFERROR(TEXT('Biweekly Expense Report CAD'!$C19,"aaaa"), "")</f>
        <v>Wednesday</v>
      </c>
      <c r="C19" s="11">
        <f>IF($L$4="","",$L$4+9)</f>
        <v>46092</v>
      </c>
      <c r="D19" s="21"/>
      <c r="E19" s="46">
        <v>70</v>
      </c>
      <c r="F19" s="19"/>
      <c r="G19" s="20"/>
      <c r="H19" s="22"/>
      <c r="I19" s="27"/>
      <c r="J19" s="19"/>
      <c r="K19" s="20"/>
      <c r="L19" s="19"/>
      <c r="M19" s="20"/>
      <c r="N19" s="41"/>
      <c r="O19" s="42">
        <v>0.48</v>
      </c>
      <c r="P19" s="40">
        <f t="shared" si="0"/>
        <v>70</v>
      </c>
    </row>
    <row r="20" spans="2:16" ht="30" customHeight="1" x14ac:dyDescent="0.25">
      <c r="B20" s="8" t="str">
        <f>IFERROR(TEXT('Biweekly Expense Report CAD'!$C20,"aaaa"), "")</f>
        <v>Thursday</v>
      </c>
      <c r="C20" s="11">
        <f>IF($L$4="","",$L$4+10)</f>
        <v>46093</v>
      </c>
      <c r="D20" s="21"/>
      <c r="E20" s="46">
        <v>70</v>
      </c>
      <c r="F20" s="19"/>
      <c r="G20" s="20"/>
      <c r="H20" s="22"/>
      <c r="I20" s="27"/>
      <c r="J20" s="19"/>
      <c r="K20" s="20"/>
      <c r="L20" s="19"/>
      <c r="M20" s="20"/>
      <c r="N20" s="41"/>
      <c r="O20" s="42">
        <v>0.48</v>
      </c>
      <c r="P20" s="40">
        <f t="shared" si="0"/>
        <v>70</v>
      </c>
    </row>
    <row r="21" spans="2:16" ht="30" customHeight="1" x14ac:dyDescent="0.25">
      <c r="B21" s="8" t="str">
        <f>IFERROR(TEXT('Biweekly Expense Report CAD'!$C21,"aaaa"), "")</f>
        <v>Friday</v>
      </c>
      <c r="C21" s="11">
        <f>IF($L$4="","",$L$4+11)</f>
        <v>46094</v>
      </c>
      <c r="D21" s="21"/>
      <c r="E21" s="46">
        <v>70</v>
      </c>
      <c r="F21" s="19"/>
      <c r="G21" s="20"/>
      <c r="H21" s="22"/>
      <c r="I21" s="27"/>
      <c r="J21" s="19"/>
      <c r="K21" s="20"/>
      <c r="L21" s="19"/>
      <c r="M21" s="20"/>
      <c r="N21" s="41"/>
      <c r="O21" s="42">
        <v>0.48</v>
      </c>
      <c r="P21" s="40">
        <f t="shared" si="0"/>
        <v>70</v>
      </c>
    </row>
    <row r="22" spans="2:16" ht="30" customHeight="1" x14ac:dyDescent="0.25">
      <c r="B22" s="8" t="str">
        <f>IFERROR(TEXT('Biweekly Expense Report CAD'!$C22,"aaaa"), "")</f>
        <v>Saturday</v>
      </c>
      <c r="C22" s="11">
        <f>IF($L$4="","",$L$4+12)</f>
        <v>46095</v>
      </c>
      <c r="D22" s="21"/>
      <c r="E22" s="20">
        <v>70</v>
      </c>
      <c r="F22" s="19"/>
      <c r="G22" s="20"/>
      <c r="H22" s="22"/>
      <c r="I22" s="27"/>
      <c r="J22" s="19"/>
      <c r="K22" s="20"/>
      <c r="L22" s="19"/>
      <c r="M22" s="20"/>
      <c r="N22" s="41"/>
      <c r="O22" s="42">
        <v>0.48</v>
      </c>
      <c r="P22" s="40">
        <f t="shared" si="0"/>
        <v>70</v>
      </c>
    </row>
    <row r="23" spans="2:16" ht="30" customHeight="1" x14ac:dyDescent="0.25">
      <c r="B23" s="14" t="str">
        <f>IFERROR(TEXT('Biweekly Expense Report CAD'!$C23,"aaaa"), "")</f>
        <v>Sunday</v>
      </c>
      <c r="C23" s="15">
        <f>IF($L$4="","",$L$4+13)</f>
        <v>46096</v>
      </c>
      <c r="D23" s="21"/>
      <c r="E23" s="20">
        <v>70</v>
      </c>
      <c r="F23" s="19"/>
      <c r="G23" s="20"/>
      <c r="H23" s="22"/>
      <c r="I23" s="27"/>
      <c r="J23" s="19"/>
      <c r="K23" s="20"/>
      <c r="L23" s="19"/>
      <c r="M23" s="20"/>
      <c r="N23" s="41"/>
      <c r="O23" s="42">
        <v>0.48</v>
      </c>
      <c r="P23" s="40">
        <f t="shared" si="0"/>
        <v>70</v>
      </c>
    </row>
    <row r="24" spans="2:16" ht="30" customHeight="1" thickBot="1" x14ac:dyDescent="0.3">
      <c r="C24" s="14" t="s">
        <v>4</v>
      </c>
      <c r="D24" s="24">
        <f t="shared" ref="D24:M24" si="1">IFERROR(SUM(D10:D23), "")</f>
        <v>0</v>
      </c>
      <c r="E24" s="25">
        <f t="shared" si="1"/>
        <v>770</v>
      </c>
      <c r="F24" s="25">
        <f t="shared" si="1"/>
        <v>0</v>
      </c>
      <c r="G24" s="25">
        <f t="shared" si="1"/>
        <v>0</v>
      </c>
      <c r="H24" s="26">
        <f t="shared" si="1"/>
        <v>55.93</v>
      </c>
      <c r="I24" s="24">
        <f t="shared" si="1"/>
        <v>0</v>
      </c>
      <c r="J24" s="25">
        <f t="shared" si="1"/>
        <v>0</v>
      </c>
      <c r="K24" s="25">
        <f t="shared" si="1"/>
        <v>0</v>
      </c>
      <c r="L24" s="25">
        <f t="shared" si="1"/>
        <v>0</v>
      </c>
      <c r="M24" s="25">
        <f t="shared" si="1"/>
        <v>0</v>
      </c>
      <c r="N24" s="36"/>
      <c r="O24" s="37"/>
      <c r="P24" s="38">
        <f>IFERROR(SUM(P10:P23),"$")</f>
        <v>825.93000000000006</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7">
        <f>'Biweekly Time Sheet'!D26:J26</f>
        <v>0</v>
      </c>
      <c r="E27" s="57"/>
      <c r="F27" s="57"/>
      <c r="G27" s="57"/>
      <c r="H27" s="57"/>
      <c r="I27" s="57"/>
      <c r="J27" s="57"/>
      <c r="K27" s="57"/>
      <c r="L27" s="57"/>
      <c r="M27" s="57"/>
      <c r="N27" s="57"/>
      <c r="O27" s="57"/>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46083</v>
      </c>
      <c r="M4" s="48"/>
      <c r="N4" s="48"/>
      <c r="O4" s="48"/>
      <c r="P4" s="48"/>
    </row>
    <row r="5" spans="2:16" ht="30" customHeight="1" x14ac:dyDescent="0.25">
      <c r="K5" s="5" t="s">
        <v>7</v>
      </c>
      <c r="L5" s="48">
        <f>'Biweekly Time Sheet'!H5</f>
        <v>46096</v>
      </c>
      <c r="M5" s="48"/>
      <c r="N5" s="48"/>
      <c r="O5" s="48"/>
      <c r="P5" s="48"/>
    </row>
    <row r="6" spans="2:16" ht="30" customHeight="1" x14ac:dyDescent="0.25">
      <c r="N6" s="49"/>
      <c r="O6" s="49"/>
      <c r="P6" s="49"/>
    </row>
    <row r="7" spans="2:16" ht="15" customHeight="1" thickBot="1" x14ac:dyDescent="0.3"/>
    <row r="8" spans="2:16" ht="22.5" customHeight="1" thickBot="1" x14ac:dyDescent="0.3">
      <c r="D8" s="54" t="s">
        <v>26</v>
      </c>
      <c r="E8" s="55"/>
      <c r="F8" s="55"/>
      <c r="G8" s="55"/>
      <c r="H8" s="56"/>
      <c r="I8" s="54" t="s">
        <v>27</v>
      </c>
      <c r="J8" s="55"/>
      <c r="K8" s="55"/>
      <c r="L8" s="55"/>
      <c r="M8" s="55"/>
      <c r="N8" s="55"/>
      <c r="O8" s="56"/>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25">
      <c r="B10" s="8" t="str">
        <f>IFERROR(TEXT('Biweekly Expense Report USD'!$C10,"aaaa"),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46086</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46087</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46088</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46089</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46090</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46091</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46092</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46093</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46094</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46095</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46096</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7">
        <f>'Biweekly Time Sheet'!D26:J26</f>
        <v>0</v>
      </c>
      <c r="E27" s="57"/>
      <c r="F27" s="57"/>
      <c r="G27" s="57"/>
      <c r="H27" s="57"/>
      <c r="I27" s="57"/>
      <c r="J27" s="57"/>
      <c r="K27" s="57"/>
      <c r="L27" s="57"/>
      <c r="M27" s="57"/>
      <c r="N27" s="57"/>
      <c r="O27" s="57"/>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70.5</v>
      </c>
      <c r="D2" s="32"/>
    </row>
    <row r="3" spans="1:4" x14ac:dyDescent="0.25">
      <c r="A3" s="32" t="s">
        <v>30</v>
      </c>
      <c r="B3" s="32"/>
      <c r="C3" s="33">
        <f>'Biweekly Time Sheet'!E$23</f>
        <v>28</v>
      </c>
      <c r="D3" s="32"/>
    </row>
    <row r="4" spans="1:4" x14ac:dyDescent="0.25">
      <c r="A4" s="32" t="s">
        <v>31</v>
      </c>
      <c r="B4" s="32"/>
      <c r="C4" s="33">
        <f>'Biweekly Time Sheet'!F$23</f>
        <v>12</v>
      </c>
      <c r="D4" s="32"/>
    </row>
    <row r="5" spans="1:4" x14ac:dyDescent="0.25">
      <c r="A5" s="32" t="s">
        <v>32</v>
      </c>
      <c r="B5" s="32"/>
      <c r="C5" s="33">
        <f>'Biweekly Time Sheet'!G$23</f>
        <v>17</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825.93000000000006</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2026-03-16T13:03:40Z</dcterms:modified>
</cp:coreProperties>
</file>