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51221/"/>
    </mc:Choice>
  </mc:AlternateContent>
  <xr:revisionPtr revIDLastSave="0" documentId="8_{80538110-7585-4C21-96D7-3615AAA9D5F7}" xr6:coauthVersionLast="47" xr6:coauthVersionMax="47" xr10:uidLastSave="{00000000-0000-0000-0000-000000000000}"/>
  <bookViews>
    <workbookView xWindow="-120" yWindow="-120" windowWidth="38640" windowHeight="211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<sst xmlns="http://schemas.openxmlformats.org/spreadsheetml/2006/main" count="94" uniqueCount="52">
  <si>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</si>
  <si>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</si>
  <si>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</si>
  <si>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</si>
  <si>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</si>
  <si>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</si>
  <si>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</si>
  <si>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</si>
  <si>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</si>
  <si>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</si>
  <si>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</si>
  <si>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</si>
  <si>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</si>
  <si>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</si>
  <si>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</si>
  <si>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</si>
  <si>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</si>
  <si>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</si>
  <si>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</si>
  <si>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</si>
  <si>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</si>
  <si>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</si>
  <si>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</si>
  <si>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</si>
  <si>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</si>
  <si>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</si>
  <si>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</si>
  <si>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</si>
  <si>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</si>
  <si>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</si>
  <si>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</si>
  <si>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</si>
  <si>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</si>
  <si>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</si>
  <si>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</si>
  <si>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</si>
  <si>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</si>
  <si>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</si>
  <si>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</si>
  <si>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</si>
  <si>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</si>
  <si>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</si>
  <si>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</si>
  <si>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</si>
  <si>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</si>
  <si>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</si>
  <si>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</si>
  <si>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</si>
  <si>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</si>
  <si>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Travel Day - San Luis, Mexico</t>
  </si>
  <si>
    <t>San Luis, Mexico</t>
  </si>
  <si>
    <t>San Luis, Mexico; CL Approved 10.25hrs (6:30-17:15)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</si>
</sst>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D13" sqref="D13"/>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50" t="s">
        <v>14</v>
      </c>
      <c r="C1" s="50"/>
      <c r="D1" s="50"/>
      <c r="E1" s="50"/>
      <c r="F1" s="50"/>
      <c r="G1" s="50"/>
      <c r="H1" s="50"/>
      <c r="I1" s="50"/>
      <c r="J1" s="50"/>
      <c r="K1" s="50"/>
      <c r="L1" s="50"/>
    </row>
    <row r="2" spans="2:15" ht="42.75" customHeight="1" x14ac:dyDescent="0.3">
      <c r="B2" s="1"/>
      <c r="C2" s="1"/>
      <c r="D2" s="1"/>
    </row>
    <row r="3" spans="2:15" ht="30" customHeight="1" x14ac:dyDescent="0.3">
      <c r="C3" s="49"/>
      <c r="D3" s="49"/>
      <c r="G3" s="4" t="s">
        <v>0</v>
      </c>
      <c r="H3" s="52" t="s">
        <v>48</v>
      </c>
      <c r="I3" s="52"/>
      <c r="J3" s="52"/>
      <c r="K3" s="52"/>
      <c r="L3" s="52"/>
    </row>
    <row r="4" spans="2:15" ht="30" customHeight="1" x14ac:dyDescent="0.3">
      <c r="G4" s="5" t="s">
        <v>6</v>
      </c>
      <c r="H4" s="53">
        <v>45999</v>
      </c>
      <c r="I4" s="53"/>
      <c r="J4" s="53"/>
      <c r="K4" s="53"/>
      <c r="L4" s="53"/>
    </row>
    <row r="5" spans="2:15" ht="30" customHeight="1" x14ac:dyDescent="0.3">
      <c r="G5" s="5" t="s">
        <v>7</v>
      </c>
      <c r="H5" s="48">
        <f>IFERROR(IF($H$4="","",$H$4+13), "")</f>
        <v>46012</v>
      </c>
      <c r="I5" s="48"/>
      <c r="J5" s="48"/>
      <c r="K5" s="48"/>
      <c r="L5" s="48"/>
    </row>
    <row r="6" spans="2:15" ht="30" customHeight="1" x14ac:dyDescent="0.3">
      <c r="J6" s="49"/>
      <c r="K6" s="49"/>
      <c r="L6" s="49"/>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47">
        <v>0</v>
      </c>
      <c r="E9" s="13">
        <v>0</v>
      </c>
      <c r="F9" s="12"/>
      <c r="G9" s="13">
        <v>12</v>
      </c>
      <c r="H9" s="12"/>
      <c r="I9" s="13">
        <v>0</v>
      </c>
      <c r="J9" s="12">
        <v>0</v>
      </c>
      <c r="K9" s="13"/>
      <c r="L9" s="43">
        <f>IFERROR(SUM(D9:K9), "")</f>
        <v>12</v>
      </c>
      <c r="O9" s="44" t="s">
        <v>49</v>
      </c>
    </row>
    <row r="10" spans="2:15" ht="30" customHeight="1" x14ac:dyDescent="0.3">
      <c r="B10" s="8" t="str">
        <f>IFERROR(TEXT('Biweekly Time Sheet'!$C10,"aaaa"), "")</f>
        <v>Tuesday</v>
      </c>
      <c r="C10" s="11">
        <f>IF($H$4="","",$H$4+1)</f>
        <v>46000</v>
      </c>
      <c r="D10" s="47">
        <v>12</v>
      </c>
      <c r="E10" s="13">
        <v>0</v>
      </c>
      <c r="F10" s="12"/>
      <c r="G10" s="13">
        <v>0</v>
      </c>
      <c r="H10" s="12"/>
      <c r="I10" s="13">
        <v>0</v>
      </c>
      <c r="J10" s="12">
        <v>0</v>
      </c>
      <c r="K10" s="13">
        <v>0</v>
      </c>
      <c r="L10" s="43">
        <f t="shared" ref="L10:L22" si="0">IFERROR(SUM(D10:K10), "")</f>
        <v>12</v>
      </c>
      <c r="O10" s="44" t="s">
        <v>50</v>
      </c>
    </row>
    <row r="11" spans="2:15" ht="30" customHeight="1" x14ac:dyDescent="0.3">
      <c r="B11" s="8" t="str">
        <f>IFERROR(TEXT('Biweekly Time Sheet'!$C11,"aaaa"), "")</f>
        <v>Wednesday</v>
      </c>
      <c r="C11" s="11">
        <f>IF($H$4="","",$H$4+2)</f>
        <v>46001</v>
      </c>
      <c r="D11" s="47">
        <v>12</v>
      </c>
      <c r="E11" s="13"/>
      <c r="F11" s="12"/>
      <c r="G11" s="13"/>
      <c r="H11" s="12"/>
      <c r="I11" s="13">
        <v>0</v>
      </c>
      <c r="J11" s="12"/>
      <c r="K11" s="13"/>
      <c r="L11" s="43">
        <f t="shared" si="0"/>
        <v>12</v>
      </c>
      <c r="O11" s="46" t="s">
        <v>50</v>
      </c>
    </row>
    <row r="12" spans="2:15" ht="30" customHeight="1" x14ac:dyDescent="0.3">
      <c r="B12" s="8" t="str">
        <f>IFERROR(TEXT('Biweekly Time Sheet'!$C12,"aaaa"), "")</f>
        <v>Thursday</v>
      </c>
      <c r="C12" s="11">
        <f>IF($H$4="","",$H$4+3)</f>
        <v>46002</v>
      </c>
      <c r="D12" s="47">
        <v>12</v>
      </c>
      <c r="E12" s="13"/>
      <c r="F12" s="12"/>
      <c r="G12" s="13"/>
      <c r="H12" s="12"/>
      <c r="I12" s="13">
        <v>0</v>
      </c>
      <c r="J12" s="12"/>
      <c r="K12" s="13"/>
      <c r="L12" s="43">
        <f t="shared" si="0"/>
        <v>12</v>
      </c>
      <c r="O12" s="46" t="s">
        <v>50</v>
      </c>
    </row>
    <row r="13" spans="2:15" ht="30" customHeight="1" x14ac:dyDescent="0.3">
      <c r="B13" s="8" t="str">
        <f>IFERROR(TEXT('Biweekly Time Sheet'!$C13,"aaaa"), "")</f>
        <v>Friday</v>
      </c>
      <c r="C13" s="11">
        <f>IF($H$4="","",$H$4+4)</f>
        <v>46003</v>
      </c>
      <c r="D13" s="47">
        <v>4</v>
      </c>
      <c r="E13" s="13">
        <v>6.25</v>
      </c>
      <c r="F13" s="12"/>
      <c r="G13" s="13">
        <v>0</v>
      </c>
      <c r="H13" s="12"/>
      <c r="I13" s="13">
        <v>0</v>
      </c>
      <c r="J13" s="12">
        <v>0</v>
      </c>
      <c r="K13" s="13"/>
      <c r="L13" s="43">
        <f t="shared" si="0"/>
        <v>10.25</v>
      </c>
      <c r="O13" s="44" t="s">
        <v>51</v>
      </c>
    </row>
    <row r="14" spans="2:15" ht="30" customHeight="1" x14ac:dyDescent="0.3">
      <c r="B14" s="8" t="str">
        <f>IFERROR(TEXT('Biweekly Time Sheet'!$C14,"aaaa"), "")</f>
        <v>Saturday</v>
      </c>
      <c r="C14" s="11">
        <f>IF($H$4="","",$H$4+5)</f>
        <v>46004</v>
      </c>
      <c r="D14" s="47"/>
      <c r="E14" s="13">
        <v>12</v>
      </c>
      <c r="F14" s="12"/>
      <c r="G14" s="13"/>
      <c r="H14" s="12"/>
      <c r="I14" s="13"/>
      <c r="J14" s="12"/>
      <c r="K14" s="13"/>
      <c r="L14" s="43">
        <f t="shared" si="0"/>
        <v>12</v>
      </c>
      <c r="O14" s="44" t="s">
        <v>50</v>
      </c>
    </row>
    <row r="15" spans="2:15" ht="30" customHeight="1" x14ac:dyDescent="0.3">
      <c r="B15" s="8" t="str">
        <f>IFERROR(TEXT('Biweekly Time Sheet'!$C15,"aaaa"), "")</f>
        <v>Sunday</v>
      </c>
      <c r="C15" s="11">
        <f>IF($H$4="","",$H$4+6)</f>
        <v>46005</v>
      </c>
      <c r="D15" s="47"/>
      <c r="E15" s="13"/>
      <c r="F15" s="12">
        <v>12</v>
      </c>
      <c r="G15" s="13"/>
      <c r="H15" s="12"/>
      <c r="I15" s="13"/>
      <c r="J15" s="12"/>
      <c r="K15" s="13"/>
      <c r="L15" s="43">
        <f t="shared" si="0"/>
        <v>12</v>
      </c>
      <c r="O15" s="44" t="s">
        <v>50</v>
      </c>
    </row>
    <row r="16" spans="2:15" ht="30" customHeight="1" x14ac:dyDescent="0.3">
      <c r="B16" s="8" t="str">
        <f>IFERROR(TEXT('Biweekly Time Sheet'!$C16,"aaaa"), "")</f>
        <v>Monday</v>
      </c>
      <c r="C16" s="11">
        <f>IF($H$4="","",$H$4+7)</f>
        <v>46006</v>
      </c>
      <c r="D16" s="47">
        <v>12</v>
      </c>
      <c r="E16" s="13"/>
      <c r="F16" s="12"/>
      <c r="G16" s="13">
        <v>0</v>
      </c>
      <c r="H16" s="12"/>
      <c r="I16" s="13"/>
      <c r="J16" s="12">
        <v>0</v>
      </c>
      <c r="K16" s="13"/>
      <c r="L16" s="43">
        <f t="shared" si="0"/>
        <v>12</v>
      </c>
      <c r="O16" s="44" t="s">
        <v>50</v>
      </c>
    </row>
    <row r="17" spans="2:15" ht="30" customHeight="1" x14ac:dyDescent="0.3">
      <c r="B17" s="8" t="str">
        <f>IFERROR(TEXT('Biweekly Time Sheet'!$C17,"aaaa"), "")</f>
        <v>Tuesday</v>
      </c>
      <c r="C17" s="11">
        <f>IF($H$4="","",$H$4+8)</f>
        <v>46007</v>
      </c>
      <c r="D17" s="47">
        <v>12</v>
      </c>
      <c r="E17" s="13"/>
      <c r="F17" s="12"/>
      <c r="G17" s="13"/>
      <c r="H17" s="12"/>
      <c r="I17" s="13"/>
      <c r="J17" s="12"/>
      <c r="K17" s="13"/>
      <c r="L17" s="43">
        <f t="shared" si="0"/>
        <v>12</v>
      </c>
      <c r="O17" s="44" t="s">
        <v>50</v>
      </c>
    </row>
    <row r="18" spans="2:15" ht="30" customHeight="1" x14ac:dyDescent="0.3">
      <c r="B18" s="8" t="str">
        <f>IFERROR(TEXT('Biweekly Time Sheet'!$C18,"aaaa"), "")</f>
        <v>Wednesday</v>
      </c>
      <c r="C18" s="11">
        <f>IF($H$4="","",$H$4+9)</f>
        <v>46008</v>
      </c>
      <c r="D18" s="47">
        <v>12</v>
      </c>
      <c r="E18" s="13"/>
      <c r="F18" s="12"/>
      <c r="G18" s="13">
        <v>0</v>
      </c>
      <c r="H18" s="12"/>
      <c r="I18" s="13"/>
      <c r="J18" s="12"/>
      <c r="K18" s="13"/>
      <c r="L18" s="43">
        <f t="shared" si="0"/>
        <v>12</v>
      </c>
      <c r="O18" s="44" t="s">
        <v>50</v>
      </c>
    </row>
    <row r="19" spans="2:15" ht="30" customHeight="1" x14ac:dyDescent="0.3">
      <c r="B19" s="8" t="str">
        <f>IFERROR(TEXT('Biweekly Time Sheet'!$C19,"aaaa"), "")</f>
        <v>Thursday</v>
      </c>
      <c r="C19" s="11">
        <f>IF($H$4="","",$H$4+10)</f>
        <v>46009</v>
      </c>
      <c r="D19" s="47">
        <v>4</v>
      </c>
      <c r="E19" s="13">
        <v>8</v>
      </c>
      <c r="F19" s="12"/>
      <c r="G19" s="13">
        <v>0</v>
      </c>
      <c r="H19" s="12"/>
      <c r="I19" s="13"/>
      <c r="J19" s="12"/>
      <c r="K19" s="13"/>
      <c r="L19" s="43">
        <f t="shared" si="0"/>
        <v>12</v>
      </c>
      <c r="O19" s="44" t="s">
        <v>50</v>
      </c>
    </row>
    <row r="20" spans="2:15" ht="30" customHeight="1" x14ac:dyDescent="0.3">
      <c r="B20" s="8" t="str">
        <f>IFERROR(TEXT('Biweekly Time Sheet'!$C20,"aaaa"), "")</f>
        <v>Friday</v>
      </c>
      <c r="C20" s="11">
        <f>IF($H$4="","",$H$4+11)</f>
        <v>46010</v>
      </c>
      <c r="D20" s="47">
        <v>0</v>
      </c>
      <c r="E20" s="13"/>
      <c r="F20" s="12"/>
      <c r="G20" s="13">
        <v>12</v>
      </c>
      <c r="H20" s="12"/>
      <c r="I20" s="13"/>
      <c r="J20" s="12"/>
      <c r="K20" s="13"/>
      <c r="L20" s="43">
        <f t="shared" si="0"/>
        <v>12</v>
      </c>
      <c r="O20" s="44" t="s">
        <v>49</v>
      </c>
    </row>
    <row r="21" spans="2:15" ht="30" customHeight="1" x14ac:dyDescent="0.3">
      <c r="B21" s="8" t="str">
        <f>IFERROR(TEXT('Biweekly Time Sheet'!$C21,"aaaa"), "")</f>
        <v>Saturday</v>
      </c>
      <c r="C21" s="11">
        <f>IF($H$4="","",$H$4+12)</f>
        <v>46011</v>
      </c>
      <c r="D21" s="12"/>
      <c r="E21" s="13"/>
      <c r="F21" s="12"/>
      <c r="G21" s="13">
        <v>0</v>
      </c>
      <c r="H21" s="12"/>
      <c r="I21" s="13"/>
      <c r="J21" s="12"/>
      <c r="K21" s="13"/>
      <c r="L21" s="43">
        <f t="shared" si="0"/>
        <v>0</v>
      </c>
      <c r="O21" s="44">
        <v>0</v>
      </c>
    </row>
    <row r="22" spans="2:15" ht="30" customHeight="1" x14ac:dyDescent="0.3">
      <c r="B22" s="14" t="str">
        <f>IFERROR(TEXT('Biweekly Time Sheet'!$C22,"aaaa"), "")</f>
        <v>Sunday</v>
      </c>
      <c r="C22" s="15">
        <f>IF($H$4="","",$H$4+13)</f>
        <v>46012</v>
      </c>
      <c r="D22" s="16"/>
      <c r="E22" s="17"/>
      <c r="F22" s="16">
        <v>0</v>
      </c>
      <c r="G22" s="17"/>
      <c r="H22" s="16"/>
      <c r="I22" s="17"/>
      <c r="J22" s="16"/>
      <c r="K22" s="17"/>
      <c r="L22" s="43">
        <f t="shared" si="0"/>
        <v>0</v>
      </c>
      <c r="O22" s="44">
        <v>0</v>
      </c>
    </row>
    <row r="23" spans="2:15" ht="30" customHeight="1" x14ac:dyDescent="0.3">
      <c r="C23" s="2" t="s">
        <v>5</v>
      </c>
      <c r="D23" s="3">
        <f t="shared" ref="D23:K23" si="1">IFERROR(SUM(D9:D22), "")</f>
        <v>80</v>
      </c>
      <c r="E23" s="3">
        <f t="shared" si="1"/>
        <v>26.25</v>
      </c>
      <c r="F23" s="3">
        <f t="shared" si="1"/>
        <v>12</v>
      </c>
      <c r="G23" s="3">
        <f t="shared" si="1"/>
        <v>24</v>
      </c>
      <c r="H23" s="3">
        <f t="shared" si="1"/>
        <v>0</v>
      </c>
      <c r="I23" s="3">
        <f t="shared" si="1"/>
        <v>0</v>
      </c>
      <c r="J23" s="3">
        <f t="shared" si="1"/>
        <v>0</v>
      </c>
      <c r="K23" s="3">
        <f t="shared" si="1"/>
        <v>0</v>
      </c>
      <c r="L23" s="3">
        <f>IFERROR(SUM(D23:K23), "")</f>
        <v>142.25</v>
      </c>
    </row>
    <row r="24" spans="2:15" ht="30" customHeight="1" x14ac:dyDescent="0.3">
      <c r="D24" s="49"/>
      <c r="E24" s="49"/>
      <c r="F24" s="49"/>
      <c r="G24" s="49"/>
      <c r="H24" s="49"/>
      <c r="I24" s="49"/>
      <c r="J24" s="49"/>
    </row>
    <row r="25" spans="2:15" ht="30" customHeight="1" x14ac:dyDescent="0.3">
      <c r="D25" s="49"/>
      <c r="E25" s="49"/>
      <c r="F25" s="49"/>
      <c r="G25" s="49"/>
      <c r="H25" s="49"/>
      <c r="I25" s="49"/>
      <c r="J25" s="49"/>
    </row>
    <row r="26" spans="2:15" ht="30" customHeight="1" x14ac:dyDescent="0.3">
      <c r="D26" s="51"/>
      <c r="E26" s="51"/>
      <c r="F26" s="51"/>
      <c r="G26" s="51"/>
      <c r="H26" s="51"/>
      <c r="I26" s="51"/>
      <c r="J26" s="51"/>
      <c r="K26" s="7"/>
      <c r="L26" s="6"/>
    </row>
    <row r="27" spans="2:15" ht="30" customHeight="1" x14ac:dyDescent="0.3">
      <c r="D27" s="49" t="s">
        <v>8</v>
      </c>
      <c r="E27" s="49"/>
      <c r="F27" s="49"/>
      <c r="G27" s="49"/>
      <c r="H27" s="49"/>
      <c r="I27" s="49"/>
      <c r="J27" s="49"/>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8" zoomScale="80" zoomScaleNormal="80" workbookViewId="0">
      <selection activeCell="E11" activeCellId="1" sqref="D10 E11:E16"/>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41</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45999</v>
      </c>
      <c r="M4" s="48"/>
      <c r="N4" s="48"/>
      <c r="O4" s="48"/>
      <c r="P4" s="48"/>
    </row>
    <row r="5" spans="2:16" ht="30" customHeight="1" x14ac:dyDescent="0.3">
      <c r="K5" s="5" t="s">
        <v>7</v>
      </c>
      <c r="L5" s="48">
        <f>'Biweekly Time Sheet'!H5</f>
        <v>46012</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CAD'!$C10,"aaaa"), "")</f>
        <v>Monday</v>
      </c>
      <c r="C10" s="11">
        <f>L4</f>
        <v>45999</v>
      </c>
      <c r="D10" s="21">
        <v>70</v>
      </c>
      <c r="E10" s="20">
        <v>0</v>
      </c>
      <c r="F10" s="19"/>
      <c r="G10" s="20">
        <v>0</v>
      </c>
      <c r="H10" s="22">
        <v>50</v>
      </c>
      <c r="I10" s="27"/>
      <c r="J10" s="19"/>
      <c r="K10" s="20"/>
      <c r="L10" s="19"/>
      <c r="M10" s="20"/>
      <c r="N10" s="41"/>
      <c r="O10" s="23">
        <v>0.48</v>
      </c>
      <c r="P10" s="40">
        <f>IFERROR(SUM(D10:M10)+(N10*O10), "")</f>
        <v>120</v>
      </c>
    </row>
    <row r="11" spans="2:16" ht="30" customHeight="1" x14ac:dyDescent="0.3">
      <c r="B11" s="8" t="str">
        <f>IFERROR(TEXT('Biweekly Expense Report CAD'!$C11,"aaaa"), "")</f>
        <v>Tuesday</v>
      </c>
      <c r="C11" s="11">
        <f>IF($L$4="","",$L$4+1)</f>
        <v>46000</v>
      </c>
      <c r="D11" s="21">
        <v>0</v>
      </c>
      <c r="E11" s="20">
        <v>70</v>
      </c>
      <c r="F11" s="19"/>
      <c r="G11" s="20"/>
      <c r="H11" s="22"/>
      <c r="I11" s="27"/>
      <c r="J11" s="19"/>
      <c r="K11" s="20"/>
      <c r="L11" s="19"/>
      <c r="M11" s="20"/>
      <c r="N11" s="41"/>
      <c r="O11" s="42">
        <v>0.48</v>
      </c>
      <c r="P11" s="40">
        <f t="shared" ref="P11:P23" si="0">IFERROR(SUM(D11:M11)+(N11*O11), "")</f>
        <v>70</v>
      </c>
    </row>
    <row r="12" spans="2:16" ht="30" customHeight="1" x14ac:dyDescent="0.3">
      <c r="B12" s="8" t="str">
        <f>IFERROR(TEXT('Biweekly Expense Report CAD'!$C12,"aaaa"), "")</f>
        <v>Wednesday</v>
      </c>
      <c r="C12" s="11">
        <f>IF($L$4="","",$L$4+2)</f>
        <v>46001</v>
      </c>
      <c r="D12" s="21"/>
      <c r="E12" s="20">
        <v>70</v>
      </c>
      <c r="F12" s="19"/>
      <c r="G12" s="20"/>
      <c r="H12" s="22"/>
      <c r="I12" s="27"/>
      <c r="J12" s="19"/>
      <c r="K12" s="20"/>
      <c r="L12" s="19"/>
      <c r="M12" s="20"/>
      <c r="N12" s="41"/>
      <c r="O12" s="42">
        <v>0.48</v>
      </c>
      <c r="P12" s="40">
        <f t="shared" si="0"/>
        <v>70</v>
      </c>
    </row>
    <row r="13" spans="2:16" ht="30" customHeight="1" x14ac:dyDescent="0.3">
      <c r="B13" s="8" t="str">
        <f>IFERROR(TEXT('Biweekly Expense Report CAD'!$C13,"aaaa"), "")</f>
        <v>Thursday</v>
      </c>
      <c r="C13" s="11">
        <f>IF($L$4="","",$L$4+3)</f>
        <v>46002</v>
      </c>
      <c r="D13" s="21"/>
      <c r="E13" s="20">
        <v>70</v>
      </c>
      <c r="F13" s="19"/>
      <c r="G13" s="20"/>
      <c r="H13" s="22"/>
      <c r="I13" s="27"/>
      <c r="J13" s="19"/>
      <c r="K13" s="20"/>
      <c r="L13" s="19"/>
      <c r="M13" s="20"/>
      <c r="N13" s="41"/>
      <c r="O13" s="42">
        <v>0.48</v>
      </c>
      <c r="P13" s="40">
        <f t="shared" si="0"/>
        <v>70</v>
      </c>
    </row>
    <row r="14" spans="2:16" ht="30" customHeight="1" x14ac:dyDescent="0.3">
      <c r="B14" s="8" t="str">
        <f>IFERROR(TEXT('Biweekly Expense Report CAD'!$C14,"aaaa"), "")</f>
        <v>Friday</v>
      </c>
      <c r="C14" s="11">
        <f>IF($L$4="","",$L$4+4)</f>
        <v>46003</v>
      </c>
      <c r="D14" s="21"/>
      <c r="E14" s="20">
        <v>70</v>
      </c>
      <c r="F14" s="19"/>
      <c r="G14" s="20"/>
      <c r="H14" s="22">
        <v>0</v>
      </c>
      <c r="I14" s="27">
        <v>0</v>
      </c>
      <c r="J14" s="19"/>
      <c r="K14" s="20"/>
      <c r="L14" s="19"/>
      <c r="M14" s="20"/>
      <c r="N14" s="41"/>
      <c r="O14" s="42">
        <v>0.48</v>
      </c>
      <c r="P14" s="40">
        <f t="shared" si="0"/>
        <v>70</v>
      </c>
    </row>
    <row r="15" spans="2:16" ht="30" customHeight="1" x14ac:dyDescent="0.3">
      <c r="B15" s="8" t="str">
        <f>IFERROR(TEXT('Biweekly Expense Report CAD'!$C15,"aaaa"), "")</f>
        <v>Saturday</v>
      </c>
      <c r="C15" s="11">
        <f>IF($L$4="","",$L$4+5)</f>
        <v>46004</v>
      </c>
      <c r="D15" s="21"/>
      <c r="E15" s="20">
        <v>70</v>
      </c>
      <c r="F15" s="19"/>
      <c r="G15" s="20"/>
      <c r="H15" s="22"/>
      <c r="I15" s="27"/>
      <c r="J15" s="19"/>
      <c r="K15" s="20"/>
      <c r="L15" s="19"/>
      <c r="M15" s="20"/>
      <c r="N15" s="41"/>
      <c r="O15" s="42">
        <v>0.48</v>
      </c>
      <c r="P15" s="40">
        <f t="shared" si="0"/>
        <v>70</v>
      </c>
    </row>
    <row r="16" spans="2:16" ht="30" customHeight="1" x14ac:dyDescent="0.3">
      <c r="B16" s="8" t="str">
        <f>IFERROR(TEXT('Biweekly Expense Report CAD'!$C16,"aaaa"), "")</f>
        <v>Sunday</v>
      </c>
      <c r="C16" s="11">
        <f>IF($L$4="","",$L$4+6)</f>
        <v>46005</v>
      </c>
      <c r="D16" s="21"/>
      <c r="E16" s="20">
        <v>70</v>
      </c>
      <c r="F16" s="19"/>
      <c r="G16" s="20"/>
      <c r="H16" s="22"/>
      <c r="I16" s="27"/>
      <c r="J16" s="19"/>
      <c r="K16" s="20"/>
      <c r="L16" s="19"/>
      <c r="M16" s="20"/>
      <c r="N16" s="41"/>
      <c r="O16" s="42">
        <v>0.48</v>
      </c>
      <c r="P16" s="40">
        <f t="shared" si="0"/>
        <v>70</v>
      </c>
    </row>
    <row r="17" spans="2:16" ht="30" customHeight="1" x14ac:dyDescent="0.3">
      <c r="B17" s="8" t="str">
        <f>IFERROR(TEXT('Biweekly Expense Report CAD'!$C17,"aaaa"), "")</f>
        <v>Monday</v>
      </c>
      <c r="C17" s="11">
        <f>IF($L$4="","",$L$4+7)</f>
        <v>46006</v>
      </c>
      <c r="D17" s="21"/>
      <c r="E17" s="20">
        <v>70</v>
      </c>
      <c r="F17" s="19"/>
      <c r="G17" s="20"/>
      <c r="H17" s="22"/>
      <c r="I17" s="27"/>
      <c r="J17" s="19"/>
      <c r="K17" s="20"/>
      <c r="L17" s="19"/>
      <c r="M17" s="20"/>
      <c r="N17" s="41"/>
      <c r="O17" s="42">
        <v>0.48</v>
      </c>
      <c r="P17" s="40">
        <f t="shared" si="0"/>
        <v>70</v>
      </c>
    </row>
    <row r="18" spans="2:16" ht="30" customHeight="1" x14ac:dyDescent="0.3">
      <c r="B18" s="8" t="str">
        <f>IFERROR(TEXT('Biweekly Expense Report CAD'!$C18,"aaaa"), "")</f>
        <v>Tuesday</v>
      </c>
      <c r="C18" s="11">
        <f>IF($L$4="","",$L$4+8)</f>
        <v>46007</v>
      </c>
      <c r="D18" s="21"/>
      <c r="E18" s="20">
        <v>70</v>
      </c>
      <c r="F18" s="19"/>
      <c r="G18" s="20"/>
      <c r="H18" s="22"/>
      <c r="I18" s="27"/>
      <c r="J18" s="19"/>
      <c r="K18" s="20"/>
      <c r="L18" s="19"/>
      <c r="M18" s="20"/>
      <c r="N18" s="41"/>
      <c r="O18" s="42">
        <v>0.48</v>
      </c>
      <c r="P18" s="40">
        <f t="shared" si="0"/>
        <v>70</v>
      </c>
    </row>
    <row r="19" spans="2:16" ht="30" customHeight="1" x14ac:dyDescent="0.3">
      <c r="B19" s="8" t="str">
        <f>IFERROR(TEXT('Biweekly Expense Report CAD'!$C19,"aaaa"), "")</f>
        <v>Wednesday</v>
      </c>
      <c r="C19" s="11">
        <f>IF($L$4="","",$L$4+9)</f>
        <v>46008</v>
      </c>
      <c r="D19" s="21"/>
      <c r="E19" s="20">
        <v>70</v>
      </c>
      <c r="F19" s="19"/>
      <c r="G19" s="20"/>
      <c r="H19" s="22"/>
      <c r="I19" s="27"/>
      <c r="J19" s="19"/>
      <c r="K19" s="20"/>
      <c r="L19" s="19"/>
      <c r="M19" s="20"/>
      <c r="N19" s="41"/>
      <c r="O19" s="42">
        <v>0.48</v>
      </c>
      <c r="P19" s="40">
        <f t="shared" si="0"/>
        <v>70</v>
      </c>
    </row>
    <row r="20" spans="2:16" ht="30" customHeight="1" x14ac:dyDescent="0.3">
      <c r="B20" s="8" t="str">
        <f>IFERROR(TEXT('Biweekly Expense Report CAD'!$C20,"aaaa"), "")</f>
        <v>Thursday</v>
      </c>
      <c r="C20" s="11">
        <f>IF($L$4="","",$L$4+10)</f>
        <v>46009</v>
      </c>
      <c r="D20" s="21"/>
      <c r="E20" s="20">
        <v>70</v>
      </c>
      <c r="F20" s="19"/>
      <c r="G20" s="20"/>
      <c r="H20" s="22"/>
      <c r="I20" s="27"/>
      <c r="J20" s="19"/>
      <c r="K20" s="20"/>
      <c r="L20" s="19"/>
      <c r="M20" s="20"/>
      <c r="N20" s="41"/>
      <c r="O20" s="42">
        <v>0.48</v>
      </c>
      <c r="P20" s="40">
        <f t="shared" si="0"/>
        <v>70</v>
      </c>
    </row>
    <row r="21" spans="2:16" ht="30" customHeight="1" x14ac:dyDescent="0.3">
      <c r="B21" s="8" t="str">
        <f>IFERROR(TEXT('Biweekly Expense Report CAD'!$C21,"aaaa"), "")</f>
        <v>Friday</v>
      </c>
      <c r="C21" s="11">
        <f>IF($L$4="","",$L$4+11)</f>
        <v>46010</v>
      </c>
      <c r="D21" s="21">
        <v>70</v>
      </c>
      <c r="E21" s="20">
        <v>0</v>
      </c>
      <c r="F21" s="19"/>
      <c r="G21" s="20">
        <v>0</v>
      </c>
      <c r="H21" s="22">
        <v>50</v>
      </c>
      <c r="I21" s="27"/>
      <c r="J21" s="19"/>
      <c r="K21" s="20"/>
      <c r="L21" s="19"/>
      <c r="M21" s="20"/>
      <c r="N21" s="41"/>
      <c r="O21" s="42">
        <v>0.48</v>
      </c>
      <c r="P21" s="40">
        <f t="shared" si="0"/>
        <v>120</v>
      </c>
    </row>
    <row r="22" spans="2:16" ht="30" customHeight="1" x14ac:dyDescent="0.3">
      <c r="B22" s="8" t="str">
        <f>IFERROR(TEXT('Biweekly Expense Report CAD'!$C22,"aaaa"), "")</f>
        <v>Saturday</v>
      </c>
      <c r="C22" s="11">
        <f>IF($L$4="","",$L$4+12)</f>
        <v>46011</v>
      </c>
      <c r="D22" s="21">
        <v>0</v>
      </c>
      <c r="E22" s="20">
        <v>0</v>
      </c>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46012</v>
      </c>
      <c r="D23" s="21"/>
      <c r="E23" s="20">
        <v>0</v>
      </c>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140</v>
      </c>
      <c r="E24" s="25">
        <f t="shared" si="1"/>
        <v>700</v>
      </c>
      <c r="F24" s="25">
        <f t="shared" si="1"/>
        <v>0</v>
      </c>
      <c r="G24" s="25">
        <f t="shared" si="1"/>
        <v>0</v>
      </c>
      <c r="H24" s="26">
        <f t="shared" si="1"/>
        <v>100</v>
      </c>
      <c r="I24" s="24">
        <f t="shared" si="1"/>
        <v>0</v>
      </c>
      <c r="J24" s="25">
        <f t="shared" si="1"/>
        <v>0</v>
      </c>
      <c r="K24" s="25">
        <f t="shared" si="1"/>
        <v>0</v>
      </c>
      <c r="L24" s="25">
        <f t="shared" si="1"/>
        <v>0</v>
      </c>
      <c r="M24" s="25">
        <f t="shared" si="1"/>
        <v>0</v>
      </c>
      <c r="N24" s="36"/>
      <c r="O24" s="37"/>
      <c r="P24" s="38">
        <f>IFERROR(SUM(P10:P23),"$")</f>
        <v>940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50" t="s">
        <v>40</v>
      </c>
      <c r="C1" s="50"/>
      <c r="D1" s="50"/>
      <c r="E1" s="50"/>
      <c r="F1" s="50"/>
      <c r="G1" s="50"/>
      <c r="H1" s="50"/>
      <c r="I1" s="50"/>
      <c r="J1" s="50"/>
      <c r="K1" s="50"/>
      <c r="L1" s="50"/>
      <c r="M1" s="50"/>
      <c r="N1" s="50"/>
      <c r="O1" s="50"/>
      <c r="P1" s="50"/>
    </row>
    <row r="2" spans="2:16" ht="42.75" customHeight="1" x14ac:dyDescent="0.3">
      <c r="B2" s="1"/>
      <c r="C2" s="1"/>
      <c r="D2" s="1"/>
    </row>
    <row r="3" spans="2:16" ht="30" customHeight="1" x14ac:dyDescent="0.3">
      <c r="C3" s="49"/>
      <c r="D3" s="49"/>
      <c r="K3" s="4" t="s">
        <v>0</v>
      </c>
      <c r="L3" s="48" t="str">
        <f>'Biweekly Time Sheet'!H3</f>
        <v>Jarrett Zorzi</v>
      </c>
      <c r="M3" s="48"/>
      <c r="N3" s="48"/>
      <c r="O3" s="48"/>
      <c r="P3" s="48"/>
    </row>
    <row r="4" spans="2:16" ht="30" customHeight="1" x14ac:dyDescent="0.3">
      <c r="K4" s="5" t="s">
        <v>6</v>
      </c>
      <c r="L4" s="48">
        <f>'Biweekly Time Sheet'!H4</f>
        <v>45999</v>
      </c>
      <c r="M4" s="48"/>
      <c r="N4" s="48"/>
      <c r="O4" s="48"/>
      <c r="P4" s="48"/>
    </row>
    <row r="5" spans="2:16" ht="30" customHeight="1" x14ac:dyDescent="0.3">
      <c r="K5" s="5" t="s">
        <v>7</v>
      </c>
      <c r="L5" s="48">
        <f>'Biweekly Time Sheet'!H5</f>
        <v>46012</v>
      </c>
      <c r="M5" s="48"/>
      <c r="N5" s="48"/>
      <c r="O5" s="48"/>
      <c r="P5" s="48"/>
    </row>
    <row r="6" spans="2:16" ht="30" customHeight="1" x14ac:dyDescent="0.3">
      <c r="N6" s="49"/>
      <c r="O6" s="49"/>
      <c r="P6" s="49"/>
    </row>
    <row r="7" spans="2:16" ht="15" customHeight="1" thickBot="1" x14ac:dyDescent="0.35"/>
    <row r="8" spans="2:16" ht="22.5" customHeight="1" thickBot="1" x14ac:dyDescent="0.35">
      <c r="D8" s="57" t="s">
        <v>26</v>
      </c>
      <c r="E8" s="58"/>
      <c r="F8" s="58"/>
      <c r="G8" s="58"/>
      <c r="H8" s="59"/>
      <c r="I8" s="57" t="s">
        <v>27</v>
      </c>
      <c r="J8" s="58"/>
      <c r="K8" s="58"/>
      <c r="L8" s="58"/>
      <c r="M8" s="58"/>
      <c r="N8" s="58"/>
      <c r="O8" s="59"/>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3">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9"/>
      <c r="E25" s="49"/>
      <c r="F25" s="49"/>
      <c r="G25" s="49"/>
      <c r="H25" s="49"/>
      <c r="I25" s="49"/>
      <c r="J25" s="49"/>
      <c r="K25" s="49"/>
      <c r="L25" s="49"/>
      <c r="M25" s="49"/>
      <c r="N25" s="49"/>
    </row>
    <row r="26" spans="2:16" ht="30" customHeight="1" x14ac:dyDescent="0.3">
      <c r="D26" s="49"/>
      <c r="E26" s="49"/>
      <c r="F26" s="49"/>
      <c r="G26" s="49"/>
      <c r="H26" s="49"/>
      <c r="I26" s="49"/>
      <c r="J26" s="49"/>
      <c r="K26" s="49"/>
      <c r="L26" s="49"/>
      <c r="M26" s="49"/>
      <c r="N26" s="49"/>
    </row>
    <row r="27" spans="2:16" ht="30" customHeight="1" x14ac:dyDescent="0.3">
      <c r="D27" s="54">
        <f>'Biweekly Time Sheet'!D26:J26</f>
        <v>0</v>
      </c>
      <c r="E27" s="54"/>
      <c r="F27" s="54"/>
      <c r="G27" s="54"/>
      <c r="H27" s="54"/>
      <c r="I27" s="54"/>
      <c r="J27" s="54"/>
      <c r="K27" s="54"/>
      <c r="L27" s="54"/>
      <c r="M27" s="54"/>
      <c r="N27" s="54"/>
      <c r="O27" s="54"/>
      <c r="P27" s="18">
        <f>'Biweekly Time Sheet'!L26</f>
        <v>0</v>
      </c>
    </row>
    <row r="28" spans="2:16" ht="30" customHeight="1" x14ac:dyDescent="0.3">
      <c r="D28" s="49" t="s">
        <v>8</v>
      </c>
      <c r="E28" s="49"/>
      <c r="F28" s="49"/>
      <c r="G28" s="49"/>
      <c r="H28" s="49"/>
      <c r="I28" s="49"/>
      <c r="J28" s="49"/>
      <c r="K28" s="49"/>
      <c r="L28" s="49"/>
      <c r="M28" s="49"/>
      <c r="N28" s="49"/>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26.25</v>
      </c>
      <c r="D3" s="32"/>
    </row>
    <row r="4" spans="1:4" x14ac:dyDescent="0.3">
      <c r="A4" s="32" t="s">
        <v>31</v>
      </c>
      <c r="B4" s="32"/>
      <c r="C4" s="33">
        <f>'Biweekly Time Sheet'!F$23</f>
        <v>12</v>
      </c>
      <c r="D4" s="32"/>
    </row>
    <row r="5" spans="1:4" x14ac:dyDescent="0.3">
      <c r="A5" s="32" t="s">
        <v>32</v>
      </c>
      <c r="B5" s="32"/>
      <c r="C5" s="33">
        <f>'Biweekly Time Sheet'!G$23</f>
        <v>24</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940</v>
      </c>
      <c r="D10" s="32" t="s">
        <v>37</v>
      </c>
    </row>
    <row r="11" spans="1:4" x14ac:dyDescent="0.3">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2025-12-22T15:18:54Z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