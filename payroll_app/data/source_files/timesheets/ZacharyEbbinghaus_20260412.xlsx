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94f35454ffe4a7/02 R^0D Controls Corp/CENTERLINE/_Approved Hours/OCR/timesheets/20260412/"/>
    </mc:Choice>
  </mc:AlternateContent>
  <xr:revisionPtr revIDLastSave="2" documentId="11_B5C6BE534AA49A3B84E9011E2F8C8AA23BA96116" xr6:coauthVersionLast="47" xr6:coauthVersionMax="47" xr10:uidLastSave="{660E939D-FE26-48B8-AA89-2C1ADCE23946}"/>
  <bookViews>
    <workbookView xWindow="-98" yWindow="-98" windowWidth="20715" windowHeight="13155" xr2:uid="{00000000-000D-0000-FFFF-FFFF00000000}"/>
  </bookViews>
  <sheets>
    <sheet name="Biweekly Time Sheet" sheetId="1" r:id="rId1"/>
    <sheet name="Biweekly Expense Report CAD" sheetId="2" r:id="rId2"/>
    <sheet name="Biweekly Expense Report USD" sheetId="3" r:id="rId3"/>
    <sheet name="Accounting Use Only" sheetId="4" r:id="rId4"/>
  </sheets>
  <definedNames>
    <definedName name="RowTitleRegion1..C5" localSheetId="1">'Biweekly Expense Report CAD'!$B$3</definedName>
    <definedName name="RowTitleRegion1..C5" localSheetId="2">'Biweekly Expense Report USD'!$B$3</definedName>
    <definedName name="RowTitleRegion1..C5">'Biweekly Time Sheet'!$B$3</definedName>
    <definedName name="RowTitleRegion2..G4" localSheetId="1">'Biweekly Expense Report CAD'!$K$4</definedName>
    <definedName name="RowTitleRegion2..G4" localSheetId="2">'Biweekly Expense Report USD'!$K$4</definedName>
    <definedName name="RowTitleRegion2..G4">'Biweekly Time Sheet'!$G$4</definedName>
    <definedName name="RowTitleRegion3..C7" localSheetId="1">'Biweekly Expense Report CAD'!$K$3</definedName>
    <definedName name="RowTitleRegion3..C7" localSheetId="2">'Biweekly Expense Report USD'!$K$3</definedName>
    <definedName name="RowTitleRegion3..C7">'Biweekly Time Sheet'!$G$3</definedName>
    <definedName name="RowTitleRegion4..G7" localSheetId="1">'Biweekly Expense Report CAD'!$M$6</definedName>
    <definedName name="RowTitleRegion4..G7" localSheetId="2">'Biweekly Expense Report USD'!$M$6</definedName>
    <definedName name="RowTitleRegion4..G7">'Biweekly Time Sheet'!$I$6</definedName>
    <definedName name="RowTitleRegion5..H24" localSheetId="1">'Biweekly Expense Report CAD'!$C$24</definedName>
    <definedName name="RowTitleRegion5..H24" localSheetId="2">'Biweekly Expense Report USD'!$C$24</definedName>
    <definedName name="RowTitleRegion5..H24">'Biweekly Time Sheet'!$C$23</definedName>
    <definedName name="Title1" localSheetId="1">'Biweekly Expense Report CAD'!$B$9</definedName>
    <definedName name="Title1" localSheetId="2">'Biweekly Expense Report USD'!$B$9</definedName>
    <definedName name="Title1">'Biweekly Time Sheet'!$B$8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3" l="1"/>
  <c r="D27" i="3"/>
  <c r="M24" i="3"/>
  <c r="L24" i="3"/>
  <c r="K24" i="3"/>
  <c r="J24" i="3"/>
  <c r="I24" i="3"/>
  <c r="H24" i="3"/>
  <c r="G24" i="3"/>
  <c r="F24" i="3"/>
  <c r="E24" i="3"/>
  <c r="D24" i="3"/>
  <c r="P23" i="3"/>
  <c r="P22" i="3"/>
  <c r="C22" i="3"/>
  <c r="B22" i="3" s="1"/>
  <c r="P21" i="3"/>
  <c r="P20" i="3"/>
  <c r="P19" i="3"/>
  <c r="P18" i="3"/>
  <c r="P17" i="3"/>
  <c r="P16" i="3"/>
  <c r="P15" i="3"/>
  <c r="P14" i="3"/>
  <c r="C14" i="3"/>
  <c r="B14" i="3" s="1"/>
  <c r="P13" i="3"/>
  <c r="P12" i="3"/>
  <c r="C12" i="3"/>
  <c r="B12" i="3" s="1"/>
  <c r="P11" i="3"/>
  <c r="P24" i="3" s="1"/>
  <c r="C11" i="4" s="1"/>
  <c r="P10" i="3"/>
  <c r="L4" i="3"/>
  <c r="C23" i="3" s="1"/>
  <c r="B23" i="3" s="1"/>
  <c r="L3" i="3"/>
  <c r="P27" i="2"/>
  <c r="D27" i="2"/>
  <c r="M24" i="2"/>
  <c r="L24" i="2"/>
  <c r="K24" i="2"/>
  <c r="J24" i="2"/>
  <c r="I24" i="2"/>
  <c r="H24" i="2"/>
  <c r="G24" i="2"/>
  <c r="F24" i="2"/>
  <c r="E24" i="2"/>
  <c r="D24" i="2"/>
  <c r="P23" i="2"/>
  <c r="C23" i="2"/>
  <c r="B23" i="2"/>
  <c r="P22" i="2"/>
  <c r="P21" i="2"/>
  <c r="P20" i="2"/>
  <c r="C20" i="2"/>
  <c r="B20" i="2" s="1"/>
  <c r="P19" i="2"/>
  <c r="P18" i="2"/>
  <c r="C18" i="2"/>
  <c r="B18" i="2" s="1"/>
  <c r="P17" i="2"/>
  <c r="P16" i="2"/>
  <c r="P15" i="2"/>
  <c r="C15" i="2"/>
  <c r="B15" i="2"/>
  <c r="P14" i="2"/>
  <c r="P13" i="2"/>
  <c r="P12" i="2"/>
  <c r="C12" i="2"/>
  <c r="B12" i="2" s="1"/>
  <c r="P11" i="2"/>
  <c r="P10" i="2"/>
  <c r="C10" i="2"/>
  <c r="B10" i="2" s="1"/>
  <c r="L5" i="2"/>
  <c r="L4" i="2"/>
  <c r="C21" i="2" s="1"/>
  <c r="B21" i="2" s="1"/>
  <c r="L3" i="2"/>
  <c r="K23" i="1"/>
  <c r="C9" i="4" s="1"/>
  <c r="J23" i="1"/>
  <c r="C8" i="4" s="1"/>
  <c r="I23" i="1"/>
  <c r="C7" i="4" s="1"/>
  <c r="H23" i="1"/>
  <c r="C6" i="4" s="1"/>
  <c r="G23" i="1"/>
  <c r="C5" i="4" s="1"/>
  <c r="F23" i="1"/>
  <c r="C4" i="4" s="1"/>
  <c r="E23" i="1"/>
  <c r="C3" i="4" s="1"/>
  <c r="D23" i="1"/>
  <c r="C2" i="4" s="1"/>
  <c r="L22" i="1"/>
  <c r="C22" i="1"/>
  <c r="B22" i="1"/>
  <c r="L21" i="1"/>
  <c r="C21" i="1"/>
  <c r="B21" i="1" s="1"/>
  <c r="L20" i="1"/>
  <c r="C20" i="1"/>
  <c r="B20" i="1"/>
  <c r="L19" i="1"/>
  <c r="C19" i="1"/>
  <c r="B19" i="1" s="1"/>
  <c r="L18" i="1"/>
  <c r="C18" i="1"/>
  <c r="B18" i="1" s="1"/>
  <c r="L17" i="1"/>
  <c r="C17" i="1"/>
  <c r="B17" i="1" s="1"/>
  <c r="L16" i="1"/>
  <c r="C16" i="1"/>
  <c r="B16" i="1"/>
  <c r="L15" i="1"/>
  <c r="C15" i="1"/>
  <c r="B15" i="1"/>
  <c r="L14" i="1"/>
  <c r="C14" i="1"/>
  <c r="B14" i="1"/>
  <c r="L13" i="1"/>
  <c r="C13" i="1"/>
  <c r="B13" i="1" s="1"/>
  <c r="L12" i="1"/>
  <c r="C12" i="1"/>
  <c r="B12" i="1"/>
  <c r="L11" i="1"/>
  <c r="C11" i="1"/>
  <c r="B11" i="1" s="1"/>
  <c r="L10" i="1"/>
  <c r="C10" i="1"/>
  <c r="B10" i="1" s="1"/>
  <c r="L9" i="1"/>
  <c r="C9" i="1"/>
  <c r="B9" i="1" s="1"/>
  <c r="H5" i="1"/>
  <c r="L5" i="3" s="1"/>
  <c r="P24" i="2" l="1"/>
  <c r="C10" i="4" s="1"/>
  <c r="C16" i="2"/>
  <c r="B16" i="2" s="1"/>
  <c r="C10" i="3"/>
  <c r="B10" i="3" s="1"/>
  <c r="C18" i="3"/>
  <c r="B18" i="3" s="1"/>
  <c r="L23" i="1"/>
  <c r="C11" i="2"/>
  <c r="B11" i="2" s="1"/>
  <c r="C19" i="2"/>
  <c r="B19" i="2" s="1"/>
  <c r="C13" i="3"/>
  <c r="B13" i="3" s="1"/>
  <c r="C21" i="3"/>
  <c r="B21" i="3" s="1"/>
  <c r="C14" i="2"/>
  <c r="B14" i="2" s="1"/>
  <c r="C22" i="2"/>
  <c r="B22" i="2" s="1"/>
  <c r="C16" i="3"/>
  <c r="B16" i="3" s="1"/>
  <c r="C17" i="2"/>
  <c r="B17" i="2" s="1"/>
  <c r="C11" i="3"/>
  <c r="B11" i="3" s="1"/>
  <c r="C19" i="3"/>
  <c r="B19" i="3" s="1"/>
  <c r="C17" i="3"/>
  <c r="B17" i="3" s="1"/>
  <c r="C20" i="3"/>
  <c r="B20" i="3" s="1"/>
  <c r="C13" i="2"/>
  <c r="B13" i="2" s="1"/>
  <c r="C15" i="3"/>
  <c r="B15" i="3" s="1"/>
</calcChain>
</file>

<file path=xl/sharedStrings.xml><?xml version="1.0" encoding="utf-8"?>
<sst xmlns="http://schemas.openxmlformats.org/spreadsheetml/2006/main" count="91" uniqueCount="50">
  <si>
    <t>R&amp;D Controls Corp. Biweekly Time Sheet</t>
  </si>
  <si>
    <t>Employee:</t>
  </si>
  <si>
    <t>Zachary Ebbinghaus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</si>
  <si>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</si>
  <si>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</si>
  <si>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</si>
  <si>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</si>
  <si>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</si>
  <si>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</si>
  <si>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</si>
  <si>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</si>
  <si>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</si>
  <si>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</si>
  <si>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</si>
  <si>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</si>
  <si>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</si>
  <si>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</si>
  <si>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modatek milton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</si>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</sst>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9" x14ac:knownFonts="1">
    <font>
      <sz val="11"/>
      <color rgb="FF000000"/>
      <name val="Century Gothic"/>
      <scheme val="minor"/>
    </font>
    <font>
      <b/>
      <sz val="22"/>
      <color rgb="FF7F7F7F"/>
      <name val="Century Gothic"/>
    </font>
    <font>
      <b/>
      <sz val="22"/>
      <color rgb="FF3F3F3F"/>
      <name val="Century Gothic"/>
    </font>
    <font>
      <sz val="11"/>
      <color theme="1"/>
      <name val="Century Gothic"/>
    </font>
    <font>
      <sz val="11"/>
      <name val="Century Gothic"/>
    </font>
    <font>
      <b/>
      <sz val="11"/>
      <color theme="1"/>
      <name val="Century Gothic"/>
    </font>
    <font>
      <sz val="11"/>
      <color theme="1"/>
      <name val="Century Gothic"/>
      <scheme val="minor"/>
    </font>
    <font>
      <sz val="10"/>
      <color theme="1"/>
      <name val="Century Gothic"/>
    </font>
    <font>
      <b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left" wrapText="1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14" fontId="3" fillId="2" borderId="5" xfId="0" applyNumberFormat="1" applyFont="1" applyFill="1" applyBorder="1" applyAlignment="1">
      <alignment horizontal="left" vertical="center"/>
    </xf>
    <xf numFmtId="2" fontId="3" fillId="0" borderId="8" xfId="0" applyNumberFormat="1" applyFont="1" applyBorder="1" applyAlignment="1">
      <alignment horizontal="right" vertical="center"/>
    </xf>
    <xf numFmtId="2" fontId="3" fillId="4" borderId="5" xfId="0" applyNumberFormat="1" applyFont="1" applyFill="1" applyBorder="1" applyAlignment="1">
      <alignment horizontal="right" vertical="center"/>
    </xf>
    <xf numFmtId="2" fontId="3" fillId="5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2" fontId="3" fillId="0" borderId="10" xfId="0" applyNumberFormat="1" applyFont="1" applyBorder="1" applyAlignment="1">
      <alignment horizontal="right" vertical="center"/>
    </xf>
    <xf numFmtId="2" fontId="3" fillId="4" borderId="9" xfId="0" applyNumberFormat="1" applyFont="1" applyFill="1" applyBorder="1" applyAlignment="1">
      <alignment horizontal="right" vertical="center"/>
    </xf>
    <xf numFmtId="2" fontId="5" fillId="2" borderId="7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164" fontId="3" fillId="4" borderId="22" xfId="0" applyNumberFormat="1" applyFont="1" applyFill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4" fontId="3" fillId="0" borderId="23" xfId="0" applyNumberFormat="1" applyFont="1" applyBorder="1" applyAlignment="1">
      <alignment horizontal="right" vertical="center"/>
    </xf>
    <xf numFmtId="164" fontId="3" fillId="4" borderId="24" xfId="0" applyNumberFormat="1" applyFont="1" applyFill="1" applyBorder="1" applyAlignment="1">
      <alignment horizontal="right" vertical="center"/>
    </xf>
    <xf numFmtId="164" fontId="5" fillId="2" borderId="25" xfId="0" applyNumberFormat="1" applyFont="1" applyFill="1" applyBorder="1" applyAlignment="1">
      <alignment horizontal="right" vertical="center"/>
    </xf>
    <xf numFmtId="164" fontId="5" fillId="2" borderId="26" xfId="0" applyNumberFormat="1" applyFont="1" applyFill="1" applyBorder="1" applyAlignment="1">
      <alignment horizontal="right" vertical="center"/>
    </xf>
    <xf numFmtId="164" fontId="5" fillId="2" borderId="27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2" borderId="28" xfId="0" applyNumberFormat="1" applyFont="1" applyFill="1" applyBorder="1" applyAlignment="1">
      <alignment horizontal="right" vertical="center"/>
    </xf>
    <xf numFmtId="14" fontId="3" fillId="2" borderId="29" xfId="0" applyNumberFormat="1" applyFont="1" applyFill="1" applyBorder="1" applyAlignment="1">
      <alignment horizontal="left" wrapText="1"/>
    </xf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2" fontId="5" fillId="6" borderId="31" xfId="0" applyNumberFormat="1" applyFont="1" applyFill="1" applyBorder="1" applyAlignment="1">
      <alignment horizontal="left" vertical="center"/>
    </xf>
    <xf numFmtId="164" fontId="5" fillId="6" borderId="3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14" fontId="3" fillId="2" borderId="2" xfId="0" applyNumberFormat="1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5F1"/>
    <pageSetUpPr fitToPage="1"/>
  </sheetPr>
  <dimension ref="B1:O1000"/>
  <sheetViews>
    <sheetView showGridLines="0" tabSelected="1" topLeftCell="A11" workbookViewId="0">
      <selection activeCell="D16" sqref="D16:D20"/>
    </sheetView>
  </sheetViews>
  <sheetFormatPr defaultColWidth="12.625" defaultRowHeight="15" customHeight="1" x14ac:dyDescent="0.4"/>
  <cols>
    <col min="1" max="1" width="2.625" customWidth="1"/>
    <col min="2" max="4" width="16.625" customWidth="1"/>
    <col min="5" max="5" width="18.125" customWidth="1"/>
    <col min="6" max="6" width="18.5" customWidth="1"/>
    <col min="7" max="8" width="16.75" customWidth="1"/>
    <col min="9" max="11" width="16.625" customWidth="1"/>
    <col min="12" max="12" width="18.625" customWidth="1"/>
    <col min="13" max="13" width="2.625" customWidth="1"/>
    <col min="14" max="14" width="8.625" customWidth="1"/>
    <col min="15" max="15" width="62.25" customWidth="1"/>
    <col min="16" max="26" width="8.625" customWidth="1"/>
  </cols>
  <sheetData>
    <row r="1" spans="2:15" ht="55.5" customHeight="1" x14ac:dyDescent="0.65">
      <c r="B1" s="50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2:15" ht="42.75" customHeight="1" x14ac:dyDescent="0.4">
      <c r="B2" s="1"/>
      <c r="C2" s="1"/>
      <c r="D2" s="1"/>
    </row>
    <row r="3" spans="2:15" ht="30" customHeight="1" x14ac:dyDescent="0.4">
      <c r="C3" s="46"/>
      <c r="D3" s="47"/>
      <c r="G3" s="2" t="s">
        <v>1</v>
      </c>
      <c r="H3" s="51" t="s">
        <v>2</v>
      </c>
      <c r="I3" s="49"/>
      <c r="J3" s="49"/>
      <c r="K3" s="49"/>
      <c r="L3" s="49"/>
    </row>
    <row r="4" spans="2:15" ht="30" customHeight="1" x14ac:dyDescent="0.4">
      <c r="G4" s="3" t="s">
        <v>3</v>
      </c>
      <c r="H4" s="52">
        <v>46111</v>
      </c>
      <c r="I4" s="49"/>
      <c r="J4" s="49"/>
      <c r="K4" s="49"/>
      <c r="L4" s="49"/>
    </row>
    <row r="5" spans="2:15" ht="30" customHeight="1" x14ac:dyDescent="0.4">
      <c r="G5" s="3" t="s">
        <v>4</v>
      </c>
      <c r="H5" s="53">
        <f>IFERROR(IF($H$4="","",$H$4+13), "")</f>
        <v>46124</v>
      </c>
      <c r="I5" s="54"/>
      <c r="J5" s="54"/>
      <c r="K5" s="54"/>
      <c r="L5" s="55"/>
    </row>
    <row r="6" spans="2:15" ht="30" customHeight="1" x14ac:dyDescent="0.4">
      <c r="J6" s="46"/>
      <c r="K6" s="47"/>
      <c r="L6" s="47"/>
    </row>
    <row r="8" spans="2:15" ht="30" customHeight="1" x14ac:dyDescent="0.4">
      <c r="B8" s="5" t="s">
        <v>5</v>
      </c>
      <c r="C8" s="5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7" t="s">
        <v>15</v>
      </c>
      <c r="O8" s="8" t="s">
        <v>16</v>
      </c>
    </row>
    <row r="9" spans="2:15" ht="30" customHeight="1" x14ac:dyDescent="0.4">
      <c r="B9" s="5" t="str">
        <f>IFERROR(TEXT('Biweekly Time Sheet'!$C9,"aaaa"), "")</f>
        <v>Monday</v>
      </c>
      <c r="C9" s="9">
        <f>H4</f>
        <v>46111</v>
      </c>
      <c r="D9" s="10"/>
      <c r="E9" s="11"/>
      <c r="F9" s="10"/>
      <c r="G9" s="11"/>
      <c r="H9" s="10"/>
      <c r="I9" s="11"/>
      <c r="J9" s="10"/>
      <c r="K9" s="11"/>
      <c r="L9" s="12">
        <f t="shared" ref="L9:L23" si="0">IFERROR(SUM(D9:K9), "")</f>
        <v>0</v>
      </c>
      <c r="O9" s="13" t="s">
        <v>17</v>
      </c>
    </row>
    <row r="10" spans="2:15" ht="30" customHeight="1" x14ac:dyDescent="0.4">
      <c r="B10" s="5" t="str">
        <f>IFERROR(TEXT('Biweekly Time Sheet'!$C10,"aaaa"), "")</f>
        <v>Tuesday</v>
      </c>
      <c r="C10" s="9">
        <f>IF($H$4="","",$H$4+1)</f>
        <v>46112</v>
      </c>
      <c r="D10" s="10"/>
      <c r="E10" s="11"/>
      <c r="F10" s="10"/>
      <c r="G10" s="11"/>
      <c r="H10" s="10"/>
      <c r="I10" s="11"/>
      <c r="J10" s="10"/>
      <c r="K10" s="11"/>
      <c r="L10" s="12">
        <f t="shared" si="0"/>
        <v>0</v>
      </c>
      <c r="O10" s="13" t="s">
        <v>17</v>
      </c>
    </row>
    <row r="11" spans="2:15" ht="30" customHeight="1" x14ac:dyDescent="0.4">
      <c r="B11" s="5" t="str">
        <f>IFERROR(TEXT('Biweekly Time Sheet'!$C11,"aaaa"), "")</f>
        <v>Wednesday</v>
      </c>
      <c r="C11" s="9">
        <f>IF($H$4="","",$H$4+2)</f>
        <v>46113</v>
      </c>
      <c r="D11" s="10"/>
      <c r="E11" s="11"/>
      <c r="F11" s="10"/>
      <c r="G11" s="11"/>
      <c r="H11" s="10"/>
      <c r="I11" s="11"/>
      <c r="J11" s="10"/>
      <c r="K11" s="11"/>
      <c r="L11" s="12">
        <f t="shared" si="0"/>
        <v>0</v>
      </c>
      <c r="O11" s="13" t="s">
        <v>17</v>
      </c>
    </row>
    <row r="12" spans="2:15" ht="30" customHeight="1" x14ac:dyDescent="0.4">
      <c r="B12" s="5" t="str">
        <f>IFERROR(TEXT('Biweekly Time Sheet'!$C12,"aaaa"), "")</f>
        <v>Thursday</v>
      </c>
      <c r="C12" s="9">
        <f>IF($H$4="","",$H$4+3)</f>
        <v>46114</v>
      </c>
      <c r="D12" s="10">
        <v>5.75</v>
      </c>
      <c r="E12" s="11"/>
      <c r="F12" s="10"/>
      <c r="G12" s="11">
        <v>6</v>
      </c>
      <c r="H12" s="10"/>
      <c r="I12" s="11"/>
      <c r="J12" s="10"/>
      <c r="K12" s="11"/>
      <c r="L12" s="12">
        <f t="shared" si="0"/>
        <v>11.75</v>
      </c>
      <c r="O12" s="13"/>
    </row>
    <row r="13" spans="2:15" ht="30" customHeight="1" x14ac:dyDescent="0.4">
      <c r="B13" s="5" t="str">
        <f>IFERROR(TEXT('Biweekly Time Sheet'!$C13,"aaaa"), "")</f>
        <v>Friday</v>
      </c>
      <c r="C13" s="9">
        <f>IF($H$4="","",$H$4+4)</f>
        <v>46115</v>
      </c>
      <c r="D13" s="10"/>
      <c r="E13" s="11"/>
      <c r="F13" s="10"/>
      <c r="G13" s="11">
        <v>11</v>
      </c>
      <c r="H13" s="10"/>
      <c r="I13" s="11"/>
      <c r="J13" s="10">
        <v>8</v>
      </c>
      <c r="K13" s="11"/>
      <c r="L13" s="12">
        <f t="shared" si="0"/>
        <v>19</v>
      </c>
      <c r="O13" s="13"/>
    </row>
    <row r="14" spans="2:15" ht="30" customHeight="1" x14ac:dyDescent="0.4">
      <c r="B14" s="5" t="str">
        <f>IFERROR(TEXT('Biweekly Time Sheet'!$C14,"aaaa"), "")</f>
        <v>Saturday</v>
      </c>
      <c r="C14" s="9">
        <f>IF($H$4="","",$H$4+5)</f>
        <v>46116</v>
      </c>
      <c r="D14" s="10">
        <v>12</v>
      </c>
      <c r="E14" s="11"/>
      <c r="F14" s="10"/>
      <c r="G14" s="11"/>
      <c r="H14" s="10"/>
      <c r="I14" s="11"/>
      <c r="J14" s="10"/>
      <c r="K14" s="11"/>
      <c r="L14" s="12">
        <f t="shared" si="0"/>
        <v>12</v>
      </c>
      <c r="O14" s="13" t="s">
        <v>17</v>
      </c>
    </row>
    <row r="15" spans="2:15" ht="30" customHeight="1" x14ac:dyDescent="0.4">
      <c r="B15" s="5" t="str">
        <f>IFERROR(TEXT('Biweekly Time Sheet'!$C15,"aaaa"), "")</f>
        <v>Sunday</v>
      </c>
      <c r="C15" s="9">
        <f>IF($H$4="","",$H$4+6)</f>
        <v>46117</v>
      </c>
      <c r="D15" s="10"/>
      <c r="E15" s="11"/>
      <c r="F15" s="10">
        <v>12</v>
      </c>
      <c r="G15" s="11"/>
      <c r="H15" s="10"/>
      <c r="I15" s="11"/>
      <c r="J15" s="10"/>
      <c r="K15" s="11"/>
      <c r="L15" s="12">
        <f t="shared" si="0"/>
        <v>12</v>
      </c>
      <c r="O15" s="13" t="s">
        <v>17</v>
      </c>
    </row>
    <row r="16" spans="2:15" ht="30" customHeight="1" x14ac:dyDescent="0.4">
      <c r="B16" s="5" t="str">
        <f>IFERROR(TEXT('Biweekly Time Sheet'!$C16,"aaaa"), "")</f>
        <v>Monday</v>
      </c>
      <c r="C16" s="9">
        <f>IF($H$4="","",$H$4+7)</f>
        <v>46118</v>
      </c>
      <c r="D16" s="10">
        <v>8</v>
      </c>
      <c r="E16" s="11"/>
      <c r="F16" s="10"/>
      <c r="G16" s="11"/>
      <c r="H16" s="10"/>
      <c r="I16" s="11"/>
      <c r="J16" s="10"/>
      <c r="K16" s="11"/>
      <c r="L16" s="12">
        <f t="shared" si="0"/>
        <v>8</v>
      </c>
      <c r="O16" s="14" t="s">
        <v>17</v>
      </c>
    </row>
    <row r="17" spans="2:15" ht="30" customHeight="1" x14ac:dyDescent="0.4">
      <c r="B17" s="5" t="str">
        <f>IFERROR(TEXT('Biweekly Time Sheet'!$C17,"aaaa"), "")</f>
        <v>Tuesday</v>
      </c>
      <c r="C17" s="9">
        <f>IF($H$4="","",$H$4+8)</f>
        <v>46119</v>
      </c>
      <c r="D17" s="10">
        <v>8</v>
      </c>
      <c r="E17" s="11"/>
      <c r="F17" s="10"/>
      <c r="G17" s="11"/>
      <c r="H17" s="10"/>
      <c r="I17" s="11"/>
      <c r="J17" s="10"/>
      <c r="K17" s="11"/>
      <c r="L17" s="12">
        <f t="shared" si="0"/>
        <v>8</v>
      </c>
      <c r="O17" s="13" t="s">
        <v>17</v>
      </c>
    </row>
    <row r="18" spans="2:15" ht="30" customHeight="1" x14ac:dyDescent="0.4">
      <c r="B18" s="5" t="str">
        <f>IFERROR(TEXT('Biweekly Time Sheet'!$C18,"aaaa"), "")</f>
        <v>Wednesday</v>
      </c>
      <c r="C18" s="9">
        <f>IF($H$4="","",$H$4+9)</f>
        <v>46120</v>
      </c>
      <c r="D18" s="10"/>
      <c r="E18" s="11"/>
      <c r="F18" s="10"/>
      <c r="G18" s="11">
        <v>11.25</v>
      </c>
      <c r="H18" s="10"/>
      <c r="I18" s="11"/>
      <c r="J18" s="10"/>
      <c r="K18" s="11"/>
      <c r="L18" s="12">
        <f t="shared" si="0"/>
        <v>11.25</v>
      </c>
      <c r="O18" s="14" t="s">
        <v>17</v>
      </c>
    </row>
    <row r="19" spans="2:15" ht="30" customHeight="1" x14ac:dyDescent="0.4">
      <c r="B19" s="5" t="str">
        <f>IFERROR(TEXT('Biweekly Time Sheet'!$C19,"aaaa"), "")</f>
        <v>Thursday</v>
      </c>
      <c r="C19" s="9">
        <f>IF($H$4="","",$H$4+10)</f>
        <v>46121</v>
      </c>
      <c r="D19" s="10"/>
      <c r="E19" s="11"/>
      <c r="F19" s="10"/>
      <c r="G19" s="11"/>
      <c r="H19" s="10"/>
      <c r="I19" s="11"/>
      <c r="J19" s="10"/>
      <c r="K19" s="11"/>
      <c r="L19" s="12">
        <f t="shared" si="0"/>
        <v>0</v>
      </c>
      <c r="O19" s="13" t="s">
        <v>17</v>
      </c>
    </row>
    <row r="20" spans="2:15" ht="30" customHeight="1" x14ac:dyDescent="0.4">
      <c r="B20" s="5" t="str">
        <f>IFERROR(TEXT('Biweekly Time Sheet'!$C20,"aaaa"), "")</f>
        <v>Friday</v>
      </c>
      <c r="C20" s="9">
        <f>IF($H$4="","",$H$4+11)</f>
        <v>46122</v>
      </c>
      <c r="D20" s="10">
        <v>10</v>
      </c>
      <c r="E20" s="11"/>
      <c r="F20" s="10"/>
      <c r="G20" s="11"/>
      <c r="H20" s="10"/>
      <c r="I20" s="11"/>
      <c r="J20" s="10"/>
      <c r="K20" s="11"/>
      <c r="L20" s="12">
        <f t="shared" si="0"/>
        <v>10</v>
      </c>
      <c r="O20" s="13"/>
    </row>
    <row r="21" spans="2:15" ht="30" customHeight="1" x14ac:dyDescent="0.4">
      <c r="B21" s="5" t="str">
        <f>IFERROR(TEXT('Biweekly Time Sheet'!$C21,"aaaa"), "")</f>
        <v>Saturday</v>
      </c>
      <c r="C21" s="9">
        <f>IF($H$4="","",$H$4+12)</f>
        <v>46123</v>
      </c>
      <c r="D21" s="10"/>
      <c r="E21" s="11"/>
      <c r="F21" s="10"/>
      <c r="G21" s="11"/>
      <c r="H21" s="10"/>
      <c r="I21" s="11"/>
      <c r="J21" s="10"/>
      <c r="K21" s="11"/>
      <c r="L21" s="12">
        <f t="shared" si="0"/>
        <v>0</v>
      </c>
      <c r="O21" s="13"/>
    </row>
    <row r="22" spans="2:15" ht="30" customHeight="1" x14ac:dyDescent="0.4">
      <c r="B22" s="15" t="str">
        <f>IFERROR(TEXT('Biweekly Time Sheet'!$C22,"aaaa"), "")</f>
        <v>Sunday</v>
      </c>
      <c r="C22" s="16">
        <f>IF($H$4="","",$H$4+13)</f>
        <v>46124</v>
      </c>
      <c r="D22" s="17"/>
      <c r="E22" s="18"/>
      <c r="F22" s="17"/>
      <c r="G22" s="18"/>
      <c r="H22" s="17"/>
      <c r="I22" s="18"/>
      <c r="J22" s="17"/>
      <c r="K22" s="18"/>
      <c r="L22" s="12">
        <f t="shared" si="0"/>
        <v>0</v>
      </c>
      <c r="O22" s="13"/>
    </row>
    <row r="23" spans="2:15" ht="30" customHeight="1" x14ac:dyDescent="0.4">
      <c r="C23" s="8" t="s">
        <v>18</v>
      </c>
      <c r="D23" s="19">
        <f t="shared" ref="D23:K23" si="1">IFERROR(SUM(D9:D22), "")</f>
        <v>43.75</v>
      </c>
      <c r="E23" s="19">
        <f t="shared" si="1"/>
        <v>0</v>
      </c>
      <c r="F23" s="19">
        <f t="shared" si="1"/>
        <v>12</v>
      </c>
      <c r="G23" s="19">
        <f t="shared" si="1"/>
        <v>28.25</v>
      </c>
      <c r="H23" s="19">
        <f t="shared" si="1"/>
        <v>0</v>
      </c>
      <c r="I23" s="19">
        <f t="shared" si="1"/>
        <v>0</v>
      </c>
      <c r="J23" s="19">
        <f t="shared" si="1"/>
        <v>8</v>
      </c>
      <c r="K23" s="19">
        <f t="shared" si="1"/>
        <v>0</v>
      </c>
      <c r="L23" s="19">
        <f t="shared" si="0"/>
        <v>92</v>
      </c>
    </row>
    <row r="24" spans="2:15" ht="30" customHeight="1" x14ac:dyDescent="0.4">
      <c r="D24" s="46"/>
      <c r="E24" s="47"/>
      <c r="F24" s="47"/>
      <c r="G24" s="47"/>
      <c r="H24" s="47"/>
      <c r="I24" s="47"/>
      <c r="J24" s="47"/>
    </row>
    <row r="25" spans="2:15" ht="30" customHeight="1" x14ac:dyDescent="0.4">
      <c r="D25" s="46"/>
      <c r="E25" s="47"/>
      <c r="F25" s="47"/>
      <c r="G25" s="47"/>
      <c r="H25" s="47"/>
      <c r="I25" s="47"/>
      <c r="J25" s="47"/>
    </row>
    <row r="26" spans="2:15" ht="30" customHeight="1" x14ac:dyDescent="0.4">
      <c r="D26" s="48"/>
      <c r="E26" s="49"/>
      <c r="F26" s="49"/>
      <c r="G26" s="49"/>
      <c r="H26" s="49"/>
      <c r="I26" s="49"/>
      <c r="J26" s="49"/>
      <c r="K26" s="20"/>
      <c r="L26" s="4"/>
    </row>
    <row r="27" spans="2:15" ht="30" customHeight="1" x14ac:dyDescent="0.4">
      <c r="D27" s="46" t="s">
        <v>19</v>
      </c>
      <c r="E27" s="47"/>
      <c r="F27" s="47"/>
      <c r="G27" s="47"/>
      <c r="H27" s="47"/>
      <c r="I27" s="47"/>
      <c r="J27" s="47"/>
      <c r="L27" s="21" t="s">
        <v>6</v>
      </c>
    </row>
    <row r="28" spans="2:15" ht="30" customHeight="1" x14ac:dyDescent="0.4">
      <c r="L28" s="22" t="s">
        <v>20</v>
      </c>
    </row>
    <row r="29" spans="2:15" ht="30" customHeight="1" x14ac:dyDescent="0.4"/>
    <row r="30" spans="2:15" ht="30" customHeight="1" x14ac:dyDescent="0.4"/>
    <row r="31" spans="2:15" ht="30" customHeight="1" x14ac:dyDescent="0.4"/>
    <row r="32" spans="2:15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5F1"/>
    <pageSetUpPr fitToPage="1"/>
  </sheetPr>
  <dimension ref="B1:P1000"/>
  <sheetViews>
    <sheetView showGridLines="0" topLeftCell="A12" workbookViewId="0">
      <selection activeCell="E17" sqref="E17:E19"/>
    </sheetView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50" t="s">
        <v>21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2:16" ht="42.75" customHeight="1" x14ac:dyDescent="0.4">
      <c r="B2" s="1"/>
      <c r="C2" s="1"/>
      <c r="D2" s="1"/>
    </row>
    <row r="3" spans="2:16" ht="30" customHeight="1" x14ac:dyDescent="0.4">
      <c r="C3" s="46"/>
      <c r="D3" s="47"/>
      <c r="K3" s="2" t="s">
        <v>1</v>
      </c>
      <c r="L3" s="53" t="str">
        <f>'Biweekly Time Sheet'!H3</f>
        <v>Zachary Ebbinghaus</v>
      </c>
      <c r="M3" s="54"/>
      <c r="N3" s="54"/>
      <c r="O3" s="54"/>
      <c r="P3" s="55"/>
    </row>
    <row r="4" spans="2:16" ht="30" customHeight="1" x14ac:dyDescent="0.4">
      <c r="K4" s="3" t="s">
        <v>3</v>
      </c>
      <c r="L4" s="53">
        <f>'Biweekly Time Sheet'!H4</f>
        <v>46111</v>
      </c>
      <c r="M4" s="54"/>
      <c r="N4" s="54"/>
      <c r="O4" s="54"/>
      <c r="P4" s="55"/>
    </row>
    <row r="5" spans="2:16" ht="30" customHeight="1" x14ac:dyDescent="0.4">
      <c r="K5" s="3" t="s">
        <v>4</v>
      </c>
      <c r="L5" s="53">
        <f>'Biweekly Time Sheet'!H5</f>
        <v>46124</v>
      </c>
      <c r="M5" s="54"/>
      <c r="N5" s="54"/>
      <c r="O5" s="54"/>
      <c r="P5" s="55"/>
    </row>
    <row r="6" spans="2:16" ht="30" customHeight="1" x14ac:dyDescent="0.4">
      <c r="N6" s="46"/>
      <c r="O6" s="47"/>
      <c r="P6" s="47"/>
    </row>
    <row r="8" spans="2:16" ht="22.5" customHeight="1" x14ac:dyDescent="0.4">
      <c r="D8" s="56" t="s">
        <v>22</v>
      </c>
      <c r="E8" s="57"/>
      <c r="F8" s="57"/>
      <c r="G8" s="57"/>
      <c r="H8" s="58"/>
      <c r="I8" s="56" t="s">
        <v>23</v>
      </c>
      <c r="J8" s="57"/>
      <c r="K8" s="57"/>
      <c r="L8" s="57"/>
      <c r="M8" s="57"/>
      <c r="N8" s="57"/>
      <c r="O8" s="58"/>
    </row>
    <row r="9" spans="2:16" ht="39.75" customHeight="1" x14ac:dyDescent="0.4">
      <c r="B9" s="5" t="s">
        <v>5</v>
      </c>
      <c r="C9" s="5" t="s">
        <v>6</v>
      </c>
      <c r="D9" s="23" t="s">
        <v>24</v>
      </c>
      <c r="E9" s="24" t="s">
        <v>25</v>
      </c>
      <c r="F9" s="24" t="s">
        <v>26</v>
      </c>
      <c r="G9" s="24" t="s">
        <v>27</v>
      </c>
      <c r="H9" s="25" t="s">
        <v>28</v>
      </c>
      <c r="I9" s="23" t="s">
        <v>29</v>
      </c>
      <c r="J9" s="24" t="s">
        <v>30</v>
      </c>
      <c r="K9" s="24" t="s">
        <v>31</v>
      </c>
      <c r="L9" s="24" t="s">
        <v>32</v>
      </c>
      <c r="M9" s="24" t="s">
        <v>33</v>
      </c>
      <c r="N9" s="59" t="s">
        <v>34</v>
      </c>
      <c r="O9" s="60"/>
      <c r="P9" s="26" t="s">
        <v>15</v>
      </c>
    </row>
    <row r="10" spans="2:16" ht="30" customHeight="1" x14ac:dyDescent="0.4">
      <c r="B10" s="5" t="str">
        <f>IFERROR(TEXT('Biweekly Expense Report CAD'!$C10,"aaaa"), "")</f>
        <v>Monday</v>
      </c>
      <c r="C10" s="9">
        <f>L4</f>
        <v>46111</v>
      </c>
      <c r="D10" s="27"/>
      <c r="E10" s="28"/>
      <c r="F10" s="29"/>
      <c r="G10" s="28"/>
      <c r="H10" s="30"/>
      <c r="I10" s="31"/>
      <c r="J10" s="29"/>
      <c r="K10" s="28"/>
      <c r="L10" s="29"/>
      <c r="M10" s="28"/>
      <c r="N10" s="32"/>
      <c r="O10" s="33">
        <v>0.48</v>
      </c>
      <c r="P10" s="34">
        <f t="shared" ref="P10:P23" si="0">IFERROR(SUM(D10:M10)+(N10*O10), "")</f>
        <v>0</v>
      </c>
    </row>
    <row r="11" spans="2:16" ht="30" customHeight="1" x14ac:dyDescent="0.4">
      <c r="B11" s="5" t="str">
        <f>IFERROR(TEXT('Biweekly Expense Report CAD'!$C11,"aaaa"), "")</f>
        <v>Tuesday</v>
      </c>
      <c r="C11" s="9">
        <f>IF($L$4="","",$L$4+1)</f>
        <v>46112</v>
      </c>
      <c r="D11" s="27"/>
      <c r="E11" s="28"/>
      <c r="F11" s="29"/>
      <c r="G11" s="28"/>
      <c r="H11" s="30"/>
      <c r="I11" s="31"/>
      <c r="J11" s="29"/>
      <c r="K11" s="28"/>
      <c r="L11" s="29"/>
      <c r="M11" s="28"/>
      <c r="N11" s="32"/>
      <c r="O11" s="33">
        <v>0.48</v>
      </c>
      <c r="P11" s="34">
        <f t="shared" si="0"/>
        <v>0</v>
      </c>
    </row>
    <row r="12" spans="2:16" ht="30" customHeight="1" x14ac:dyDescent="0.4">
      <c r="B12" s="5" t="str">
        <f>IFERROR(TEXT('Biweekly Expense Report CAD'!$C12,"aaaa"), "")</f>
        <v>Wednesday</v>
      </c>
      <c r="C12" s="9">
        <f>IF($L$4="","",$L$4+2)</f>
        <v>46113</v>
      </c>
      <c r="D12" s="27"/>
      <c r="E12" s="28"/>
      <c r="F12" s="29"/>
      <c r="G12" s="28"/>
      <c r="H12" s="30"/>
      <c r="I12" s="31"/>
      <c r="J12" s="29"/>
      <c r="K12" s="28"/>
      <c r="L12" s="29"/>
      <c r="M12" s="28"/>
      <c r="N12" s="32"/>
      <c r="O12" s="33">
        <v>0.48</v>
      </c>
      <c r="P12" s="34">
        <f t="shared" si="0"/>
        <v>0</v>
      </c>
    </row>
    <row r="13" spans="2:16" ht="30" customHeight="1" x14ac:dyDescent="0.4">
      <c r="B13" s="5" t="str">
        <f>IFERROR(TEXT('Biweekly Expense Report CAD'!$C13,"aaaa"), "")</f>
        <v>Thursday</v>
      </c>
      <c r="C13" s="9">
        <f>IF($L$4="","",$L$4+3)</f>
        <v>46114</v>
      </c>
      <c r="D13" s="27"/>
      <c r="E13" s="28"/>
      <c r="F13" s="29"/>
      <c r="G13" s="28"/>
      <c r="H13" s="30"/>
      <c r="I13" s="31"/>
      <c r="J13" s="29"/>
      <c r="K13" s="28"/>
      <c r="L13" s="29"/>
      <c r="M13" s="28"/>
      <c r="N13" s="32"/>
      <c r="O13" s="33">
        <v>0.48</v>
      </c>
      <c r="P13" s="34">
        <f t="shared" si="0"/>
        <v>0</v>
      </c>
    </row>
    <row r="14" spans="2:16" ht="30" customHeight="1" x14ac:dyDescent="0.4">
      <c r="B14" s="5" t="str">
        <f>IFERROR(TEXT('Biweekly Expense Report CAD'!$C14,"aaaa"), "")</f>
        <v>Friday</v>
      </c>
      <c r="C14" s="9">
        <f>IF($L$4="","",$L$4+4)</f>
        <v>46115</v>
      </c>
      <c r="D14" s="27"/>
      <c r="E14" s="28">
        <v>70</v>
      </c>
      <c r="F14" s="29"/>
      <c r="G14" s="28"/>
      <c r="H14" s="30">
        <v>50</v>
      </c>
      <c r="I14" s="31"/>
      <c r="J14" s="29"/>
      <c r="K14" s="28"/>
      <c r="L14" s="29"/>
      <c r="M14" s="28"/>
      <c r="N14" s="32"/>
      <c r="O14" s="33">
        <v>0.48</v>
      </c>
      <c r="P14" s="34">
        <f t="shared" si="0"/>
        <v>120</v>
      </c>
    </row>
    <row r="15" spans="2:16" ht="30" customHeight="1" x14ac:dyDescent="0.4">
      <c r="B15" s="5" t="str">
        <f>IFERROR(TEXT('Biweekly Expense Report CAD'!$C15,"aaaa"), "")</f>
        <v>Saturday</v>
      </c>
      <c r="C15" s="9">
        <f>IF($L$4="","",$L$4+5)</f>
        <v>46116</v>
      </c>
      <c r="D15" s="27"/>
      <c r="E15" s="28">
        <v>70</v>
      </c>
      <c r="F15" s="29"/>
      <c r="G15" s="28"/>
      <c r="H15" s="30"/>
      <c r="I15" s="31"/>
      <c r="J15" s="29"/>
      <c r="K15" s="28"/>
      <c r="L15" s="29"/>
      <c r="M15" s="28"/>
      <c r="N15" s="32"/>
      <c r="O15" s="33">
        <v>0.48</v>
      </c>
      <c r="P15" s="34">
        <f t="shared" si="0"/>
        <v>70</v>
      </c>
    </row>
    <row r="16" spans="2:16" ht="30" customHeight="1" x14ac:dyDescent="0.4">
      <c r="B16" s="5" t="str">
        <f>IFERROR(TEXT('Biweekly Expense Report CAD'!$C16,"aaaa"), "")</f>
        <v>Sunday</v>
      </c>
      <c r="C16" s="9">
        <f>IF($L$4="","",$L$4+6)</f>
        <v>46117</v>
      </c>
      <c r="D16" s="27"/>
      <c r="E16" s="28">
        <v>70</v>
      </c>
      <c r="F16" s="29"/>
      <c r="G16" s="28"/>
      <c r="H16" s="30"/>
      <c r="I16" s="31"/>
      <c r="J16" s="29"/>
      <c r="K16" s="28"/>
      <c r="L16" s="29"/>
      <c r="M16" s="28"/>
      <c r="N16" s="32"/>
      <c r="O16" s="33">
        <v>0.48</v>
      </c>
      <c r="P16" s="34">
        <f t="shared" si="0"/>
        <v>70</v>
      </c>
    </row>
    <row r="17" spans="2:16" ht="30" customHeight="1" x14ac:dyDescent="0.4">
      <c r="B17" s="5" t="str">
        <f>IFERROR(TEXT('Biweekly Expense Report CAD'!$C17,"aaaa"), "")</f>
        <v>Monday</v>
      </c>
      <c r="C17" s="9">
        <f>IF($L$4="","",$L$4+7)</f>
        <v>46118</v>
      </c>
      <c r="D17" s="27"/>
      <c r="E17" s="28">
        <v>70</v>
      </c>
      <c r="F17" s="29"/>
      <c r="G17" s="28"/>
      <c r="H17" s="30"/>
      <c r="I17" s="31"/>
      <c r="J17" s="29"/>
      <c r="K17" s="28"/>
      <c r="L17" s="29"/>
      <c r="M17" s="28"/>
      <c r="N17" s="32"/>
      <c r="O17" s="33">
        <v>0.48</v>
      </c>
      <c r="P17" s="34">
        <f t="shared" si="0"/>
        <v>70</v>
      </c>
    </row>
    <row r="18" spans="2:16" ht="30" customHeight="1" x14ac:dyDescent="0.4">
      <c r="B18" s="5" t="str">
        <f>IFERROR(TEXT('Biweekly Expense Report CAD'!$C18,"aaaa"), "")</f>
        <v>Tuesday</v>
      </c>
      <c r="C18" s="9">
        <f>IF($L$4="","",$L$4+8)</f>
        <v>46119</v>
      </c>
      <c r="D18" s="27"/>
      <c r="E18" s="28">
        <v>70</v>
      </c>
      <c r="F18" s="29"/>
      <c r="G18" s="28"/>
      <c r="H18" s="30"/>
      <c r="I18" s="31"/>
      <c r="J18" s="29"/>
      <c r="K18" s="28"/>
      <c r="L18" s="29"/>
      <c r="M18" s="28"/>
      <c r="N18" s="32"/>
      <c r="O18" s="33">
        <v>0.48</v>
      </c>
      <c r="P18" s="34">
        <f t="shared" si="0"/>
        <v>70</v>
      </c>
    </row>
    <row r="19" spans="2:16" ht="30" customHeight="1" x14ac:dyDescent="0.4">
      <c r="B19" s="5" t="str">
        <f>IFERROR(TEXT('Biweekly Expense Report CAD'!$C19,"aaaa"), "")</f>
        <v>Wednesday</v>
      </c>
      <c r="C19" s="9">
        <f>IF($L$4="","",$L$4+9)</f>
        <v>46120</v>
      </c>
      <c r="D19" s="27"/>
      <c r="E19" s="28">
        <v>70</v>
      </c>
      <c r="F19" s="29"/>
      <c r="G19" s="28"/>
      <c r="H19" s="30"/>
      <c r="I19" s="31"/>
      <c r="J19" s="29"/>
      <c r="K19" s="28"/>
      <c r="L19" s="29"/>
      <c r="M19" s="28"/>
      <c r="N19" s="32"/>
      <c r="O19" s="33">
        <v>0.48</v>
      </c>
      <c r="P19" s="34">
        <f t="shared" si="0"/>
        <v>70</v>
      </c>
    </row>
    <row r="20" spans="2:16" ht="30" customHeight="1" x14ac:dyDescent="0.4">
      <c r="B20" s="5" t="str">
        <f>IFERROR(TEXT('Biweekly Expense Report CAD'!$C20,"aaaa"), "")</f>
        <v>Thursday</v>
      </c>
      <c r="C20" s="9">
        <f>IF($L$4="","",$L$4+10)</f>
        <v>46121</v>
      </c>
      <c r="D20" s="27"/>
      <c r="E20" s="28"/>
      <c r="F20" s="29"/>
      <c r="G20" s="28"/>
      <c r="H20" s="30"/>
      <c r="I20" s="31"/>
      <c r="J20" s="29"/>
      <c r="K20" s="28"/>
      <c r="L20" s="29"/>
      <c r="M20" s="28"/>
      <c r="N20" s="32"/>
      <c r="O20" s="33">
        <v>0.48</v>
      </c>
      <c r="P20" s="34">
        <f t="shared" si="0"/>
        <v>0</v>
      </c>
    </row>
    <row r="21" spans="2:16" ht="30" customHeight="1" x14ac:dyDescent="0.4">
      <c r="B21" s="5" t="str">
        <f>IFERROR(TEXT('Biweekly Expense Report CAD'!$C21,"aaaa"), "")</f>
        <v>Friday</v>
      </c>
      <c r="C21" s="9">
        <f>IF($L$4="","",$L$4+11)</f>
        <v>46122</v>
      </c>
      <c r="D21" s="27"/>
      <c r="E21" s="28"/>
      <c r="F21" s="29"/>
      <c r="G21" s="28"/>
      <c r="H21" s="30"/>
      <c r="I21" s="31"/>
      <c r="J21" s="29"/>
      <c r="K21" s="28"/>
      <c r="L21" s="29"/>
      <c r="M21" s="28"/>
      <c r="N21" s="32"/>
      <c r="O21" s="33">
        <v>0.48</v>
      </c>
      <c r="P21" s="34">
        <f t="shared" si="0"/>
        <v>0</v>
      </c>
    </row>
    <row r="22" spans="2:16" ht="30" customHeight="1" x14ac:dyDescent="0.4">
      <c r="B22" s="5" t="str">
        <f>IFERROR(TEXT('Biweekly Expense Report CAD'!$C22,"aaaa"), "")</f>
        <v>Saturday</v>
      </c>
      <c r="C22" s="9">
        <f>IF($L$4="","",$L$4+12)</f>
        <v>46123</v>
      </c>
      <c r="D22" s="27"/>
      <c r="E22" s="28"/>
      <c r="F22" s="29"/>
      <c r="G22" s="28"/>
      <c r="H22" s="30"/>
      <c r="I22" s="31"/>
      <c r="J22" s="29"/>
      <c r="K22" s="28"/>
      <c r="L22" s="29"/>
      <c r="M22" s="28"/>
      <c r="N22" s="32"/>
      <c r="O22" s="33">
        <v>0.48</v>
      </c>
      <c r="P22" s="34">
        <f t="shared" si="0"/>
        <v>0</v>
      </c>
    </row>
    <row r="23" spans="2:16" ht="30" customHeight="1" x14ac:dyDescent="0.4">
      <c r="B23" s="15" t="str">
        <f>IFERROR(TEXT('Biweekly Expense Report CAD'!$C23,"aaaa"), "")</f>
        <v>Sunday</v>
      </c>
      <c r="C23" s="16">
        <f>IF($L$4="","",$L$4+13)</f>
        <v>46124</v>
      </c>
      <c r="D23" s="27"/>
      <c r="E23" s="28"/>
      <c r="F23" s="29"/>
      <c r="G23" s="28"/>
      <c r="H23" s="30"/>
      <c r="I23" s="31"/>
      <c r="J23" s="29"/>
      <c r="K23" s="28"/>
      <c r="L23" s="29"/>
      <c r="M23" s="28"/>
      <c r="N23" s="32"/>
      <c r="O23" s="33">
        <v>0.48</v>
      </c>
      <c r="P23" s="34">
        <f t="shared" si="0"/>
        <v>0</v>
      </c>
    </row>
    <row r="24" spans="2:16" ht="30" customHeight="1" x14ac:dyDescent="0.4">
      <c r="C24" s="15" t="s">
        <v>15</v>
      </c>
      <c r="D24" s="35">
        <f t="shared" ref="D24:M24" si="1">IFERROR(SUM(D10:D23), "")</f>
        <v>0</v>
      </c>
      <c r="E24" s="36">
        <f t="shared" si="1"/>
        <v>420</v>
      </c>
      <c r="F24" s="36">
        <f t="shared" si="1"/>
        <v>0</v>
      </c>
      <c r="G24" s="36">
        <f t="shared" si="1"/>
        <v>0</v>
      </c>
      <c r="H24" s="37">
        <f t="shared" si="1"/>
        <v>50</v>
      </c>
      <c r="I24" s="35">
        <f t="shared" si="1"/>
        <v>0</v>
      </c>
      <c r="J24" s="36">
        <f t="shared" si="1"/>
        <v>0</v>
      </c>
      <c r="K24" s="36">
        <f t="shared" si="1"/>
        <v>0</v>
      </c>
      <c r="L24" s="36">
        <f t="shared" si="1"/>
        <v>0</v>
      </c>
      <c r="M24" s="36">
        <f t="shared" si="1"/>
        <v>0</v>
      </c>
      <c r="N24" s="38"/>
      <c r="O24" s="39"/>
      <c r="P24" s="40">
        <f>IFERROR(SUM(P10:P23),"$")</f>
        <v>470</v>
      </c>
    </row>
    <row r="25" spans="2:16" ht="30" customHeight="1" x14ac:dyDescent="0.4"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2:16" ht="30" customHeight="1" x14ac:dyDescent="0.4"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2:16" ht="30" customHeight="1" x14ac:dyDescent="0.4">
      <c r="D27" s="61">
        <f>'Biweekly Time Sheet'!D26:J26</f>
        <v>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41">
        <f>'Biweekly Time Sheet'!L26</f>
        <v>0</v>
      </c>
    </row>
    <row r="28" spans="2:16" ht="30" customHeight="1" x14ac:dyDescent="0.4">
      <c r="D28" s="46" t="s">
        <v>19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P28" s="21" t="s">
        <v>6</v>
      </c>
    </row>
    <row r="29" spans="2:16" ht="30" customHeight="1" x14ac:dyDescent="0.4">
      <c r="P29" s="22" t="s">
        <v>35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5F1"/>
    <pageSetUpPr fitToPage="1"/>
  </sheetPr>
  <dimension ref="B1:P1000"/>
  <sheetViews>
    <sheetView showGridLines="0" topLeftCell="A16" workbookViewId="0"/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50" t="s">
        <v>36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2:16" ht="42.75" customHeight="1" x14ac:dyDescent="0.4">
      <c r="B2" s="1"/>
      <c r="C2" s="1"/>
      <c r="D2" s="1"/>
    </row>
    <row r="3" spans="2:16" ht="30" customHeight="1" x14ac:dyDescent="0.4">
      <c r="C3" s="46"/>
      <c r="D3" s="47"/>
      <c r="K3" s="2" t="s">
        <v>1</v>
      </c>
      <c r="L3" s="53" t="str">
        <f>'Biweekly Time Sheet'!H3</f>
        <v>Zachary Ebbinghaus</v>
      </c>
      <c r="M3" s="54"/>
      <c r="N3" s="54"/>
      <c r="O3" s="54"/>
      <c r="P3" s="55"/>
    </row>
    <row r="4" spans="2:16" ht="30" customHeight="1" x14ac:dyDescent="0.4">
      <c r="K4" s="3" t="s">
        <v>3</v>
      </c>
      <c r="L4" s="53">
        <f>'Biweekly Time Sheet'!H4</f>
        <v>46111</v>
      </c>
      <c r="M4" s="54"/>
      <c r="N4" s="54"/>
      <c r="O4" s="54"/>
      <c r="P4" s="55"/>
    </row>
    <row r="5" spans="2:16" ht="30" customHeight="1" x14ac:dyDescent="0.4">
      <c r="K5" s="3" t="s">
        <v>4</v>
      </c>
      <c r="L5" s="53">
        <f>'Biweekly Time Sheet'!H5</f>
        <v>46124</v>
      </c>
      <c r="M5" s="54"/>
      <c r="N5" s="54"/>
      <c r="O5" s="54"/>
      <c r="P5" s="55"/>
    </row>
    <row r="6" spans="2:16" ht="30" customHeight="1" x14ac:dyDescent="0.4">
      <c r="N6" s="46"/>
      <c r="O6" s="47"/>
      <c r="P6" s="47"/>
    </row>
    <row r="8" spans="2:16" ht="22.5" customHeight="1" x14ac:dyDescent="0.4">
      <c r="D8" s="56" t="s">
        <v>22</v>
      </c>
      <c r="E8" s="57"/>
      <c r="F8" s="57"/>
      <c r="G8" s="57"/>
      <c r="H8" s="58"/>
      <c r="I8" s="56" t="s">
        <v>23</v>
      </c>
      <c r="J8" s="57"/>
      <c r="K8" s="57"/>
      <c r="L8" s="57"/>
      <c r="M8" s="57"/>
      <c r="N8" s="57"/>
      <c r="O8" s="58"/>
    </row>
    <row r="9" spans="2:16" ht="39.75" customHeight="1" x14ac:dyDescent="0.4">
      <c r="B9" s="5" t="s">
        <v>5</v>
      </c>
      <c r="C9" s="5" t="s">
        <v>6</v>
      </c>
      <c r="D9" s="23" t="s">
        <v>24</v>
      </c>
      <c r="E9" s="24" t="s">
        <v>25</v>
      </c>
      <c r="F9" s="24" t="s">
        <v>26</v>
      </c>
      <c r="G9" s="24" t="s">
        <v>27</v>
      </c>
      <c r="H9" s="25" t="s">
        <v>28</v>
      </c>
      <c r="I9" s="23" t="s">
        <v>29</v>
      </c>
      <c r="J9" s="24" t="s">
        <v>30</v>
      </c>
      <c r="K9" s="24" t="s">
        <v>31</v>
      </c>
      <c r="L9" s="24" t="s">
        <v>32</v>
      </c>
      <c r="M9" s="24" t="s">
        <v>33</v>
      </c>
      <c r="N9" s="59" t="s">
        <v>34</v>
      </c>
      <c r="O9" s="60"/>
      <c r="P9" s="26" t="s">
        <v>15</v>
      </c>
    </row>
    <row r="10" spans="2:16" ht="30" customHeight="1" x14ac:dyDescent="0.4">
      <c r="B10" s="5" t="str">
        <f>IFERROR(TEXT('Biweekly Expense Report USD'!$C10,"aaaa"), "")</f>
        <v>Monday</v>
      </c>
      <c r="C10" s="9">
        <f>L4</f>
        <v>46111</v>
      </c>
      <c r="D10" s="27"/>
      <c r="E10" s="28"/>
      <c r="F10" s="29"/>
      <c r="G10" s="28"/>
      <c r="H10" s="30"/>
      <c r="I10" s="31"/>
      <c r="J10" s="29"/>
      <c r="K10" s="28"/>
      <c r="L10" s="29"/>
      <c r="M10" s="28"/>
      <c r="N10" s="32"/>
      <c r="O10" s="33">
        <v>0.48</v>
      </c>
      <c r="P10" s="34">
        <f t="shared" ref="P10:P23" si="0">IFERROR(SUM(D10:M10)+(N10*O10), "")</f>
        <v>0</v>
      </c>
    </row>
    <row r="11" spans="2:16" ht="30" customHeight="1" x14ac:dyDescent="0.4">
      <c r="B11" s="5" t="str">
        <f>IFERROR(TEXT('Biweekly Expense Report USD'!$C11,"aaaa"), "")</f>
        <v>Tuesday</v>
      </c>
      <c r="C11" s="9">
        <f>IF($L$4="","",$L$4+1)</f>
        <v>46112</v>
      </c>
      <c r="D11" s="27"/>
      <c r="E11" s="28"/>
      <c r="F11" s="29"/>
      <c r="G11" s="28"/>
      <c r="H11" s="30"/>
      <c r="I11" s="31"/>
      <c r="J11" s="29"/>
      <c r="K11" s="28"/>
      <c r="L11" s="29"/>
      <c r="M11" s="28"/>
      <c r="N11" s="32"/>
      <c r="O11" s="33">
        <v>0.48</v>
      </c>
      <c r="P11" s="34">
        <f t="shared" si="0"/>
        <v>0</v>
      </c>
    </row>
    <row r="12" spans="2:16" ht="30" customHeight="1" x14ac:dyDescent="0.4">
      <c r="B12" s="5" t="str">
        <f>IFERROR(TEXT('Biweekly Expense Report USD'!$C12,"aaaa"), "")</f>
        <v>Wednesday</v>
      </c>
      <c r="C12" s="9">
        <f>IF($L$4="","",$L$4+2)</f>
        <v>46113</v>
      </c>
      <c r="D12" s="27"/>
      <c r="E12" s="28"/>
      <c r="F12" s="29"/>
      <c r="G12" s="28"/>
      <c r="H12" s="30"/>
      <c r="I12" s="31"/>
      <c r="J12" s="29"/>
      <c r="K12" s="28"/>
      <c r="L12" s="29"/>
      <c r="M12" s="28"/>
      <c r="N12" s="32"/>
      <c r="O12" s="33">
        <v>0.48</v>
      </c>
      <c r="P12" s="34">
        <f t="shared" si="0"/>
        <v>0</v>
      </c>
    </row>
    <row r="13" spans="2:16" ht="30" customHeight="1" x14ac:dyDescent="0.4">
      <c r="B13" s="5" t="str">
        <f>IFERROR(TEXT('Biweekly Expense Report USD'!$C13,"aaaa"), "")</f>
        <v>Thursday</v>
      </c>
      <c r="C13" s="9">
        <f>IF($L$4="","",$L$4+3)</f>
        <v>46114</v>
      </c>
      <c r="D13" s="27"/>
      <c r="E13" s="28"/>
      <c r="F13" s="29"/>
      <c r="G13" s="28"/>
      <c r="H13" s="30"/>
      <c r="I13" s="31"/>
      <c r="J13" s="29"/>
      <c r="K13" s="28"/>
      <c r="L13" s="29"/>
      <c r="M13" s="28"/>
      <c r="N13" s="32"/>
      <c r="O13" s="33">
        <v>0.48</v>
      </c>
      <c r="P13" s="34">
        <f t="shared" si="0"/>
        <v>0</v>
      </c>
    </row>
    <row r="14" spans="2:16" ht="30" customHeight="1" x14ac:dyDescent="0.4">
      <c r="B14" s="5" t="str">
        <f>IFERROR(TEXT('Biweekly Expense Report USD'!$C14,"aaaa"), "")</f>
        <v>Friday</v>
      </c>
      <c r="C14" s="9">
        <f>IF($L$4="","",$L$4+4)</f>
        <v>46115</v>
      </c>
      <c r="D14" s="27"/>
      <c r="E14" s="28"/>
      <c r="F14" s="29"/>
      <c r="G14" s="28"/>
      <c r="H14" s="30"/>
      <c r="I14" s="31"/>
      <c r="J14" s="29"/>
      <c r="K14" s="28"/>
      <c r="L14" s="29"/>
      <c r="M14" s="28"/>
      <c r="N14" s="32"/>
      <c r="O14" s="33">
        <v>0.48</v>
      </c>
      <c r="P14" s="34">
        <f t="shared" si="0"/>
        <v>0</v>
      </c>
    </row>
    <row r="15" spans="2:16" ht="30" customHeight="1" x14ac:dyDescent="0.4">
      <c r="B15" s="5" t="str">
        <f>IFERROR(TEXT('Biweekly Expense Report USD'!$C15,"aaaa"), "")</f>
        <v>Saturday</v>
      </c>
      <c r="C15" s="9">
        <f>IF($L$4="","",$L$4+5)</f>
        <v>46116</v>
      </c>
      <c r="D15" s="27"/>
      <c r="E15" s="28"/>
      <c r="F15" s="29"/>
      <c r="G15" s="28"/>
      <c r="H15" s="30"/>
      <c r="I15" s="31"/>
      <c r="J15" s="29"/>
      <c r="K15" s="28"/>
      <c r="L15" s="29"/>
      <c r="M15" s="28"/>
      <c r="N15" s="32"/>
      <c r="O15" s="33">
        <v>0.48</v>
      </c>
      <c r="P15" s="34">
        <f t="shared" si="0"/>
        <v>0</v>
      </c>
    </row>
    <row r="16" spans="2:16" ht="30" customHeight="1" x14ac:dyDescent="0.4">
      <c r="B16" s="5" t="str">
        <f>IFERROR(TEXT('Biweekly Expense Report USD'!$C16,"aaaa"), "")</f>
        <v>Sunday</v>
      </c>
      <c r="C16" s="9">
        <f>IF($L$4="","",$L$4+6)</f>
        <v>46117</v>
      </c>
      <c r="D16" s="27"/>
      <c r="E16" s="28"/>
      <c r="F16" s="29"/>
      <c r="G16" s="28"/>
      <c r="H16" s="30"/>
      <c r="I16" s="31"/>
      <c r="J16" s="29"/>
      <c r="K16" s="28"/>
      <c r="L16" s="29"/>
      <c r="M16" s="28"/>
      <c r="N16" s="32"/>
      <c r="O16" s="33">
        <v>0.48</v>
      </c>
      <c r="P16" s="34">
        <f t="shared" si="0"/>
        <v>0</v>
      </c>
    </row>
    <row r="17" spans="2:16" ht="30" customHeight="1" x14ac:dyDescent="0.4">
      <c r="B17" s="5" t="str">
        <f>IFERROR(TEXT('Biweekly Expense Report USD'!$C17,"aaaa"), "")</f>
        <v>Monday</v>
      </c>
      <c r="C17" s="9">
        <f>IF($L$4="","",$L$4+7)</f>
        <v>46118</v>
      </c>
      <c r="D17" s="27"/>
      <c r="E17" s="28"/>
      <c r="F17" s="29"/>
      <c r="G17" s="28"/>
      <c r="H17" s="30"/>
      <c r="I17" s="31"/>
      <c r="J17" s="29"/>
      <c r="K17" s="28"/>
      <c r="L17" s="29"/>
      <c r="M17" s="28"/>
      <c r="N17" s="32"/>
      <c r="O17" s="33">
        <v>0.48</v>
      </c>
      <c r="P17" s="34">
        <f t="shared" si="0"/>
        <v>0</v>
      </c>
    </row>
    <row r="18" spans="2:16" ht="30" customHeight="1" x14ac:dyDescent="0.4">
      <c r="B18" s="5" t="str">
        <f>IFERROR(TEXT('Biweekly Expense Report USD'!$C18,"aaaa"), "")</f>
        <v>Tuesday</v>
      </c>
      <c r="C18" s="9">
        <f>IF($L$4="","",$L$4+8)</f>
        <v>46119</v>
      </c>
      <c r="D18" s="27"/>
      <c r="E18" s="28"/>
      <c r="F18" s="29"/>
      <c r="G18" s="28"/>
      <c r="H18" s="30"/>
      <c r="I18" s="31"/>
      <c r="J18" s="29"/>
      <c r="K18" s="28"/>
      <c r="L18" s="29"/>
      <c r="M18" s="28"/>
      <c r="N18" s="32"/>
      <c r="O18" s="33">
        <v>0.48</v>
      </c>
      <c r="P18" s="34">
        <f t="shared" si="0"/>
        <v>0</v>
      </c>
    </row>
    <row r="19" spans="2:16" ht="30" customHeight="1" x14ac:dyDescent="0.4">
      <c r="B19" s="5" t="str">
        <f>IFERROR(TEXT('Biweekly Expense Report USD'!$C19,"aaaa"), "")</f>
        <v>Wednesday</v>
      </c>
      <c r="C19" s="9">
        <f>IF($L$4="","",$L$4+9)</f>
        <v>46120</v>
      </c>
      <c r="D19" s="27"/>
      <c r="E19" s="28"/>
      <c r="F19" s="29"/>
      <c r="G19" s="28"/>
      <c r="H19" s="30"/>
      <c r="I19" s="31"/>
      <c r="J19" s="29"/>
      <c r="K19" s="28"/>
      <c r="L19" s="29"/>
      <c r="M19" s="28"/>
      <c r="N19" s="32"/>
      <c r="O19" s="33">
        <v>0.48</v>
      </c>
      <c r="P19" s="34">
        <f t="shared" si="0"/>
        <v>0</v>
      </c>
    </row>
    <row r="20" spans="2:16" ht="30" customHeight="1" x14ac:dyDescent="0.4">
      <c r="B20" s="5" t="str">
        <f>IFERROR(TEXT('Biweekly Expense Report USD'!$C20,"aaaa"), "")</f>
        <v>Thursday</v>
      </c>
      <c r="C20" s="9">
        <f>IF($L$4="","",$L$4+10)</f>
        <v>46121</v>
      </c>
      <c r="D20" s="27"/>
      <c r="E20" s="28"/>
      <c r="F20" s="29"/>
      <c r="G20" s="28"/>
      <c r="H20" s="30"/>
      <c r="I20" s="31"/>
      <c r="J20" s="29"/>
      <c r="K20" s="28"/>
      <c r="L20" s="29"/>
      <c r="M20" s="28"/>
      <c r="N20" s="32"/>
      <c r="O20" s="33">
        <v>0.48</v>
      </c>
      <c r="P20" s="34">
        <f t="shared" si="0"/>
        <v>0</v>
      </c>
    </row>
    <row r="21" spans="2:16" ht="30" customHeight="1" x14ac:dyDescent="0.4">
      <c r="B21" s="5" t="str">
        <f>IFERROR(TEXT('Biweekly Expense Report USD'!$C21,"aaaa"), "")</f>
        <v>Friday</v>
      </c>
      <c r="C21" s="9">
        <f>IF($L$4="","",$L$4+11)</f>
        <v>46122</v>
      </c>
      <c r="D21" s="27"/>
      <c r="E21" s="28"/>
      <c r="F21" s="29"/>
      <c r="G21" s="28"/>
      <c r="H21" s="30"/>
      <c r="I21" s="31"/>
      <c r="J21" s="29"/>
      <c r="K21" s="28"/>
      <c r="L21" s="29"/>
      <c r="M21" s="28"/>
      <c r="N21" s="32"/>
      <c r="O21" s="33">
        <v>0.48</v>
      </c>
      <c r="P21" s="34">
        <f t="shared" si="0"/>
        <v>0</v>
      </c>
    </row>
    <row r="22" spans="2:16" ht="30" customHeight="1" x14ac:dyDescent="0.4">
      <c r="B22" s="5" t="str">
        <f>IFERROR(TEXT('Biweekly Expense Report USD'!$C22,"aaaa"), "")</f>
        <v>Saturday</v>
      </c>
      <c r="C22" s="9">
        <f>IF($L$4="","",$L$4+12)</f>
        <v>46123</v>
      </c>
      <c r="D22" s="27"/>
      <c r="E22" s="28"/>
      <c r="F22" s="29"/>
      <c r="G22" s="28"/>
      <c r="H22" s="30"/>
      <c r="I22" s="31"/>
      <c r="J22" s="29"/>
      <c r="K22" s="28"/>
      <c r="L22" s="29"/>
      <c r="M22" s="28"/>
      <c r="N22" s="32"/>
      <c r="O22" s="33">
        <v>0.48</v>
      </c>
      <c r="P22" s="34">
        <f t="shared" si="0"/>
        <v>0</v>
      </c>
    </row>
    <row r="23" spans="2:16" ht="30" customHeight="1" x14ac:dyDescent="0.4">
      <c r="B23" s="15" t="str">
        <f>IFERROR(TEXT('Biweekly Expense Report USD'!$C23,"aaaa"), "")</f>
        <v>Sunday</v>
      </c>
      <c r="C23" s="16">
        <f>IF($L$4="","",$L$4+13)</f>
        <v>46124</v>
      </c>
      <c r="D23" s="27"/>
      <c r="E23" s="28"/>
      <c r="F23" s="29"/>
      <c r="G23" s="28"/>
      <c r="H23" s="30"/>
      <c r="I23" s="31"/>
      <c r="J23" s="29"/>
      <c r="K23" s="28"/>
      <c r="L23" s="29"/>
      <c r="M23" s="28"/>
      <c r="N23" s="32"/>
      <c r="O23" s="33">
        <v>0.48</v>
      </c>
      <c r="P23" s="34">
        <f t="shared" si="0"/>
        <v>0</v>
      </c>
    </row>
    <row r="24" spans="2:16" ht="30" customHeight="1" x14ac:dyDescent="0.4">
      <c r="C24" s="15" t="s">
        <v>15</v>
      </c>
      <c r="D24" s="35">
        <f t="shared" ref="D24:M24" si="1">IFERROR(SUM(D10:D23), "")</f>
        <v>0</v>
      </c>
      <c r="E24" s="36">
        <f t="shared" si="1"/>
        <v>0</v>
      </c>
      <c r="F24" s="36">
        <f t="shared" si="1"/>
        <v>0</v>
      </c>
      <c r="G24" s="36">
        <f t="shared" si="1"/>
        <v>0</v>
      </c>
      <c r="H24" s="37">
        <f t="shared" si="1"/>
        <v>0</v>
      </c>
      <c r="I24" s="35">
        <f t="shared" si="1"/>
        <v>0</v>
      </c>
      <c r="J24" s="36">
        <f t="shared" si="1"/>
        <v>0</v>
      </c>
      <c r="K24" s="36">
        <f t="shared" si="1"/>
        <v>0</v>
      </c>
      <c r="L24" s="36">
        <f t="shared" si="1"/>
        <v>0</v>
      </c>
      <c r="M24" s="36">
        <f t="shared" si="1"/>
        <v>0</v>
      </c>
      <c r="N24" s="38"/>
      <c r="O24" s="39"/>
      <c r="P24" s="40">
        <f>IFERROR(SUM(P10:P23),"$")</f>
        <v>0</v>
      </c>
    </row>
    <row r="25" spans="2:16" ht="30" customHeight="1" x14ac:dyDescent="0.4"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2:16" ht="30" customHeight="1" x14ac:dyDescent="0.4"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2:16" ht="30" customHeight="1" x14ac:dyDescent="0.4">
      <c r="D27" s="61">
        <f>'Biweekly Time Sheet'!D26:J26</f>
        <v>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41">
        <f>'Biweekly Time Sheet'!L26</f>
        <v>0</v>
      </c>
    </row>
    <row r="28" spans="2:16" ht="30" customHeight="1" x14ac:dyDescent="0.4">
      <c r="D28" s="46" t="s">
        <v>19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P28" s="21" t="s">
        <v>6</v>
      </c>
    </row>
    <row r="29" spans="2:16" ht="30" customHeight="1" x14ac:dyDescent="0.4">
      <c r="P29" s="22" t="s">
        <v>35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5F1"/>
  </sheetPr>
  <dimension ref="A1:D1000"/>
  <sheetViews>
    <sheetView workbookViewId="0"/>
  </sheetViews>
  <sheetFormatPr defaultColWidth="12.625" defaultRowHeight="15" customHeight="1" x14ac:dyDescent="0.4"/>
  <cols>
    <col min="1" max="1" width="24.375" customWidth="1"/>
    <col min="2" max="26" width="8.625" customWidth="1"/>
  </cols>
  <sheetData>
    <row r="1" spans="1:4" ht="13.5" customHeight="1" x14ac:dyDescent="0.4">
      <c r="A1" s="42" t="s">
        <v>37</v>
      </c>
      <c r="B1" s="42"/>
      <c r="C1" s="42"/>
      <c r="D1" s="42"/>
    </row>
    <row r="2" spans="1:4" ht="13.5" customHeight="1" x14ac:dyDescent="0.4">
      <c r="A2" s="43" t="s">
        <v>38</v>
      </c>
      <c r="B2" s="43"/>
      <c r="C2" s="44">
        <f>'Biweekly Time Sheet'!D$23</f>
        <v>43.75</v>
      </c>
      <c r="D2" s="43"/>
    </row>
    <row r="3" spans="1:4" ht="13.5" customHeight="1" x14ac:dyDescent="0.4">
      <c r="A3" s="43" t="s">
        <v>39</v>
      </c>
      <c r="B3" s="43"/>
      <c r="C3" s="44">
        <f>'Biweekly Time Sheet'!E$23</f>
        <v>0</v>
      </c>
      <c r="D3" s="43"/>
    </row>
    <row r="4" spans="1:4" ht="13.5" customHeight="1" x14ac:dyDescent="0.4">
      <c r="A4" s="43" t="s">
        <v>40</v>
      </c>
      <c r="B4" s="43"/>
      <c r="C4" s="44">
        <f>'Biweekly Time Sheet'!F$23</f>
        <v>12</v>
      </c>
      <c r="D4" s="43"/>
    </row>
    <row r="5" spans="1:4" ht="13.5" customHeight="1" x14ac:dyDescent="0.4">
      <c r="A5" s="43" t="s">
        <v>41</v>
      </c>
      <c r="B5" s="43"/>
      <c r="C5" s="44">
        <f>'Biweekly Time Sheet'!G$23</f>
        <v>28.25</v>
      </c>
      <c r="D5" s="43"/>
    </row>
    <row r="6" spans="1:4" ht="13.5" customHeight="1" x14ac:dyDescent="0.4">
      <c r="A6" s="43" t="s">
        <v>42</v>
      </c>
      <c r="B6" s="43"/>
      <c r="C6" s="44">
        <f>'Biweekly Time Sheet'!H$23</f>
        <v>0</v>
      </c>
      <c r="D6" s="43"/>
    </row>
    <row r="7" spans="1:4" ht="13.5" customHeight="1" x14ac:dyDescent="0.4">
      <c r="A7" s="43" t="s">
        <v>43</v>
      </c>
      <c r="B7" s="43"/>
      <c r="C7" s="44">
        <f>'Biweekly Time Sheet'!I$23</f>
        <v>0</v>
      </c>
      <c r="D7" s="43"/>
    </row>
    <row r="8" spans="1:4" ht="13.5" customHeight="1" x14ac:dyDescent="0.4">
      <c r="A8" s="43" t="s">
        <v>44</v>
      </c>
      <c r="B8" s="43"/>
      <c r="C8" s="44">
        <f>'Biweekly Time Sheet'!J$23</f>
        <v>8</v>
      </c>
      <c r="D8" s="43"/>
    </row>
    <row r="9" spans="1:4" ht="13.5" customHeight="1" x14ac:dyDescent="0.4">
      <c r="A9" s="43" t="s">
        <v>45</v>
      </c>
      <c r="B9" s="43"/>
      <c r="C9" s="44">
        <f>'Biweekly Time Sheet'!K$23</f>
        <v>0</v>
      </c>
      <c r="D9" s="43"/>
    </row>
    <row r="10" spans="1:4" ht="13.5" customHeight="1" x14ac:dyDescent="0.4">
      <c r="A10" s="43" t="s">
        <v>46</v>
      </c>
      <c r="B10" s="43"/>
      <c r="C10" s="45">
        <f>'Biweekly Expense Report CAD'!P24</f>
        <v>470</v>
      </c>
      <c r="D10" s="43" t="s">
        <v>47</v>
      </c>
    </row>
    <row r="11" spans="1:4" ht="13.5" customHeight="1" x14ac:dyDescent="0.4">
      <c r="A11" s="43" t="s">
        <v>48</v>
      </c>
      <c r="B11" s="43"/>
      <c r="C11" s="45">
        <f>'Biweekly Expense Report USD'!P24</f>
        <v>0</v>
      </c>
      <c r="D11" s="43" t="s">
        <v>49</v>
      </c>
    </row>
    <row r="12" spans="1:4" ht="13.5" customHeight="1" x14ac:dyDescent="0.4"/>
    <row r="13" spans="1:4" ht="13.5" customHeight="1" x14ac:dyDescent="0.4"/>
    <row r="14" spans="1:4" ht="13.5" customHeight="1" x14ac:dyDescent="0.4"/>
    <row r="15" spans="1:4" ht="13.5" customHeight="1" x14ac:dyDescent="0.4"/>
    <row r="16" spans="1:4" ht="13.5" customHeight="1" x14ac:dyDescent="0.4"/>
    <row r="17" ht="13.5" customHeight="1" x14ac:dyDescent="0.4"/>
    <row r="18" ht="13.5" customHeight="1" x14ac:dyDescent="0.4"/>
    <row r="19" ht="13.5" customHeight="1" x14ac:dyDescent="0.4"/>
    <row r="20" ht="13.5" customHeight="1" x14ac:dyDescent="0.4"/>
    <row r="21" ht="13.5" customHeight="1" x14ac:dyDescent="0.4"/>
    <row r="22" ht="13.5" customHeight="1" x14ac:dyDescent="0.4"/>
    <row r="23" ht="13.5" customHeight="1" x14ac:dyDescent="0.4"/>
    <row r="24" ht="13.5" customHeight="1" x14ac:dyDescent="0.4"/>
    <row r="25" ht="13.5" customHeight="1" x14ac:dyDescent="0.4"/>
    <row r="26" ht="13.5" customHeight="1" x14ac:dyDescent="0.4"/>
    <row r="27" ht="13.5" customHeight="1" x14ac:dyDescent="0.4"/>
    <row r="28" ht="13.5" customHeight="1" x14ac:dyDescent="0.4"/>
    <row r="29" ht="13.5" customHeight="1" x14ac:dyDescent="0.4"/>
    <row r="30" ht="13.5" customHeight="1" x14ac:dyDescent="0.4"/>
    <row r="31" ht="13.5" customHeight="1" x14ac:dyDescent="0.4"/>
    <row r="32" ht="13.5" customHeight="1" x14ac:dyDescent="0.4"/>
    <row r="33" ht="13.5" customHeight="1" x14ac:dyDescent="0.4"/>
    <row r="34" ht="13.5" customHeight="1" x14ac:dyDescent="0.4"/>
    <row r="35" ht="13.5" customHeight="1" x14ac:dyDescent="0.4"/>
    <row r="36" ht="13.5" customHeight="1" x14ac:dyDescent="0.4"/>
    <row r="37" ht="13.5" customHeight="1" x14ac:dyDescent="0.4"/>
    <row r="38" ht="13.5" customHeight="1" x14ac:dyDescent="0.4"/>
    <row r="39" ht="13.5" customHeight="1" x14ac:dyDescent="0.4"/>
    <row r="40" ht="13.5" customHeight="1" x14ac:dyDescent="0.4"/>
    <row r="41" ht="13.5" customHeight="1" x14ac:dyDescent="0.4"/>
    <row r="42" ht="13.5" customHeight="1" x14ac:dyDescent="0.4"/>
    <row r="43" ht="13.5" customHeight="1" x14ac:dyDescent="0.4"/>
    <row r="44" ht="13.5" customHeight="1" x14ac:dyDescent="0.4"/>
    <row r="45" ht="13.5" customHeight="1" x14ac:dyDescent="0.4"/>
    <row r="46" ht="13.5" customHeight="1" x14ac:dyDescent="0.4"/>
    <row r="47" ht="13.5" customHeight="1" x14ac:dyDescent="0.4"/>
    <row r="48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Biweekly Time Sheet</vt:lpstr>
      <vt:lpstr>Biweekly Expense Report CAD</vt:lpstr>
      <vt:lpstr>Biweekly Expense Report USD</vt:lpstr>
      <vt:lpstr>Accounting Use Only</vt:lpstr>
      <vt:lpstr>'Biweekly Expense Report CAD'!RowTitleRegion1..C5</vt:lpstr>
      <vt:lpstr>'Biweekly Expense Report USD'!RowTitleRegion1..C5</vt:lpstr>
      <vt:lpstr>RowTitleRegion1..C5</vt:lpstr>
      <vt:lpstr>'Biweekly Expense Report CAD'!RowTitleRegion2..G4</vt:lpstr>
      <vt:lpstr>'Biweekly Expense Report USD'!RowTitleRegion2..G4</vt:lpstr>
      <vt:lpstr>RowTitleRegion2..G4</vt:lpstr>
      <vt:lpstr>'Biweekly Expense Report CAD'!RowTitleRegion3..C7</vt:lpstr>
      <vt:lpstr>'Biweekly Expense Report USD'!RowTitleRegion3..C7</vt:lpstr>
      <vt:lpstr>RowTitleRegion3..C7</vt:lpstr>
      <vt:lpstr>'Biweekly Expense Report CAD'!RowTitleRegion4..G7</vt:lpstr>
      <vt:lpstr>'Biweekly Expense Report USD'!RowTitleRegion4..G7</vt:lpstr>
      <vt:lpstr>RowTitleRegion4..G7</vt:lpstr>
      <vt:lpstr>'Biweekly Expense Report CAD'!RowTitleRegion5..H24</vt:lpstr>
      <vt:lpstr>'Biweekly Expense Report USD'!RowTitleRegion5..H24</vt:lpstr>
      <vt:lpstr>RowTitleRegion5..H24</vt:lpstr>
      <vt:lpstr>'Biweekly Expense Report CAD'!Title1</vt:lpstr>
      <vt:lpstr>'Biweekly Expense Report USD'!Title1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Alkemade</cp:lastModifiedBy>
  <dcterms:modified xsi:type="dcterms:W3CDTF">2026-04-14T15:00:33Z</dcterms:modified>
</cp:coreProperties>
</file>