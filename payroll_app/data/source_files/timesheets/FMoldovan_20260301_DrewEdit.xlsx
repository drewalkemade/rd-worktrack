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timesheets/20260301/"/>
    </mc:Choice>
  </mc:AlternateContent>
  <xr:revisionPtr revIDLastSave="17" documentId="13_ncr:1_{5E991B43-DBCA-4A16-B104-7DCA60F88A87}" xr6:coauthVersionLast="47" xr6:coauthVersionMax="47" xr10:uidLastSave="{9719A72F-9293-4735-8AA9-B4497B74B2DE}"/>
  <bookViews>
    <workbookView xWindow="-98" yWindow="-98" windowWidth="20715" windowHeight="13155"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P27" i="5"/>
  <c r="D27" i="5"/>
  <c r="D27" i="3"/>
  <c r="P27" i="3"/>
  <c r="C12" i="1"/>
  <c r="B12" i="1"/>
  <c r="M24" i="5"/>
  <c r="L24" i="5"/>
  <c r="K24" i="5"/>
  <c r="J24" i="5"/>
  <c r="I24" i="5"/>
  <c r="H24" i="5"/>
  <c r="G24" i="5"/>
  <c r="F24" i="5"/>
  <c r="E24" i="5"/>
  <c r="D24" i="5"/>
  <c r="P23" i="5"/>
  <c r="P22" i="5"/>
  <c r="P21" i="5"/>
  <c r="P20" i="5"/>
  <c r="P19" i="5"/>
  <c r="P18" i="5"/>
  <c r="P17" i="5"/>
  <c r="P16" i="5"/>
  <c r="P15" i="5"/>
  <c r="P14" i="5"/>
  <c r="P13" i="5"/>
  <c r="P12" i="5"/>
  <c r="P11" i="5"/>
  <c r="P10" i="5"/>
  <c r="L4" i="5"/>
  <c r="C23" i="5"/>
  <c r="B23" i="5"/>
  <c r="L3" i="5"/>
  <c r="P23" i="3"/>
  <c r="P22" i="3"/>
  <c r="P21" i="3"/>
  <c r="P20" i="3"/>
  <c r="P19" i="3"/>
  <c r="P18" i="3"/>
  <c r="P17" i="3"/>
  <c r="P16" i="3"/>
  <c r="P15" i="3"/>
  <c r="P14" i="3"/>
  <c r="P13" i="3"/>
  <c r="P12" i="3"/>
  <c r="P11" i="3"/>
  <c r="P10" i="3"/>
  <c r="L4" i="3"/>
  <c r="C15" i="3"/>
  <c r="B15" i="3"/>
  <c r="L3" i="3"/>
  <c r="H24" i="3"/>
  <c r="G24" i="3"/>
  <c r="F24" i="3"/>
  <c r="E24" i="3"/>
  <c r="P24" i="5"/>
  <c r="C11" i="4"/>
  <c r="M24" i="3"/>
  <c r="L24" i="3"/>
  <c r="K24" i="3"/>
  <c r="J24" i="3"/>
  <c r="I24" i="3"/>
  <c r="D24" i="3"/>
  <c r="J23" i="1"/>
  <c r="C8" i="4" s="1"/>
  <c r="I23" i="1"/>
  <c r="C7" i="4"/>
  <c r="H23" i="1"/>
  <c r="C6" i="4"/>
  <c r="G23" i="1"/>
  <c r="F23" i="1"/>
  <c r="C4" i="4" s="1"/>
  <c r="E23" i="1"/>
  <c r="C3" i="4" s="1"/>
  <c r="D23" i="1"/>
  <c r="C2" i="4" s="1"/>
  <c r="H5" i="1"/>
  <c r="L5" i="3"/>
  <c r="C11" i="1"/>
  <c r="B11" i="1"/>
  <c r="C22" i="1"/>
  <c r="B22" i="1"/>
  <c r="C21" i="1"/>
  <c r="B21" i="1"/>
  <c r="C20" i="1"/>
  <c r="B20" i="1"/>
  <c r="C19" i="1"/>
  <c r="B19" i="1"/>
  <c r="C18" i="1"/>
  <c r="B18" i="1"/>
  <c r="C17" i="1"/>
  <c r="B17" i="1"/>
  <c r="C16" i="1"/>
  <c r="B16" i="1"/>
  <c r="C15" i="1"/>
  <c r="B15" i="1"/>
  <c r="C14" i="1"/>
  <c r="B14" i="1"/>
  <c r="C13" i="1"/>
  <c r="B13" i="1"/>
  <c r="C10" i="1"/>
  <c r="B10" i="1"/>
  <c r="C9" i="1"/>
  <c r="B9" i="1"/>
  <c r="C21" i="5"/>
  <c r="B21" i="5"/>
  <c r="L5" i="5"/>
  <c r="C15" i="5"/>
  <c r="B15" i="5"/>
  <c r="C12" i="5"/>
  <c r="B12" i="5"/>
  <c r="C10" i="5"/>
  <c r="B10" i="5"/>
  <c r="C20" i="5"/>
  <c r="B20" i="5"/>
  <c r="C13" i="3"/>
  <c r="B13" i="3"/>
  <c r="C17" i="5"/>
  <c r="B17" i="5"/>
  <c r="C19" i="3"/>
  <c r="B19" i="3"/>
  <c r="C16" i="5"/>
  <c r="B16" i="5"/>
  <c r="C18" i="3"/>
  <c r="B18" i="3"/>
  <c r="C23" i="3"/>
  <c r="B23" i="3"/>
  <c r="C12" i="3"/>
  <c r="B12" i="3"/>
  <c r="C11" i="3"/>
  <c r="B11" i="3"/>
  <c r="C22" i="5"/>
  <c r="B22" i="5"/>
  <c r="C11" i="5"/>
  <c r="B11" i="5"/>
  <c r="C19" i="5"/>
  <c r="B19" i="5"/>
  <c r="C14" i="5"/>
  <c r="B14" i="5"/>
  <c r="C13" i="5"/>
  <c r="B13" i="5"/>
  <c r="C18" i="5"/>
  <c r="B18" i="5"/>
  <c r="C16" i="3"/>
  <c r="B16" i="3"/>
  <c r="C17" i="3"/>
  <c r="B17" i="3"/>
  <c r="C14" i="3"/>
  <c r="B14" i="3"/>
  <c r="C20" i="3"/>
  <c r="B20" i="3"/>
  <c r="P24" i="3"/>
  <c r="C10" i="4"/>
  <c r="C22" i="3"/>
  <c r="B22" i="3"/>
  <c r="C21" i="3"/>
  <c r="B21" i="3"/>
  <c r="C10" i="3"/>
  <c r="B10" i="3"/>
  <c r="C5" i="4"/>
  <c r="L23" i="1" l="1"/>
</calcChain>
</file>

<file path=xl/sharedStrings.xml><?xml version="1.0" encoding="utf-8"?>
<sst xmlns="http://schemas.openxmlformats.org/spreadsheetml/2006/main" count="94" uniqueCount="59">
  <si>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</si>
  <si>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</si>
  <si>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</si>
  <si>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</si>
  <si>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</si>
  <si>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</si>
  <si>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</si>
  <si>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</si>
  <si>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</si>
  <si>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</si>
  <si>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</si>
  <si>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</si>
  <si>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</si>
  <si>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</si>
  <si>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</si>
  <si>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</si>
  <si>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</si>
  <si>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</si>
  <si>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</si>
  <si>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</si>
  <si>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</si>
  <si>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</si>
  <si>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</si>
  <si>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</si>
  <si>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</si>
  <si>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</si>
  <si>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</si>
  <si>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</si>
  <si>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</si>
  <si>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</si>
  <si>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</si>
  <si>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</si>
  <si>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</si>
  <si>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</si>
  <si>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</si>
  <si>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</si>
  <si>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</si>
  <si>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</si>
  <si>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</si>
  <si>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</si>
  <si>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</si>
  <si>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</si>
  <si>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</si>
  <si>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</si>
  <si>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</si>
  <si>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</si>
  <si>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</si>
  <si>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</si>
  <si>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Florin Moldovan</t>
  </si>
  <si>
    <t>Florin Moldovan Has</t>
  </si>
  <si>
    <t xml:space="preserve"> </t>
  </si>
  <si>
    <t>Centerline {415}</t>
  </si>
  <si>
    <t>Power Outage</t>
  </si>
  <si>
    <t>Centerline {6290}</t>
  </si>
  <si>
    <t>Cenerline {Flex N Gate Battle Creek}</t>
  </si>
  <si>
    <t>Adjusted for OT</t>
  </si>
  <si>
    <t>Centerline {415}; Family Day; Adjusted for OT</t>
  </si>
  <si>
    <t>Centerline {415}; CL Approved 7.5hrs (15:00-23:00)</t>
  </si>
  <si>
    <t>Centerline {415}; Adjusted for OT; CL Approved 4.75hrs (7:00-11:45)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</si>
</sst>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639128</xdr:colOff>
      <xdr:row>6</xdr:row>
      <xdr:rowOff>7810</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C2" zoomScale="70" zoomScaleNormal="70" workbookViewId="0">
      <selection activeCell="D15" sqref="D15"/>
    </sheetView>
  </sheetViews>
  <sheetFormatPr defaultRowHeight="30" customHeight="1" x14ac:dyDescent="0.4"/>
  <cols>
    <col min="1" max="1" width="2.75" customWidth="1"/>
    <col min="2" max="4" width="16.625" customWidth="1"/>
    <col min="5" max="5" width="18.125" bestFit="1" customWidth="1"/>
    <col min="6" max="6" width="18.625" bestFit="1" customWidth="1"/>
    <col min="7" max="8" width="16.875" customWidth="1"/>
    <col min="9" max="11" width="16.625" customWidth="1"/>
    <col min="12" max="12" width="18.625" customWidth="1"/>
    <col min="13" max="13" width="2.75" customWidth="1"/>
    <col min="15" max="15" width="62.25" customWidth="1"/>
  </cols>
  <sheetData>
    <row r="1" spans="2:15" ht="55.5" customHeight="1" x14ac:dyDescent="0.65">
      <c r="B1" s="48" t="s">
        <v>14</v>
      </c>
      <c r="C1" s="48"/>
      <c r="D1" s="48"/>
      <c r="E1" s="48"/>
      <c r="F1" s="48"/>
      <c r="G1" s="48"/>
      <c r="H1" s="48"/>
      <c r="I1" s="48"/>
      <c r="J1" s="48"/>
      <c r="K1" s="48"/>
      <c r="L1" s="48"/>
    </row>
    <row r="2" spans="2:15" ht="42.75" customHeight="1" x14ac:dyDescent="0.4">
      <c r="B2" s="1"/>
      <c r="C2" s="1"/>
      <c r="D2" s="1"/>
    </row>
    <row r="3" spans="2:15" ht="30" customHeight="1" x14ac:dyDescent="0.4">
      <c r="C3" s="47"/>
      <c r="D3" s="47"/>
      <c r="G3" s="4" t="s">
        <v>0</v>
      </c>
      <c r="H3" s="51" t="s">
        <v>48</v>
      </c>
      <c r="I3" s="51"/>
      <c r="J3" s="51"/>
      <c r="K3" s="51"/>
      <c r="L3" s="51"/>
    </row>
    <row r="4" spans="2:15" ht="30" customHeight="1" x14ac:dyDescent="0.4">
      <c r="G4" s="5" t="s">
        <v>6</v>
      </c>
      <c r="H4" s="52">
        <v>46069</v>
      </c>
      <c r="I4" s="52"/>
      <c r="J4" s="52"/>
      <c r="K4" s="52"/>
      <c r="L4" s="52"/>
    </row>
    <row r="5" spans="2:15" ht="30" customHeight="1" x14ac:dyDescent="0.4">
      <c r="G5" s="5" t="s">
        <v>7</v>
      </c>
      <c r="H5" s="46">
        <f>IFERROR(IF($H$4="","",$H$4+13), "")</f>
        <v>46082</v>
      </c>
      <c r="I5" s="46"/>
      <c r="J5" s="46"/>
      <c r="K5" s="46"/>
      <c r="L5" s="46"/>
    </row>
    <row r="6" spans="2:15" ht="30" customHeight="1" x14ac:dyDescent="0.4">
      <c r="J6" s="47"/>
      <c r="K6" s="47"/>
      <c r="L6" s="47"/>
    </row>
    <row r="7" spans="2:15" ht="15" customHeight="1" x14ac:dyDescent="0.4"/>
    <row r="8" spans="2:15" ht="30" customHeight="1" x14ac:dyDescent="0.4">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4">
      <c r="B9" s="8" t="str">
        <f>IFERROR(TEXT('Biweekly Time Sheet'!$C9,"aaaa"), "")</f>
        <v>Monday</v>
      </c>
      <c r="C9" s="11">
        <f>H4</f>
        <v>46069</v>
      </c>
      <c r="D9" s="12"/>
      <c r="E9" s="13">
        <v>10</v>
      </c>
      <c r="F9" s="12"/>
      <c r="G9" s="13"/>
      <c r="H9" s="12"/>
      <c r="I9" s="13"/>
      <c r="J9" s="12">
        <v>8</v>
      </c>
      <c r="K9" s="13"/>
      <c r="L9" s="43">
        <f>IFERROR(SUM(D9:K9), "")</f>
        <v>18</v>
      </c>
      <c r="O9" s="44" t="s">
        <v>56</v>
      </c>
    </row>
    <row r="10" spans="2:15" ht="30" customHeight="1" x14ac:dyDescent="0.4">
      <c r="B10" s="8" t="str">
        <f>IFERROR(TEXT('Biweekly Time Sheet'!$C10,"aaaa"), "")</f>
        <v>Tuesday</v>
      </c>
      <c r="C10" s="11">
        <f>IF($H$4="","",$H$4+1)</f>
        <v>46070</v>
      </c>
      <c r="D10" s="12">
        <v>10</v>
      </c>
      <c r="E10" s="13"/>
      <c r="F10" s="12"/>
      <c r="G10" s="13"/>
      <c r="H10" s="12"/>
      <c r="I10" s="13"/>
      <c r="J10" s="12"/>
      <c r="K10" s="13"/>
      <c r="L10" s="43">
        <f t="shared" ref="L10:L22" si="0">IFERROR(SUM(D10:K10), "")</f>
        <v>10</v>
      </c>
      <c r="O10" s="44" t="s">
        <v>51</v>
      </c>
    </row>
    <row r="11" spans="2:15" ht="30" customHeight="1" x14ac:dyDescent="0.4">
      <c r="B11" s="8" t="str">
        <f>IFERROR(TEXT('Biweekly Time Sheet'!$C11,"aaaa"), "")</f>
        <v>Wednesday</v>
      </c>
      <c r="C11" s="11">
        <f>IF($H$4="","",$H$4+2)</f>
        <v>46071</v>
      </c>
      <c r="D11" s="12"/>
      <c r="E11" s="13"/>
      <c r="F11" s="12"/>
      <c r="G11" s="13"/>
      <c r="H11" s="12"/>
      <c r="I11" s="13"/>
      <c r="J11" s="12"/>
      <c r="K11" s="13"/>
      <c r="L11" s="43">
        <f t="shared" si="0"/>
        <v>0</v>
      </c>
      <c r="O11" s="44" t="s">
        <v>52</v>
      </c>
    </row>
    <row r="12" spans="2:15" ht="30" customHeight="1" x14ac:dyDescent="0.4">
      <c r="B12" s="8" t="str">
        <f>IFERROR(TEXT('Biweekly Time Sheet'!$C12,"aaaa"), "")</f>
        <v>Thursday</v>
      </c>
      <c r="C12" s="11">
        <f>IF($H$4="","",$H$4+3)</f>
        <v>46072</v>
      </c>
      <c r="D12" s="12">
        <v>10</v>
      </c>
      <c r="E12" s="13"/>
      <c r="F12" s="12"/>
      <c r="G12" s="13"/>
      <c r="H12" s="12"/>
      <c r="I12" s="13"/>
      <c r="J12" s="12"/>
      <c r="K12" s="13"/>
      <c r="L12" s="43">
        <f t="shared" si="0"/>
        <v>10</v>
      </c>
      <c r="O12" s="44" t="s">
        <v>51</v>
      </c>
    </row>
    <row r="13" spans="2:15" ht="30" customHeight="1" x14ac:dyDescent="0.4">
      <c r="B13" s="8" t="str">
        <f>IFERROR(TEXT('Biweekly Time Sheet'!$C13,"aaaa"), "")</f>
        <v>Friday</v>
      </c>
      <c r="C13" s="11">
        <f>IF($H$4="","",$H$4+4)</f>
        <v>46073</v>
      </c>
      <c r="D13" s="12">
        <v>7.5</v>
      </c>
      <c r="E13" s="13"/>
      <c r="F13" s="12"/>
      <c r="G13" s="13"/>
      <c r="H13" s="12"/>
      <c r="I13" s="13"/>
      <c r="J13" s="12"/>
      <c r="K13" s="13"/>
      <c r="L13" s="43">
        <f t="shared" si="0"/>
        <v>7.5</v>
      </c>
      <c r="O13" s="44" t="s">
        <v>57</v>
      </c>
    </row>
    <row r="14" spans="2:15" ht="30" customHeight="1" x14ac:dyDescent="0.4">
      <c r="B14" s="8" t="str">
        <f>IFERROR(TEXT('Biweekly Time Sheet'!$C14,"aaaa"), "")</f>
        <v>Saturday</v>
      </c>
      <c r="C14" s="11">
        <f>IF($H$4="","",$H$4+5)</f>
        <v>46074</v>
      </c>
      <c r="D14" s="12">
        <v>4.5</v>
      </c>
      <c r="E14" s="13">
        <v>0.25</v>
      </c>
      <c r="F14" s="12"/>
      <c r="G14" s="13"/>
      <c r="H14" s="12"/>
      <c r="I14" s="13"/>
      <c r="J14" s="12"/>
      <c r="K14" s="13"/>
      <c r="L14" s="43">
        <f t="shared" si="0"/>
        <v>4.75</v>
      </c>
      <c r="O14" s="44" t="s">
        <v>58</v>
      </c>
    </row>
    <row r="15" spans="2:15" ht="30" customHeight="1" x14ac:dyDescent="0.4">
      <c r="B15" s="8" t="str">
        <f>IFERROR(TEXT('Biweekly Time Sheet'!$C15,"aaaa"), "")</f>
        <v>Sunday</v>
      </c>
      <c r="C15" s="11">
        <f>IF($H$4="","",$H$4+6)</f>
        <v>46075</v>
      </c>
      <c r="D15" s="12"/>
      <c r="E15" s="13"/>
      <c r="F15" s="12"/>
      <c r="G15" s="13"/>
      <c r="H15" s="12"/>
      <c r="I15" s="13"/>
      <c r="J15" s="12"/>
      <c r="K15" s="13"/>
      <c r="L15" s="43">
        <f t="shared" si="0"/>
        <v>0</v>
      </c>
      <c r="O15" s="44"/>
    </row>
    <row r="16" spans="2:15" ht="30" customHeight="1" x14ac:dyDescent="0.4">
      <c r="B16" s="8" t="str">
        <f>IFERROR(TEXT('Biweekly Time Sheet'!$C16,"aaaa"), "")</f>
        <v>Monday</v>
      </c>
      <c r="C16" s="11">
        <f>IF($H$4="","",$H$4+7)</f>
        <v>46076</v>
      </c>
      <c r="D16" s="12"/>
      <c r="E16" s="13"/>
      <c r="F16" s="12"/>
      <c r="G16" s="13"/>
      <c r="H16" s="12"/>
      <c r="I16" s="13">
        <v>8</v>
      </c>
      <c r="J16" s="12"/>
      <c r="K16" s="13">
        <v>0</v>
      </c>
      <c r="L16" s="43">
        <f t="shared" si="0"/>
        <v>8</v>
      </c>
      <c r="O16" s="44"/>
    </row>
    <row r="17" spans="2:15" ht="30" customHeight="1" x14ac:dyDescent="0.4">
      <c r="B17" s="8" t="str">
        <f>IFERROR(TEXT('Biweekly Time Sheet'!$C17,"aaaa"), "")</f>
        <v>Tuesday</v>
      </c>
      <c r="C17" s="11">
        <f>IF($H$4="","",$H$4+8)</f>
        <v>46077</v>
      </c>
      <c r="D17" s="12"/>
      <c r="E17" s="13"/>
      <c r="F17" s="12"/>
      <c r="G17" s="13"/>
      <c r="H17" s="12"/>
      <c r="I17" s="13">
        <v>8</v>
      </c>
      <c r="J17" s="12"/>
      <c r="K17" s="13"/>
      <c r="L17" s="43">
        <f t="shared" si="0"/>
        <v>8</v>
      </c>
      <c r="O17" s="44"/>
    </row>
    <row r="18" spans="2:15" ht="30" customHeight="1" x14ac:dyDescent="0.4">
      <c r="B18" s="8" t="str">
        <f>IFERROR(TEXT('Biweekly Time Sheet'!$C18,"aaaa"), "")</f>
        <v>Wednesday</v>
      </c>
      <c r="C18" s="11">
        <f>IF($H$4="","",$H$4+9)</f>
        <v>46078</v>
      </c>
      <c r="D18" s="12">
        <v>8</v>
      </c>
      <c r="E18" s="13"/>
      <c r="F18" s="12"/>
      <c r="G18" s="13"/>
      <c r="H18" s="12"/>
      <c r="I18" s="13"/>
      <c r="J18" s="12"/>
      <c r="K18" s="13">
        <v>0</v>
      </c>
      <c r="L18" s="43">
        <f t="shared" si="0"/>
        <v>8</v>
      </c>
      <c r="O18" s="44" t="s">
        <v>53</v>
      </c>
    </row>
    <row r="19" spans="2:15" ht="30" customHeight="1" x14ac:dyDescent="0.4">
      <c r="B19" s="8" t="str">
        <f>IFERROR(TEXT('Biweekly Time Sheet'!$C19,"aaaa"), "")</f>
        <v>Thursday</v>
      </c>
      <c r="C19" s="11">
        <f>IF($H$4="","",$H$4+10)</f>
        <v>46079</v>
      </c>
      <c r="D19" s="12">
        <v>8</v>
      </c>
      <c r="E19" s="13"/>
      <c r="F19" s="12"/>
      <c r="G19" s="13"/>
      <c r="H19" s="12"/>
      <c r="I19" s="13"/>
      <c r="J19" s="12"/>
      <c r="K19" s="13"/>
      <c r="L19" s="43">
        <f t="shared" si="0"/>
        <v>8</v>
      </c>
      <c r="O19" s="44" t="s">
        <v>53</v>
      </c>
    </row>
    <row r="20" spans="2:15" ht="30" customHeight="1" x14ac:dyDescent="0.4">
      <c r="B20" s="8" t="str">
        <f>IFERROR(TEXT('Biweekly Time Sheet'!$C20,"aaaa"), "")</f>
        <v>Friday</v>
      </c>
      <c r="C20" s="11">
        <f>IF($H$4="","",$H$4+11)</f>
        <v>46080</v>
      </c>
      <c r="D20" s="12">
        <v>5</v>
      </c>
      <c r="E20" s="13"/>
      <c r="F20" s="12"/>
      <c r="G20" s="13">
        <v>4</v>
      </c>
      <c r="H20" s="12"/>
      <c r="I20" s="13"/>
      <c r="J20" s="12"/>
      <c r="K20" s="13"/>
      <c r="L20" s="43">
        <f t="shared" si="0"/>
        <v>9</v>
      </c>
      <c r="O20" s="44" t="s">
        <v>54</v>
      </c>
    </row>
    <row r="21" spans="2:15" ht="30" customHeight="1" x14ac:dyDescent="0.4">
      <c r="B21" s="8" t="str">
        <f>IFERROR(TEXT('Biweekly Time Sheet'!$C21,"aaaa"), "")</f>
        <v>Saturday</v>
      </c>
      <c r="C21" s="11">
        <f>IF($H$4="","",$H$4+12)</f>
        <v>46081</v>
      </c>
      <c r="D21" s="12"/>
      <c r="E21" s="13"/>
      <c r="F21" s="12"/>
      <c r="G21" s="13"/>
      <c r="H21" s="12"/>
      <c r="I21" s="13"/>
      <c r="J21" s="12"/>
      <c r="K21" s="13"/>
      <c r="L21" s="43">
        <f t="shared" si="0"/>
        <v>0</v>
      </c>
      <c r="O21" s="44"/>
    </row>
    <row r="22" spans="2:15" ht="30" customHeight="1" x14ac:dyDescent="0.4">
      <c r="B22" s="14" t="str">
        <f>IFERROR(TEXT('Biweekly Time Sheet'!$C22,"aaaa"), "")</f>
        <v>Sunday</v>
      </c>
      <c r="C22" s="15">
        <f>IF($H$4="","",$H$4+13)</f>
        <v>46082</v>
      </c>
      <c r="D22" s="16"/>
      <c r="E22" s="17"/>
      <c r="F22" s="16">
        <v>8</v>
      </c>
      <c r="G22" s="17" t="s">
        <v>50</v>
      </c>
      <c r="H22" s="16"/>
      <c r="I22" s="17"/>
      <c r="J22" s="16"/>
      <c r="K22" s="17"/>
      <c r="L22" s="43">
        <f t="shared" si="0"/>
        <v>8</v>
      </c>
      <c r="O22" s="44" t="s">
        <v>55</v>
      </c>
    </row>
    <row r="23" spans="2:15" ht="30" customHeight="1" x14ac:dyDescent="0.4">
      <c r="C23" s="2" t="s">
        <v>5</v>
      </c>
      <c r="D23" s="3">
        <f t="shared" ref="D23:K23" si="1">IFERROR(SUM(D9:D22), "")</f>
        <v>53</v>
      </c>
      <c r="E23" s="3">
        <f t="shared" si="1"/>
        <v>10.25</v>
      </c>
      <c r="F23" s="3">
        <f t="shared" si="1"/>
        <v>8</v>
      </c>
      <c r="G23" s="3">
        <f t="shared" si="1"/>
        <v>4</v>
      </c>
      <c r="H23" s="3">
        <f t="shared" si="1"/>
        <v>0</v>
      </c>
      <c r="I23" s="3">
        <f t="shared" si="1"/>
        <v>16</v>
      </c>
      <c r="J23" s="3">
        <f t="shared" si="1"/>
        <v>8</v>
      </c>
      <c r="K23" s="3">
        <f t="shared" si="1"/>
        <v>0</v>
      </c>
      <c r="L23" s="3">
        <f>IFERROR(SUM(D23:K23), "")</f>
        <v>99.25</v>
      </c>
    </row>
    <row r="24" spans="2:15" ht="30" customHeight="1" x14ac:dyDescent="0.4">
      <c r="D24" s="47"/>
      <c r="E24" s="47"/>
      <c r="F24" s="47"/>
      <c r="G24" s="47"/>
      <c r="H24" s="47"/>
      <c r="I24" s="47"/>
      <c r="J24" s="47"/>
    </row>
    <row r="25" spans="2:15" ht="30" customHeight="1" x14ac:dyDescent="0.4">
      <c r="D25" s="47"/>
      <c r="E25" s="47"/>
      <c r="F25" s="47"/>
      <c r="G25" s="47"/>
      <c r="H25" s="47"/>
      <c r="I25" s="47"/>
      <c r="J25" s="47"/>
    </row>
    <row r="26" spans="2:15" ht="30" customHeight="1" x14ac:dyDescent="0.4">
      <c r="D26" s="49" t="s">
        <v>49</v>
      </c>
      <c r="E26" s="50"/>
      <c r="F26" s="50"/>
      <c r="G26" s="50"/>
      <c r="H26" s="50"/>
      <c r="I26" s="50"/>
      <c r="J26" s="50"/>
      <c r="K26" s="7"/>
      <c r="L26" s="6"/>
    </row>
    <row r="27" spans="2:15" ht="30" customHeight="1" x14ac:dyDescent="0.4">
      <c r="D27" s="47" t="s">
        <v>8</v>
      </c>
      <c r="E27" s="47"/>
      <c r="F27" s="47"/>
      <c r="G27" s="47"/>
      <c r="H27" s="47"/>
      <c r="I27" s="47"/>
      <c r="J27" s="47"/>
      <c r="L27" t="s">
        <v>9</v>
      </c>
    </row>
    <row r="28" spans="2:15" ht="30" customHeight="1" x14ac:dyDescent="0.4">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361" yWindow="387"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zoomScale="80" zoomScaleNormal="80" workbookViewId="0">
      <selection activeCell="G16" sqref="G16"/>
    </sheetView>
  </sheetViews>
  <sheetFormatPr defaultColWidth="9" defaultRowHeight="30" customHeight="1" x14ac:dyDescent="0.4"/>
  <cols>
    <col min="1" max="1" width="2.75" customWidth="1"/>
    <col min="2" max="13" width="14.875" customWidth="1"/>
    <col min="14" max="15" width="11.25" customWidth="1"/>
    <col min="16" max="16" width="14.875" customWidth="1"/>
    <col min="17" max="17" width="2.75" customWidth="1"/>
  </cols>
  <sheetData>
    <row r="1" spans="2:16" ht="55.5" customHeight="1" x14ac:dyDescent="0.65">
      <c r="B1" s="48" t="s">
        <v>41</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Florin Moldovan</v>
      </c>
      <c r="M3" s="46"/>
      <c r="N3" s="46"/>
      <c r="O3" s="46"/>
      <c r="P3" s="46"/>
    </row>
    <row r="4" spans="2:16" ht="30" customHeight="1" x14ac:dyDescent="0.4">
      <c r="K4" s="5" t="s">
        <v>6</v>
      </c>
      <c r="L4" s="46">
        <f>'Biweekly Time Sheet'!H4</f>
        <v>46069</v>
      </c>
      <c r="M4" s="46"/>
      <c r="N4" s="46"/>
      <c r="O4" s="46"/>
      <c r="P4" s="46"/>
    </row>
    <row r="5" spans="2:16" ht="30" customHeight="1" x14ac:dyDescent="0.4">
      <c r="K5" s="5" t="s">
        <v>7</v>
      </c>
      <c r="L5" s="46">
        <f>'Biweekly Time Sheet'!H5</f>
        <v>46082</v>
      </c>
      <c r="M5" s="46"/>
      <c r="N5" s="46"/>
      <c r="O5" s="46"/>
      <c r="P5" s="46"/>
    </row>
    <row r="6" spans="2:16" ht="30" customHeight="1" x14ac:dyDescent="0.4">
      <c r="N6" s="47"/>
      <c r="O6" s="47"/>
      <c r="P6" s="47"/>
    </row>
    <row r="7" spans="2:16" ht="15" customHeight="1" thickBot="1" x14ac:dyDescent="0.45"/>
    <row r="8" spans="2:16" ht="22.5" customHeight="1" thickBot="1" x14ac:dyDescent="0.45">
      <c r="D8" s="56" t="s">
        <v>26</v>
      </c>
      <c r="E8" s="57"/>
      <c r="F8" s="57"/>
      <c r="G8" s="57"/>
      <c r="H8" s="58"/>
      <c r="I8" s="56" t="s">
        <v>27</v>
      </c>
      <c r="J8" s="57"/>
      <c r="K8" s="57"/>
      <c r="L8" s="57"/>
      <c r="M8" s="57"/>
      <c r="N8" s="57"/>
      <c r="O8" s="58"/>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4" t="s">
        <v>25</v>
      </c>
      <c r="O9" s="55"/>
      <c r="P9" s="39" t="s">
        <v>4</v>
      </c>
    </row>
    <row r="10" spans="2:16" ht="30" customHeight="1" x14ac:dyDescent="0.4">
      <c r="B10" s="8" t="str">
        <f>IFERROR(TEXT('Biweekly Expense Report CAD'!$C10,"aaaa"), "")</f>
        <v>Monday</v>
      </c>
      <c r="C10" s="11">
        <f>L4</f>
        <v>46069</v>
      </c>
      <c r="D10" s="21">
        <v>70</v>
      </c>
      <c r="E10" s="20"/>
      <c r="F10" s="19"/>
      <c r="G10" s="20"/>
      <c r="H10" s="22"/>
      <c r="I10" s="27"/>
      <c r="J10" s="19"/>
      <c r="K10" s="20"/>
      <c r="L10" s="19"/>
      <c r="M10" s="20"/>
      <c r="N10" s="41"/>
      <c r="O10" s="23">
        <v>0.48</v>
      </c>
      <c r="P10" s="40">
        <f>IFERROR(SUM(D10:M10)+(N10*O10), "")</f>
        <v>70</v>
      </c>
    </row>
    <row r="11" spans="2:16" ht="30" customHeight="1" x14ac:dyDescent="0.4">
      <c r="B11" s="8" t="str">
        <f>IFERROR(TEXT('Biweekly Expense Report CAD'!$C11,"aaaa"), "")</f>
        <v>Tuesday</v>
      </c>
      <c r="C11" s="11">
        <f>IF($L$4="","",$L$4+1)</f>
        <v>46070</v>
      </c>
      <c r="D11" s="21"/>
      <c r="E11" s="20">
        <v>70</v>
      </c>
      <c r="F11" s="19"/>
      <c r="G11" s="20"/>
      <c r="H11" s="22"/>
      <c r="I11" s="27"/>
      <c r="J11" s="19"/>
      <c r="K11" s="20"/>
      <c r="L11" s="19"/>
      <c r="M11" s="20"/>
      <c r="N11" s="41"/>
      <c r="O11" s="42">
        <v>0.48</v>
      </c>
      <c r="P11" s="40">
        <f t="shared" ref="P11:P23" si="0">IFERROR(SUM(D11:M11)+(N11*O11), "")</f>
        <v>70</v>
      </c>
    </row>
    <row r="12" spans="2:16" ht="30" customHeight="1" x14ac:dyDescent="0.4">
      <c r="B12" s="8" t="str">
        <f>IFERROR(TEXT('Biweekly Expense Report CAD'!$C12,"aaaa"), "")</f>
        <v>Wednesday</v>
      </c>
      <c r="C12" s="11">
        <f>IF($L$4="","",$L$4+2)</f>
        <v>46071</v>
      </c>
      <c r="D12" s="21"/>
      <c r="E12" s="20">
        <v>70</v>
      </c>
      <c r="F12" s="19"/>
      <c r="G12" s="20"/>
      <c r="H12" s="22"/>
      <c r="I12" s="27"/>
      <c r="J12" s="19"/>
      <c r="K12" s="20"/>
      <c r="L12" s="19"/>
      <c r="M12" s="20"/>
      <c r="N12" s="41"/>
      <c r="O12" s="42">
        <v>0.48</v>
      </c>
      <c r="P12" s="40">
        <f t="shared" si="0"/>
        <v>70</v>
      </c>
    </row>
    <row r="13" spans="2:16" ht="30" customHeight="1" x14ac:dyDescent="0.4">
      <c r="B13" s="8" t="str">
        <f>IFERROR(TEXT('Biweekly Expense Report CAD'!$C13,"aaaa"), "")</f>
        <v>Thursday</v>
      </c>
      <c r="C13" s="11">
        <f>IF($L$4="","",$L$4+3)</f>
        <v>46072</v>
      </c>
      <c r="D13" s="21"/>
      <c r="E13" s="20">
        <v>70</v>
      </c>
      <c r="F13" s="19"/>
      <c r="G13" s="20"/>
      <c r="H13" s="22"/>
      <c r="I13" s="27"/>
      <c r="J13" s="19"/>
      <c r="K13" s="20"/>
      <c r="L13" s="19"/>
      <c r="M13" s="20"/>
      <c r="N13" s="41"/>
      <c r="O13" s="42">
        <v>0.48</v>
      </c>
      <c r="P13" s="40">
        <f t="shared" si="0"/>
        <v>70</v>
      </c>
    </row>
    <row r="14" spans="2:16" ht="30" customHeight="1" x14ac:dyDescent="0.4">
      <c r="B14" s="8" t="str">
        <f>IFERROR(TEXT('Biweekly Expense Report CAD'!$C14,"aaaa"), "")</f>
        <v>Friday</v>
      </c>
      <c r="C14" s="11">
        <f>IF($L$4="","",$L$4+4)</f>
        <v>46073</v>
      </c>
      <c r="D14" s="21"/>
      <c r="E14" s="20">
        <v>70</v>
      </c>
      <c r="F14" s="19"/>
      <c r="G14" s="20"/>
      <c r="H14" s="22"/>
      <c r="I14" s="27"/>
      <c r="J14" s="19"/>
      <c r="K14" s="20"/>
      <c r="L14" s="19"/>
      <c r="M14" s="20"/>
      <c r="N14" s="41"/>
      <c r="O14" s="42">
        <v>0.48</v>
      </c>
      <c r="P14" s="40">
        <f t="shared" si="0"/>
        <v>70</v>
      </c>
    </row>
    <row r="15" spans="2:16" ht="30" customHeight="1" x14ac:dyDescent="0.4">
      <c r="B15" s="8" t="str">
        <f>IFERROR(TEXT('Biweekly Expense Report CAD'!$C15,"aaaa"), "")</f>
        <v>Saturday</v>
      </c>
      <c r="C15" s="11">
        <f>IF($L$4="","",$L$4+5)</f>
        <v>46074</v>
      </c>
      <c r="D15" s="21"/>
      <c r="E15" s="20">
        <v>70</v>
      </c>
      <c r="F15" s="19"/>
      <c r="G15" s="20"/>
      <c r="H15" s="22"/>
      <c r="I15" s="27"/>
      <c r="J15" s="19">
        <v>0</v>
      </c>
      <c r="K15" s="20"/>
      <c r="L15" s="19"/>
      <c r="M15" s="20"/>
      <c r="N15" s="41"/>
      <c r="O15" s="42">
        <v>0.48</v>
      </c>
      <c r="P15" s="40">
        <f t="shared" si="0"/>
        <v>70</v>
      </c>
    </row>
    <row r="16" spans="2:16" ht="30" customHeight="1" x14ac:dyDescent="0.4">
      <c r="B16" s="8" t="str">
        <f>IFERROR(TEXT('Biweekly Expense Report CAD'!$C16,"aaaa"), "")</f>
        <v>Sunday</v>
      </c>
      <c r="C16" s="11">
        <f>IF($L$4="","",$L$4+6)</f>
        <v>46075</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CAD'!$C17,"aaaa"), "")</f>
        <v>Monday</v>
      </c>
      <c r="C17" s="11">
        <f>IF($L$4="","",$L$4+7)</f>
        <v>46076</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CAD'!$C18,"aaaa"), "")</f>
        <v>Tuesday</v>
      </c>
      <c r="C18" s="11">
        <f>IF($L$4="","",$L$4+8)</f>
        <v>46077</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CAD'!$C19,"aaaa"), "")</f>
        <v>Wednesday</v>
      </c>
      <c r="C19" s="11">
        <f>IF($L$4="","",$L$4+9)</f>
        <v>46078</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CAD'!$C20,"aaaa"), "")</f>
        <v>Thursday</v>
      </c>
      <c r="C20" s="11">
        <f>IF($L$4="","",$L$4+10)</f>
        <v>46079</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CAD'!$C21,"aaaa"), "")</f>
        <v>Friday</v>
      </c>
      <c r="C21" s="11">
        <f>IF($L$4="","",$L$4+11)</f>
        <v>46080</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CAD'!$C22,"aaaa"), "")</f>
        <v>Saturday</v>
      </c>
      <c r="C22" s="11">
        <f>IF($L$4="","",$L$4+12)</f>
        <v>46081</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CAD'!$C23,"aaaa"), "")</f>
        <v>Sunday</v>
      </c>
      <c r="C23" s="15">
        <f>IF($L$4="","",$L$4+13)</f>
        <v>46082</v>
      </c>
      <c r="D23" s="21"/>
      <c r="E23" s="20"/>
      <c r="F23" s="19"/>
      <c r="G23" s="20"/>
      <c r="H23" s="22"/>
      <c r="I23" s="27"/>
      <c r="J23" s="19"/>
      <c r="K23" s="20">
        <v>0</v>
      </c>
      <c r="L23" s="19"/>
      <c r="M23" s="20"/>
      <c r="N23" s="41"/>
      <c r="O23" s="42">
        <v>0.48</v>
      </c>
      <c r="P23" s="40">
        <f t="shared" si="0"/>
        <v>0</v>
      </c>
    </row>
    <row r="24" spans="2:16" ht="30" customHeight="1" thickBot="1" x14ac:dyDescent="0.45">
      <c r="C24" s="14" t="s">
        <v>4</v>
      </c>
      <c r="D24" s="24">
        <f t="shared" ref="D24:M24" si="1">IFERROR(SUM(D10:D23), "")</f>
        <v>70</v>
      </c>
      <c r="E24" s="25">
        <f t="shared" si="1"/>
        <v>350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420</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3" t="str">
        <f>'Biweekly Time Sheet'!D26:J26</f>
        <v>Florin Moldovan Has</v>
      </c>
      <c r="E27" s="53"/>
      <c r="F27" s="53"/>
      <c r="G27" s="53"/>
      <c r="H27" s="53"/>
      <c r="I27" s="53"/>
      <c r="J27" s="53"/>
      <c r="K27" s="53"/>
      <c r="L27" s="53"/>
      <c r="M27" s="53"/>
      <c r="N27" s="53"/>
      <c r="O27" s="53"/>
      <c r="P27" s="18">
        <f>'Biweekly Time Sheet'!L26</f>
        <v>0</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A5" zoomScale="80" zoomScaleNormal="80" workbookViewId="0">
      <selection activeCell="D12" sqref="D12"/>
    </sheetView>
  </sheetViews>
  <sheetFormatPr defaultColWidth="9" defaultRowHeight="30" customHeight="1" x14ac:dyDescent="0.4"/>
  <cols>
    <col min="1" max="1" width="2.75" customWidth="1"/>
    <col min="2" max="13" width="14.875" customWidth="1"/>
    <col min="14" max="15" width="11.25" customWidth="1"/>
    <col min="16" max="16" width="14.875" customWidth="1"/>
    <col min="17" max="17" width="2.75" customWidth="1"/>
  </cols>
  <sheetData>
    <row r="1" spans="2:16" ht="55.5" customHeight="1" x14ac:dyDescent="0.65">
      <c r="B1" s="48" t="s">
        <v>40</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Florin Moldovan</v>
      </c>
      <c r="M3" s="46"/>
      <c r="N3" s="46"/>
      <c r="O3" s="46"/>
      <c r="P3" s="46"/>
    </row>
    <row r="4" spans="2:16" ht="30" customHeight="1" x14ac:dyDescent="0.4">
      <c r="K4" s="5" t="s">
        <v>6</v>
      </c>
      <c r="L4" s="46">
        <f>'Biweekly Time Sheet'!H4</f>
        <v>46069</v>
      </c>
      <c r="M4" s="46"/>
      <c r="N4" s="46"/>
      <c r="O4" s="46"/>
      <c r="P4" s="46"/>
    </row>
    <row r="5" spans="2:16" ht="30" customHeight="1" x14ac:dyDescent="0.4">
      <c r="K5" s="5" t="s">
        <v>7</v>
      </c>
      <c r="L5" s="46">
        <f>'Biweekly Time Sheet'!H5</f>
        <v>46082</v>
      </c>
      <c r="M5" s="46"/>
      <c r="N5" s="46"/>
      <c r="O5" s="46"/>
      <c r="P5" s="46"/>
    </row>
    <row r="6" spans="2:16" ht="30" customHeight="1" x14ac:dyDescent="0.4">
      <c r="N6" s="47"/>
      <c r="O6" s="47"/>
      <c r="P6" s="47"/>
    </row>
    <row r="7" spans="2:16" ht="15" customHeight="1" thickBot="1" x14ac:dyDescent="0.45"/>
    <row r="8" spans="2:16" ht="22.5" customHeight="1" thickBot="1" x14ac:dyDescent="0.45">
      <c r="D8" s="56" t="s">
        <v>26</v>
      </c>
      <c r="E8" s="57"/>
      <c r="F8" s="57"/>
      <c r="G8" s="57"/>
      <c r="H8" s="58"/>
      <c r="I8" s="56" t="s">
        <v>27</v>
      </c>
      <c r="J8" s="57"/>
      <c r="K8" s="57"/>
      <c r="L8" s="57"/>
      <c r="M8" s="57"/>
      <c r="N8" s="57"/>
      <c r="O8" s="58"/>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4" t="s">
        <v>25</v>
      </c>
      <c r="O9" s="55"/>
      <c r="P9" s="39" t="s">
        <v>4</v>
      </c>
    </row>
    <row r="10" spans="2:16" ht="30" customHeight="1" x14ac:dyDescent="0.4">
      <c r="B10" s="8" t="str">
        <f>IFERROR(TEXT('Biweekly Expense Report USD'!$C10,"aaaa"), "")</f>
        <v>Monday</v>
      </c>
      <c r="C10" s="11">
        <f>L4</f>
        <v>46069</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USD'!$C11,"aaaa"), "")</f>
        <v>Tuesday</v>
      </c>
      <c r="C11" s="11">
        <f>IF($L$4="","",$L$4+1)</f>
        <v>46070</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USD'!$C12,"aaaa"), "")</f>
        <v>Wednesday</v>
      </c>
      <c r="C12" s="11">
        <f>IF($L$4="","",$L$4+2)</f>
        <v>46071</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USD'!$C13,"aaaa"), "")</f>
        <v>Thursday</v>
      </c>
      <c r="C13" s="11">
        <f>IF($L$4="","",$L$4+3)</f>
        <v>46072</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USD'!$C14,"aaaa"), "")</f>
        <v>Friday</v>
      </c>
      <c r="C14" s="11">
        <f>IF($L$4="","",$L$4+4)</f>
        <v>46073</v>
      </c>
      <c r="D14" s="21"/>
      <c r="E14" s="20"/>
      <c r="F14" s="19"/>
      <c r="G14" s="20"/>
      <c r="H14" s="22"/>
      <c r="I14" s="27"/>
      <c r="J14" s="19"/>
      <c r="K14" s="20"/>
      <c r="L14" s="19"/>
      <c r="M14" s="20"/>
      <c r="N14" s="41"/>
      <c r="O14" s="42">
        <v>0.48</v>
      </c>
      <c r="P14" s="40">
        <f t="shared" si="0"/>
        <v>0</v>
      </c>
    </row>
    <row r="15" spans="2:16" ht="30" customHeight="1" x14ac:dyDescent="0.4">
      <c r="B15" s="8" t="str">
        <f>IFERROR(TEXT('Biweekly Expense Report USD'!$C15,"aaaa"), "")</f>
        <v>Saturday</v>
      </c>
      <c r="C15" s="11">
        <f>IF($L$4="","",$L$4+5)</f>
        <v>46074</v>
      </c>
      <c r="D15" s="21"/>
      <c r="E15" s="20"/>
      <c r="F15" s="19"/>
      <c r="G15" s="20"/>
      <c r="H15" s="22"/>
      <c r="I15" s="27"/>
      <c r="J15" s="19"/>
      <c r="K15" s="20"/>
      <c r="L15" s="19"/>
      <c r="M15" s="20"/>
      <c r="N15" s="41"/>
      <c r="O15" s="42">
        <v>0.48</v>
      </c>
      <c r="P15" s="40">
        <f t="shared" si="0"/>
        <v>0</v>
      </c>
    </row>
    <row r="16" spans="2:16" ht="30" customHeight="1" x14ac:dyDescent="0.4">
      <c r="B16" s="8" t="str">
        <f>IFERROR(TEXT('Biweekly Expense Report USD'!$C16,"aaaa"), "")</f>
        <v>Sunday</v>
      </c>
      <c r="C16" s="11">
        <f>IF($L$4="","",$L$4+6)</f>
        <v>46075</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USD'!$C17,"aaaa"), "")</f>
        <v>Monday</v>
      </c>
      <c r="C17" s="11">
        <f>IF($L$4="","",$L$4+7)</f>
        <v>46076</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USD'!$C18,"aaaa"), "")</f>
        <v>Tuesday</v>
      </c>
      <c r="C18" s="11">
        <f>IF($L$4="","",$L$4+8)</f>
        <v>46077</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USD'!$C19,"aaaa"), "")</f>
        <v>Wednesday</v>
      </c>
      <c r="C19" s="11">
        <f>IF($L$4="","",$L$4+9)</f>
        <v>46078</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USD'!$C20,"aaaa"), "")</f>
        <v>Thursday</v>
      </c>
      <c r="C20" s="11">
        <f>IF($L$4="","",$L$4+10)</f>
        <v>46079</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USD'!$C21,"aaaa"), "")</f>
        <v>Friday</v>
      </c>
      <c r="C21" s="11">
        <f>IF($L$4="","",$L$4+11)</f>
        <v>46080</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USD'!$C22,"aaaa"), "")</f>
        <v>Saturday</v>
      </c>
      <c r="C22" s="11">
        <f>IF($L$4="","",$L$4+12)</f>
        <v>46081</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USD'!$C23,"aaaa"), "")</f>
        <v>Sunday</v>
      </c>
      <c r="C23" s="15">
        <f>IF($L$4="","",$L$4+13)</f>
        <v>46082</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3" t="str">
        <f>'Biweekly Time Sheet'!D26:J26</f>
        <v>Florin Moldovan Has</v>
      </c>
      <c r="E27" s="53"/>
      <c r="F27" s="53"/>
      <c r="G27" s="53"/>
      <c r="H27" s="53"/>
      <c r="I27" s="53"/>
      <c r="J27" s="53"/>
      <c r="K27" s="53"/>
      <c r="L27" s="53"/>
      <c r="M27" s="53"/>
      <c r="N27" s="53"/>
      <c r="O27" s="53"/>
      <c r="P27" s="18">
        <f>'Biweekly Time Sheet'!L26</f>
        <v>0</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A38" sqref="A38"/>
    </sheetView>
  </sheetViews>
  <sheetFormatPr defaultRowHeight="14.25" x14ac:dyDescent="0.4"/>
  <cols>
    <col min="1" max="1" width="24.375" bestFit="1" customWidth="1"/>
    <col min="3" max="3" width="9.375" bestFit="1" customWidth="1"/>
  </cols>
  <sheetData>
    <row r="1" spans="1:4" ht="14.65" thickBot="1" x14ac:dyDescent="0.45">
      <c r="A1" s="31" t="s">
        <v>28</v>
      </c>
      <c r="B1" s="31"/>
      <c r="C1" s="31"/>
      <c r="D1" s="31"/>
    </row>
    <row r="2" spans="1:4" x14ac:dyDescent="0.4">
      <c r="A2" s="32" t="s">
        <v>29</v>
      </c>
      <c r="B2" s="32"/>
      <c r="C2" s="33">
        <f>'Biweekly Time Sheet'!D$23</f>
        <v>53</v>
      </c>
      <c r="D2" s="32"/>
    </row>
    <row r="3" spans="1:4" x14ac:dyDescent="0.4">
      <c r="A3" s="32" t="s">
        <v>30</v>
      </c>
      <c r="B3" s="32"/>
      <c r="C3" s="33">
        <f>'Biweekly Time Sheet'!E$23</f>
        <v>10.25</v>
      </c>
      <c r="D3" s="32"/>
    </row>
    <row r="4" spans="1:4" x14ac:dyDescent="0.4">
      <c r="A4" s="32" t="s">
        <v>31</v>
      </c>
      <c r="B4" s="32"/>
      <c r="C4" s="33">
        <f>'Biweekly Time Sheet'!F$23</f>
        <v>8</v>
      </c>
      <c r="D4" s="32"/>
    </row>
    <row r="5" spans="1:4" x14ac:dyDescent="0.4">
      <c r="A5" s="32" t="s">
        <v>32</v>
      </c>
      <c r="B5" s="32"/>
      <c r="C5" s="33">
        <f>'Biweekly Time Sheet'!G$23</f>
        <v>4</v>
      </c>
      <c r="D5" s="32"/>
    </row>
    <row r="6" spans="1:4" x14ac:dyDescent="0.4">
      <c r="A6" s="32" t="s">
        <v>43</v>
      </c>
      <c r="B6" s="32"/>
      <c r="C6" s="33">
        <f>'Biweekly Time Sheet'!H$23</f>
        <v>0</v>
      </c>
      <c r="D6" s="32"/>
    </row>
    <row r="7" spans="1:4" x14ac:dyDescent="0.4">
      <c r="A7" s="32" t="s">
        <v>33</v>
      </c>
      <c r="B7" s="32"/>
      <c r="C7" s="33">
        <f>'Biweekly Time Sheet'!I$23</f>
        <v>16</v>
      </c>
      <c r="D7" s="32"/>
    </row>
    <row r="8" spans="1:4" x14ac:dyDescent="0.4">
      <c r="A8" s="32" t="s">
        <v>34</v>
      </c>
      <c r="B8" s="32"/>
      <c r="C8" s="33">
        <f>'Biweekly Time Sheet'!J$23</f>
        <v>8</v>
      </c>
      <c r="D8" s="32"/>
    </row>
    <row r="9" spans="1:4" x14ac:dyDescent="0.4">
      <c r="A9" s="32" t="s">
        <v>47</v>
      </c>
      <c r="B9" s="32"/>
      <c r="C9" s="33">
        <f>'Biweekly Time Sheet'!K$23</f>
        <v>0</v>
      </c>
      <c r="D9" s="32"/>
    </row>
    <row r="10" spans="1:4" x14ac:dyDescent="0.4">
      <c r="A10" s="32" t="s">
        <v>35</v>
      </c>
      <c r="B10" s="32"/>
      <c r="C10" s="34">
        <f>'Biweekly Expense Report CAD'!P24</f>
        <v>420</v>
      </c>
      <c r="D10" s="32" t="s">
        <v>37</v>
      </c>
    </row>
    <row r="11" spans="1:4" x14ac:dyDescent="0.4">
      <c r="A11" s="32" t="s">
        <v>36</v>
      </c>
      <c r="B11" s="32"/>
      <c r="C11" s="34">
        <f>'Biweekly Expense Report USD'!P24</f>
        <v>0</v>
      </c>
      <c r="D11" s="32" t="s">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056D306BF14A42A1FD4136D0D4646D" ma:contentTypeVersion="0" ma:contentTypeDescription="Create a new document." ma:contentTypeScope="" ma:versionID="62c3d23f2889b5d493e98ce6d883458f">
  <xsd:schema xmlns:xsd="http://www.w3.org/2001/XMLSchema" xmlns:xs="http://www.w3.org/2001/XMLSchema" xmlns:p="http://schemas.microsoft.com/office/2006/metadata/properties" targetNamespace="http://schemas.microsoft.com/office/2006/metadata/properties" ma:root="true" ma:fieldsID="b22e68a0580b5fcd377f70013429e8d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6D0370-7099-44EA-8ECA-A11DD898535D}">
  <ds:schemaRefs>
    <ds:schemaRef ds:uri="http://schemas.microsoft.com/sharepoint/v3/contenttype/forms"/>
  </ds:schemaRefs>
</ds:datastoreItem>
</file>

<file path=customXml/itemProps2.xml><?xml version="1.0" encoding="utf-8"?>
<ds:datastoreItem xmlns:ds="http://schemas.openxmlformats.org/officeDocument/2006/customXml" ds:itemID="{39C45281-76EC-40AF-9B05-6C03C786CAB1}">
  <ds:schemaRefs>
    <ds:schemaRef ds:uri="http://schemas.microsoft.com/office/2006/metadata/properties"/>
    <ds:schemaRef ds:uri="http://www.w3.org/2000/xmlns/"/>
    <ds:schemaRef ds:uri="http://schemas.microsoft.com/office/infopath/2007/PartnerControls"/>
  </ds:schemaRefs>
</ds:datastoreItem>
</file>

<file path=customXml/itemProps3.xml><?xml version="1.0" encoding="utf-8"?>
<ds:datastoreItem xmlns:ds="http://schemas.openxmlformats.org/officeDocument/2006/customXml" ds:itemID="{7419FBFA-D69D-4F9F-BCA7-9B21D27048EA}">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Drew Alkemade</cp:lastModifiedBy>
  <cp:lastPrinted>2018-03-15T16:37:49Z</cp:lastPrinted>
  <dcterms:created xsi:type="dcterms:W3CDTF">2017-09-11T06:48:50Z</dcterms:created>
  <dcterms:modified xsi:type="dcterms:W3CDTF">2026-03-05T19:26:02Z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0x01010055056D306BF14A42A1FD4136D0D4646D</vt:lpwstr>
  </property>
</Properties>
</file>