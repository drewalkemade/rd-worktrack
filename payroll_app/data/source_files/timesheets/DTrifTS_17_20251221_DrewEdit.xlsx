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showInkAnnotation="0"/>
  <mc:AlternateContent xmlns:mc="http://schemas.openxmlformats.org/markup-compatibility/2006">
    <mc:Choice Requires="x15">
      <x15ac:absPath xmlns:x15ac="http://schemas.microsoft.com/office/spreadsheetml/2010/11/ac" url="https://d.docs.live.net/cd94f35454ffe4a7/02 R^0D Controls Corp/CENTERLINE/_Approved Hours/OCR/timesheets/20251221/"/>
    </mc:Choice>
  </mc:AlternateContent>
  <xr:revisionPtr revIDLastSave="0" documentId="8_{549EB257-7439-4FD6-83EE-8BC9A21DF7D9}" xr6:coauthVersionLast="47" xr6:coauthVersionMax="47" xr10:uidLastSave="{00000000-0000-0000-0000-000000000000}"/>
  <bookViews>
    <workbookView xWindow="-120" yWindow="-120" windowWidth="38640" windowHeight="21120" tabRatio="529" xr2:uid="{00000000-000D-0000-FFFF-FFFF00000000}"/>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s="1"/>
  <c r="D27" i="5"/>
  <c r="D27" i="3"/>
  <c r="C12" i="1"/>
  <c r="B12" i="1" s="1"/>
  <c r="M24" i="5"/>
  <c r="L24" i="5"/>
  <c r="K24" i="5"/>
  <c r="J24" i="5"/>
  <c r="I24" i="5"/>
  <c r="H24" i="5"/>
  <c r="G24" i="5"/>
  <c r="F24" i="5"/>
  <c r="E24" i="5"/>
  <c r="D24" i="5"/>
  <c r="P23" i="5"/>
  <c r="P22" i="5"/>
  <c r="P21" i="5"/>
  <c r="P20" i="5"/>
  <c r="P19" i="5"/>
  <c r="P18" i="5"/>
  <c r="P17" i="5"/>
  <c r="P16" i="5"/>
  <c r="P15" i="5"/>
  <c r="P14" i="5"/>
  <c r="P13" i="5"/>
  <c r="P24" i="5" s="1"/>
  <c r="C11" i="4" s="1"/>
  <c r="P12" i="5"/>
  <c r="P11" i="5"/>
  <c r="P10" i="5"/>
  <c r="L4" i="5"/>
  <c r="C21" i="5" s="1"/>
  <c r="B21" i="5" s="1"/>
  <c r="L3" i="5"/>
  <c r="P23" i="3"/>
  <c r="P22" i="3"/>
  <c r="P21" i="3"/>
  <c r="P20" i="3"/>
  <c r="P19" i="3"/>
  <c r="P18" i="3"/>
  <c r="P17" i="3"/>
  <c r="P16" i="3"/>
  <c r="P15" i="3"/>
  <c r="P14" i="3"/>
  <c r="P13" i="3"/>
  <c r="P12" i="3"/>
  <c r="P11" i="3"/>
  <c r="P24" i="3" s="1"/>
  <c r="C10" i="4" s="1"/>
  <c r="P10" i="3"/>
  <c r="L4" i="3"/>
  <c r="L3" i="3"/>
  <c r="H24" i="3"/>
  <c r="G24" i="3"/>
  <c r="F24" i="3"/>
  <c r="E24" i="3"/>
  <c r="C14" i="5"/>
  <c r="B14" i="5"/>
  <c r="C19" i="5"/>
  <c r="B19" i="5" s="1"/>
  <c r="C11" i="5"/>
  <c r="B11" i="5"/>
  <c r="C16" i="5"/>
  <c r="B16" i="5"/>
  <c r="C22" i="5"/>
  <c r="B22" i="5"/>
  <c r="C17" i="5"/>
  <c r="B17" i="5" s="1"/>
  <c r="C12" i="5"/>
  <c r="B12" i="5"/>
  <c r="C20" i="5"/>
  <c r="B20" i="5" s="1"/>
  <c r="C15" i="5"/>
  <c r="B15" i="5"/>
  <c r="C23" i="5"/>
  <c r="B23" i="5" s="1"/>
  <c r="C10" i="5"/>
  <c r="B10" i="5"/>
  <c r="C18" i="5"/>
  <c r="B18" i="5" s="1"/>
  <c r="C13" i="5"/>
  <c r="B13" i="5"/>
  <c r="C23" i="3"/>
  <c r="B23" i="3"/>
  <c r="M24" i="3"/>
  <c r="L24" i="3"/>
  <c r="K24" i="3"/>
  <c r="J24" i="3"/>
  <c r="I24" i="3"/>
  <c r="D24" i="3"/>
  <c r="C15" i="3"/>
  <c r="B15" i="3"/>
  <c r="C21" i="3"/>
  <c r="B21" i="3" s="1"/>
  <c r="C20" i="3"/>
  <c r="B20" i="3"/>
  <c r="C14" i="3"/>
  <c r="B14" i="3" s="1"/>
  <c r="C17" i="3"/>
  <c r="B17" i="3"/>
  <c r="C11" i="3"/>
  <c r="B11" i="3"/>
  <c r="C12" i="3"/>
  <c r="B12" i="3"/>
  <c r="C18" i="3"/>
  <c r="B18" i="3" s="1"/>
  <c r="C10" i="3"/>
  <c r="B10" i="3"/>
  <c r="C22" i="3"/>
  <c r="B22" i="3" s="1"/>
  <c r="C16" i="3"/>
  <c r="B16" i="3"/>
  <c r="C19" i="3"/>
  <c r="B19" i="3" s="1"/>
  <c r="C13" i="3"/>
  <c r="B13" i="3"/>
  <c r="J23" i="1"/>
  <c r="C8" i="4" s="1"/>
  <c r="I23" i="1"/>
  <c r="C7" i="4" s="1"/>
  <c r="H23" i="1"/>
  <c r="C6" i="4"/>
  <c r="G23" i="1"/>
  <c r="C5" i="4"/>
  <c r="F23" i="1"/>
  <c r="C4" i="4"/>
  <c r="E23" i="1"/>
  <c r="C3" i="4" s="1"/>
  <c r="D23" i="1"/>
  <c r="H5" i="1"/>
  <c r="L5" i="5"/>
  <c r="L5" i="3"/>
  <c r="C11" i="1"/>
  <c r="B11" i="1"/>
  <c r="C22" i="1"/>
  <c r="C21" i="1"/>
  <c r="B21" i="1" s="1"/>
  <c r="C20" i="1"/>
  <c r="B20" i="1" s="1"/>
  <c r="C19" i="1"/>
  <c r="B19" i="1"/>
  <c r="C18" i="1"/>
  <c r="B18" i="1"/>
  <c r="C17" i="1"/>
  <c r="B17" i="1" s="1"/>
  <c r="C16" i="1"/>
  <c r="B16" i="1" s="1"/>
  <c r="C15" i="1"/>
  <c r="B15" i="1"/>
  <c r="C14" i="1"/>
  <c r="B14" i="1" s="1"/>
  <c r="C13" i="1"/>
  <c r="B13" i="1"/>
  <c r="C10" i="1"/>
  <c r="B10" i="1"/>
  <c r="C9" i="1"/>
  <c r="B9" i="1"/>
  <c r="B22" i="1"/>
  <c r="L26" i="1"/>
  <c r="P27" i="3"/>
  <c r="P27" i="5"/>
  <c r="L23" i="1" l="1"/>
  <c r="C2" i="4"/>
</calcChain>
</file>

<file path=xl/sharedStrings.xml><?xml version="1.0" encoding="utf-8"?>
<sst xmlns="http://schemas.openxmlformats.org/spreadsheetml/2006/main" count="84" uniqueCount="50">
  <si>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</si>
  <si>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</si>
  <si>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</si>
  <si>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</si>
  <si>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</si>
  <si>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</si>
  <si>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</si>
  <si>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</si>
  <si>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</si>
  <si>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</si>
  <si>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</si>
  <si>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</si>
  <si>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</si>
  <si>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</si>
  <si>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</si>
  <si>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</si>
  <si>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</si>
  <si>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</si>
  <si>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</si>
  <si>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</si>
  <si>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</si>
  <si>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</si>
  <si>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</si>
  <si>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</si>
  <si>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</si>
  <si>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</si>
  <si>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</si>
  <si>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</si>
  <si>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</si>
  <si>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</si>
  <si>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</si>
  <si>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</si>
  <si>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</si>
  <si>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</si>
  <si>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</si>
  <si>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</si>
  <si>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</si>
  <si>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</si>
  <si>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</si>
  <si>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</si>
  <si>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</si>
  <si>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</si>
  <si>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</si>
  <si>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</si>
  <si>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</si>
  <si>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</si>
  <si>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</si>
  <si>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</si>
  <si>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Daniel Trif</t>
  </si>
  <si>
    <t>CL Approved 11.5hrs (6:30-18:30)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</si>
</sst>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_);_(* \(#,##0\);_(* &quot;-&quot;_);_(@_)"/>
    <numFmt numFmtId="165" formatCode="&quot;$&quot;#,##0.00"/>
    <numFmt numFmtId="166" formatCode="[&lt;=9999999]###\-####;\(###\)\ ###\-####"/>
    <numFmt numFmtId="167" formatCode="&quot;$&quot;#,##0"/>
    <numFmt numFmtId="168"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5" fontId="4" fillId="0" borderId="0" applyFill="0" applyBorder="0" applyProtection="0">
      <alignment horizontal="right" vertical="center" indent="1"/>
    </xf>
    <xf numFmtId="2" fontId="4" fillId="0" borderId="0" applyFont="0" applyFill="0" applyBorder="0" applyProtection="0">
      <alignment horizontal="right" vertical="center" indent="1"/>
    </xf>
    <xf numFmtId="164" fontId="4" fillId="0" borderId="0" applyFont="0" applyFill="0" applyBorder="0" applyAlignment="0" applyProtection="0"/>
    <xf numFmtId="167"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6"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65">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5" fontId="0" fillId="0" borderId="3" xfId="2" applyNumberFormat="1" applyFont="1" applyBorder="1">
      <alignment horizontal="right" vertical="center" indent="1"/>
    </xf>
    <xf numFmtId="165" fontId="0" fillId="6" borderId="3" xfId="2" applyNumberFormat="1" applyFont="1" applyFill="1" applyBorder="1">
      <alignment horizontal="right" vertical="center" indent="1"/>
    </xf>
    <xf numFmtId="165" fontId="0" fillId="0" borderId="6" xfId="2" applyNumberFormat="1" applyFont="1" applyBorder="1">
      <alignment horizontal="right" vertical="center" indent="1"/>
    </xf>
    <xf numFmtId="165" fontId="0" fillId="0" borderId="7" xfId="2" applyNumberFormat="1" applyFont="1" applyBorder="1">
      <alignment horizontal="right" vertical="center" indent="1"/>
    </xf>
    <xf numFmtId="165" fontId="0" fillId="0" borderId="8" xfId="2" applyNumberFormat="1" applyFont="1" applyBorder="1">
      <alignment horizontal="right" vertical="center" indent="1"/>
    </xf>
    <xf numFmtId="165" fontId="6" fillId="2" borderId="9" xfId="11" applyNumberFormat="1" applyBorder="1">
      <alignment horizontal="right" vertical="center" indent="1"/>
    </xf>
    <xf numFmtId="165" fontId="6" fillId="2" borderId="10" xfId="11" applyNumberFormat="1" applyBorder="1">
      <alignment horizontal="right" vertical="center" indent="1"/>
    </xf>
    <xf numFmtId="165" fontId="6" fillId="2" borderId="11" xfId="11" applyNumberFormat="1" applyBorder="1">
      <alignment horizontal="right" vertical="center" indent="1"/>
    </xf>
    <xf numFmtId="165"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5" fontId="10" fillId="5" borderId="0" xfId="21" applyNumberFormat="1" applyFont="1" applyAlignment="1">
      <alignment horizontal="right" vertical="center" indent="1"/>
    </xf>
    <xf numFmtId="0" fontId="11" fillId="0" borderId="0" xfId="0" applyFont="1" applyAlignment="1">
      <alignment horizontal="right" vertical="center" indent="1"/>
    </xf>
    <xf numFmtId="168" fontId="6" fillId="0" borderId="0" xfId="11" applyNumberFormat="1" applyFill="1" applyBorder="1">
      <alignment horizontal="right" vertical="center" indent="1"/>
    </xf>
    <xf numFmtId="165" fontId="6" fillId="0" borderId="0" xfId="11" applyNumberFormat="1" applyFill="1" applyBorder="1">
      <alignment horizontal="right" vertical="center" indent="1"/>
    </xf>
    <xf numFmtId="165" fontId="6" fillId="2" borderId="21" xfId="11" applyNumberFormat="1" applyBorder="1">
      <alignment horizontal="right" vertical="center" indent="1"/>
    </xf>
    <xf numFmtId="0" fontId="6" fillId="4" borderId="22" xfId="20" applyFont="1" applyFill="1" applyBorder="1">
      <alignment horizontal="center" vertical="center"/>
    </xf>
    <xf numFmtId="165" fontId="0" fillId="6" borderId="23" xfId="2" applyNumberFormat="1" applyFont="1" applyFill="1" applyBorder="1">
      <alignment horizontal="right" vertical="center" indent="1"/>
    </xf>
    <xf numFmtId="168" fontId="0" fillId="0" borderId="1" xfId="2" applyNumberFormat="1" applyFont="1" applyBorder="1">
      <alignment horizontal="right" vertical="center" indent="1"/>
    </xf>
    <xf numFmtId="165"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2" fontId="0" fillId="0" borderId="3" xfId="2" applyFont="1" applyBorder="1" applyProtection="1">
      <alignment horizontal="right" vertical="center" indent="1"/>
    </xf>
    <xf numFmtId="2" fontId="0" fillId="6" borderId="3" xfId="2" applyFont="1" applyFill="1" applyBorder="1" applyProtection="1">
      <alignment horizontal="right" vertical="center" indent="1"/>
    </xf>
    <xf numFmtId="165" fontId="0" fillId="0" borderId="6" xfId="2" applyNumberFormat="1" applyFont="1" applyBorder="1" applyProtection="1">
      <alignment horizontal="right" vertical="center" indent="1"/>
    </xf>
    <xf numFmtId="165" fontId="0" fillId="6" borderId="3" xfId="2" applyNumberFormat="1" applyFont="1" applyFill="1" applyBorder="1" applyProtection="1">
      <alignment horizontal="right" vertical="center" indent="1"/>
    </xf>
    <xf numFmtId="165" fontId="0" fillId="0" borderId="7" xfId="2" applyNumberFormat="1" applyFont="1" applyBorder="1" applyProtection="1">
      <alignment horizontal="right" vertical="center" indent="1"/>
    </xf>
    <xf numFmtId="165" fontId="0" fillId="0" borderId="3" xfId="2" applyNumberFormat="1" applyFont="1" applyBorder="1" applyProtection="1">
      <alignment horizontal="righ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0" fillId="0" borderId="2" xfId="18" applyFont="1" applyAlignment="1">
      <alignment horizontal="lef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6000000}"/>
    <cellStyle name="Date Fill" xfId="19" xr:uid="{00000000-0005-0000-0000-000007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D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2000000}"/>
    <cellStyle name="Table heading center align" xfId="20" xr:uid="{00000000-0005-0000-0000-000013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642938</xdr:colOff>
      <xdr:row>6</xdr:row>
      <xdr:rowOff>13525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topLeftCell="B1" zoomScale="70" zoomScaleNormal="70" workbookViewId="0">
      <selection activeCell="D13" sqref="D13"/>
    </sheetView>
  </sheetViews>
  <sheetFormatPr defaultRowHeight="30" customHeight="1" x14ac:dyDescent="0.3"/>
  <cols>
    <col min="1" max="1" width="2.625" customWidth="1"/>
    <col min="2" max="4" width="16.625" customWidth="1"/>
    <col min="5" max="5" width="18.125" bestFit="1" customWidth="1"/>
    <col min="6" max="6" width="18.5" bestFit="1" customWidth="1"/>
    <col min="7" max="8" width="16.75" customWidth="1"/>
    <col min="9" max="11" width="16.625" customWidth="1"/>
    <col min="12" max="12" width="18.625" customWidth="1"/>
    <col min="13" max="13" width="2.625" customWidth="1"/>
    <col min="15" max="15" width="62.25" customWidth="1"/>
  </cols>
  <sheetData>
    <row r="1" spans="2:15" ht="55.5" customHeight="1" x14ac:dyDescent="0.4">
      <c r="B1" s="54" t="s">
        <v>14</v>
      </c>
      <c r="C1" s="54"/>
      <c r="D1" s="54"/>
      <c r="E1" s="54"/>
      <c r="F1" s="54"/>
      <c r="G1" s="54"/>
      <c r="H1" s="54"/>
      <c r="I1" s="54"/>
      <c r="J1" s="54"/>
      <c r="K1" s="54"/>
      <c r="L1" s="54"/>
    </row>
    <row r="2" spans="2:15" ht="42.75" customHeight="1" x14ac:dyDescent="0.3">
      <c r="B2" s="1"/>
      <c r="C2" s="1"/>
      <c r="D2" s="1"/>
    </row>
    <row r="3" spans="2:15" ht="30" customHeight="1" x14ac:dyDescent="0.3">
      <c r="C3" s="53"/>
      <c r="D3" s="53"/>
      <c r="G3" s="4" t="s">
        <v>0</v>
      </c>
      <c r="H3" s="57" t="s">
        <v>48</v>
      </c>
      <c r="I3" s="57"/>
      <c r="J3" s="57"/>
      <c r="K3" s="57"/>
      <c r="L3" s="57"/>
    </row>
    <row r="4" spans="2:15" ht="30" customHeight="1" x14ac:dyDescent="0.3">
      <c r="G4" s="5" t="s">
        <v>6</v>
      </c>
      <c r="H4" s="58">
        <v>45999</v>
      </c>
      <c r="I4" s="58"/>
      <c r="J4" s="58"/>
      <c r="K4" s="58"/>
      <c r="L4" s="58"/>
    </row>
    <row r="5" spans="2:15" ht="30" customHeight="1" x14ac:dyDescent="0.3">
      <c r="G5" s="5" t="s">
        <v>7</v>
      </c>
      <c r="H5" s="52">
        <f>IFERROR(IF($H$4="","",$H$4+13), "")</f>
        <v>46012</v>
      </c>
      <c r="I5" s="52"/>
      <c r="J5" s="52"/>
      <c r="K5" s="52"/>
      <c r="L5" s="52"/>
    </row>
    <row r="6" spans="2:15" ht="30" customHeight="1" x14ac:dyDescent="0.3">
      <c r="J6" s="53"/>
      <c r="K6" s="53"/>
      <c r="L6" s="53"/>
    </row>
    <row r="7" spans="2:15" ht="15" customHeight="1" x14ac:dyDescent="0.3"/>
    <row r="8" spans="2:15" ht="30" customHeight="1" x14ac:dyDescent="0.3">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3">
      <c r="B9" s="8" t="str">
        <f>IFERROR(TEXT('Biweekly Time Sheet'!$C9,"aaaa"), "")</f>
        <v>Monday</v>
      </c>
      <c r="C9" s="11">
        <f>H4</f>
        <v>45999</v>
      </c>
      <c r="D9" s="46">
        <v>10</v>
      </c>
      <c r="E9" s="47"/>
      <c r="F9" s="46"/>
      <c r="G9" s="47">
        <v>2</v>
      </c>
      <c r="H9" s="12"/>
      <c r="I9" s="13"/>
      <c r="J9" s="12"/>
      <c r="K9" s="13"/>
      <c r="L9" s="43">
        <f>IFERROR(SUM(D9:K9), "")</f>
        <v>12</v>
      </c>
      <c r="O9" s="44"/>
    </row>
    <row r="10" spans="2:15" ht="30" customHeight="1" x14ac:dyDescent="0.3">
      <c r="B10" s="8" t="str">
        <f>IFERROR(TEXT('Biweekly Time Sheet'!$C10,"aaaa"), "")</f>
        <v>Tuesday</v>
      </c>
      <c r="C10" s="11">
        <f>IF($H$4="","",$H$4+1)</f>
        <v>46000</v>
      </c>
      <c r="D10" s="46">
        <v>9.5</v>
      </c>
      <c r="E10" s="47"/>
      <c r="F10" s="46"/>
      <c r="G10" s="47">
        <v>2</v>
      </c>
      <c r="H10" s="12"/>
      <c r="I10" s="47"/>
      <c r="J10" s="12"/>
      <c r="K10" s="13"/>
      <c r="L10" s="43">
        <f t="shared" ref="L10:L22" si="0">IFERROR(SUM(D10:K10), "")</f>
        <v>11.5</v>
      </c>
      <c r="O10" s="44" t="s">
        <v>49</v>
      </c>
    </row>
    <row r="11" spans="2:15" ht="30" customHeight="1" x14ac:dyDescent="0.3">
      <c r="B11" s="8" t="str">
        <f>IFERROR(TEXT('Biweekly Time Sheet'!$C11,"aaaa"), "")</f>
        <v>Wednesday</v>
      </c>
      <c r="C11" s="11">
        <f>IF($H$4="","",$H$4+2)</f>
        <v>46001</v>
      </c>
      <c r="D11" s="46">
        <v>8.5</v>
      </c>
      <c r="E11" s="47"/>
      <c r="F11" s="46"/>
      <c r="G11" s="47"/>
      <c r="H11" s="12"/>
      <c r="I11" s="47"/>
      <c r="J11" s="12"/>
      <c r="K11" s="13"/>
      <c r="L11" s="43">
        <f t="shared" si="0"/>
        <v>8.5</v>
      </c>
      <c r="O11" s="44"/>
    </row>
    <row r="12" spans="2:15" ht="30" customHeight="1" x14ac:dyDescent="0.3">
      <c r="B12" s="8" t="str">
        <f>IFERROR(TEXT('Biweekly Time Sheet'!$C12,"aaaa"), "")</f>
        <v>Thursday</v>
      </c>
      <c r="C12" s="11">
        <f>IF($H$4="","",$H$4+3)</f>
        <v>46002</v>
      </c>
      <c r="D12" s="46">
        <v>10</v>
      </c>
      <c r="E12" s="47"/>
      <c r="F12" s="46"/>
      <c r="G12" s="47"/>
      <c r="H12" s="12"/>
      <c r="I12" s="47"/>
      <c r="J12" s="12"/>
      <c r="K12" s="13"/>
      <c r="L12" s="43">
        <f t="shared" si="0"/>
        <v>10</v>
      </c>
      <c r="O12" s="44"/>
    </row>
    <row r="13" spans="2:15" ht="30" customHeight="1" x14ac:dyDescent="0.3">
      <c r="B13" s="8" t="str">
        <f>IFERROR(TEXT('Biweekly Time Sheet'!$C13,"aaaa"), "")</f>
        <v>Friday</v>
      </c>
      <c r="C13" s="11">
        <f>IF($H$4="","",$H$4+4)</f>
        <v>46003</v>
      </c>
      <c r="D13" s="46">
        <v>2</v>
      </c>
      <c r="E13" s="47">
        <v>6.5</v>
      </c>
      <c r="F13" s="46"/>
      <c r="G13" s="47"/>
      <c r="H13" s="12"/>
      <c r="I13" s="47"/>
      <c r="J13" s="12"/>
      <c r="K13" s="13"/>
      <c r="L13" s="43">
        <f t="shared" si="0"/>
        <v>8.5</v>
      </c>
      <c r="O13" s="44"/>
    </row>
    <row r="14" spans="2:15" ht="30" customHeight="1" x14ac:dyDescent="0.3">
      <c r="B14" s="8" t="str">
        <f>IFERROR(TEXT('Biweekly Time Sheet'!$C14,"aaaa"), "")</f>
        <v>Saturday</v>
      </c>
      <c r="C14" s="11">
        <f>IF($H$4="","",$H$4+5)</f>
        <v>46004</v>
      </c>
      <c r="D14" s="46"/>
      <c r="E14" s="13"/>
      <c r="F14" s="12"/>
      <c r="G14" s="13"/>
      <c r="H14" s="12"/>
      <c r="I14" s="13"/>
      <c r="J14" s="12"/>
      <c r="K14" s="13"/>
      <c r="L14" s="43">
        <f t="shared" si="0"/>
        <v>0</v>
      </c>
      <c r="O14" s="44"/>
    </row>
    <row r="15" spans="2:15" ht="30" customHeight="1" x14ac:dyDescent="0.3">
      <c r="B15" s="8" t="str">
        <f>IFERROR(TEXT('Biweekly Time Sheet'!$C15,"aaaa"), "")</f>
        <v>Sunday</v>
      </c>
      <c r="C15" s="11">
        <f>IF($H$4="","",$H$4+6)</f>
        <v>46005</v>
      </c>
      <c r="D15" s="46"/>
      <c r="E15" s="13"/>
      <c r="F15" s="12"/>
      <c r="G15" s="13"/>
      <c r="H15" s="12"/>
      <c r="I15" s="13"/>
      <c r="J15" s="12"/>
      <c r="K15" s="13"/>
      <c r="L15" s="43">
        <f t="shared" si="0"/>
        <v>0</v>
      </c>
      <c r="O15" s="44"/>
    </row>
    <row r="16" spans="2:15" ht="30" customHeight="1" x14ac:dyDescent="0.3">
      <c r="B16" s="8" t="str">
        <f>IFERROR(TEXT('Biweekly Time Sheet'!$C16,"aaaa"), "")</f>
        <v>Monday</v>
      </c>
      <c r="C16" s="11">
        <f>IF($H$4="","",$H$4+7)</f>
        <v>46006</v>
      </c>
      <c r="D16" s="46">
        <v>9.25</v>
      </c>
      <c r="E16" s="47"/>
      <c r="F16" s="46"/>
      <c r="G16" s="47"/>
      <c r="H16" s="46"/>
      <c r="I16" s="13"/>
      <c r="J16" s="12"/>
      <c r="K16" s="13"/>
      <c r="L16" s="43">
        <f t="shared" si="0"/>
        <v>9.25</v>
      </c>
      <c r="O16" s="44"/>
    </row>
    <row r="17" spans="2:15" ht="30" customHeight="1" x14ac:dyDescent="0.3">
      <c r="B17" s="8" t="str">
        <f>IFERROR(TEXT('Biweekly Time Sheet'!$C17,"aaaa"), "")</f>
        <v>Tuesday</v>
      </c>
      <c r="C17" s="11">
        <f>IF($H$4="","",$H$4+8)</f>
        <v>46007</v>
      </c>
      <c r="D17" s="46">
        <v>9.5</v>
      </c>
      <c r="E17" s="47"/>
      <c r="F17" s="46"/>
      <c r="G17" s="47"/>
      <c r="H17" s="46"/>
      <c r="I17" s="47"/>
      <c r="J17" s="12"/>
      <c r="K17" s="13"/>
      <c r="L17" s="43">
        <f t="shared" si="0"/>
        <v>9.5</v>
      </c>
      <c r="O17" s="44"/>
    </row>
    <row r="18" spans="2:15" ht="30" customHeight="1" x14ac:dyDescent="0.3">
      <c r="B18" s="8" t="str">
        <f>IFERROR(TEXT('Biweekly Time Sheet'!$C18,"aaaa"), "")</f>
        <v>Wednesday</v>
      </c>
      <c r="C18" s="11">
        <f>IF($H$4="","",$H$4+9)</f>
        <v>46008</v>
      </c>
      <c r="D18" s="46">
        <v>8.5</v>
      </c>
      <c r="E18" s="47"/>
      <c r="F18" s="46"/>
      <c r="G18" s="47"/>
      <c r="H18" s="46"/>
      <c r="I18" s="47"/>
      <c r="J18" s="12"/>
      <c r="K18" s="13"/>
      <c r="L18" s="43">
        <f t="shared" si="0"/>
        <v>8.5</v>
      </c>
      <c r="O18" s="44"/>
    </row>
    <row r="19" spans="2:15" ht="30" customHeight="1" x14ac:dyDescent="0.3">
      <c r="B19" s="8" t="str">
        <f>IFERROR(TEXT('Biweekly Time Sheet'!$C19,"aaaa"), "")</f>
        <v>Thursday</v>
      </c>
      <c r="C19" s="11">
        <f>IF($H$4="","",$H$4+10)</f>
        <v>46009</v>
      </c>
      <c r="D19" s="46">
        <v>8</v>
      </c>
      <c r="E19" s="47"/>
      <c r="F19" s="46"/>
      <c r="G19" s="47"/>
      <c r="H19" s="46"/>
      <c r="I19" s="47"/>
      <c r="J19" s="12"/>
      <c r="K19" s="13"/>
      <c r="L19" s="43">
        <f t="shared" si="0"/>
        <v>8</v>
      </c>
      <c r="O19" s="44"/>
    </row>
    <row r="20" spans="2:15" ht="30" customHeight="1" x14ac:dyDescent="0.3">
      <c r="B20" s="8" t="str">
        <f>IFERROR(TEXT('Biweekly Time Sheet'!$C20,"aaaa"), "")</f>
        <v>Friday</v>
      </c>
      <c r="C20" s="11">
        <f>IF($H$4="","",$H$4+11)</f>
        <v>46010</v>
      </c>
      <c r="D20" s="46">
        <v>4.75</v>
      </c>
      <c r="E20" s="47">
        <v>3.5</v>
      </c>
      <c r="F20" s="46"/>
      <c r="G20" s="47"/>
      <c r="H20" s="46"/>
      <c r="I20" s="47"/>
      <c r="J20" s="12"/>
      <c r="K20" s="13"/>
      <c r="L20" s="43">
        <f t="shared" si="0"/>
        <v>8.25</v>
      </c>
      <c r="O20" s="44"/>
    </row>
    <row r="21" spans="2:15" ht="30" customHeight="1" x14ac:dyDescent="0.3">
      <c r="B21" s="8" t="str">
        <f>IFERROR(TEXT('Biweekly Time Sheet'!$C21,"aaaa"), "")</f>
        <v>Saturday</v>
      </c>
      <c r="C21" s="11">
        <f>IF($H$4="","",$H$4+12)</f>
        <v>46011</v>
      </c>
      <c r="D21" s="46"/>
      <c r="E21" s="47">
        <v>8</v>
      </c>
      <c r="F21" s="46"/>
      <c r="G21" s="47">
        <v>4</v>
      </c>
      <c r="H21" s="46"/>
      <c r="I21" s="13"/>
      <c r="J21" s="12"/>
      <c r="K21" s="13"/>
      <c r="L21" s="43">
        <f t="shared" si="0"/>
        <v>12</v>
      </c>
      <c r="O21" s="44"/>
    </row>
    <row r="22" spans="2:15" ht="30" customHeight="1" x14ac:dyDescent="0.3">
      <c r="B22" s="14" t="str">
        <f>IFERROR(TEXT('Biweekly Time Sheet'!$C22,"aaaa"), "")</f>
        <v>Sunday</v>
      </c>
      <c r="C22" s="15">
        <f>IF($H$4="","",$H$4+13)</f>
        <v>46012</v>
      </c>
      <c r="D22" s="46"/>
      <c r="E22" s="47"/>
      <c r="F22" s="46">
        <v>10</v>
      </c>
      <c r="G22" s="47"/>
      <c r="H22" s="46"/>
      <c r="I22" s="17"/>
      <c r="J22" s="16"/>
      <c r="K22" s="17"/>
      <c r="L22" s="43">
        <f t="shared" si="0"/>
        <v>10</v>
      </c>
      <c r="O22" s="44"/>
    </row>
    <row r="23" spans="2:15" ht="30" customHeight="1" x14ac:dyDescent="0.3">
      <c r="C23" s="2" t="s">
        <v>5</v>
      </c>
      <c r="D23" s="3">
        <f t="shared" ref="D23:K23" si="1">IFERROR(SUM(D9:D22), "")</f>
        <v>80</v>
      </c>
      <c r="E23" s="3">
        <f t="shared" si="1"/>
        <v>18</v>
      </c>
      <c r="F23" s="3">
        <f t="shared" si="1"/>
        <v>10</v>
      </c>
      <c r="G23" s="3">
        <f t="shared" si="1"/>
        <v>8</v>
      </c>
      <c r="H23" s="3">
        <f t="shared" si="1"/>
        <v>0</v>
      </c>
      <c r="I23" s="3">
        <f t="shared" si="1"/>
        <v>0</v>
      </c>
      <c r="J23" s="3">
        <f t="shared" si="1"/>
        <v>0</v>
      </c>
      <c r="K23" s="3">
        <f t="shared" si="1"/>
        <v>0</v>
      </c>
      <c r="L23" s="3">
        <f>IFERROR(SUM(D23:K23), "")</f>
        <v>116</v>
      </c>
    </row>
    <row r="24" spans="2:15" ht="30" customHeight="1" x14ac:dyDescent="0.3">
      <c r="D24" s="53"/>
      <c r="E24" s="53"/>
      <c r="F24" s="53"/>
      <c r="G24" s="53"/>
      <c r="H24" s="53"/>
      <c r="I24" s="53"/>
      <c r="J24" s="53"/>
    </row>
    <row r="25" spans="2:15" ht="30" customHeight="1" x14ac:dyDescent="0.3">
      <c r="D25" s="53"/>
      <c r="E25" s="53"/>
      <c r="F25" s="53"/>
      <c r="G25" s="53"/>
      <c r="H25" s="53"/>
      <c r="I25" s="53"/>
      <c r="J25" s="53"/>
    </row>
    <row r="26" spans="2:15" ht="30" customHeight="1" x14ac:dyDescent="0.3">
      <c r="D26" s="55" t="s">
        <v>48</v>
      </c>
      <c r="E26" s="56"/>
      <c r="F26" s="56"/>
      <c r="G26" s="56"/>
      <c r="H26" s="56"/>
      <c r="I26" s="56"/>
      <c r="J26" s="56"/>
      <c r="K26" s="7"/>
      <c r="L26" s="6">
        <f>C22</f>
        <v>46012</v>
      </c>
    </row>
    <row r="27" spans="2:15" ht="30" customHeight="1" x14ac:dyDescent="0.3">
      <c r="D27" s="53" t="s">
        <v>8</v>
      </c>
      <c r="E27" s="53"/>
      <c r="F27" s="53"/>
      <c r="G27" s="53"/>
      <c r="H27" s="53"/>
      <c r="I27" s="53"/>
      <c r="J27" s="53"/>
      <c r="L27" t="s">
        <v>9</v>
      </c>
    </row>
    <row r="28" spans="2:15" ht="30" customHeight="1" x14ac:dyDescent="0.3">
      <c r="L28" s="35" t="s">
        <v>45</v>
      </c>
    </row>
  </sheetData>
  <sheetProtection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649" yWindow="443"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4000000}"/>
    <dataValidation allowBlank="1" showInputMessage="1" showErrorMessage="1" prompt="Enter Employee name in this cell" sqref="H3" xr:uid="{00000000-0002-0000-0000-000005000000}"/>
    <dataValidation allowBlank="1" showInputMessage="1" showErrorMessage="1" prompt="Enter Pay period start date in this cell" sqref="H4" xr:uid="{00000000-0002-0000-0000-000006000000}"/>
    <dataValidation allowBlank="1" showInputMessage="1" showErrorMessage="1" prompt="Enter Pay period end date in cell at right" sqref="G5" xr:uid="{00000000-0002-0000-0000-000007000000}"/>
    <dataValidation allowBlank="1" showInputMessage="1" showErrorMessage="1" prompt="Enter Pay period start date in cell at right" sqref="G4" xr:uid="{00000000-0002-0000-0000-000008000000}"/>
    <dataValidation allowBlank="1" showInputMessage="1" showErrorMessage="1" prompt="Enter Pay period end date in this cell" sqref="H5" xr:uid="{00000000-0002-0000-0000-000009000000}"/>
    <dataValidation allowBlank="1" showInputMessage="1" showErrorMessage="1" prompt="Enter Employee phone number in cell at right" sqref="I6" xr:uid="{00000000-0002-0000-0000-00000A000000}"/>
    <dataValidation allowBlank="1" showInputMessage="1" showErrorMessage="1" prompt="Enter Employee phone number in this cell" sqref="J6:L6" xr:uid="{00000000-0002-0000-0000-00000B000000}"/>
    <dataValidation allowBlank="1" showInputMessage="1" showErrorMessage="1" prompt="Enter Regular Hours in this column under this heading" sqref="D8" xr:uid="{00000000-0002-0000-0000-00000C000000}"/>
    <dataValidation allowBlank="1" showInputMessage="1" showErrorMessage="1" prompt="Date is automatically updated in this column under this heading based on Pay period start and end date in cells G3 and G4" sqref="C8" xr:uid="{00000000-0002-0000-0000-00000D000000}"/>
    <dataValidation allowBlank="1" showInputMessage="1" showErrorMessage="1" prompt="Enter Overtime Hours in this column under this heading" sqref="E8:H8" xr:uid="{00000000-0002-0000-0000-00000E000000}"/>
    <dataValidation allowBlank="1" showInputMessage="1" showErrorMessage="1" prompt="Enter Sick hours in this column under this heading" sqref="I8" xr:uid="{00000000-0002-0000-0000-00000F000000}"/>
    <dataValidation allowBlank="1" showInputMessage="1" showErrorMessage="1" prompt="Enter Vacation hours in this column under this heading" sqref="J8:K8" xr:uid="{00000000-0002-0000-0000-000010000000}"/>
    <dataValidation allowBlank="1" showInputMessage="1" showErrorMessage="1" prompt="Total Hours for each weekday are automatically calculated in this column under this heading" sqref="L8 O8" xr:uid="{00000000-0002-0000-0000-000011000000}"/>
    <dataValidation allowBlank="1" showInputMessage="1" showErrorMessage="1" prompt="Total hours for the entire period are automatically calculated in cells at right" sqref="C23" xr:uid="{00000000-0002-0000-0000-000012000000}"/>
    <dataValidation allowBlank="1" showInputMessage="1" showErrorMessage="1" prompt="Enter Employee Signature in this cell" sqref="D24:K24" xr:uid="{00000000-0002-0000-0000-000013000000}"/>
    <dataValidation allowBlank="1" showInputMessage="1" showErrorMessage="1" prompt="Enter Manager Signature in this cell" sqref="D26:K26" xr:uid="{00000000-0002-0000-0000-000014000000}"/>
    <dataValidation allowBlank="1" showInputMessage="1" showErrorMessage="1" prompt="Enter Date in this cell" sqref="L24 L26" xr:uid="{00000000-0002-0000-0000-000015000000}"/>
    <dataValidation allowBlank="1" showInputMessage="1" showErrorMessage="1" prompt="Enter Street Address in cell at right" sqref="B3" xr:uid="{00000000-0002-0000-0000-000016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B1:P29"/>
  <sheetViews>
    <sheetView showGridLines="0" showZeros="0" topLeftCell="B1" zoomScale="70" zoomScaleNormal="70" workbookViewId="0">
      <selection activeCell="B24" sqref="B24"/>
    </sheetView>
  </sheetViews>
  <sheetFormatPr defaultRowHeight="30" customHeight="1" x14ac:dyDescent="0.3"/>
  <cols>
    <col min="1" max="1" width="2.625" customWidth="1"/>
    <col min="2" max="13" width="15" customWidth="1"/>
    <col min="14" max="15" width="11.25" customWidth="1"/>
    <col min="16" max="16" width="15" customWidth="1"/>
    <col min="17" max="17" width="2.625" customWidth="1"/>
  </cols>
  <sheetData>
    <row r="1" spans="2:16" ht="55.5" customHeight="1" x14ac:dyDescent="0.4">
      <c r="B1" s="54" t="s">
        <v>41</v>
      </c>
      <c r="C1" s="54"/>
      <c r="D1" s="54"/>
      <c r="E1" s="54"/>
      <c r="F1" s="54"/>
      <c r="G1" s="54"/>
      <c r="H1" s="54"/>
      <c r="I1" s="54"/>
      <c r="J1" s="54"/>
      <c r="K1" s="54"/>
      <c r="L1" s="54"/>
      <c r="M1" s="54"/>
      <c r="N1" s="54"/>
      <c r="O1" s="54"/>
      <c r="P1" s="54"/>
    </row>
    <row r="2" spans="2:16" ht="42.75" customHeight="1" x14ac:dyDescent="0.3">
      <c r="B2" s="1"/>
      <c r="C2" s="1"/>
      <c r="D2" s="1"/>
    </row>
    <row r="3" spans="2:16" ht="30" customHeight="1" x14ac:dyDescent="0.3">
      <c r="C3" s="53"/>
      <c r="D3" s="53"/>
      <c r="K3" s="4" t="s">
        <v>0</v>
      </c>
      <c r="L3" s="52" t="str">
        <f>'Biweekly Time Sheet'!H3</f>
        <v>Daniel Trif</v>
      </c>
      <c r="M3" s="52"/>
      <c r="N3" s="52"/>
      <c r="O3" s="52"/>
      <c r="P3" s="52"/>
    </row>
    <row r="4" spans="2:16" ht="30" customHeight="1" x14ac:dyDescent="0.3">
      <c r="K4" s="5" t="s">
        <v>6</v>
      </c>
      <c r="L4" s="52">
        <f>'Biweekly Time Sheet'!H4</f>
        <v>45999</v>
      </c>
      <c r="M4" s="52"/>
      <c r="N4" s="52"/>
      <c r="O4" s="52"/>
      <c r="P4" s="52"/>
    </row>
    <row r="5" spans="2:16" ht="30" customHeight="1" x14ac:dyDescent="0.3">
      <c r="K5" s="5" t="s">
        <v>7</v>
      </c>
      <c r="L5" s="52">
        <f>'Biweekly Time Sheet'!H5</f>
        <v>46012</v>
      </c>
      <c r="M5" s="52"/>
      <c r="N5" s="52"/>
      <c r="O5" s="52"/>
      <c r="P5" s="52"/>
    </row>
    <row r="6" spans="2:16" ht="30" customHeight="1" x14ac:dyDescent="0.3">
      <c r="N6" s="53"/>
      <c r="O6" s="53"/>
      <c r="P6" s="53"/>
    </row>
    <row r="7" spans="2:16" ht="15" customHeight="1" thickBot="1" x14ac:dyDescent="0.35"/>
    <row r="8" spans="2:16" ht="22.5" customHeight="1" thickBot="1" x14ac:dyDescent="0.35">
      <c r="D8" s="62" t="s">
        <v>26</v>
      </c>
      <c r="E8" s="63"/>
      <c r="F8" s="63"/>
      <c r="G8" s="63"/>
      <c r="H8" s="64"/>
      <c r="I8" s="62" t="s">
        <v>27</v>
      </c>
      <c r="J8" s="63"/>
      <c r="K8" s="63"/>
      <c r="L8" s="63"/>
      <c r="M8" s="63"/>
      <c r="N8" s="63"/>
      <c r="O8" s="64"/>
    </row>
    <row r="9" spans="2:16" ht="39.75" customHeight="1" x14ac:dyDescent="0.3">
      <c r="B9" s="8" t="s">
        <v>1</v>
      </c>
      <c r="C9" s="8" t="s">
        <v>9</v>
      </c>
      <c r="D9" s="28" t="s">
        <v>15</v>
      </c>
      <c r="E9" s="29" t="s">
        <v>16</v>
      </c>
      <c r="F9" s="29" t="s">
        <v>17</v>
      </c>
      <c r="G9" s="29" t="s">
        <v>18</v>
      </c>
      <c r="H9" s="30" t="s">
        <v>19</v>
      </c>
      <c r="I9" s="28" t="s">
        <v>20</v>
      </c>
      <c r="J9" s="29" t="s">
        <v>21</v>
      </c>
      <c r="K9" s="29" t="s">
        <v>22</v>
      </c>
      <c r="L9" s="29" t="s">
        <v>23</v>
      </c>
      <c r="M9" s="29" t="s">
        <v>24</v>
      </c>
      <c r="N9" s="60" t="s">
        <v>25</v>
      </c>
      <c r="O9" s="61"/>
      <c r="P9" s="39" t="s">
        <v>4</v>
      </c>
    </row>
    <row r="10" spans="2:16" ht="30" customHeight="1" x14ac:dyDescent="0.3">
      <c r="B10" s="8" t="str">
        <f>IFERROR(TEXT('Biweekly Expense Report CAD'!$C10,"aaaa"), "")</f>
        <v>Monday</v>
      </c>
      <c r="C10" s="11">
        <f>L4</f>
        <v>45999</v>
      </c>
      <c r="D10" s="48"/>
      <c r="E10" s="49"/>
      <c r="F10" s="19"/>
      <c r="G10" s="20"/>
      <c r="H10" s="22"/>
      <c r="I10" s="27"/>
      <c r="J10" s="19"/>
      <c r="K10" s="20"/>
      <c r="L10" s="19"/>
      <c r="M10" s="20"/>
      <c r="N10" s="41"/>
      <c r="O10" s="23">
        <v>0.48</v>
      </c>
      <c r="P10" s="40">
        <f>IFERROR(SUM(D10:M10)+(N10*O10), "")</f>
        <v>0</v>
      </c>
    </row>
    <row r="11" spans="2:16" ht="30" customHeight="1" x14ac:dyDescent="0.3">
      <c r="B11" s="8" t="str">
        <f>IFERROR(TEXT('Biweekly Expense Report CAD'!$C11,"aaaa"), "")</f>
        <v>Tuesday</v>
      </c>
      <c r="C11" s="11">
        <f>IF($L$4="","",$L$4+1)</f>
        <v>46000</v>
      </c>
      <c r="D11" s="48"/>
      <c r="E11" s="49"/>
      <c r="F11" s="19"/>
      <c r="G11" s="20"/>
      <c r="H11" s="22"/>
      <c r="I11" s="27"/>
      <c r="J11" s="19"/>
      <c r="K11" s="20"/>
      <c r="L11" s="19"/>
      <c r="M11" s="20"/>
      <c r="N11" s="41"/>
      <c r="O11" s="42">
        <v>0.48</v>
      </c>
      <c r="P11" s="40">
        <f t="shared" ref="P11:P23" si="0">IFERROR(SUM(D11:M11)+(N11*O11), "")</f>
        <v>0</v>
      </c>
    </row>
    <row r="12" spans="2:16" ht="30" customHeight="1" x14ac:dyDescent="0.3">
      <c r="B12" s="8" t="str">
        <f>IFERROR(TEXT('Biweekly Expense Report CAD'!$C12,"aaaa"), "")</f>
        <v>Wednesday</v>
      </c>
      <c r="C12" s="11">
        <f>IF($L$4="","",$L$4+2)</f>
        <v>46001</v>
      </c>
      <c r="D12" s="48"/>
      <c r="E12" s="49"/>
      <c r="F12" s="19"/>
      <c r="G12" s="20"/>
      <c r="H12" s="22"/>
      <c r="I12" s="27"/>
      <c r="J12" s="19"/>
      <c r="K12" s="20"/>
      <c r="L12" s="19"/>
      <c r="M12" s="20"/>
      <c r="N12" s="41"/>
      <c r="O12" s="42">
        <v>0.48</v>
      </c>
      <c r="P12" s="40">
        <f t="shared" si="0"/>
        <v>0</v>
      </c>
    </row>
    <row r="13" spans="2:16" ht="30" customHeight="1" x14ac:dyDescent="0.3">
      <c r="B13" s="8" t="str">
        <f>IFERROR(TEXT('Biweekly Expense Report CAD'!$C13,"aaaa"), "")</f>
        <v>Thursday</v>
      </c>
      <c r="C13" s="11">
        <f>IF($L$4="","",$L$4+3)</f>
        <v>46002</v>
      </c>
      <c r="D13" s="48"/>
      <c r="E13" s="49"/>
      <c r="F13" s="19"/>
      <c r="G13" s="20"/>
      <c r="H13" s="22"/>
      <c r="I13" s="27"/>
      <c r="J13" s="19"/>
      <c r="K13" s="20"/>
      <c r="L13" s="19"/>
      <c r="M13" s="20"/>
      <c r="N13" s="41"/>
      <c r="O13" s="42">
        <v>0.48</v>
      </c>
      <c r="P13" s="40">
        <f t="shared" si="0"/>
        <v>0</v>
      </c>
    </row>
    <row r="14" spans="2:16" ht="30" customHeight="1" x14ac:dyDescent="0.3">
      <c r="B14" s="8" t="str">
        <f>IFERROR(TEXT('Biweekly Expense Report CAD'!$C14,"aaaa"), "")</f>
        <v>Friday</v>
      </c>
      <c r="C14" s="11">
        <f>IF($L$4="","",$L$4+4)</f>
        <v>46003</v>
      </c>
      <c r="D14" s="48"/>
      <c r="E14" s="49"/>
      <c r="F14" s="19"/>
      <c r="G14" s="20"/>
      <c r="H14" s="22"/>
      <c r="I14" s="27"/>
      <c r="J14" s="19"/>
      <c r="K14" s="20"/>
      <c r="L14" s="19"/>
      <c r="M14" s="20"/>
      <c r="N14" s="41"/>
      <c r="O14" s="42">
        <v>0.48</v>
      </c>
      <c r="P14" s="40">
        <f t="shared" si="0"/>
        <v>0</v>
      </c>
    </row>
    <row r="15" spans="2:16" ht="30" customHeight="1" x14ac:dyDescent="0.3">
      <c r="B15" s="8" t="str">
        <f>IFERROR(TEXT('Biweekly Expense Report CAD'!$C15,"aaaa"), "")</f>
        <v>Saturday</v>
      </c>
      <c r="C15" s="11">
        <f>IF($L$4="","",$L$4+5)</f>
        <v>46004</v>
      </c>
      <c r="D15" s="21"/>
      <c r="E15" s="49"/>
      <c r="F15" s="19"/>
      <c r="G15" s="20"/>
      <c r="H15" s="22"/>
      <c r="I15" s="27"/>
      <c r="J15" s="19"/>
      <c r="K15" s="20"/>
      <c r="L15" s="19"/>
      <c r="M15" s="20"/>
      <c r="N15" s="41"/>
      <c r="O15" s="42">
        <v>0.48</v>
      </c>
      <c r="P15" s="40">
        <f t="shared" si="0"/>
        <v>0</v>
      </c>
    </row>
    <row r="16" spans="2:16" ht="30" customHeight="1" x14ac:dyDescent="0.3">
      <c r="B16" s="8" t="str">
        <f>IFERROR(TEXT('Biweekly Expense Report CAD'!$C16,"aaaa"), "")</f>
        <v>Sunday</v>
      </c>
      <c r="C16" s="11">
        <f>IF($L$4="","",$L$4+6)</f>
        <v>46005</v>
      </c>
      <c r="D16" s="21"/>
      <c r="E16" s="49"/>
      <c r="F16" s="19"/>
      <c r="G16" s="20"/>
      <c r="H16" s="22"/>
      <c r="I16" s="27"/>
      <c r="J16" s="19"/>
      <c r="K16" s="20"/>
      <c r="L16" s="19"/>
      <c r="M16" s="20"/>
      <c r="N16" s="41"/>
      <c r="O16" s="42">
        <v>0.48</v>
      </c>
      <c r="P16" s="40">
        <f t="shared" si="0"/>
        <v>0</v>
      </c>
    </row>
    <row r="17" spans="2:16" ht="30" customHeight="1" x14ac:dyDescent="0.3">
      <c r="B17" s="8" t="str">
        <f>IFERROR(TEXT('Biweekly Expense Report CAD'!$C17,"aaaa"), "")</f>
        <v>Monday</v>
      </c>
      <c r="C17" s="11">
        <f>IF($L$4="","",$L$4+7)</f>
        <v>46006</v>
      </c>
      <c r="D17" s="48"/>
      <c r="E17" s="49"/>
      <c r="F17" s="51"/>
      <c r="G17" s="49"/>
      <c r="H17" s="50"/>
      <c r="I17" s="27"/>
      <c r="J17" s="19"/>
      <c r="K17" s="20"/>
      <c r="L17" s="19"/>
      <c r="M17" s="20"/>
      <c r="N17" s="41"/>
      <c r="O17" s="42">
        <v>0.48</v>
      </c>
      <c r="P17" s="40">
        <f t="shared" si="0"/>
        <v>0</v>
      </c>
    </row>
    <row r="18" spans="2:16" ht="30" customHeight="1" x14ac:dyDescent="0.3">
      <c r="B18" s="8" t="str">
        <f>IFERROR(TEXT('Biweekly Expense Report CAD'!$C18,"aaaa"), "")</f>
        <v>Tuesday</v>
      </c>
      <c r="C18" s="11">
        <f>IF($L$4="","",$L$4+8)</f>
        <v>46007</v>
      </c>
      <c r="D18" s="48"/>
      <c r="E18" s="49"/>
      <c r="F18" s="51"/>
      <c r="G18" s="49"/>
      <c r="H18" s="50"/>
      <c r="I18" s="27"/>
      <c r="J18" s="19"/>
      <c r="K18" s="20"/>
      <c r="L18" s="19"/>
      <c r="M18" s="20"/>
      <c r="N18" s="41"/>
      <c r="O18" s="42">
        <v>0.48</v>
      </c>
      <c r="P18" s="40">
        <f t="shared" si="0"/>
        <v>0</v>
      </c>
    </row>
    <row r="19" spans="2:16" ht="30" customHeight="1" x14ac:dyDescent="0.3">
      <c r="B19" s="8" t="str">
        <f>IFERROR(TEXT('Biweekly Expense Report CAD'!$C19,"aaaa"), "")</f>
        <v>Wednesday</v>
      </c>
      <c r="C19" s="11">
        <f>IF($L$4="","",$L$4+9)</f>
        <v>46008</v>
      </c>
      <c r="D19" s="48"/>
      <c r="E19" s="49"/>
      <c r="F19" s="51"/>
      <c r="G19" s="49"/>
      <c r="H19" s="50"/>
      <c r="I19" s="27"/>
      <c r="J19" s="19"/>
      <c r="K19" s="20"/>
      <c r="L19" s="19"/>
      <c r="M19" s="20"/>
      <c r="N19" s="41"/>
      <c r="O19" s="42">
        <v>0.48</v>
      </c>
      <c r="P19" s="40">
        <f t="shared" si="0"/>
        <v>0</v>
      </c>
    </row>
    <row r="20" spans="2:16" ht="30" customHeight="1" x14ac:dyDescent="0.3">
      <c r="B20" s="8" t="str">
        <f>IFERROR(TEXT('Biweekly Expense Report CAD'!$C20,"aaaa"), "")</f>
        <v>Thursday</v>
      </c>
      <c r="C20" s="11">
        <f>IF($L$4="","",$L$4+10)</f>
        <v>46009</v>
      </c>
      <c r="D20" s="48"/>
      <c r="E20" s="49"/>
      <c r="F20" s="51"/>
      <c r="G20" s="49"/>
      <c r="H20" s="50"/>
      <c r="I20" s="27"/>
      <c r="J20" s="19"/>
      <c r="K20" s="20"/>
      <c r="L20" s="19"/>
      <c r="M20" s="20"/>
      <c r="N20" s="41"/>
      <c r="O20" s="42">
        <v>0.48</v>
      </c>
      <c r="P20" s="40">
        <f t="shared" si="0"/>
        <v>0</v>
      </c>
    </row>
    <row r="21" spans="2:16" ht="30" customHeight="1" x14ac:dyDescent="0.3">
      <c r="B21" s="8" t="str">
        <f>IFERROR(TEXT('Biweekly Expense Report CAD'!$C21,"aaaa"), "")</f>
        <v>Friday</v>
      </c>
      <c r="C21" s="11">
        <f>IF($L$4="","",$L$4+11)</f>
        <v>46010</v>
      </c>
      <c r="D21" s="48"/>
      <c r="E21" s="49"/>
      <c r="F21" s="51"/>
      <c r="G21" s="49"/>
      <c r="H21" s="50"/>
      <c r="I21" s="27"/>
      <c r="J21" s="19"/>
      <c r="K21" s="20"/>
      <c r="L21" s="19"/>
      <c r="M21" s="20"/>
      <c r="N21" s="41"/>
      <c r="O21" s="42">
        <v>0.48</v>
      </c>
      <c r="P21" s="40">
        <f t="shared" si="0"/>
        <v>0</v>
      </c>
    </row>
    <row r="22" spans="2:16" ht="30" customHeight="1" x14ac:dyDescent="0.3">
      <c r="B22" s="8" t="str">
        <f>IFERROR(TEXT('Biweekly Expense Report CAD'!$C22,"aaaa"), "")</f>
        <v>Saturday</v>
      </c>
      <c r="C22" s="11">
        <f>IF($L$4="","",$L$4+12)</f>
        <v>46011</v>
      </c>
      <c r="D22" s="21">
        <v>70</v>
      </c>
      <c r="E22" s="49"/>
      <c r="F22" s="19"/>
      <c r="G22" s="20"/>
      <c r="H22" s="22"/>
      <c r="I22" s="27"/>
      <c r="J22" s="19"/>
      <c r="K22" s="20"/>
      <c r="L22" s="19"/>
      <c r="M22" s="20"/>
      <c r="N22" s="41"/>
      <c r="O22" s="42">
        <v>0.48</v>
      </c>
      <c r="P22" s="40">
        <f t="shared" si="0"/>
        <v>70</v>
      </c>
    </row>
    <row r="23" spans="2:16" ht="30" customHeight="1" x14ac:dyDescent="0.3">
      <c r="B23" s="14" t="str">
        <f>IFERROR(TEXT('Biweekly Expense Report CAD'!$C23,"aaaa"), "")</f>
        <v>Sunday</v>
      </c>
      <c r="C23" s="15">
        <f>IF($L$4="","",$L$4+13)</f>
        <v>46012</v>
      </c>
      <c r="D23" s="21"/>
      <c r="E23" s="49">
        <v>70</v>
      </c>
      <c r="F23" s="19"/>
      <c r="G23" s="20"/>
      <c r="H23" s="22"/>
      <c r="I23" s="27"/>
      <c r="J23" s="19"/>
      <c r="K23" s="20"/>
      <c r="L23" s="19"/>
      <c r="M23" s="20"/>
      <c r="N23" s="41"/>
      <c r="O23" s="42">
        <v>0.48</v>
      </c>
      <c r="P23" s="40">
        <f t="shared" si="0"/>
        <v>70</v>
      </c>
    </row>
    <row r="24" spans="2:16" ht="30" customHeight="1" thickBot="1" x14ac:dyDescent="0.35">
      <c r="C24" s="14" t="s">
        <v>4</v>
      </c>
      <c r="D24" s="24">
        <f t="shared" ref="D24:M24" si="1">IFERROR(SUM(D10:D23), "")</f>
        <v>70</v>
      </c>
      <c r="E24" s="25">
        <f t="shared" si="1"/>
        <v>70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140</v>
      </c>
    </row>
    <row r="25" spans="2:16" ht="30" customHeight="1" x14ac:dyDescent="0.3">
      <c r="D25" s="53"/>
      <c r="E25" s="53"/>
      <c r="F25" s="53"/>
      <c r="G25" s="53"/>
      <c r="H25" s="53"/>
      <c r="I25" s="53"/>
      <c r="J25" s="53"/>
      <c r="K25" s="53"/>
      <c r="L25" s="53"/>
      <c r="M25" s="53"/>
      <c r="N25" s="53"/>
    </row>
    <row r="26" spans="2:16" ht="30" customHeight="1" x14ac:dyDescent="0.3">
      <c r="D26" s="53"/>
      <c r="E26" s="53"/>
      <c r="F26" s="53"/>
      <c r="G26" s="53"/>
      <c r="H26" s="53"/>
      <c r="I26" s="53"/>
      <c r="J26" s="53"/>
      <c r="K26" s="53"/>
      <c r="L26" s="53"/>
      <c r="M26" s="53"/>
      <c r="N26" s="53"/>
    </row>
    <row r="27" spans="2:16" ht="30" customHeight="1" x14ac:dyDescent="0.3">
      <c r="D27" s="59" t="str">
        <f>'Biweekly Time Sheet'!D26:J26</f>
        <v>Daniel Trif</v>
      </c>
      <c r="E27" s="59"/>
      <c r="F27" s="59"/>
      <c r="G27" s="59"/>
      <c r="H27" s="59"/>
      <c r="I27" s="59"/>
      <c r="J27" s="59"/>
      <c r="K27" s="59"/>
      <c r="L27" s="59"/>
      <c r="M27" s="59"/>
      <c r="N27" s="59"/>
      <c r="O27" s="59"/>
      <c r="P27" s="18">
        <f>'Biweekly Time Sheet'!L26</f>
        <v>46012</v>
      </c>
    </row>
    <row r="28" spans="2:16" ht="30" customHeight="1" x14ac:dyDescent="0.3">
      <c r="D28" s="53" t="s">
        <v>8</v>
      </c>
      <c r="E28" s="53"/>
      <c r="F28" s="53"/>
      <c r="G28" s="53"/>
      <c r="H28" s="53"/>
      <c r="I28" s="53"/>
      <c r="J28" s="53"/>
      <c r="K28" s="53"/>
      <c r="L28" s="53"/>
      <c r="M28" s="53"/>
      <c r="N28" s="53"/>
      <c r="P28" t="s">
        <v>9</v>
      </c>
    </row>
    <row r="29" spans="2:16" ht="30" customHeight="1" x14ac:dyDescent="0.3">
      <c r="P29" s="35" t="s">
        <v>42</v>
      </c>
    </row>
  </sheetData>
  <sheetProtection sheet="1" objects="1" scenarios="1"/>
  <protectedRanges>
    <protectedRange sqref="D10:O23" name="Range1"/>
  </protectedRanges>
  <mergeCells count="13">
    <mergeCell ref="D8:H8"/>
    <mergeCell ref="I8:O8"/>
    <mergeCell ref="B1:P1"/>
    <mergeCell ref="C3:D3"/>
    <mergeCell ref="L3:P3"/>
    <mergeCell ref="L4:P4"/>
    <mergeCell ref="L5:P5"/>
    <mergeCell ref="N6:P6"/>
    <mergeCell ref="D27:O27"/>
    <mergeCell ref="D25:N25"/>
    <mergeCell ref="D26:N26"/>
    <mergeCell ref="D28:N28"/>
    <mergeCell ref="N9:O9"/>
  </mergeCells>
  <dataValidations count="23">
    <dataValidation allowBlank="1" showInputMessage="1" showErrorMessage="1" prompt="Enter Street Address in cell at right" sqref="B3" xr:uid="{00000000-0002-0000-0100-000000000000}"/>
    <dataValidation allowBlank="1" showInputMessage="1" showErrorMessage="1" prompt="Enter Date in this cell" sqref="P25" xr:uid="{00000000-0002-0000-0100-000001000000}"/>
    <dataValidation allowBlank="1" showInputMessage="1" showErrorMessage="1" prompt="Enter Manager Signature in this cell" sqref="D27" xr:uid="{00000000-0002-0000-0100-000002000000}"/>
    <dataValidation allowBlank="1" showInputMessage="1" showErrorMessage="1" prompt="Enter Employee Signature in this cell" sqref="D25:O25" xr:uid="{00000000-0002-0000-0100-000003000000}"/>
    <dataValidation allowBlank="1" showInputMessage="1" showErrorMessage="1" prompt="Total hours for the entire period are automatically calculated in cells at right" sqref="C24" xr:uid="{00000000-0002-0000-0100-000004000000}"/>
    <dataValidation allowBlank="1" showInputMessage="1" showErrorMessage="1" prompt="Total Hours for each weekday are automatically calculated in this column under this heading" sqref="P9" xr:uid="{00000000-0002-0000-0100-000005000000}"/>
    <dataValidation allowBlank="1" showInputMessage="1" showErrorMessage="1" prompt="Enter Vacation hours in this column under this heading" sqref="N9" xr:uid="{00000000-0002-0000-0100-000006000000}"/>
    <dataValidation allowBlank="1" showInputMessage="1" showErrorMessage="1" prompt="Enter Sick hours in this column under this heading" sqref="M9" xr:uid="{00000000-0002-0000-0100-000007000000}"/>
    <dataValidation allowBlank="1" showInputMessage="1" showErrorMessage="1" prompt="Enter Overtime Hours in this column under this heading" sqref="E9:L9" xr:uid="{00000000-0002-0000-0100-000008000000}"/>
    <dataValidation allowBlank="1" showInputMessage="1" showErrorMessage="1" prompt="Date is automatically updated in this column under this heading based on Pay period start and end date in cells G3 and G4" sqref="C9" xr:uid="{00000000-0002-0000-0100-000009000000}"/>
    <dataValidation allowBlank="1" showInputMessage="1" showErrorMessage="1" prompt="Enter Regular Hours in this column under this heading" sqref="D9" xr:uid="{00000000-0002-0000-0100-00000A000000}"/>
    <dataValidation allowBlank="1" showInputMessage="1" showErrorMessage="1" prompt="Enter Employee phone number in this cell" sqref="N6 P6" xr:uid="{00000000-0002-0000-0100-00000B000000}"/>
    <dataValidation allowBlank="1" showInputMessage="1" showErrorMessage="1" prompt="Enter Employee phone number in cell at right" sqref="M6 O6" xr:uid="{00000000-0002-0000-0100-00000C000000}"/>
    <dataValidation allowBlank="1" showInputMessage="1" showErrorMessage="1" prompt="Enter Pay period end date in this cell" sqref="L5" xr:uid="{00000000-0002-0000-0100-00000D000000}"/>
    <dataValidation allowBlank="1" showInputMessage="1" showErrorMessage="1" prompt="Enter Pay period start date in cell at right" sqref="K4" xr:uid="{00000000-0002-0000-0100-00000E000000}"/>
    <dataValidation allowBlank="1" showInputMessage="1" showErrorMessage="1" prompt="Enter Pay period end date in cell at right" sqref="K5" xr:uid="{00000000-0002-0000-0100-00000F000000}"/>
    <dataValidation allowBlank="1" showInputMessage="1" showErrorMessage="1" prompt="Enter Pay period start date in this cell" sqref="L4" xr:uid="{00000000-0002-0000-0100-000010000000}"/>
    <dataValidation allowBlank="1" showInputMessage="1" showErrorMessage="1" prompt="Enter Employee name in this cell" sqref="L3" xr:uid="{00000000-0002-0000-0100-000011000000}"/>
    <dataValidation allowBlank="1" showInputMessage="1" showErrorMessage="1" prompt="Enter Employee name in cell at right" sqref="K3" xr:uid="{00000000-0002-0000-0100-000012000000}"/>
    <dataValidation allowBlank="1" showInputMessage="1" showErrorMessage="1" prompt="Enter Street Address in this cell" sqref="C3:D3" xr:uid="{00000000-0002-0000-0100-000013000000}"/>
    <dataValidation allowBlank="1" showInputMessage="1" showErrorMessage="1" prompt="Enter Company Name in this cell. Enter company Address in cells B3 to C5, Pay period start date and end date in cells G3 and G4, and employee details in cells B6 to G7" sqref="B2" xr:uid="{00000000-0002-0000-0100-000014000000}"/>
    <dataValidation allowBlank="1" showInputMessage="1" showErrorMessage="1" prompt="Title of this worksheet is in this cell" sqref="B1:P1" xr:uid="{00000000-0002-0000-0100-000015000000}"/>
    <dataValidation allowBlank="1" showInputMessage="1" showErrorMessage="1" prompt="Create a Biweekly Time Sheet in this worksheet. Total Hours and Total Pay are automatically calculated" sqref="A1" xr:uid="{00000000-0002-0000-01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B1:P29"/>
  <sheetViews>
    <sheetView showGridLines="0" showZeros="0" topLeftCell="B1" zoomScale="70" zoomScaleNormal="70" workbookViewId="0">
      <selection activeCell="B24" sqref="B24"/>
    </sheetView>
  </sheetViews>
  <sheetFormatPr defaultRowHeight="30" customHeight="1" x14ac:dyDescent="0.3"/>
  <cols>
    <col min="1" max="1" width="2.625" customWidth="1"/>
    <col min="2" max="13" width="15" customWidth="1"/>
    <col min="14" max="15" width="11.25" customWidth="1"/>
    <col min="16" max="16" width="15" customWidth="1"/>
    <col min="17" max="17" width="2.625" customWidth="1"/>
  </cols>
  <sheetData>
    <row r="1" spans="2:16" ht="55.5" customHeight="1" x14ac:dyDescent="0.4">
      <c r="B1" s="54" t="s">
        <v>40</v>
      </c>
      <c r="C1" s="54"/>
      <c r="D1" s="54"/>
      <c r="E1" s="54"/>
      <c r="F1" s="54"/>
      <c r="G1" s="54"/>
      <c r="H1" s="54"/>
      <c r="I1" s="54"/>
      <c r="J1" s="54"/>
      <c r="K1" s="54"/>
      <c r="L1" s="54"/>
      <c r="M1" s="54"/>
      <c r="N1" s="54"/>
      <c r="O1" s="54"/>
      <c r="P1" s="54"/>
    </row>
    <row r="2" spans="2:16" ht="42.75" customHeight="1" x14ac:dyDescent="0.3">
      <c r="B2" s="1"/>
      <c r="C2" s="1"/>
      <c r="D2" s="1"/>
    </row>
    <row r="3" spans="2:16" ht="30" customHeight="1" x14ac:dyDescent="0.3">
      <c r="C3" s="53"/>
      <c r="D3" s="53"/>
      <c r="K3" s="4" t="s">
        <v>0</v>
      </c>
      <c r="L3" s="52" t="str">
        <f>'Biweekly Time Sheet'!H3</f>
        <v>Daniel Trif</v>
      </c>
      <c r="M3" s="52"/>
      <c r="N3" s="52"/>
      <c r="O3" s="52"/>
      <c r="P3" s="52"/>
    </row>
    <row r="4" spans="2:16" ht="30" customHeight="1" x14ac:dyDescent="0.3">
      <c r="K4" s="5" t="s">
        <v>6</v>
      </c>
      <c r="L4" s="52">
        <f>'Biweekly Time Sheet'!H4</f>
        <v>45999</v>
      </c>
      <c r="M4" s="52"/>
      <c r="N4" s="52"/>
      <c r="O4" s="52"/>
      <c r="P4" s="52"/>
    </row>
    <row r="5" spans="2:16" ht="30" customHeight="1" x14ac:dyDescent="0.3">
      <c r="K5" s="5" t="s">
        <v>7</v>
      </c>
      <c r="L5" s="52">
        <f>'Biweekly Time Sheet'!H5</f>
        <v>46012</v>
      </c>
      <c r="M5" s="52"/>
      <c r="N5" s="52"/>
      <c r="O5" s="52"/>
      <c r="P5" s="52"/>
    </row>
    <row r="6" spans="2:16" ht="30" customHeight="1" x14ac:dyDescent="0.3">
      <c r="N6" s="53"/>
      <c r="O6" s="53"/>
      <c r="P6" s="53"/>
    </row>
    <row r="7" spans="2:16" ht="15" customHeight="1" thickBot="1" x14ac:dyDescent="0.35"/>
    <row r="8" spans="2:16" ht="22.5" customHeight="1" thickBot="1" x14ac:dyDescent="0.35">
      <c r="D8" s="62" t="s">
        <v>26</v>
      </c>
      <c r="E8" s="63"/>
      <c r="F8" s="63"/>
      <c r="G8" s="63"/>
      <c r="H8" s="64"/>
      <c r="I8" s="62" t="s">
        <v>27</v>
      </c>
      <c r="J8" s="63"/>
      <c r="K8" s="63"/>
      <c r="L8" s="63"/>
      <c r="M8" s="63"/>
      <c r="N8" s="63"/>
      <c r="O8" s="64"/>
    </row>
    <row r="9" spans="2:16" ht="39.75" customHeight="1" x14ac:dyDescent="0.3">
      <c r="B9" s="8" t="s">
        <v>1</v>
      </c>
      <c r="C9" s="8" t="s">
        <v>9</v>
      </c>
      <c r="D9" s="28" t="s">
        <v>15</v>
      </c>
      <c r="E9" s="29" t="s">
        <v>16</v>
      </c>
      <c r="F9" s="29" t="s">
        <v>17</v>
      </c>
      <c r="G9" s="29" t="s">
        <v>18</v>
      </c>
      <c r="H9" s="30" t="s">
        <v>19</v>
      </c>
      <c r="I9" s="28" t="s">
        <v>20</v>
      </c>
      <c r="J9" s="29" t="s">
        <v>21</v>
      </c>
      <c r="K9" s="29" t="s">
        <v>22</v>
      </c>
      <c r="L9" s="29" t="s">
        <v>23</v>
      </c>
      <c r="M9" s="29" t="s">
        <v>24</v>
      </c>
      <c r="N9" s="60" t="s">
        <v>25</v>
      </c>
      <c r="O9" s="61"/>
      <c r="P9" s="39" t="s">
        <v>4</v>
      </c>
    </row>
    <row r="10" spans="2:16" ht="30" customHeight="1" x14ac:dyDescent="0.3">
      <c r="B10" s="8" t="str">
        <f>IFERROR(TEXT('Biweekly Expense Report USD'!$C10,"aaaa"), "")</f>
        <v>Monday</v>
      </c>
      <c r="C10" s="11">
        <f>L4</f>
        <v>45999</v>
      </c>
      <c r="D10" s="48"/>
      <c r="E10" s="49"/>
      <c r="F10" s="19"/>
      <c r="G10" s="20"/>
      <c r="H10" s="22"/>
      <c r="I10" s="27"/>
      <c r="J10" s="19"/>
      <c r="K10" s="20"/>
      <c r="L10" s="19"/>
      <c r="M10" s="20"/>
      <c r="N10" s="41"/>
      <c r="O10" s="23">
        <v>0.48</v>
      </c>
      <c r="P10" s="40">
        <f>IFERROR(SUM(D10:M10)+(N10*O10), "")</f>
        <v>0</v>
      </c>
    </row>
    <row r="11" spans="2:16" ht="30" customHeight="1" x14ac:dyDescent="0.3">
      <c r="B11" s="8" t="str">
        <f>IFERROR(TEXT('Biweekly Expense Report USD'!$C11,"aaaa"), "")</f>
        <v>Tuesday</v>
      </c>
      <c r="C11" s="11">
        <f>IF($L$4="","",$L$4+1)</f>
        <v>46000</v>
      </c>
      <c r="D11" s="48"/>
      <c r="E11" s="49"/>
      <c r="F11" s="19"/>
      <c r="G11" s="20"/>
      <c r="H11" s="50"/>
      <c r="I11" s="27"/>
      <c r="J11" s="19"/>
      <c r="K11" s="20"/>
      <c r="L11" s="19"/>
      <c r="M11" s="20"/>
      <c r="N11" s="41"/>
      <c r="O11" s="42">
        <v>0.48</v>
      </c>
      <c r="P11" s="40">
        <f t="shared" ref="P11:P23" si="0">IFERROR(SUM(D11:M11)+(N11*O11), "")</f>
        <v>0</v>
      </c>
    </row>
    <row r="12" spans="2:16" ht="30" customHeight="1" x14ac:dyDescent="0.3">
      <c r="B12" s="8" t="str">
        <f>IFERROR(TEXT('Biweekly Expense Report USD'!$C12,"aaaa"), "")</f>
        <v>Wednesday</v>
      </c>
      <c r="C12" s="11">
        <f>IF($L$4="","",$L$4+2)</f>
        <v>46001</v>
      </c>
      <c r="D12" s="48"/>
      <c r="E12" s="49"/>
      <c r="F12" s="19"/>
      <c r="G12" s="20"/>
      <c r="H12" s="22"/>
      <c r="I12" s="27"/>
      <c r="J12" s="19"/>
      <c r="K12" s="20"/>
      <c r="L12" s="19"/>
      <c r="M12" s="20"/>
      <c r="N12" s="41"/>
      <c r="O12" s="42">
        <v>0.48</v>
      </c>
      <c r="P12" s="40">
        <f t="shared" si="0"/>
        <v>0</v>
      </c>
    </row>
    <row r="13" spans="2:16" ht="30" customHeight="1" x14ac:dyDescent="0.3">
      <c r="B13" s="8" t="str">
        <f>IFERROR(TEXT('Biweekly Expense Report USD'!$C13,"aaaa"), "")</f>
        <v>Thursday</v>
      </c>
      <c r="C13" s="11">
        <f>IF($L$4="","",$L$4+3)</f>
        <v>46002</v>
      </c>
      <c r="D13" s="48"/>
      <c r="E13" s="49"/>
      <c r="F13" s="19"/>
      <c r="G13" s="20"/>
      <c r="H13" s="22"/>
      <c r="I13" s="27"/>
      <c r="J13" s="19"/>
      <c r="K13" s="20"/>
      <c r="L13" s="19"/>
      <c r="M13" s="20"/>
      <c r="N13" s="41"/>
      <c r="O13" s="42">
        <v>0.48</v>
      </c>
      <c r="P13" s="40">
        <f t="shared" si="0"/>
        <v>0</v>
      </c>
    </row>
    <row r="14" spans="2:16" ht="30" customHeight="1" x14ac:dyDescent="0.3">
      <c r="B14" s="8" t="str">
        <f>IFERROR(TEXT('Biweekly Expense Report USD'!$C14,"aaaa"), "")</f>
        <v>Friday</v>
      </c>
      <c r="C14" s="11">
        <f>IF($L$4="","",$L$4+4)</f>
        <v>46003</v>
      </c>
      <c r="D14" s="48"/>
      <c r="E14" s="49"/>
      <c r="F14" s="19"/>
      <c r="G14" s="20"/>
      <c r="H14" s="22"/>
      <c r="I14" s="27"/>
      <c r="J14" s="19"/>
      <c r="K14" s="20"/>
      <c r="L14" s="19"/>
      <c r="M14" s="20"/>
      <c r="N14" s="41"/>
      <c r="O14" s="42">
        <v>0.48</v>
      </c>
      <c r="P14" s="40">
        <f t="shared" si="0"/>
        <v>0</v>
      </c>
    </row>
    <row r="15" spans="2:16" ht="30" customHeight="1" x14ac:dyDescent="0.3">
      <c r="B15" s="8" t="str">
        <f>IFERROR(TEXT('Biweekly Expense Report USD'!$C15,"aaaa"), "")</f>
        <v>Saturday</v>
      </c>
      <c r="C15" s="11">
        <f>IF($L$4="","",$L$4+5)</f>
        <v>46004</v>
      </c>
      <c r="D15" s="21"/>
      <c r="E15" s="49"/>
      <c r="F15" s="19"/>
      <c r="G15" s="20"/>
      <c r="H15" s="50"/>
      <c r="I15" s="27"/>
      <c r="J15" s="19"/>
      <c r="K15" s="20"/>
      <c r="L15" s="19"/>
      <c r="M15" s="20"/>
      <c r="N15" s="41"/>
      <c r="O15" s="42">
        <v>0.48</v>
      </c>
      <c r="P15" s="40">
        <f t="shared" si="0"/>
        <v>0</v>
      </c>
    </row>
    <row r="16" spans="2:16" ht="30" customHeight="1" x14ac:dyDescent="0.3">
      <c r="B16" s="8" t="str">
        <f>IFERROR(TEXT('Biweekly Expense Report USD'!$C16,"aaaa"), "")</f>
        <v>Sunday</v>
      </c>
      <c r="C16" s="11">
        <f>IF($L$4="","",$L$4+6)</f>
        <v>46005</v>
      </c>
      <c r="D16" s="21"/>
      <c r="E16" s="49"/>
      <c r="F16" s="19"/>
      <c r="G16" s="20"/>
      <c r="H16" s="22"/>
      <c r="I16" s="27"/>
      <c r="J16" s="19"/>
      <c r="K16" s="20"/>
      <c r="L16" s="19"/>
      <c r="M16" s="20"/>
      <c r="N16" s="41"/>
      <c r="O16" s="42">
        <v>0.48</v>
      </c>
      <c r="P16" s="40">
        <f t="shared" si="0"/>
        <v>0</v>
      </c>
    </row>
    <row r="17" spans="2:16" ht="30" customHeight="1" x14ac:dyDescent="0.3">
      <c r="B17" s="8" t="str">
        <f>IFERROR(TEXT('Biweekly Expense Report USD'!$C17,"aaaa"), "")</f>
        <v>Monday</v>
      </c>
      <c r="C17" s="11">
        <f>IF($L$4="","",$L$4+7)</f>
        <v>46006</v>
      </c>
      <c r="D17" s="21"/>
      <c r="E17" s="49"/>
      <c r="F17" s="19"/>
      <c r="G17" s="20"/>
      <c r="H17" s="22"/>
      <c r="I17" s="27"/>
      <c r="J17" s="19"/>
      <c r="K17" s="20"/>
      <c r="L17" s="19"/>
      <c r="M17" s="20"/>
      <c r="N17" s="41"/>
      <c r="O17" s="42">
        <v>0.48</v>
      </c>
      <c r="P17" s="40">
        <f t="shared" si="0"/>
        <v>0</v>
      </c>
    </row>
    <row r="18" spans="2:16" ht="30" customHeight="1" x14ac:dyDescent="0.3">
      <c r="B18" s="8" t="str">
        <f>IFERROR(TEXT('Biweekly Expense Report USD'!$C18,"aaaa"), "")</f>
        <v>Tuesday</v>
      </c>
      <c r="C18" s="11">
        <f>IF($L$4="","",$L$4+8)</f>
        <v>46007</v>
      </c>
      <c r="D18" s="48"/>
      <c r="E18" s="20"/>
      <c r="F18" s="19"/>
      <c r="G18" s="20"/>
      <c r="H18" s="50"/>
      <c r="I18" s="27"/>
      <c r="J18" s="19"/>
      <c r="K18" s="20"/>
      <c r="L18" s="19"/>
      <c r="M18" s="20"/>
      <c r="N18" s="41"/>
      <c r="O18" s="42">
        <v>0.48</v>
      </c>
      <c r="P18" s="40">
        <f t="shared" si="0"/>
        <v>0</v>
      </c>
    </row>
    <row r="19" spans="2:16" ht="30" customHeight="1" x14ac:dyDescent="0.3">
      <c r="B19" s="8" t="str">
        <f>IFERROR(TEXT('Biweekly Expense Report USD'!$C19,"aaaa"), "")</f>
        <v>Wednesday</v>
      </c>
      <c r="C19" s="11">
        <f>IF($L$4="","",$L$4+9)</f>
        <v>46008</v>
      </c>
      <c r="D19" s="21"/>
      <c r="E19" s="20"/>
      <c r="F19" s="19"/>
      <c r="G19" s="20"/>
      <c r="H19" s="22"/>
      <c r="I19" s="27"/>
      <c r="J19" s="19"/>
      <c r="K19" s="20"/>
      <c r="L19" s="19"/>
      <c r="M19" s="20"/>
      <c r="N19" s="41"/>
      <c r="O19" s="42">
        <v>0.48</v>
      </c>
      <c r="P19" s="40">
        <f t="shared" si="0"/>
        <v>0</v>
      </c>
    </row>
    <row r="20" spans="2:16" ht="30" customHeight="1" x14ac:dyDescent="0.3">
      <c r="B20" s="8" t="str">
        <f>IFERROR(TEXT('Biweekly Expense Report USD'!$C20,"aaaa"), "")</f>
        <v>Thursday</v>
      </c>
      <c r="C20" s="11">
        <f>IF($L$4="","",$L$4+10)</f>
        <v>46009</v>
      </c>
      <c r="D20" s="21"/>
      <c r="E20" s="20"/>
      <c r="F20" s="19"/>
      <c r="G20" s="20"/>
      <c r="H20" s="22"/>
      <c r="I20" s="27"/>
      <c r="J20" s="19"/>
      <c r="K20" s="20"/>
      <c r="L20" s="19"/>
      <c r="M20" s="20"/>
      <c r="N20" s="41"/>
      <c r="O20" s="42">
        <v>0.48</v>
      </c>
      <c r="P20" s="40">
        <f t="shared" si="0"/>
        <v>0</v>
      </c>
    </row>
    <row r="21" spans="2:16" ht="30" customHeight="1" x14ac:dyDescent="0.3">
      <c r="B21" s="8" t="str">
        <f>IFERROR(TEXT('Biweekly Expense Report USD'!$C21,"aaaa"), "")</f>
        <v>Friday</v>
      </c>
      <c r="C21" s="11">
        <f>IF($L$4="","",$L$4+11)</f>
        <v>46010</v>
      </c>
      <c r="D21" s="21"/>
      <c r="E21" s="20"/>
      <c r="F21" s="19"/>
      <c r="G21" s="20"/>
      <c r="H21" s="22"/>
      <c r="I21" s="27"/>
      <c r="J21" s="19"/>
      <c r="K21" s="20"/>
      <c r="L21" s="19"/>
      <c r="M21" s="20"/>
      <c r="N21" s="41"/>
      <c r="O21" s="42">
        <v>0.48</v>
      </c>
      <c r="P21" s="40">
        <f t="shared" si="0"/>
        <v>0</v>
      </c>
    </row>
    <row r="22" spans="2:16" ht="30" customHeight="1" x14ac:dyDescent="0.3">
      <c r="B22" s="8" t="str">
        <f>IFERROR(TEXT('Biweekly Expense Report USD'!$C22,"aaaa"), "")</f>
        <v>Saturday</v>
      </c>
      <c r="C22" s="11">
        <f>IF($L$4="","",$L$4+12)</f>
        <v>46011</v>
      </c>
      <c r="D22" s="21"/>
      <c r="E22" s="20"/>
      <c r="F22" s="19"/>
      <c r="G22" s="20"/>
      <c r="H22" s="22"/>
      <c r="I22" s="27"/>
      <c r="J22" s="19"/>
      <c r="K22" s="20"/>
      <c r="L22" s="19"/>
      <c r="M22" s="20"/>
      <c r="N22" s="41"/>
      <c r="O22" s="42">
        <v>0.48</v>
      </c>
      <c r="P22" s="40">
        <f t="shared" si="0"/>
        <v>0</v>
      </c>
    </row>
    <row r="23" spans="2:16" ht="30" customHeight="1" x14ac:dyDescent="0.3">
      <c r="B23" s="14" t="str">
        <f>IFERROR(TEXT('Biweekly Expense Report USD'!$C23,"aaaa"), "")</f>
        <v>Sunday</v>
      </c>
      <c r="C23" s="15">
        <f>IF($L$4="","",$L$4+13)</f>
        <v>46012</v>
      </c>
      <c r="D23" s="21"/>
      <c r="E23" s="20"/>
      <c r="F23" s="19"/>
      <c r="G23" s="20"/>
      <c r="H23" s="22"/>
      <c r="I23" s="27"/>
      <c r="J23" s="19"/>
      <c r="K23" s="20"/>
      <c r="L23" s="19"/>
      <c r="M23" s="20"/>
      <c r="N23" s="41"/>
      <c r="O23" s="42">
        <v>0.48</v>
      </c>
      <c r="P23" s="40">
        <f t="shared" si="0"/>
        <v>0</v>
      </c>
    </row>
    <row r="24" spans="2:16" ht="30" customHeight="1" thickBot="1" x14ac:dyDescent="0.3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3">
      <c r="D25" s="53"/>
      <c r="E25" s="53"/>
      <c r="F25" s="53"/>
      <c r="G25" s="53"/>
      <c r="H25" s="53"/>
      <c r="I25" s="53"/>
      <c r="J25" s="53"/>
      <c r="K25" s="53"/>
      <c r="L25" s="53"/>
      <c r="M25" s="53"/>
      <c r="N25" s="53"/>
    </row>
    <row r="26" spans="2:16" ht="30" customHeight="1" x14ac:dyDescent="0.3">
      <c r="D26" s="53"/>
      <c r="E26" s="53"/>
      <c r="F26" s="53"/>
      <c r="G26" s="53"/>
      <c r="H26" s="53"/>
      <c r="I26" s="53"/>
      <c r="J26" s="53"/>
      <c r="K26" s="53"/>
      <c r="L26" s="53"/>
      <c r="M26" s="53"/>
      <c r="N26" s="53"/>
    </row>
    <row r="27" spans="2:16" ht="30" customHeight="1" x14ac:dyDescent="0.3">
      <c r="D27" s="59" t="str">
        <f>'Biweekly Time Sheet'!D26:J26</f>
        <v>Daniel Trif</v>
      </c>
      <c r="E27" s="59"/>
      <c r="F27" s="59"/>
      <c r="G27" s="59"/>
      <c r="H27" s="59"/>
      <c r="I27" s="59"/>
      <c r="J27" s="59"/>
      <c r="K27" s="59"/>
      <c r="L27" s="59"/>
      <c r="M27" s="59"/>
      <c r="N27" s="59"/>
      <c r="O27" s="59"/>
      <c r="P27" s="18">
        <f>'Biweekly Time Sheet'!L26</f>
        <v>46012</v>
      </c>
    </row>
    <row r="28" spans="2:16" ht="30" customHeight="1" x14ac:dyDescent="0.3">
      <c r="D28" s="53" t="s">
        <v>8</v>
      </c>
      <c r="E28" s="53"/>
      <c r="F28" s="53"/>
      <c r="G28" s="53"/>
      <c r="H28" s="53"/>
      <c r="I28" s="53"/>
      <c r="J28" s="53"/>
      <c r="K28" s="53"/>
      <c r="L28" s="53"/>
      <c r="M28" s="53"/>
      <c r="N28" s="53"/>
      <c r="P28" t="s">
        <v>9</v>
      </c>
    </row>
    <row r="29" spans="2:16" ht="30" customHeight="1" x14ac:dyDescent="0.3">
      <c r="P29" s="35" t="s">
        <v>42</v>
      </c>
    </row>
  </sheetData>
  <sheetProtection sheet="1" objects="1" scenarios="1"/>
  <protectedRanges>
    <protectedRange sqref="D10:O23" name="Range1"/>
  </protectedRanges>
  <mergeCells count="13">
    <mergeCell ref="N6:P6"/>
    <mergeCell ref="B1:P1"/>
    <mergeCell ref="C3:D3"/>
    <mergeCell ref="L3:P3"/>
    <mergeCell ref="L4:P4"/>
    <mergeCell ref="L5:P5"/>
    <mergeCell ref="D28:N28"/>
    <mergeCell ref="D27:O27"/>
    <mergeCell ref="D8:H8"/>
    <mergeCell ref="I8:O8"/>
    <mergeCell ref="N9:O9"/>
    <mergeCell ref="D25:N25"/>
    <mergeCell ref="D26:N26"/>
  </mergeCells>
  <dataValidations count="23">
    <dataValidation allowBlank="1" showInputMessage="1" showErrorMessage="1" prompt="Create a Biweekly Time Sheet in this worksheet. Total Hours and Total Pay are automatically calculated" sqref="A1" xr:uid="{00000000-0002-0000-0200-000000000000}"/>
    <dataValidation allowBlank="1" showInputMessage="1" showErrorMessage="1" prompt="Title of this worksheet is in this cell" sqref="B1:P1" xr:uid="{00000000-0002-0000-0200-000001000000}"/>
    <dataValidation allowBlank="1" showInputMessage="1" showErrorMessage="1" prompt="Enter Company Name in this cell. Enter company Address in cells B3 to C5, Pay period start date and end date in cells G3 and G4, and employee details in cells B6 to G7" sqref="B2" xr:uid="{00000000-0002-0000-0200-000002000000}"/>
    <dataValidation allowBlank="1" showInputMessage="1" showErrorMessage="1" prompt="Enter Street Address in this cell" sqref="C3:D3" xr:uid="{00000000-0002-0000-0200-000003000000}"/>
    <dataValidation allowBlank="1" showInputMessage="1" showErrorMessage="1" prompt="Enter Employee name in cell at right" sqref="K3" xr:uid="{00000000-0002-0000-0200-000004000000}"/>
    <dataValidation allowBlank="1" showInputMessage="1" showErrorMessage="1" prompt="Enter Employee name in this cell" sqref="L3" xr:uid="{00000000-0002-0000-0200-000005000000}"/>
    <dataValidation allowBlank="1" showInputMessage="1" showErrorMessage="1" prompt="Enter Pay period start date in this cell" sqref="L4" xr:uid="{00000000-0002-0000-0200-000006000000}"/>
    <dataValidation allowBlank="1" showInputMessage="1" showErrorMessage="1" prompt="Enter Pay period end date in cell at right" sqref="K5" xr:uid="{00000000-0002-0000-0200-000007000000}"/>
    <dataValidation allowBlank="1" showInputMessage="1" showErrorMessage="1" prompt="Enter Pay period start date in cell at right" sqref="K4" xr:uid="{00000000-0002-0000-0200-000008000000}"/>
    <dataValidation allowBlank="1" showInputMessage="1" showErrorMessage="1" prompt="Enter Pay period end date in this cell" sqref="L5" xr:uid="{00000000-0002-0000-0200-000009000000}"/>
    <dataValidation allowBlank="1" showInputMessage="1" showErrorMessage="1" prompt="Enter Employee phone number in cell at right" sqref="M6 O6" xr:uid="{00000000-0002-0000-0200-00000A000000}"/>
    <dataValidation allowBlank="1" showInputMessage="1" showErrorMessage="1" prompt="Enter Employee phone number in this cell" sqref="N6 P6" xr:uid="{00000000-0002-0000-0200-00000B000000}"/>
    <dataValidation allowBlank="1" showInputMessage="1" showErrorMessage="1" prompt="Enter Regular Hours in this column under this heading" sqref="D9" xr:uid="{00000000-0002-0000-0200-00000C000000}"/>
    <dataValidation allowBlank="1" showInputMessage="1" showErrorMessage="1" prompt="Date is automatically updated in this column under this heading based on Pay period start and end date in cells G3 and G4" sqref="C9" xr:uid="{00000000-0002-0000-0200-00000D000000}"/>
    <dataValidation allowBlank="1" showInputMessage="1" showErrorMessage="1" prompt="Enter Overtime Hours in this column under this heading" sqref="E9:L9" xr:uid="{00000000-0002-0000-0200-00000E000000}"/>
    <dataValidation allowBlank="1" showInputMessage="1" showErrorMessage="1" prompt="Enter Sick hours in this column under this heading" sqref="M9" xr:uid="{00000000-0002-0000-0200-00000F000000}"/>
    <dataValidation allowBlank="1" showInputMessage="1" showErrorMessage="1" prompt="Enter Vacation hours in this column under this heading" sqref="N9" xr:uid="{00000000-0002-0000-0200-000010000000}"/>
    <dataValidation allowBlank="1" showInputMessage="1" showErrorMessage="1" prompt="Total Hours for each weekday are automatically calculated in this column under this heading" sqref="P9" xr:uid="{00000000-0002-0000-0200-000011000000}"/>
    <dataValidation allowBlank="1" showInputMessage="1" showErrorMessage="1" prompt="Total hours for the entire period are automatically calculated in cells at right" sqref="C24" xr:uid="{00000000-0002-0000-0200-000012000000}"/>
    <dataValidation allowBlank="1" showInputMessage="1" showErrorMessage="1" prompt="Enter Employee Signature in this cell" sqref="D25:O25" xr:uid="{00000000-0002-0000-0200-000013000000}"/>
    <dataValidation allowBlank="1" showInputMessage="1" showErrorMessage="1" prompt="Enter Manager Signature in this cell" sqref="D27" xr:uid="{00000000-0002-0000-0200-000014000000}"/>
    <dataValidation allowBlank="1" showInputMessage="1" showErrorMessage="1" prompt="Enter Date in this cell" sqref="P25" xr:uid="{00000000-0002-0000-0200-000015000000}"/>
    <dataValidation allowBlank="1" showInputMessage="1" showErrorMessage="1" prompt="Enter Street Address in cell at right" sqref="B3" xr:uid="{00000000-0002-0000-02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D11"/>
  <sheetViews>
    <sheetView zoomScaleNormal="100" workbookViewId="0"/>
  </sheetViews>
  <sheetFormatPr defaultRowHeight="16.5" x14ac:dyDescent="0.3"/>
  <cols>
    <col min="1" max="1" width="24.375" bestFit="1" customWidth="1"/>
  </cols>
  <sheetData>
    <row r="1" spans="1:4" ht="17.25" thickBot="1" x14ac:dyDescent="0.35">
      <c r="A1" s="31" t="s">
        <v>28</v>
      </c>
      <c r="B1" s="31"/>
      <c r="C1" s="31"/>
      <c r="D1" s="31"/>
    </row>
    <row r="2" spans="1:4" x14ac:dyDescent="0.3">
      <c r="A2" s="32" t="s">
        <v>29</v>
      </c>
      <c r="B2" s="32"/>
      <c r="C2" s="33">
        <f>'Biweekly Time Sheet'!D$23</f>
        <v>80</v>
      </c>
      <c r="D2" s="32"/>
    </row>
    <row r="3" spans="1:4" x14ac:dyDescent="0.3">
      <c r="A3" s="32" t="s">
        <v>30</v>
      </c>
      <c r="B3" s="32"/>
      <c r="C3" s="33">
        <f>'Biweekly Time Sheet'!E$23</f>
        <v>18</v>
      </c>
      <c r="D3" s="32"/>
    </row>
    <row r="4" spans="1:4" x14ac:dyDescent="0.3">
      <c r="A4" s="32" t="s">
        <v>31</v>
      </c>
      <c r="B4" s="32"/>
      <c r="C4" s="33">
        <f>'Biweekly Time Sheet'!F$23</f>
        <v>10</v>
      </c>
      <c r="D4" s="32"/>
    </row>
    <row r="5" spans="1:4" x14ac:dyDescent="0.3">
      <c r="A5" s="32" t="s">
        <v>32</v>
      </c>
      <c r="B5" s="32"/>
      <c r="C5" s="33">
        <f>'Biweekly Time Sheet'!G$23</f>
        <v>8</v>
      </c>
      <c r="D5" s="32"/>
    </row>
    <row r="6" spans="1:4" x14ac:dyDescent="0.3">
      <c r="A6" s="32" t="s">
        <v>43</v>
      </c>
      <c r="B6" s="32"/>
      <c r="C6" s="33">
        <f>'Biweekly Time Sheet'!H$23</f>
        <v>0</v>
      </c>
      <c r="D6" s="32"/>
    </row>
    <row r="7" spans="1:4" x14ac:dyDescent="0.3">
      <c r="A7" s="32" t="s">
        <v>33</v>
      </c>
      <c r="B7" s="32"/>
      <c r="C7" s="33">
        <f>'Biweekly Time Sheet'!I$23</f>
        <v>0</v>
      </c>
      <c r="D7" s="32"/>
    </row>
    <row r="8" spans="1:4" x14ac:dyDescent="0.3">
      <c r="A8" s="32" t="s">
        <v>34</v>
      </c>
      <c r="B8" s="32"/>
      <c r="C8" s="33">
        <f>'Biweekly Time Sheet'!J$23</f>
        <v>0</v>
      </c>
      <c r="D8" s="32"/>
    </row>
    <row r="9" spans="1:4" x14ac:dyDescent="0.3">
      <c r="A9" s="32" t="s">
        <v>47</v>
      </c>
      <c r="B9" s="32"/>
      <c r="C9" s="33">
        <f>'Biweekly Time Sheet'!K$23</f>
        <v>0</v>
      </c>
      <c r="D9" s="32"/>
    </row>
    <row r="10" spans="1:4" x14ac:dyDescent="0.3">
      <c r="A10" s="32" t="s">
        <v>35</v>
      </c>
      <c r="B10" s="32"/>
      <c r="C10" s="34">
        <f>'Biweekly Expense Report CAD'!P24</f>
        <v>140</v>
      </c>
      <c r="D10" s="32" t="s">
        <v>37</v>
      </c>
    </row>
    <row r="11" spans="1:4" x14ac:dyDescent="0.3">
      <c r="A11" s="32" t="s">
        <v>36</v>
      </c>
      <c r="B11" s="32"/>
      <c r="C11" s="34">
        <f>'Biweekly Expense Report USD'!P24</f>
        <v>0</v>
      </c>
      <c r="D11" s="32" t="s">
        <v>38</v>
      </c>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LAPTOP</dc:creator>
  <cp:lastModifiedBy>Drew Alkemade</cp:lastModifiedBy>
  <cp:lastPrinted>2024-10-18T17:40:27Z</cp:lastPrinted>
  <dcterms:created xsi:type="dcterms:W3CDTF">2017-09-11T06:48:50Z</dcterms:created>
  <dcterms:modified xsi:type="dcterms:W3CDTF">2025-12-22T15:26:49Z</dcterms:modified>
</cp:coreProperties>
</file>