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showInkAnnotation="0"/>
  <mc:AlternateContent xmlns:mc="http://schemas.openxmlformats.org/markup-compatibility/2006">
    <mc:Choice Requires="x15">
      <x15ac:absPath xmlns:x15ac="http://schemas.microsoft.com/office/spreadsheetml/2010/11/ac" url="Z:\VM Shared Folder\Documents\TIme Sheets - Archive\"/>
    </mc:Choice>
  </mc:AlternateContent>
  <bookViews>
    <workbookView xWindow="0" yWindow="0" windowWidth="28800" windowHeight="11760" tabRatio="478"/>
  </bookViews>
  <sheets>
    <sheet name="Biweekly Time Sheet" sheetId="1" r:id="rId1"/>
    <sheet name="Biweekly Expense Report CAD" sheetId="3" r:id="rId2"/>
    <sheet name="Biweekly Expense Report USD" sheetId="5" r:id="rId3"/>
    <sheet name="Accounting Use Only" sheetId="4" r:id="rId4"/>
  </sheets>
  <definedNames>
    <definedName name="_xlnm.Print_Area" localSheetId="0">'Biweekly Time Sheet'!$A$1:$L$28</definedName>
    <definedName name="_xlnm.Print_Titles" localSheetId="1">'Biweekly Expense Report CAD'!$9:$9</definedName>
    <definedName name="_xlnm.Print_Titles" localSheetId="2">'Biweekly Expense Report USD'!$9:$9</definedName>
    <definedName name="_xlnm.Print_Titles" localSheetId="0">'Biweekly Time Sheet'!$8:$8</definedName>
    <definedName name="RowTitleRegion1..C5" localSheetId="1">'Biweekly Expense Report CAD'!$B$3</definedName>
    <definedName name="RowTitleRegion1..C5" localSheetId="2">'Biweekly Expense Report USD'!$B$3</definedName>
    <definedName name="RowTitleRegion1..C5">'Biweekly Time Sheet'!$B$3</definedName>
    <definedName name="RowTitleRegion2..G4" localSheetId="1">'Biweekly Expense Report CAD'!$K$4</definedName>
    <definedName name="RowTitleRegion2..G4" localSheetId="2">'Biweekly Expense Report USD'!$K$4</definedName>
    <definedName name="RowTitleRegion2..G4">'Biweekly Time Sheet'!$G$4</definedName>
    <definedName name="RowTitleRegion3..C7" localSheetId="1">'Biweekly Expense Report CAD'!$K$3</definedName>
    <definedName name="RowTitleRegion3..C7" localSheetId="2">'Biweekly Expense Report USD'!$K$3</definedName>
    <definedName name="RowTitleRegion3..C7">'Biweekly Time Sheet'!$G$3</definedName>
    <definedName name="RowTitleRegion4..G7" localSheetId="1">'Biweekly Expense Report CAD'!$M$6</definedName>
    <definedName name="RowTitleRegion4..G7" localSheetId="2">'Biweekly Expense Report USD'!$M$6</definedName>
    <definedName name="RowTitleRegion4..G7">'Biweekly Time Sheet'!$I$6</definedName>
    <definedName name="RowTitleRegion5..H24" localSheetId="1">'Biweekly Expense Report CAD'!$C$24</definedName>
    <definedName name="RowTitleRegion5..H24" localSheetId="2">'Biweekly Expense Report USD'!$C$24</definedName>
    <definedName name="RowTitleRegion5..H24">'Biweekly Time Sheet'!$C$23</definedName>
    <definedName name="RowTitleRegion6..G25" localSheetId="1">'Biweekly Expense Report CAD'!#REF!</definedName>
    <definedName name="RowTitleRegion6..G25" localSheetId="2">'Biweekly Expense Report USD'!#REF!</definedName>
    <definedName name="RowTitleRegion6..G25">'Biweekly Time Sheet'!#REF!</definedName>
    <definedName name="RowTitleRegion7..H26" localSheetId="1">'Biweekly Expense Report CAD'!#REF!</definedName>
    <definedName name="RowTitleRegion7..H26" localSheetId="2">'Biweekly Expense Report USD'!#REF!</definedName>
    <definedName name="RowTitleRegion7..H26">'Biweekly Time Sheet'!#REF!</definedName>
    <definedName name="Title1" localSheetId="1">'Biweekly Expense Report CAD'!$B$9</definedName>
    <definedName name="Title1" localSheetId="2">'Biweekly Expense Report USD'!$B$9</definedName>
    <definedName name="Title1">'Biweekly Time Sheet'!$B$8</definedName>
  </definedNames>
  <calcPr calcId="162913"/>
</workbook>
</file>

<file path=xl/calcChain.xml><?xml version="1.0" encoding="utf-8"?>
<calcChain xmlns="http://schemas.openxmlformats.org/spreadsheetml/2006/main">
  <c r="L22" i="1" l="1"/>
  <c r="L21" i="1"/>
  <c r="L20" i="1"/>
  <c r="L19" i="1"/>
  <c r="L18" i="1"/>
  <c r="L17" i="1"/>
  <c r="L16" i="1"/>
  <c r="L15" i="1"/>
  <c r="L14" i="1"/>
  <c r="L13" i="1"/>
  <c r="L12" i="1"/>
  <c r="L11" i="1"/>
  <c r="L10" i="1"/>
  <c r="L9" i="1"/>
  <c r="K23" i="1"/>
  <c r="C9" i="4" s="1"/>
  <c r="P27" i="5" l="1"/>
  <c r="D27" i="5"/>
  <c r="D27" i="3"/>
  <c r="P27" i="3"/>
  <c r="C12" i="1"/>
  <c r="M24" i="5"/>
  <c r="L24" i="5"/>
  <c r="K24" i="5"/>
  <c r="J24" i="5"/>
  <c r="I24" i="5"/>
  <c r="H24" i="5"/>
  <c r="G24" i="5"/>
  <c r="F24" i="5"/>
  <c r="E24" i="5"/>
  <c r="D24" i="5"/>
  <c r="P23" i="5"/>
  <c r="P22" i="5"/>
  <c r="P21" i="5"/>
  <c r="P20" i="5"/>
  <c r="P19" i="5"/>
  <c r="P18" i="5"/>
  <c r="P17" i="5"/>
  <c r="P16" i="5"/>
  <c r="P15" i="5"/>
  <c r="P14" i="5"/>
  <c r="P13" i="5"/>
  <c r="P12" i="5"/>
  <c r="P11" i="5"/>
  <c r="P10" i="5"/>
  <c r="L4" i="5"/>
  <c r="C21" i="5" s="1"/>
  <c r="B21" i="5" s="1"/>
  <c r="L3" i="5"/>
  <c r="P23" i="3"/>
  <c r="P22" i="3"/>
  <c r="P21" i="3"/>
  <c r="P20" i="3"/>
  <c r="P19" i="3"/>
  <c r="P18" i="3"/>
  <c r="P17" i="3"/>
  <c r="P16" i="3"/>
  <c r="P15" i="3"/>
  <c r="P14" i="3"/>
  <c r="P13" i="3"/>
  <c r="P12" i="3"/>
  <c r="P11" i="3"/>
  <c r="P10" i="3"/>
  <c r="L4" i="3"/>
  <c r="L3" i="3"/>
  <c r="H24" i="3"/>
  <c r="G24" i="3"/>
  <c r="F24" i="3"/>
  <c r="E24" i="3"/>
  <c r="P24" i="5" l="1"/>
  <c r="C11" i="4" s="1"/>
  <c r="C14" i="5"/>
  <c r="B14" i="5" s="1"/>
  <c r="C19" i="5"/>
  <c r="B19" i="5" s="1"/>
  <c r="C11" i="5"/>
  <c r="B11" i="5" s="1"/>
  <c r="C16" i="5"/>
  <c r="B16" i="5" s="1"/>
  <c r="C22" i="5"/>
  <c r="B22" i="5" s="1"/>
  <c r="C17" i="5"/>
  <c r="B17" i="5" s="1"/>
  <c r="C12" i="5"/>
  <c r="B12" i="5" s="1"/>
  <c r="C20" i="5"/>
  <c r="B20" i="5" s="1"/>
  <c r="C15" i="5"/>
  <c r="B15" i="5" s="1"/>
  <c r="C23" i="5"/>
  <c r="B23" i="5" s="1"/>
  <c r="C10" i="5"/>
  <c r="B10" i="5" s="1"/>
  <c r="C18" i="5"/>
  <c r="B18" i="5" s="1"/>
  <c r="C13" i="5"/>
  <c r="B13" i="5" s="1"/>
  <c r="P24" i="3"/>
  <c r="C10" i="4" s="1"/>
  <c r="C23" i="3" l="1"/>
  <c r="B23" i="3" s="1"/>
  <c r="M24" i="3"/>
  <c r="L24" i="3"/>
  <c r="K24" i="3"/>
  <c r="J24" i="3"/>
  <c r="I24" i="3"/>
  <c r="D24" i="3"/>
  <c r="C15" i="3" l="1"/>
  <c r="B15" i="3" s="1"/>
  <c r="C21" i="3"/>
  <c r="B21" i="3" s="1"/>
  <c r="C20" i="3"/>
  <c r="B20" i="3" s="1"/>
  <c r="C14" i="3"/>
  <c r="B14" i="3" s="1"/>
  <c r="C17" i="3"/>
  <c r="B17" i="3" s="1"/>
  <c r="C11" i="3"/>
  <c r="B11" i="3" s="1"/>
  <c r="C12" i="3"/>
  <c r="B12" i="3" s="1"/>
  <c r="C18" i="3"/>
  <c r="B18" i="3" s="1"/>
  <c r="C10" i="3"/>
  <c r="B10" i="3" s="1"/>
  <c r="C22" i="3"/>
  <c r="B22" i="3" s="1"/>
  <c r="C16" i="3"/>
  <c r="B16" i="3" s="1"/>
  <c r="C19" i="3"/>
  <c r="B19" i="3" s="1"/>
  <c r="C13" i="3"/>
  <c r="B13" i="3" s="1"/>
  <c r="J23" i="1" l="1"/>
  <c r="C8" i="4" s="1"/>
  <c r="I23" i="1"/>
  <c r="C7" i="4" s="1"/>
  <c r="H23" i="1"/>
  <c r="C6" i="4" s="1"/>
  <c r="G23" i="1"/>
  <c r="C5" i="4" s="1"/>
  <c r="F23" i="1"/>
  <c r="C4" i="4" s="1"/>
  <c r="E23" i="1" l="1"/>
  <c r="C3" i="4" s="1"/>
  <c r="D23" i="1"/>
  <c r="L23" i="1" s="1"/>
  <c r="H5" i="1"/>
  <c r="L5" i="5" l="1"/>
  <c r="L5" i="3"/>
  <c r="C2" i="4"/>
  <c r="C11" i="1"/>
  <c r="B11" i="1" s="1"/>
  <c r="C22" i="1"/>
  <c r="B22" i="1" s="1"/>
  <c r="C21" i="1"/>
  <c r="B21" i="1" s="1"/>
  <c r="C20" i="1"/>
  <c r="B20" i="1" s="1"/>
  <c r="C19" i="1"/>
  <c r="B19" i="1" s="1"/>
  <c r="C18" i="1"/>
  <c r="B18" i="1" s="1"/>
  <c r="C17" i="1"/>
  <c r="B17" i="1" s="1"/>
  <c r="C16" i="1"/>
  <c r="B16" i="1" s="1"/>
  <c r="C15" i="1"/>
  <c r="B15" i="1" s="1"/>
  <c r="C14" i="1"/>
  <c r="B14" i="1" s="1"/>
  <c r="C13" i="1"/>
  <c r="B13" i="1" s="1"/>
  <c r="B12" i="1"/>
  <c r="C10" i="1"/>
  <c r="B10" i="1" s="1"/>
  <c r="C9" i="1"/>
  <c r="B9" i="1" s="1"/>
</calcChain>
</file>

<file path=xl/sharedStrings.xml><?xml version="1.0" encoding="utf-8"?>
<sst xmlns="http://schemas.openxmlformats.org/spreadsheetml/2006/main" count="83" uniqueCount="49">
  <si>
    <t>Employee:</t>
  </si>
  <si>
    <t>Day</t>
  </si>
  <si>
    <t>Regular Hours</t>
  </si>
  <si>
    <t>Vacation</t>
  </si>
  <si>
    <t>Total</t>
  </si>
  <si>
    <t>Total hours</t>
  </si>
  <si>
    <t>Pay period start date:</t>
  </si>
  <si>
    <t>Pay period end date:</t>
  </si>
  <si>
    <t>Employee signature</t>
  </si>
  <si>
    <t>Date</t>
  </si>
  <si>
    <t>Holiday</t>
  </si>
  <si>
    <t>Overtime 1 Hours</t>
  </si>
  <si>
    <t>Overtime 2 Hours</t>
  </si>
  <si>
    <t>Drive Hours</t>
  </si>
  <si>
    <t>R&amp;D Controls Corp. Biweekly Time Sheet</t>
  </si>
  <si>
    <t>Per Diem - Travel</t>
  </si>
  <si>
    <t>Per Diem - Full</t>
  </si>
  <si>
    <t>Lodging</t>
  </si>
  <si>
    <t>Lodging - Per Receipt</t>
  </si>
  <si>
    <t>Luggage</t>
  </si>
  <si>
    <t>Car Rental</t>
  </si>
  <si>
    <t>Tolls</t>
  </si>
  <si>
    <t>Vehicle Maintenance</t>
  </si>
  <si>
    <t>Parking Fees</t>
  </si>
  <si>
    <t>Taxi</t>
  </si>
  <si>
    <t>Mileage</t>
  </si>
  <si>
    <t>Travel Expenses</t>
  </si>
  <si>
    <t>Transportation</t>
  </si>
  <si>
    <t>Accounting Use Only</t>
  </si>
  <si>
    <t>Total Regular Hours</t>
  </si>
  <si>
    <t>Total Overtime 1 Hours</t>
  </si>
  <si>
    <t>Total Overtime 2 Hours</t>
  </si>
  <si>
    <t>Total Drive Hours</t>
  </si>
  <si>
    <t>Total Vacation Hours</t>
  </si>
  <si>
    <t>Total Holiday Hours</t>
  </si>
  <si>
    <t>Total Expenses - CAD</t>
  </si>
  <si>
    <t>Total Expenses - USD</t>
  </si>
  <si>
    <t>CAD</t>
  </si>
  <si>
    <t>USD</t>
  </si>
  <si>
    <t>Sick/PEL</t>
  </si>
  <si>
    <t>R&amp;D Controls Corp. Biweekly Expense Report - US Dollars</t>
  </si>
  <si>
    <t>R&amp;D Controls Corp. Biweekly Expense Report - Canadian Dollars</t>
  </si>
  <si>
    <t>EmpTS_00x-Default_v2.0</t>
  </si>
  <si>
    <t>Total Sick/PEL Hours</t>
  </si>
  <si>
    <t>Non-Billable</t>
  </si>
  <si>
    <t>EmpTS_00x-Default_v2.1</t>
  </si>
  <si>
    <t>Note [Please explain Non-Billable Time]</t>
  </si>
  <si>
    <t>Total Non-Billable Hours</t>
  </si>
  <si>
    <t xml:space="preserve">Henry Andkilde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</si>
</sst>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1" formatCode="_(* #,##0_);_(* \(#,##0\);_(* &quot;-&quot;_);_(@_)"/>
    <numFmt numFmtId="164" formatCode="&quot;$&quot;#,##0.00"/>
    <numFmt numFmtId="165" formatCode="[&lt;=9999999]###\-####;\(###\)\ ###\-####"/>
    <numFmt numFmtId="166" formatCode="&quot;$&quot;#,##0"/>
    <numFmt numFmtId="167" formatCode="0.0"/>
  </numFmts>
  <fonts count="12" x14ac:knownFonts="1">
    <font>
      <sz val="11"/>
      <name val="Century Gothic"/>
      <family val="2"/>
      <scheme val="minor"/>
    </font>
    <font>
      <sz val="11"/>
      <color theme="1"/>
      <name val="Century Gothic"/>
      <family val="2"/>
      <scheme val="minor"/>
    </font>
    <font>
      <sz val="11"/>
      <color theme="1"/>
      <name val="Century Gothic"/>
      <family val="2"/>
      <scheme val="minor"/>
    </font>
    <font>
      <b/>
      <sz val="22"/>
      <color theme="1" tint="0.499984740745262"/>
      <name val="Century Gothic"/>
      <family val="2"/>
      <scheme val="major"/>
    </font>
    <font>
      <sz val="11"/>
      <name val="Century Gothic"/>
      <family val="2"/>
      <scheme val="minor"/>
    </font>
    <font>
      <b/>
      <sz val="22"/>
      <color theme="1" tint="0.24994659260841701"/>
      <name val="Century Gothic"/>
      <family val="2"/>
      <scheme val="minor"/>
    </font>
    <font>
      <b/>
      <sz val="11"/>
      <name val="Century Gothic"/>
      <family val="2"/>
      <scheme val="minor"/>
    </font>
    <font>
      <b/>
      <sz val="13"/>
      <name val="Century Gothic"/>
      <family val="2"/>
      <scheme val="minor"/>
    </font>
    <font>
      <sz val="11"/>
      <name val="Century Gothic"/>
      <family val="2"/>
      <scheme val="major"/>
    </font>
    <font>
      <b/>
      <sz val="14"/>
      <name val="Century Gothic"/>
      <family val="2"/>
      <scheme val="minor"/>
    </font>
    <font>
      <b/>
      <sz val="11"/>
      <color theme="1"/>
      <name val="Century Gothic"/>
      <family val="2"/>
      <scheme val="minor"/>
    </font>
    <font>
      <sz val="10"/>
      <name val="Century Gothic"/>
      <family val="2"/>
      <scheme val="minor"/>
    </font>
  </fonts>
  <fills count="8">
    <fill>
      <patternFill patternType="none"/>
    </fill>
    <fill>
      <patternFill patternType="gray125"/>
    </fill>
    <fill>
      <patternFill patternType="solid">
        <fgColor theme="0" tint="-4.9989318521683403E-2"/>
        <bgColor indexed="64"/>
      </patternFill>
    </fill>
    <fill>
      <patternFill patternType="solid">
        <fgColor theme="4" tint="0.79998168889431442"/>
        <bgColor indexed="65"/>
      </patternFill>
    </fill>
    <fill>
      <patternFill patternType="solid">
        <fgColor theme="0" tint="-0.24994659260841701"/>
        <bgColor indexed="64"/>
      </patternFill>
    </fill>
    <fill>
      <patternFill patternType="solid">
        <fgColor theme="6" tint="0.79998168889431442"/>
        <bgColor indexed="65"/>
      </patternFill>
    </fill>
    <fill>
      <patternFill patternType="solid">
        <fgColor theme="4" tint="0.79998168889431442"/>
        <bgColor indexed="64"/>
      </patternFill>
    </fill>
    <fill>
      <patternFill patternType="solid">
        <fgColor theme="0"/>
        <bgColor indexed="64"/>
      </patternFill>
    </fill>
  </fills>
  <borders count="24">
    <border>
      <left/>
      <right/>
      <top/>
      <bottom/>
      <diagonal/>
    </border>
    <border>
      <left style="thin">
        <color auto="1"/>
      </left>
      <right style="thin">
        <color auto="1"/>
      </right>
      <top style="thin">
        <color auto="1"/>
      </top>
      <bottom style="thin">
        <color auto="1"/>
      </bottom>
      <diagonal/>
    </border>
    <border>
      <left/>
      <right/>
      <top/>
      <bottom style="thin">
        <color theme="1"/>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medium">
        <color indexed="64"/>
      </left>
      <right/>
      <top style="thin">
        <color auto="1"/>
      </top>
      <bottom/>
      <diagonal/>
    </border>
    <border>
      <left style="thin">
        <color auto="1"/>
      </left>
      <right style="medium">
        <color indexed="64"/>
      </right>
      <top style="thin">
        <color auto="1"/>
      </top>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bottom/>
      <diagonal/>
    </border>
    <border>
      <left style="thin">
        <color auto="1"/>
      </left>
      <right/>
      <top/>
      <bottom/>
      <diagonal/>
    </border>
    <border>
      <left style="thin">
        <color auto="1"/>
      </left>
      <right/>
      <top/>
      <bottom style="thin">
        <color auto="1"/>
      </bottom>
      <diagonal/>
    </border>
    <border>
      <left/>
      <right style="medium">
        <color indexed="64"/>
      </right>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medium">
        <color indexed="64"/>
      </right>
      <top/>
      <bottom/>
      <diagonal/>
    </border>
    <border>
      <left/>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auto="1"/>
      </top>
      <bottom/>
      <diagonal/>
    </border>
  </borders>
  <cellStyleXfs count="22">
    <xf numFmtId="0" fontId="0" fillId="0" borderId="0">
      <alignment horizontal="left" vertical="center" indent="1"/>
    </xf>
    <xf numFmtId="164" fontId="4" fillId="0" borderId="0" applyFill="0" applyBorder="0" applyProtection="0">
      <alignment horizontal="right" vertical="center" indent="1"/>
    </xf>
    <xf numFmtId="2" fontId="4" fillId="0" borderId="0" applyFont="0" applyFill="0" applyBorder="0" applyProtection="0">
      <alignment horizontal="right" vertical="center" indent="1"/>
    </xf>
    <xf numFmtId="41" fontId="4" fillId="0" borderId="0" applyFont="0" applyFill="0" applyBorder="0" applyAlignment="0" applyProtection="0"/>
    <xf numFmtId="166" fontId="4" fillId="2" borderId="1" applyProtection="0">
      <alignment horizontal="right" vertical="center" indent="1"/>
    </xf>
    <xf numFmtId="9" fontId="4" fillId="0" borderId="0" applyFont="0" applyFill="0" applyBorder="0" applyAlignment="0" applyProtection="0"/>
    <xf numFmtId="0" fontId="3" fillId="0" borderId="0" applyNumberFormat="0" applyFill="0" applyBorder="0" applyProtection="0">
      <alignment horizontal="right"/>
    </xf>
    <xf numFmtId="0" fontId="5" fillId="0" borderId="0" applyNumberFormat="0" applyFill="0" applyBorder="0" applyProtection="0">
      <alignment horizontal="left" vertical="center"/>
    </xf>
    <xf numFmtId="0" fontId="7" fillId="0" borderId="0" applyNumberFormat="0" applyFill="0" applyAlignment="0" applyProtection="0"/>
    <xf numFmtId="0" fontId="4" fillId="0" borderId="0" applyNumberFormat="0" applyFill="0" applyBorder="0" applyProtection="0">
      <alignment horizontal="left"/>
    </xf>
    <xf numFmtId="0" fontId="4" fillId="0" borderId="0" applyNumberFormat="0" applyFill="0" applyBorder="0" applyProtection="0">
      <alignment horizontal="right" indent="1"/>
    </xf>
    <xf numFmtId="2" fontId="6" fillId="2" borderId="1" applyProtection="0">
      <alignment horizontal="right" vertical="center" indent="1"/>
    </xf>
    <xf numFmtId="0" fontId="2" fillId="3" borderId="1" applyNumberFormat="0" applyAlignment="0" applyProtection="0"/>
    <xf numFmtId="14" fontId="4" fillId="2" borderId="0" applyFont="0" applyFill="0" applyBorder="0" applyAlignment="0">
      <alignment horizontal="left" vertical="center" indent="1"/>
    </xf>
    <xf numFmtId="165" fontId="4" fillId="0" borderId="0" applyFont="0" applyFill="0" applyBorder="0" applyAlignment="0"/>
    <xf numFmtId="2" fontId="4" fillId="0" borderId="0" applyFont="0" applyFill="0" applyBorder="0">
      <alignment horizontal="right" vertical="center" indent="1"/>
    </xf>
    <xf numFmtId="0" fontId="8" fillId="0" borderId="0" applyNumberFormat="0" applyFill="0" applyBorder="0" applyProtection="0">
      <alignment horizontal="left" wrapText="1"/>
    </xf>
    <xf numFmtId="0" fontId="4" fillId="0" borderId="0" applyNumberFormat="0" applyFill="0" applyBorder="0" applyProtection="0">
      <alignment horizontal="left" wrapText="1"/>
    </xf>
    <xf numFmtId="0" fontId="4" fillId="0" borderId="2" applyNumberFormat="0" applyFont="0" applyFill="0" applyProtection="0">
      <alignment horizontal="left" wrapText="1"/>
    </xf>
    <xf numFmtId="14" fontId="4" fillId="2" borderId="0" applyFont="0" applyBorder="0" applyAlignment="0">
      <alignment horizontal="left" wrapText="1"/>
    </xf>
    <xf numFmtId="0" fontId="4" fillId="0" borderId="0" applyNumberFormat="0" applyFont="0" applyFill="0" applyBorder="0">
      <alignment horizontal="center" vertical="center"/>
    </xf>
    <xf numFmtId="0" fontId="1" fillId="5" borderId="0" applyNumberFormat="0" applyBorder="0" applyAlignment="0" applyProtection="0"/>
  </cellStyleXfs>
  <cellXfs count="62">
    <xf numFmtId="0" fontId="0" fillId="0" borderId="0" xfId="0">
      <alignment horizontal="left" vertical="center" indent="1"/>
    </xf>
    <xf numFmtId="0" fontId="5" fillId="0" borderId="0" xfId="7" applyAlignment="1">
      <alignment vertical="center"/>
    </xf>
    <xf numFmtId="0" fontId="6" fillId="4" borderId="1" xfId="0" applyFont="1" applyFill="1" applyBorder="1">
      <alignment horizontal="left" vertical="center" indent="1"/>
    </xf>
    <xf numFmtId="2" fontId="6" fillId="2" borderId="1" xfId="11">
      <alignment horizontal="right" vertical="center" indent="1"/>
    </xf>
    <xf numFmtId="0" fontId="4" fillId="0" borderId="0" xfId="9">
      <alignment horizontal="left"/>
    </xf>
    <xf numFmtId="0" fontId="4" fillId="0" borderId="0" xfId="10">
      <alignment horizontal="right" indent="1"/>
    </xf>
    <xf numFmtId="14" fontId="4" fillId="0" borderId="2" xfId="13" applyFill="1" applyBorder="1" applyAlignment="1">
      <alignment horizontal="left" wrapText="1"/>
    </xf>
    <xf numFmtId="0" fontId="0" fillId="0" borderId="0" xfId="0">
      <alignment horizontal="left" vertical="center" indent="1"/>
    </xf>
    <xf numFmtId="0" fontId="0" fillId="0" borderId="0" xfId="0">
      <alignment horizontal="left" vertical="center" indent="1"/>
    </xf>
    <xf numFmtId="0" fontId="4" fillId="0" borderId="2" xfId="18" applyAlignment="1">
      <alignment horizontal="left"/>
    </xf>
    <xf numFmtId="0" fontId="6" fillId="4" borderId="3" xfId="0" applyFont="1" applyFill="1" applyBorder="1" applyAlignment="1">
      <alignment horizontal="left" vertical="center" indent="1"/>
    </xf>
    <xf numFmtId="0" fontId="6" fillId="4" borderId="3" xfId="20" applyFont="1" applyFill="1" applyBorder="1" applyAlignment="1">
      <alignment horizontal="center" vertical="center"/>
    </xf>
    <xf numFmtId="0" fontId="6" fillId="4" borderId="4" xfId="20" applyFont="1" applyFill="1" applyBorder="1" applyAlignment="1">
      <alignment horizontal="center" vertical="center"/>
    </xf>
    <xf numFmtId="14" fontId="0" fillId="2" borderId="3" xfId="19" applyNumberFormat="1" applyFont="1" applyFill="1" applyBorder="1" applyAlignment="1">
      <alignment horizontal="left" vertical="center" indent="1"/>
    </xf>
    <xf numFmtId="2" fontId="0" fillId="0" borderId="3" xfId="2" applyNumberFormat="1" applyFont="1" applyBorder="1" applyAlignment="1">
      <alignment horizontal="right" vertical="center" indent="1"/>
    </xf>
    <xf numFmtId="2" fontId="0" fillId="6" borderId="3" xfId="2" applyNumberFormat="1" applyFont="1" applyFill="1" applyBorder="1" applyAlignment="1">
      <alignment horizontal="right" vertical="center" indent="1"/>
    </xf>
    <xf numFmtId="0" fontId="6" fillId="4" borderId="5" xfId="0" applyFont="1" applyFill="1" applyBorder="1" applyAlignment="1">
      <alignment horizontal="left" vertical="center" indent="1"/>
    </xf>
    <xf numFmtId="14" fontId="0" fillId="2" borderId="5" xfId="19" applyNumberFormat="1" applyFont="1" applyFill="1" applyBorder="1" applyAlignment="1">
      <alignment horizontal="left" vertical="center" indent="1"/>
    </xf>
    <xf numFmtId="2" fontId="0" fillId="0" borderId="5" xfId="2" applyNumberFormat="1" applyFont="1" applyBorder="1" applyAlignment="1">
      <alignment horizontal="right" vertical="center" indent="1"/>
    </xf>
    <xf numFmtId="2" fontId="0" fillId="6" borderId="5" xfId="2" applyNumberFormat="1" applyFont="1" applyFill="1" applyBorder="1" applyAlignment="1">
      <alignment horizontal="right" vertical="center" indent="1"/>
    </xf>
    <xf numFmtId="14" fontId="0" fillId="2" borderId="2" xfId="19" applyFont="1" applyBorder="1" applyAlignment="1">
      <alignment wrapText="1"/>
    </xf>
    <xf numFmtId="164" fontId="0" fillId="0" borderId="3" xfId="2" applyNumberFormat="1" applyFont="1" applyBorder="1" applyAlignment="1">
      <alignment horizontal="right" vertical="center" indent="1"/>
    </xf>
    <xf numFmtId="164" fontId="0" fillId="6" borderId="3" xfId="2" applyNumberFormat="1" applyFont="1" applyFill="1" applyBorder="1" applyAlignment="1">
      <alignment horizontal="right" vertical="center" indent="1"/>
    </xf>
    <xf numFmtId="0" fontId="6" fillId="4" borderId="5" xfId="0" applyFont="1" applyFill="1" applyBorder="1">
      <alignment horizontal="left" vertical="center" indent="1"/>
    </xf>
    <xf numFmtId="164" fontId="0" fillId="0" borderId="6" xfId="2" applyNumberFormat="1" applyFont="1" applyBorder="1" applyAlignment="1">
      <alignment horizontal="right" vertical="center" indent="1"/>
    </xf>
    <xf numFmtId="164" fontId="0" fillId="0" borderId="7" xfId="2" applyNumberFormat="1" applyFont="1" applyBorder="1" applyAlignment="1">
      <alignment horizontal="right" vertical="center" indent="1"/>
    </xf>
    <xf numFmtId="164" fontId="0" fillId="0" borderId="8" xfId="2" applyNumberFormat="1" applyFont="1" applyBorder="1" applyAlignment="1">
      <alignment horizontal="right" vertical="center" indent="1"/>
    </xf>
    <xf numFmtId="164" fontId="6" fillId="2" borderId="9" xfId="11" applyNumberFormat="1" applyBorder="1">
      <alignment horizontal="right" vertical="center" indent="1"/>
    </xf>
    <xf numFmtId="164" fontId="6" fillId="2" borderId="10" xfId="11" applyNumberFormat="1" applyBorder="1">
      <alignment horizontal="right" vertical="center" indent="1"/>
    </xf>
    <xf numFmtId="164" fontId="6" fillId="2" borderId="11" xfId="11" applyNumberFormat="1" applyBorder="1">
      <alignment horizontal="right" vertical="center" indent="1"/>
    </xf>
    <xf numFmtId="164" fontId="0" fillId="6" borderId="6" xfId="2" applyNumberFormat="1" applyFont="1" applyFill="1" applyBorder="1" applyAlignment="1">
      <alignment horizontal="right" vertical="center" indent="1"/>
    </xf>
    <xf numFmtId="0" fontId="6" fillId="4" borderId="12" xfId="20" applyFont="1" applyFill="1" applyBorder="1" applyAlignment="1">
      <alignment horizontal="center" vertical="center" wrapText="1"/>
    </xf>
    <xf numFmtId="0" fontId="6" fillId="4" borderId="13" xfId="20" applyFont="1" applyFill="1" applyBorder="1" applyAlignment="1">
      <alignment horizontal="center" vertical="center" wrapText="1"/>
    </xf>
    <xf numFmtId="0" fontId="6" fillId="4" borderId="19" xfId="20" applyFont="1" applyFill="1" applyBorder="1" applyAlignment="1">
      <alignment horizontal="center" vertical="center" wrapText="1"/>
    </xf>
    <xf numFmtId="0" fontId="10" fillId="5" borderId="20" xfId="21" applyFont="1" applyBorder="1" applyAlignment="1">
      <alignment horizontal="left" vertical="center" indent="1"/>
    </xf>
    <xf numFmtId="0" fontId="10" fillId="5" borderId="0" xfId="21" applyFont="1" applyAlignment="1">
      <alignment horizontal="left" vertical="center" indent="1"/>
    </xf>
    <xf numFmtId="2" fontId="10" fillId="5" borderId="0" xfId="21" applyNumberFormat="1" applyFont="1" applyAlignment="1">
      <alignment horizontal="left" vertical="center" indent="1"/>
    </xf>
    <xf numFmtId="164" fontId="10" fillId="5" borderId="0" xfId="21" applyNumberFormat="1" applyFont="1" applyAlignment="1">
      <alignment horizontal="right" vertical="center" indent="1"/>
    </xf>
    <xf numFmtId="0" fontId="11" fillId="0" borderId="0" xfId="0" applyFont="1" applyAlignment="1">
      <alignment horizontal="right" vertical="center" indent="1"/>
    </xf>
    <xf numFmtId="167" fontId="6" fillId="0" borderId="0" xfId="11" applyNumberFormat="1" applyFill="1" applyBorder="1">
      <alignment horizontal="right" vertical="center" indent="1"/>
    </xf>
    <xf numFmtId="164" fontId="6" fillId="0" borderId="0" xfId="11" applyNumberFormat="1" applyFill="1" applyBorder="1">
      <alignment horizontal="right" vertical="center" indent="1"/>
    </xf>
    <xf numFmtId="164" fontId="6" fillId="2" borderId="21" xfId="11" applyNumberFormat="1" applyBorder="1">
      <alignment horizontal="right" vertical="center" indent="1"/>
    </xf>
    <xf numFmtId="0" fontId="6" fillId="4" borderId="22" xfId="20" applyFont="1" applyFill="1" applyBorder="1" applyAlignment="1">
      <alignment horizontal="center" vertical="center"/>
    </xf>
    <xf numFmtId="164" fontId="0" fillId="6" borderId="23" xfId="2" applyNumberFormat="1" applyFont="1" applyFill="1" applyBorder="1" applyAlignment="1">
      <alignment horizontal="right" vertical="center" indent="1"/>
    </xf>
    <xf numFmtId="167" fontId="0" fillId="0" borderId="1" xfId="2" applyNumberFormat="1" applyFont="1" applyBorder="1" applyAlignment="1">
      <alignment horizontal="right" vertical="center" indent="1"/>
    </xf>
    <xf numFmtId="164" fontId="0" fillId="0" borderId="8" xfId="2" applyNumberFormat="1" applyFont="1" applyBorder="1" applyAlignment="1" applyProtection="1">
      <alignment horizontal="right" vertical="center" indent="1"/>
    </xf>
    <xf numFmtId="2" fontId="0" fillId="7" borderId="4" xfId="2" applyNumberFormat="1" applyFont="1" applyFill="1" applyBorder="1" applyAlignment="1">
      <alignment horizontal="right" vertical="center" indent="1"/>
    </xf>
    <xf numFmtId="0" fontId="0" fillId="0" borderId="1" xfId="0" applyBorder="1">
      <alignment horizontal="left" vertical="center" indent="1"/>
    </xf>
    <xf numFmtId="0" fontId="6" fillId="4" borderId="1" xfId="20" applyFont="1" applyFill="1" applyBorder="1" applyAlignment="1">
      <alignment horizontal="left" vertical="center" indent="1"/>
    </xf>
    <xf numFmtId="14" fontId="0" fillId="2" borderId="2" xfId="19" applyFont="1" applyBorder="1">
      <alignment horizontal="left" wrapText="1"/>
    </xf>
    <xf numFmtId="0" fontId="0" fillId="0" borderId="0" xfId="0">
      <alignment horizontal="left" vertical="center" indent="1"/>
    </xf>
    <xf numFmtId="0" fontId="3" fillId="0" borderId="0" xfId="6">
      <alignment horizontal="right"/>
    </xf>
    <xf numFmtId="0" fontId="0" fillId="0" borderId="2" xfId="18" applyFont="1" applyAlignment="1">
      <alignment horizontal="left"/>
    </xf>
    <xf numFmtId="0" fontId="4" fillId="0" borderId="2" xfId="18" applyAlignment="1">
      <alignment horizontal="left"/>
    </xf>
    <xf numFmtId="0" fontId="0" fillId="0" borderId="2" xfId="18" applyFont="1">
      <alignment horizontal="left" wrapText="1"/>
    </xf>
    <xf numFmtId="14" fontId="0" fillId="0" borderId="2" xfId="13" applyFont="1" applyFill="1" applyBorder="1" applyAlignment="1">
      <alignment horizontal="left" wrapText="1"/>
    </xf>
    <xf numFmtId="14" fontId="0" fillId="2" borderId="2" xfId="19" applyFont="1" applyBorder="1" applyAlignment="1">
      <alignment horizontal="center" wrapText="1"/>
    </xf>
    <xf numFmtId="0" fontId="6" fillId="4" borderId="14" xfId="20" applyFont="1" applyFill="1" applyBorder="1" applyAlignment="1">
      <alignment horizontal="center" vertical="center" wrapText="1"/>
    </xf>
    <xf numFmtId="0" fontId="6" fillId="4" borderId="15" xfId="20" applyFont="1" applyFill="1" applyBorder="1" applyAlignment="1">
      <alignment horizontal="center" vertical="center" wrapText="1"/>
    </xf>
    <xf numFmtId="0" fontId="9" fillId="0" borderId="16" xfId="0" applyFont="1" applyBorder="1" applyAlignment="1">
      <alignment horizontal="center" vertical="center"/>
    </xf>
    <xf numFmtId="0" fontId="9" fillId="0" borderId="17" xfId="0" applyFont="1" applyBorder="1" applyAlignment="1">
      <alignment horizontal="center" vertical="center"/>
    </xf>
    <xf numFmtId="0" fontId="9" fillId="0" borderId="18" xfId="0" applyFont="1" applyBorder="1" applyAlignment="1">
      <alignment horizontal="center" vertical="center"/>
    </xf>
  </cellXfs>
  <cellStyles count="22">
    <cellStyle name="20% - Accent1" xfId="12" builtinId="30" customBuiltin="1"/>
    <cellStyle name="20% - Accent3" xfId="21" builtinId="38"/>
    <cellStyle name="Comma" xfId="2" builtinId="3" customBuiltin="1"/>
    <cellStyle name="Comma [0]" xfId="3" builtinId="6" customBuiltin="1"/>
    <cellStyle name="Currency" xfId="1" builtinId="4" customBuiltin="1"/>
    <cellStyle name="Currency [0]" xfId="4" builtinId="7" customBuiltin="1"/>
    <cellStyle name="Date" xfId="13"/>
    <cellStyle name="Date Fill" xfId="19"/>
    <cellStyle name="Followed Hyperlink" xfId="17" builtinId="9" customBuiltin="1"/>
    <cellStyle name="Heading 1" xfId="7" builtinId="16" customBuiltin="1"/>
    <cellStyle name="Heading 2" xfId="8" builtinId="17" customBuiltin="1"/>
    <cellStyle name="Heading 3" xfId="9" builtinId="18" customBuiltin="1"/>
    <cellStyle name="Heading 4" xfId="10" builtinId="19" customBuiltin="1"/>
    <cellStyle name="Hours" xfId="15"/>
    <cellStyle name="Hyperlink" xfId="16" builtinId="8" customBuiltin="1"/>
    <cellStyle name="Input" xfId="18" builtinId="20" customBuiltin="1"/>
    <cellStyle name="Normal" xfId="0" builtinId="0" customBuiltin="1"/>
    <cellStyle name="Percent" xfId="5" builtinId="5" customBuiltin="1"/>
    <cellStyle name="Phone" xfId="14"/>
    <cellStyle name="Table heading center align" xfId="20"/>
    <cellStyle name="Title" xfId="6" builtinId="15" customBuiltin="1"/>
    <cellStyle name="Total" xfId="11" builtinId="25" customBuiltin="1"/>
  </cellStyles>
  <dxfs count="4">
    <dxf>
      <fill>
        <patternFill>
          <bgColor theme="4" tint="0.79998168889431442"/>
        </patternFill>
      </fill>
    </dxf>
    <dxf>
      <font>
        <b/>
        <i val="0"/>
      </font>
      <fill>
        <patternFill>
          <bgColor theme="0" tint="-0.24994659260841701"/>
        </patternFill>
      </fill>
    </dxf>
    <dxf>
      <font>
        <b/>
        <i val="0"/>
      </font>
      <fill>
        <patternFill>
          <bgColor theme="0" tint="-0.24994659260841701"/>
        </patternFill>
      </fill>
    </dxf>
    <dxf>
      <border>
        <left style="thin">
          <color auto="1"/>
        </left>
        <right style="thin">
          <color auto="1"/>
        </right>
        <top style="thin">
          <color auto="1"/>
        </top>
        <bottom style="thin">
          <color auto="1"/>
        </bottom>
        <vertical style="thin">
          <color auto="1"/>
        </vertical>
        <horizontal style="thin">
          <color auto="1"/>
        </horizontal>
      </border>
    </dxf>
  </dxfs>
  <tableStyles count="1" defaultTableStyle="Biweekly time sheet with sick leave and vacation" defaultPivotStyle="PivotStyleLight16">
    <tableStyle name="Biweekly time sheet with sick leave and vacation" pivot="0" count="4">
      <tableStyleElement type="wholeTable" dxfId="3"/>
      <tableStyleElement type="headerRow" dxfId="2"/>
      <tableStyleElement type="firstColumn" dxfId="1"/>
      <tableStyleElement type="secondColumnStripe"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6896CE"/>
      <rgbColor rgb="00FFFF00"/>
      <rgbColor rgb="00FF00FF"/>
      <rgbColor rgb="0000FFFF"/>
      <rgbColor rgb="00800000"/>
      <rgbColor rgb="00547D92"/>
      <rgbColor rgb="00C2D5E0"/>
      <rgbColor rgb="0037525F"/>
      <rgbColor rgb="00BCBCBC"/>
      <rgbColor rgb="00008080"/>
      <rgbColor rgb="00E0E0E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FEFCF2"/>
      <rgbColor rgb="00CCFFCC"/>
      <rgbColor rgb="00FFE7BD"/>
      <rgbColor rgb="00FCFAF2"/>
      <rgbColor rgb="00FF99CC"/>
      <rgbColor rgb="00EAEAEA"/>
      <rgbColor rgb="00FDF7DF"/>
      <rgbColor rgb="003366FF"/>
      <rgbColor rgb="0033CCCC"/>
      <rgbColor rgb="0099CC00"/>
      <rgbColor rgb="00FFCC00"/>
      <rgbColor rgb="00FF9900"/>
      <rgbColor rgb="00FF6600"/>
      <rgbColor rgb="00FBF8EF"/>
      <rgbColor rgb="00CFCFCF"/>
      <rgbColor rgb="00315D71"/>
      <rgbColor rgb="00339966"/>
      <rgbColor rgb="00739ED3"/>
      <rgbColor rgb="00ECF5D7"/>
      <rgbColor rgb="00993300"/>
      <rgbColor rgb="00993366"/>
      <rgbColor rgb="00F1F6F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642938</xdr:colOff>
      <xdr:row>6</xdr:row>
      <xdr:rowOff>13525</xdr:rowOff>
    </xdr:to>
    <xdr:pic>
      <xdr:nvPicPr>
        <xdr:cNvPr id="3" name="Picture 2">
          <a:extLst>
            <a:ext uri="{FF2B5EF4-FFF2-40B4-BE49-F238E27FC236}">
              <a16:creationId xmlns:a16="http://schemas.microsoft.com/office/drawing/2014/main" id="{C4017CD9-768A-47AC-859D-AF941D521B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7656" y="71438"/>
          <a:ext cx="3071813" cy="271624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2559C053-D135-4926-A02D-E9E2E81337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81338" cy="271386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48F53AD7-A708-4C0B-BC2D-2B1B5FA05A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71813" cy="271386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entury Gothic">
      <a:majorFont>
        <a:latin typeface="Century Gothic" panose="020F030202020403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F03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79998168889431442"/>
    <pageSetUpPr fitToPage="1"/>
  </sheetPr>
  <dimension ref="B1:O28"/>
  <sheetViews>
    <sheetView showGridLines="0" showZeros="0" tabSelected="1" zoomScale="70" zoomScaleNormal="70" workbookViewId="0">
      <selection activeCell="O25" sqref="O25"/>
    </sheetView>
  </sheetViews>
  <sheetFormatPr defaultRowHeight="30" customHeight="1" x14ac:dyDescent="0.3"/>
  <cols>
    <col min="1" max="1" width="2.625" customWidth="1"/>
    <col min="2" max="4" width="16.625" customWidth="1"/>
    <col min="5" max="5" width="18.125" bestFit="1" customWidth="1"/>
    <col min="6" max="6" width="18.5" style="7" bestFit="1" customWidth="1"/>
    <col min="7" max="8" width="16.75" style="7" customWidth="1"/>
    <col min="9" max="10" width="16.625" customWidth="1"/>
    <col min="11" max="11" width="16.625" style="8" customWidth="1"/>
    <col min="12" max="12" width="18.625" customWidth="1"/>
    <col min="13" max="13" width="2.625" customWidth="1"/>
    <col min="15" max="15" width="62.25" customWidth="1"/>
  </cols>
  <sheetData>
    <row r="1" spans="2:15" ht="55.5" customHeight="1" x14ac:dyDescent="0.4">
      <c r="B1" s="51" t="s">
        <v>14</v>
      </c>
      <c r="C1" s="51"/>
      <c r="D1" s="51"/>
      <c r="E1" s="51"/>
      <c r="F1" s="51"/>
      <c r="G1" s="51"/>
      <c r="H1" s="51"/>
      <c r="I1" s="51"/>
      <c r="J1" s="51"/>
      <c r="K1" s="51"/>
      <c r="L1" s="51"/>
    </row>
    <row r="2" spans="2:15" ht="42.75" customHeight="1" x14ac:dyDescent="0.3">
      <c r="B2" s="1"/>
      <c r="C2" s="1"/>
      <c r="D2" s="1"/>
    </row>
    <row r="3" spans="2:15" ht="30" customHeight="1" x14ac:dyDescent="0.3">
      <c r="B3" s="7"/>
      <c r="C3" s="50"/>
      <c r="D3" s="50"/>
      <c r="G3" s="4" t="s">
        <v>0</v>
      </c>
      <c r="H3" s="54" t="s">
        <v>48</v>
      </c>
      <c r="I3" s="54"/>
      <c r="J3" s="54"/>
      <c r="K3" s="54"/>
      <c r="L3" s="54"/>
    </row>
    <row r="4" spans="2:15" ht="30" customHeight="1" x14ac:dyDescent="0.3">
      <c r="G4" s="5" t="s">
        <v>6</v>
      </c>
      <c r="H4" s="55">
        <v>46097</v>
      </c>
      <c r="I4" s="55"/>
      <c r="J4" s="55"/>
      <c r="K4" s="55"/>
      <c r="L4" s="55"/>
    </row>
    <row r="5" spans="2:15" ht="30" customHeight="1" x14ac:dyDescent="0.3">
      <c r="G5" s="5" t="s">
        <v>7</v>
      </c>
      <c r="H5" s="49">
        <f>IFERROR(IF($H$4="","",$H$4+13), "")</f>
        <v>46110</v>
      </c>
      <c r="I5" s="49"/>
      <c r="J5" s="49"/>
      <c r="K5" s="49"/>
      <c r="L5" s="49"/>
    </row>
    <row r="6" spans="2:15" s="7" customFormat="1" ht="30" customHeight="1" x14ac:dyDescent="0.3">
      <c r="J6" s="50"/>
      <c r="K6" s="50"/>
      <c r="L6" s="50"/>
    </row>
    <row r="7" spans="2:15" ht="15" customHeight="1" x14ac:dyDescent="0.3"/>
    <row r="8" spans="2:15" ht="30" customHeight="1" x14ac:dyDescent="0.3">
      <c r="B8" s="10" t="s">
        <v>1</v>
      </c>
      <c r="C8" s="10" t="s">
        <v>9</v>
      </c>
      <c r="D8" s="11" t="s">
        <v>2</v>
      </c>
      <c r="E8" s="11" t="s">
        <v>11</v>
      </c>
      <c r="F8" s="11" t="s">
        <v>12</v>
      </c>
      <c r="G8" s="11" t="s">
        <v>13</v>
      </c>
      <c r="H8" s="11" t="s">
        <v>39</v>
      </c>
      <c r="I8" s="11" t="s">
        <v>3</v>
      </c>
      <c r="J8" s="11" t="s">
        <v>10</v>
      </c>
      <c r="K8" s="11" t="s">
        <v>44</v>
      </c>
      <c r="L8" s="12" t="s">
        <v>4</v>
      </c>
      <c r="O8" s="48" t="s">
        <v>46</v>
      </c>
    </row>
    <row r="9" spans="2:15" ht="30" customHeight="1" x14ac:dyDescent="0.3">
      <c r="B9" s="10" t="str">
        <f>IFERROR(TEXT('Biweekly Time Sheet'!$C9,"aaaa"), "")</f>
        <v>Monday</v>
      </c>
      <c r="C9" s="13">
        <f>H4</f>
        <v>46097</v>
      </c>
      <c r="D9" s="14">
        <v>6</v>
      </c>
      <c r="E9" s="15"/>
      <c r="F9" s="14"/>
      <c r="G9" s="15"/>
      <c r="H9" s="14"/>
      <c r="I9" s="15"/>
      <c r="J9" s="14"/>
      <c r="K9" s="15"/>
      <c r="L9" s="46">
        <f>IFERROR(SUM(D9:K9), "")</f>
        <v>6</v>
      </c>
      <c r="O9" s="47"/>
    </row>
    <row r="10" spans="2:15" ht="30" customHeight="1" x14ac:dyDescent="0.3">
      <c r="B10" s="10" t="str">
        <f>IFERROR(TEXT('Biweekly Time Sheet'!$C10,"aaaa"), "")</f>
        <v>Tuesday</v>
      </c>
      <c r="C10" s="13">
        <f>IF($H$4="","",$H$4+1)</f>
        <v>46098</v>
      </c>
      <c r="D10" s="14">
        <v>6</v>
      </c>
      <c r="E10" s="15"/>
      <c r="F10" s="14"/>
      <c r="G10" s="15"/>
      <c r="H10" s="14"/>
      <c r="I10" s="15"/>
      <c r="J10" s="14"/>
      <c r="K10" s="15"/>
      <c r="L10" s="46">
        <f t="shared" ref="L10:L22" si="0">IFERROR(SUM(D10:K10), "")</f>
        <v>6</v>
      </c>
      <c r="O10" s="47"/>
    </row>
    <row r="11" spans="2:15" ht="30" customHeight="1" x14ac:dyDescent="0.3">
      <c r="B11" s="10" t="str">
        <f>IFERROR(TEXT('Biweekly Time Sheet'!$C11,"aaaa"), "")</f>
        <v>Wednesday</v>
      </c>
      <c r="C11" s="13">
        <f>IF($H$4="","",$H$4+2)</f>
        <v>46099</v>
      </c>
      <c r="D11" s="14">
        <v>5</v>
      </c>
      <c r="E11" s="15"/>
      <c r="F11" s="14"/>
      <c r="G11" s="15"/>
      <c r="H11" s="14"/>
      <c r="I11" s="15"/>
      <c r="J11" s="14"/>
      <c r="K11" s="15"/>
      <c r="L11" s="46">
        <f t="shared" si="0"/>
        <v>5</v>
      </c>
      <c r="O11" s="47"/>
    </row>
    <row r="12" spans="2:15" ht="30" customHeight="1" x14ac:dyDescent="0.3">
      <c r="B12" s="10" t="str">
        <f>IFERROR(TEXT('Biweekly Time Sheet'!$C12,"aaaa"), "")</f>
        <v>Thursday</v>
      </c>
      <c r="C12" s="13">
        <f>IF($H$4="","",$H$4+3)</f>
        <v>46100</v>
      </c>
      <c r="D12" s="14">
        <v>5</v>
      </c>
      <c r="E12" s="15"/>
      <c r="F12" s="14"/>
      <c r="G12" s="15"/>
      <c r="H12" s="14"/>
      <c r="I12" s="15"/>
      <c r="J12" s="14"/>
      <c r="K12" s="15"/>
      <c r="L12" s="46">
        <f t="shared" si="0"/>
        <v>5</v>
      </c>
      <c r="O12" s="47"/>
    </row>
    <row r="13" spans="2:15" ht="30" customHeight="1" x14ac:dyDescent="0.3">
      <c r="B13" s="10" t="str">
        <f>IFERROR(TEXT('Biweekly Time Sheet'!$C13,"aaaa"), "")</f>
        <v>Friday</v>
      </c>
      <c r="C13" s="13">
        <f>IF($H$4="","",$H$4+4)</f>
        <v>46101</v>
      </c>
      <c r="D13" s="14">
        <v>6</v>
      </c>
      <c r="E13" s="15"/>
      <c r="F13" s="14"/>
      <c r="G13" s="15"/>
      <c r="H13" s="14"/>
      <c r="I13" s="15"/>
      <c r="J13" s="14"/>
      <c r="K13" s="15"/>
      <c r="L13" s="46">
        <f t="shared" si="0"/>
        <v>6</v>
      </c>
      <c r="O13" s="47"/>
    </row>
    <row r="14" spans="2:15" ht="30" customHeight="1" x14ac:dyDescent="0.3">
      <c r="B14" s="10" t="str">
        <f>IFERROR(TEXT('Biweekly Time Sheet'!$C14,"aaaa"), "")</f>
        <v>Saturday</v>
      </c>
      <c r="C14" s="13">
        <f>IF($H$4="","",$H$4+5)</f>
        <v>46102</v>
      </c>
      <c r="D14" s="14"/>
      <c r="E14" s="15"/>
      <c r="F14" s="14"/>
      <c r="G14" s="15"/>
      <c r="H14" s="14"/>
      <c r="I14" s="15"/>
      <c r="J14" s="14"/>
      <c r="K14" s="15"/>
      <c r="L14" s="46">
        <f t="shared" si="0"/>
        <v>0</v>
      </c>
      <c r="O14" s="47"/>
    </row>
    <row r="15" spans="2:15" ht="30" customHeight="1" x14ac:dyDescent="0.3">
      <c r="B15" s="10" t="str">
        <f>IFERROR(TEXT('Biweekly Time Sheet'!$C15,"aaaa"), "")</f>
        <v>Sunday</v>
      </c>
      <c r="C15" s="13">
        <f>IF($H$4="","",$H$4+6)</f>
        <v>46103</v>
      </c>
      <c r="D15" s="14"/>
      <c r="E15" s="15"/>
      <c r="F15" s="14"/>
      <c r="G15" s="15"/>
      <c r="H15" s="14"/>
      <c r="I15" s="15"/>
      <c r="J15" s="14"/>
      <c r="K15" s="15"/>
      <c r="L15" s="46">
        <f t="shared" si="0"/>
        <v>0</v>
      </c>
      <c r="O15" s="47"/>
    </row>
    <row r="16" spans="2:15" ht="30" customHeight="1" x14ac:dyDescent="0.3">
      <c r="B16" s="10" t="str">
        <f>IFERROR(TEXT('Biweekly Time Sheet'!$C16,"aaaa"), "")</f>
        <v>Monday</v>
      </c>
      <c r="C16" s="13">
        <f>IF($H$4="","",$H$4+7)</f>
        <v>46104</v>
      </c>
      <c r="D16" s="14">
        <v>5</v>
      </c>
      <c r="E16" s="15"/>
      <c r="F16" s="14"/>
      <c r="G16" s="15"/>
      <c r="H16" s="14"/>
      <c r="I16" s="15"/>
      <c r="J16" s="14"/>
      <c r="K16" s="15"/>
      <c r="L16" s="46">
        <f t="shared" si="0"/>
        <v>5</v>
      </c>
      <c r="O16" s="47"/>
    </row>
    <row r="17" spans="2:15" ht="30" customHeight="1" x14ac:dyDescent="0.3">
      <c r="B17" s="10" t="str">
        <f>IFERROR(TEXT('Biweekly Time Sheet'!$C17,"aaaa"), "")</f>
        <v>Tuesday</v>
      </c>
      <c r="C17" s="13">
        <f>IF($H$4="","",$H$4+8)</f>
        <v>46105</v>
      </c>
      <c r="D17" s="14">
        <v>4</v>
      </c>
      <c r="E17" s="15"/>
      <c r="F17" s="14"/>
      <c r="G17" s="15"/>
      <c r="H17" s="14"/>
      <c r="I17" s="15"/>
      <c r="J17" s="14"/>
      <c r="K17" s="15"/>
      <c r="L17" s="46">
        <f t="shared" si="0"/>
        <v>4</v>
      </c>
      <c r="O17" s="47"/>
    </row>
    <row r="18" spans="2:15" ht="30" customHeight="1" x14ac:dyDescent="0.3">
      <c r="B18" s="10" t="str">
        <f>IFERROR(TEXT('Biweekly Time Sheet'!$C18,"aaaa"), "")</f>
        <v>Wednesday</v>
      </c>
      <c r="C18" s="13">
        <f>IF($H$4="","",$H$4+9)</f>
        <v>46106</v>
      </c>
      <c r="D18" s="14">
        <v>5</v>
      </c>
      <c r="E18" s="15"/>
      <c r="F18" s="14"/>
      <c r="G18" s="15"/>
      <c r="H18" s="14"/>
      <c r="I18" s="15"/>
      <c r="J18" s="14"/>
      <c r="K18" s="15"/>
      <c r="L18" s="46">
        <f t="shared" si="0"/>
        <v>5</v>
      </c>
      <c r="O18" s="47"/>
    </row>
    <row r="19" spans="2:15" ht="30" customHeight="1" x14ac:dyDescent="0.3">
      <c r="B19" s="10" t="str">
        <f>IFERROR(TEXT('Biweekly Time Sheet'!$C19,"aaaa"), "")</f>
        <v>Thursday</v>
      </c>
      <c r="C19" s="13">
        <f>IF($H$4="","",$H$4+10)</f>
        <v>46107</v>
      </c>
      <c r="D19" s="14">
        <v>4</v>
      </c>
      <c r="E19" s="15"/>
      <c r="F19" s="14"/>
      <c r="G19" s="15"/>
      <c r="H19" s="14"/>
      <c r="I19" s="15"/>
      <c r="J19" s="14"/>
      <c r="K19" s="15"/>
      <c r="L19" s="46">
        <f t="shared" si="0"/>
        <v>4</v>
      </c>
      <c r="O19" s="47"/>
    </row>
    <row r="20" spans="2:15" ht="30" customHeight="1" x14ac:dyDescent="0.3">
      <c r="B20" s="10" t="str">
        <f>IFERROR(TEXT('Biweekly Time Sheet'!$C20,"aaaa"), "")</f>
        <v>Friday</v>
      </c>
      <c r="C20" s="13">
        <f>IF($H$4="","",$H$4+11)</f>
        <v>46108</v>
      </c>
      <c r="D20" s="14">
        <v>5</v>
      </c>
      <c r="E20" s="15"/>
      <c r="F20" s="14"/>
      <c r="G20" s="15"/>
      <c r="H20" s="14"/>
      <c r="I20" s="15"/>
      <c r="J20" s="14"/>
      <c r="K20" s="15"/>
      <c r="L20" s="46">
        <f t="shared" si="0"/>
        <v>5</v>
      </c>
      <c r="O20" s="47"/>
    </row>
    <row r="21" spans="2:15" ht="30" customHeight="1" x14ac:dyDescent="0.3">
      <c r="B21" s="10" t="str">
        <f>IFERROR(TEXT('Biweekly Time Sheet'!$C21,"aaaa"), "")</f>
        <v>Saturday</v>
      </c>
      <c r="C21" s="13">
        <f>IF($H$4="","",$H$4+12)</f>
        <v>46109</v>
      </c>
      <c r="D21" s="14"/>
      <c r="E21" s="15"/>
      <c r="F21" s="14"/>
      <c r="G21" s="15"/>
      <c r="H21" s="14"/>
      <c r="I21" s="15"/>
      <c r="J21" s="14"/>
      <c r="K21" s="15"/>
      <c r="L21" s="46">
        <f t="shared" si="0"/>
        <v>0</v>
      </c>
      <c r="O21" s="47"/>
    </row>
    <row r="22" spans="2:15" ht="30" customHeight="1" x14ac:dyDescent="0.3">
      <c r="B22" s="16" t="str">
        <f>IFERROR(TEXT('Biweekly Time Sheet'!$C22,"aaaa"), "")</f>
        <v>Sunday</v>
      </c>
      <c r="C22" s="17">
        <f>IF($H$4="","",$H$4+13)</f>
        <v>46110</v>
      </c>
      <c r="D22" s="18"/>
      <c r="E22" s="19"/>
      <c r="F22" s="18"/>
      <c r="G22" s="19"/>
      <c r="H22" s="18"/>
      <c r="I22" s="19"/>
      <c r="J22" s="18"/>
      <c r="K22" s="19"/>
      <c r="L22" s="46">
        <f t="shared" si="0"/>
        <v>0</v>
      </c>
      <c r="O22" s="47"/>
    </row>
    <row r="23" spans="2:15" ht="30" customHeight="1" x14ac:dyDescent="0.3">
      <c r="C23" s="2" t="s">
        <v>5</v>
      </c>
      <c r="D23" s="3">
        <f t="shared" ref="D23:K23" si="1">IFERROR(SUM(D9:D22), "")</f>
        <v>51</v>
      </c>
      <c r="E23" s="3">
        <f t="shared" si="1"/>
        <v>0</v>
      </c>
      <c r="F23" s="3">
        <f t="shared" si="1"/>
        <v>0</v>
      </c>
      <c r="G23" s="3">
        <f t="shared" si="1"/>
        <v>0</v>
      </c>
      <c r="H23" s="3">
        <f t="shared" si="1"/>
        <v>0</v>
      </c>
      <c r="I23" s="3">
        <f t="shared" si="1"/>
        <v>0</v>
      </c>
      <c r="J23" s="3">
        <f t="shared" si="1"/>
        <v>0</v>
      </c>
      <c r="K23" s="3">
        <f t="shared" si="1"/>
        <v>0</v>
      </c>
      <c r="L23" s="3">
        <f>IFERROR(SUM(D23:K23), "")</f>
        <v>51</v>
      </c>
    </row>
    <row r="24" spans="2:15" ht="30" customHeight="1" x14ac:dyDescent="0.3">
      <c r="D24" s="50"/>
      <c r="E24" s="50"/>
      <c r="F24" s="50"/>
      <c r="G24" s="50"/>
      <c r="H24" s="50"/>
      <c r="I24" s="50"/>
      <c r="J24" s="50"/>
      <c r="L24" s="7"/>
    </row>
    <row r="25" spans="2:15" ht="30" customHeight="1" x14ac:dyDescent="0.3">
      <c r="D25" s="50"/>
      <c r="E25" s="50"/>
      <c r="F25" s="50"/>
      <c r="G25" s="50"/>
      <c r="H25" s="50"/>
      <c r="I25" s="50"/>
      <c r="J25" s="50"/>
    </row>
    <row r="26" spans="2:15" ht="30" customHeight="1" x14ac:dyDescent="0.3">
      <c r="D26" s="52" t="s">
        <v>48</v>
      </c>
      <c r="E26" s="53"/>
      <c r="F26" s="53"/>
      <c r="G26" s="53"/>
      <c r="H26" s="53"/>
      <c r="I26" s="53"/>
      <c r="J26" s="53"/>
      <c r="K26" s="9"/>
      <c r="L26" s="6">
        <v>46082</v>
      </c>
    </row>
    <row r="27" spans="2:15" ht="30" customHeight="1" x14ac:dyDescent="0.3">
      <c r="D27" s="50" t="s">
        <v>8</v>
      </c>
      <c r="E27" s="50"/>
      <c r="F27" s="50"/>
      <c r="G27" s="50"/>
      <c r="H27" s="50"/>
      <c r="I27" s="50"/>
      <c r="J27" s="50"/>
      <c r="L27" t="s">
        <v>9</v>
      </c>
    </row>
    <row r="28" spans="2:15" ht="30" customHeight="1" x14ac:dyDescent="0.3">
      <c r="L28" s="38" t="s">
        <v>45</v>
      </c>
    </row>
  </sheetData>
  <sheetProtection algorithmName="SHA-512" hashValue="Yi7tjdgnTuZUDzk1/1KKL/TYjeYj8YfluK8XmdjzTfsUgef07vn2nFoLfwF9blUw381l7z+TBlvu/4CGiyXYog==" saltValue="z/w7o8EavMr8CF20X57GUQ==" spinCount="100000" sheet="1" objects="1" scenarios="1"/>
  <protectedRanges>
    <protectedRange sqref="O9:O22" name="Notes"/>
    <protectedRange sqref="H3:L4" name="Name_Date"/>
    <protectedRange sqref="D9:K22" name="Hours"/>
    <protectedRange sqref="D26:L26" name="Signature"/>
  </protectedRanges>
  <mergeCells count="10">
    <mergeCell ref="H5:L5"/>
    <mergeCell ref="D27:J27"/>
    <mergeCell ref="B1:L1"/>
    <mergeCell ref="D24:J24"/>
    <mergeCell ref="D26:J26"/>
    <mergeCell ref="J6:L6"/>
    <mergeCell ref="C3:D3"/>
    <mergeCell ref="D25:J25"/>
    <mergeCell ref="H3:L3"/>
    <mergeCell ref="H4:L4"/>
  </mergeCells>
  <phoneticPr fontId="0" type="noConversion"/>
  <dataValidations xWindow="649" yWindow="443" count="23">
    <dataValidation allowBlank="1" showInputMessage="1" showErrorMessage="1" prompt="Create a Biweekly Time Sheet in this worksheet. Total Hours and Total Pay are automatically calculated" sqref="A1"/>
    <dataValidation allowBlank="1" showInputMessage="1" showErrorMessage="1" prompt="Title of this worksheet is in this cell" sqref="B1:L1"/>
    <dataValidation allowBlank="1" showInputMessage="1" showErrorMessage="1" prompt="Enter Company Name in this cell. Enter company Address in cells B3 to C5, Pay period start date and end date in cells G3 and G4, and employee details in cells B6 to G7" sqref="B2"/>
    <dataValidation allowBlank="1" showInputMessage="1" showErrorMessage="1" prompt="Enter Street Address in this cell" sqref="C3:D3"/>
    <dataValidation allowBlank="1" showInputMessage="1" showErrorMessage="1" prompt="Enter Employee name in cell at right" sqref="G3"/>
    <dataValidation allowBlank="1" showInputMessage="1" showErrorMessage="1" prompt="Enter Employee name in this cell" sqref="H3"/>
    <dataValidation allowBlank="1" showInputMessage="1" showErrorMessage="1" prompt="Enter Pay period start date in this cell" sqref="H4"/>
    <dataValidation allowBlank="1" showInputMessage="1" showErrorMessage="1" prompt="Enter Pay period end date in cell at right" sqref="G5"/>
    <dataValidation allowBlank="1" showInputMessage="1" showErrorMessage="1" prompt="Enter Pay period start date in cell at right" sqref="G4"/>
    <dataValidation allowBlank="1" showInputMessage="1" showErrorMessage="1" prompt="Enter Pay period end date in this cell" sqref="H5"/>
    <dataValidation allowBlank="1" showInputMessage="1" showErrorMessage="1" prompt="Enter Employee phone number in cell at right" sqref="I6"/>
    <dataValidation allowBlank="1" showInputMessage="1" showErrorMessage="1" prompt="Enter Employee phone number in this cell" sqref="J6:L6"/>
    <dataValidation allowBlank="1" showInputMessage="1" showErrorMessage="1" prompt="Enter Regular Hours in this column under this heading" sqref="D8"/>
    <dataValidation allowBlank="1" showInputMessage="1" showErrorMessage="1" prompt="Date is automatically updated in this column under this heading based on Pay period start and end date in cells G3 and G4" sqref="C8"/>
    <dataValidation allowBlank="1" showInputMessage="1" showErrorMessage="1" prompt="Enter Overtime Hours in this column under this heading" sqref="E8:H8"/>
    <dataValidation allowBlank="1" showInputMessage="1" showErrorMessage="1" prompt="Enter Sick hours in this column under this heading" sqref="I8"/>
    <dataValidation allowBlank="1" showInputMessage="1" showErrorMessage="1" prompt="Enter Vacation hours in this column under this heading" sqref="J8:K8"/>
    <dataValidation allowBlank="1" showInputMessage="1" showErrorMessage="1" prompt="Total Hours for each weekday are automatically calculated in this column under this heading" sqref="L8 O8"/>
    <dataValidation allowBlank="1" showInputMessage="1" showErrorMessage="1" prompt="Total hours for the entire period are automatically calculated in cells at right" sqref="C23"/>
    <dataValidation allowBlank="1" showInputMessage="1" showErrorMessage="1" prompt="Enter Employee Signature in this cell" sqref="D24:K24"/>
    <dataValidation allowBlank="1" showInputMessage="1" showErrorMessage="1" prompt="Enter Manager Signature in this cell" sqref="D26:K26"/>
    <dataValidation allowBlank="1" showInputMessage="1" showErrorMessage="1" prompt="Enter Date in this cell" sqref="L24 L26"/>
    <dataValidation allowBlank="1" showInputMessage="1" showErrorMessage="1" prompt="Enter Street Address in cell at right" sqref="B3"/>
  </dataValidations>
  <printOptions horizontalCentered="1"/>
  <pageMargins left="0.25" right="0.25" top="0.75" bottom="0.75" header="0.3" footer="0.3"/>
  <pageSetup scale="64" orientation="landscape" r:id="rId1"/>
  <headerFooter differentFirst="1">
    <oddFooter>Page &amp;P of &amp;N</oddFooter>
  </headerFooter>
  <ignoredErrors>
    <ignoredError sqref="D23:E23" emptyCellReferenc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79998168889431442"/>
    <pageSetUpPr fitToPage="1"/>
  </sheetPr>
  <dimension ref="B1:P29"/>
  <sheetViews>
    <sheetView showGridLines="0" showZeros="0" zoomScale="80" zoomScaleNormal="80" workbookViewId="0">
      <selection activeCell="J11" sqref="J11"/>
    </sheetView>
  </sheetViews>
  <sheetFormatPr defaultRowHeight="30" customHeight="1" x14ac:dyDescent="0.3"/>
  <cols>
    <col min="1" max="1" width="2.625" style="7" customWidth="1"/>
    <col min="2" max="13" width="15" style="7" customWidth="1"/>
    <col min="14" max="15" width="11.25" style="7" customWidth="1"/>
    <col min="16" max="16" width="15" style="7" customWidth="1"/>
    <col min="17" max="17" width="2.625" style="7" customWidth="1"/>
    <col min="18" max="16384" width="9" style="7"/>
  </cols>
  <sheetData>
    <row r="1" spans="2:16" ht="55.5" customHeight="1" x14ac:dyDescent="0.4">
      <c r="B1" s="51" t="s">
        <v>41</v>
      </c>
      <c r="C1" s="51"/>
      <c r="D1" s="51"/>
      <c r="E1" s="51"/>
      <c r="F1" s="51"/>
      <c r="G1" s="51"/>
      <c r="H1" s="51"/>
      <c r="I1" s="51"/>
      <c r="J1" s="51"/>
      <c r="K1" s="51"/>
      <c r="L1" s="51"/>
      <c r="M1" s="51"/>
      <c r="N1" s="51"/>
      <c r="O1" s="51"/>
      <c r="P1" s="51"/>
    </row>
    <row r="2" spans="2:16" ht="42.75" customHeight="1" x14ac:dyDescent="0.3">
      <c r="B2" s="1"/>
      <c r="C2" s="1"/>
      <c r="D2" s="1"/>
    </row>
    <row r="3" spans="2:16" ht="30" customHeight="1" x14ac:dyDescent="0.3">
      <c r="C3" s="50"/>
      <c r="D3" s="50"/>
      <c r="K3" s="4" t="s">
        <v>0</v>
      </c>
      <c r="L3" s="49" t="str">
        <f>'Biweekly Time Sheet'!H3</f>
        <v xml:space="preserve">Henry Andkilde </v>
      </c>
      <c r="M3" s="49"/>
      <c r="N3" s="49"/>
      <c r="O3" s="49"/>
      <c r="P3" s="49"/>
    </row>
    <row r="4" spans="2:16" ht="30" customHeight="1" x14ac:dyDescent="0.3">
      <c r="K4" s="5" t="s">
        <v>6</v>
      </c>
      <c r="L4" s="49">
        <f>'Biweekly Time Sheet'!H4</f>
        <v>46097</v>
      </c>
      <c r="M4" s="49"/>
      <c r="N4" s="49"/>
      <c r="O4" s="49"/>
      <c r="P4" s="49"/>
    </row>
    <row r="5" spans="2:16" ht="30" customHeight="1" x14ac:dyDescent="0.3">
      <c r="K5" s="5" t="s">
        <v>7</v>
      </c>
      <c r="L5" s="49">
        <f>'Biweekly Time Sheet'!H5</f>
        <v>46110</v>
      </c>
      <c r="M5" s="49"/>
      <c r="N5" s="49"/>
      <c r="O5" s="49"/>
      <c r="P5" s="49"/>
    </row>
    <row r="6" spans="2:16" ht="30" customHeight="1" x14ac:dyDescent="0.3">
      <c r="N6" s="50"/>
      <c r="O6" s="50"/>
      <c r="P6" s="50"/>
    </row>
    <row r="7" spans="2:16" ht="15" customHeight="1" thickBot="1" x14ac:dyDescent="0.35"/>
    <row r="8" spans="2:16" ht="22.5" customHeight="1" thickBot="1" x14ac:dyDescent="0.35">
      <c r="D8" s="59" t="s">
        <v>26</v>
      </c>
      <c r="E8" s="60"/>
      <c r="F8" s="60"/>
      <c r="G8" s="60"/>
      <c r="H8" s="61"/>
      <c r="I8" s="59" t="s">
        <v>27</v>
      </c>
      <c r="J8" s="60"/>
      <c r="K8" s="60"/>
      <c r="L8" s="60"/>
      <c r="M8" s="60"/>
      <c r="N8" s="60"/>
      <c r="O8" s="61"/>
    </row>
    <row r="9" spans="2:16" ht="39.75" customHeight="1" x14ac:dyDescent="0.3">
      <c r="B9" s="10" t="s">
        <v>1</v>
      </c>
      <c r="C9" s="10" t="s">
        <v>9</v>
      </c>
      <c r="D9" s="31" t="s">
        <v>15</v>
      </c>
      <c r="E9" s="32" t="s">
        <v>16</v>
      </c>
      <c r="F9" s="32" t="s">
        <v>17</v>
      </c>
      <c r="G9" s="32" t="s">
        <v>18</v>
      </c>
      <c r="H9" s="33" t="s">
        <v>19</v>
      </c>
      <c r="I9" s="31" t="s">
        <v>20</v>
      </c>
      <c r="J9" s="32" t="s">
        <v>21</v>
      </c>
      <c r="K9" s="32" t="s">
        <v>22</v>
      </c>
      <c r="L9" s="32" t="s">
        <v>23</v>
      </c>
      <c r="M9" s="32" t="s">
        <v>24</v>
      </c>
      <c r="N9" s="57" t="s">
        <v>25</v>
      </c>
      <c r="O9" s="58"/>
      <c r="P9" s="42" t="s">
        <v>4</v>
      </c>
    </row>
    <row r="10" spans="2:16" ht="30" customHeight="1" x14ac:dyDescent="0.3">
      <c r="B10" s="10" t="str">
        <f>IFERROR(TEXT('Biweekly Expense Report CAD'!$C10,"aaaa"), "")</f>
        <v>Monday</v>
      </c>
      <c r="C10" s="13">
        <f>L4</f>
        <v>46097</v>
      </c>
      <c r="D10" s="24"/>
      <c r="E10" s="22"/>
      <c r="F10" s="21"/>
      <c r="G10" s="22"/>
      <c r="H10" s="25"/>
      <c r="I10" s="30"/>
      <c r="J10" s="21"/>
      <c r="K10" s="22"/>
      <c r="L10" s="21"/>
      <c r="M10" s="22"/>
      <c r="N10" s="44"/>
      <c r="O10" s="26">
        <v>0.48</v>
      </c>
      <c r="P10" s="43">
        <f>IFERROR(SUM(D10:M10)+(N10*O10), "")</f>
        <v>0</v>
      </c>
    </row>
    <row r="11" spans="2:16" ht="30" customHeight="1" x14ac:dyDescent="0.3">
      <c r="B11" s="10" t="str">
        <f>IFERROR(TEXT('Biweekly Expense Report CAD'!$C11,"aaaa"), "")</f>
        <v>Tuesday</v>
      </c>
      <c r="C11" s="13">
        <f>IF($L$4="","",$L$4+1)</f>
        <v>46098</v>
      </c>
      <c r="D11" s="24"/>
      <c r="E11" s="22"/>
      <c r="F11" s="21"/>
      <c r="G11" s="22"/>
      <c r="H11" s="25"/>
      <c r="I11" s="30"/>
      <c r="J11" s="21"/>
      <c r="K11" s="22"/>
      <c r="L11" s="21"/>
      <c r="M11" s="22"/>
      <c r="N11" s="44"/>
      <c r="O11" s="45">
        <v>0.48</v>
      </c>
      <c r="P11" s="43">
        <f t="shared" ref="P11:P23" si="0">IFERROR(SUM(D11:M11)+(N11*O11), "")</f>
        <v>0</v>
      </c>
    </row>
    <row r="12" spans="2:16" ht="30" customHeight="1" x14ac:dyDescent="0.3">
      <c r="B12" s="10" t="str">
        <f>IFERROR(TEXT('Biweekly Expense Report CAD'!$C12,"aaaa"), "")</f>
        <v>Wednesday</v>
      </c>
      <c r="C12" s="13">
        <f>IF($L$4="","",$L$4+2)</f>
        <v>46099</v>
      </c>
      <c r="D12" s="24"/>
      <c r="E12" s="22"/>
      <c r="F12" s="21"/>
      <c r="G12" s="22"/>
      <c r="H12" s="25"/>
      <c r="I12" s="30"/>
      <c r="J12" s="21"/>
      <c r="K12" s="22"/>
      <c r="L12" s="21"/>
      <c r="M12" s="22"/>
      <c r="N12" s="44"/>
      <c r="O12" s="45">
        <v>0.48</v>
      </c>
      <c r="P12" s="43">
        <f t="shared" si="0"/>
        <v>0</v>
      </c>
    </row>
    <row r="13" spans="2:16" ht="30" customHeight="1" x14ac:dyDescent="0.3">
      <c r="B13" s="10" t="str">
        <f>IFERROR(TEXT('Biweekly Expense Report CAD'!$C13,"aaaa"), "")</f>
        <v>Thursday</v>
      </c>
      <c r="C13" s="13">
        <f>IF($L$4="","",$L$4+3)</f>
        <v>46100</v>
      </c>
      <c r="D13" s="24"/>
      <c r="E13" s="22"/>
      <c r="F13" s="21"/>
      <c r="G13" s="22"/>
      <c r="H13" s="25"/>
      <c r="I13" s="30"/>
      <c r="J13" s="21"/>
      <c r="K13" s="22"/>
      <c r="L13" s="21"/>
      <c r="M13" s="22"/>
      <c r="N13" s="44"/>
      <c r="O13" s="45">
        <v>0.48</v>
      </c>
      <c r="P13" s="43">
        <f t="shared" si="0"/>
        <v>0</v>
      </c>
    </row>
    <row r="14" spans="2:16" ht="30" customHeight="1" x14ac:dyDescent="0.3">
      <c r="B14" s="10" t="str">
        <f>IFERROR(TEXT('Biweekly Expense Report CAD'!$C14,"aaaa"), "")</f>
        <v>Friday</v>
      </c>
      <c r="C14" s="13">
        <f>IF($L$4="","",$L$4+4)</f>
        <v>46101</v>
      </c>
      <c r="D14" s="24"/>
      <c r="E14" s="22"/>
      <c r="F14" s="21"/>
      <c r="G14" s="22"/>
      <c r="H14" s="25"/>
      <c r="I14" s="30"/>
      <c r="J14" s="21"/>
      <c r="K14" s="22"/>
      <c r="L14" s="21"/>
      <c r="M14" s="22"/>
      <c r="N14" s="44"/>
      <c r="O14" s="45">
        <v>0.48</v>
      </c>
      <c r="P14" s="43">
        <f t="shared" si="0"/>
        <v>0</v>
      </c>
    </row>
    <row r="15" spans="2:16" ht="30" customHeight="1" x14ac:dyDescent="0.3">
      <c r="B15" s="10" t="str">
        <f>IFERROR(TEXT('Biweekly Expense Report CAD'!$C15,"aaaa"), "")</f>
        <v>Saturday</v>
      </c>
      <c r="C15" s="13">
        <f>IF($L$4="","",$L$4+5)</f>
        <v>46102</v>
      </c>
      <c r="D15" s="24"/>
      <c r="E15" s="22"/>
      <c r="F15" s="21"/>
      <c r="G15" s="22"/>
      <c r="H15" s="25"/>
      <c r="I15" s="30"/>
      <c r="J15" s="21"/>
      <c r="K15" s="22"/>
      <c r="L15" s="21"/>
      <c r="M15" s="22"/>
      <c r="N15" s="44"/>
      <c r="O15" s="45">
        <v>0.48</v>
      </c>
      <c r="P15" s="43">
        <f t="shared" si="0"/>
        <v>0</v>
      </c>
    </row>
    <row r="16" spans="2:16" ht="30" customHeight="1" x14ac:dyDescent="0.3">
      <c r="B16" s="10" t="str">
        <f>IFERROR(TEXT('Biweekly Expense Report CAD'!$C16,"aaaa"), "")</f>
        <v>Sunday</v>
      </c>
      <c r="C16" s="13">
        <f>IF($L$4="","",$L$4+6)</f>
        <v>46103</v>
      </c>
      <c r="D16" s="24"/>
      <c r="E16" s="22"/>
      <c r="F16" s="21"/>
      <c r="G16" s="22"/>
      <c r="H16" s="25"/>
      <c r="I16" s="30"/>
      <c r="J16" s="21"/>
      <c r="K16" s="22"/>
      <c r="L16" s="21"/>
      <c r="M16" s="22"/>
      <c r="N16" s="44"/>
      <c r="O16" s="45">
        <v>0.48</v>
      </c>
      <c r="P16" s="43">
        <f t="shared" si="0"/>
        <v>0</v>
      </c>
    </row>
    <row r="17" spans="2:16" ht="30" customHeight="1" x14ac:dyDescent="0.3">
      <c r="B17" s="10" t="str">
        <f>IFERROR(TEXT('Biweekly Expense Report CAD'!$C17,"aaaa"), "")</f>
        <v>Monday</v>
      </c>
      <c r="C17" s="13">
        <f>IF($L$4="","",$L$4+7)</f>
        <v>46104</v>
      </c>
      <c r="D17" s="24"/>
      <c r="E17" s="22"/>
      <c r="F17" s="21"/>
      <c r="G17" s="22"/>
      <c r="H17" s="25"/>
      <c r="I17" s="30"/>
      <c r="J17" s="21"/>
      <c r="K17" s="22"/>
      <c r="L17" s="21"/>
      <c r="M17" s="22"/>
      <c r="N17" s="44"/>
      <c r="O17" s="45">
        <v>0.48</v>
      </c>
      <c r="P17" s="43">
        <f t="shared" si="0"/>
        <v>0</v>
      </c>
    </row>
    <row r="18" spans="2:16" ht="30" customHeight="1" x14ac:dyDescent="0.3">
      <c r="B18" s="10" t="str">
        <f>IFERROR(TEXT('Biweekly Expense Report CAD'!$C18,"aaaa"), "")</f>
        <v>Tuesday</v>
      </c>
      <c r="C18" s="13">
        <f>IF($L$4="","",$L$4+8)</f>
        <v>46105</v>
      </c>
      <c r="D18" s="24"/>
      <c r="E18" s="22"/>
      <c r="F18" s="21"/>
      <c r="G18" s="22"/>
      <c r="H18" s="25"/>
      <c r="I18" s="30"/>
      <c r="J18" s="21"/>
      <c r="K18" s="22"/>
      <c r="L18" s="21"/>
      <c r="M18" s="22"/>
      <c r="N18" s="44"/>
      <c r="O18" s="45">
        <v>0.48</v>
      </c>
      <c r="P18" s="43">
        <f t="shared" si="0"/>
        <v>0</v>
      </c>
    </row>
    <row r="19" spans="2:16" ht="30" customHeight="1" x14ac:dyDescent="0.3">
      <c r="B19" s="10" t="str">
        <f>IFERROR(TEXT('Biweekly Expense Report CAD'!$C19,"aaaa"), "")</f>
        <v>Wednesday</v>
      </c>
      <c r="C19" s="13">
        <f>IF($L$4="","",$L$4+9)</f>
        <v>46106</v>
      </c>
      <c r="D19" s="24"/>
      <c r="E19" s="22"/>
      <c r="F19" s="21"/>
      <c r="G19" s="22"/>
      <c r="H19" s="25"/>
      <c r="I19" s="30"/>
      <c r="J19" s="21"/>
      <c r="K19" s="22"/>
      <c r="L19" s="21"/>
      <c r="M19" s="22"/>
      <c r="N19" s="44"/>
      <c r="O19" s="45">
        <v>0.48</v>
      </c>
      <c r="P19" s="43">
        <f t="shared" si="0"/>
        <v>0</v>
      </c>
    </row>
    <row r="20" spans="2:16" ht="30" customHeight="1" x14ac:dyDescent="0.3">
      <c r="B20" s="10" t="str">
        <f>IFERROR(TEXT('Biweekly Expense Report CAD'!$C20,"aaaa"), "")</f>
        <v>Thursday</v>
      </c>
      <c r="C20" s="13">
        <f>IF($L$4="","",$L$4+10)</f>
        <v>46107</v>
      </c>
      <c r="D20" s="24"/>
      <c r="E20" s="22"/>
      <c r="F20" s="21"/>
      <c r="G20" s="22"/>
      <c r="H20" s="25"/>
      <c r="I20" s="30"/>
      <c r="J20" s="21"/>
      <c r="K20" s="22"/>
      <c r="L20" s="21"/>
      <c r="M20" s="22"/>
      <c r="N20" s="44"/>
      <c r="O20" s="45">
        <v>0.48</v>
      </c>
      <c r="P20" s="43">
        <f t="shared" si="0"/>
        <v>0</v>
      </c>
    </row>
    <row r="21" spans="2:16" ht="30" customHeight="1" x14ac:dyDescent="0.3">
      <c r="B21" s="10" t="str">
        <f>IFERROR(TEXT('Biweekly Expense Report CAD'!$C21,"aaaa"), "")</f>
        <v>Friday</v>
      </c>
      <c r="C21" s="13">
        <f>IF($L$4="","",$L$4+11)</f>
        <v>46108</v>
      </c>
      <c r="D21" s="24"/>
      <c r="E21" s="22"/>
      <c r="F21" s="21"/>
      <c r="G21" s="22"/>
      <c r="H21" s="25"/>
      <c r="I21" s="30"/>
      <c r="J21" s="21"/>
      <c r="K21" s="22"/>
      <c r="L21" s="21"/>
      <c r="M21" s="22"/>
      <c r="N21" s="44"/>
      <c r="O21" s="45">
        <v>0.48</v>
      </c>
      <c r="P21" s="43">
        <f t="shared" si="0"/>
        <v>0</v>
      </c>
    </row>
    <row r="22" spans="2:16" ht="30" customHeight="1" x14ac:dyDescent="0.3">
      <c r="B22" s="10" t="str">
        <f>IFERROR(TEXT('Biweekly Expense Report CAD'!$C22,"aaaa"), "")</f>
        <v>Saturday</v>
      </c>
      <c r="C22" s="13">
        <f>IF($L$4="","",$L$4+12)</f>
        <v>46109</v>
      </c>
      <c r="D22" s="24"/>
      <c r="E22" s="22"/>
      <c r="F22" s="21"/>
      <c r="G22" s="22"/>
      <c r="H22" s="25"/>
      <c r="I22" s="30"/>
      <c r="J22" s="21"/>
      <c r="K22" s="22"/>
      <c r="L22" s="21"/>
      <c r="M22" s="22"/>
      <c r="N22" s="44"/>
      <c r="O22" s="45">
        <v>0.48</v>
      </c>
      <c r="P22" s="43">
        <f t="shared" si="0"/>
        <v>0</v>
      </c>
    </row>
    <row r="23" spans="2:16" ht="30" customHeight="1" x14ac:dyDescent="0.3">
      <c r="B23" s="16" t="str">
        <f>IFERROR(TEXT('Biweekly Expense Report CAD'!$C23,"aaaa"), "")</f>
        <v>Sunday</v>
      </c>
      <c r="C23" s="17">
        <f>IF($L$4="","",$L$4+13)</f>
        <v>46110</v>
      </c>
      <c r="D23" s="24"/>
      <c r="E23" s="22"/>
      <c r="F23" s="21"/>
      <c r="G23" s="22"/>
      <c r="H23" s="25"/>
      <c r="I23" s="30"/>
      <c r="J23" s="21"/>
      <c r="K23" s="22"/>
      <c r="L23" s="21"/>
      <c r="M23" s="22"/>
      <c r="N23" s="44"/>
      <c r="O23" s="45">
        <v>0.48</v>
      </c>
      <c r="P23" s="43">
        <f t="shared" si="0"/>
        <v>0</v>
      </c>
    </row>
    <row r="24" spans="2:16" ht="30" customHeight="1" thickBot="1" x14ac:dyDescent="0.35">
      <c r="C24" s="23" t="s">
        <v>4</v>
      </c>
      <c r="D24" s="27">
        <f t="shared" ref="D24:M24" si="1">IFERROR(SUM(D10:D23), "")</f>
        <v>0</v>
      </c>
      <c r="E24" s="28">
        <f t="shared" si="1"/>
        <v>0</v>
      </c>
      <c r="F24" s="28">
        <f t="shared" si="1"/>
        <v>0</v>
      </c>
      <c r="G24" s="28">
        <f t="shared" si="1"/>
        <v>0</v>
      </c>
      <c r="H24" s="29">
        <f t="shared" si="1"/>
        <v>0</v>
      </c>
      <c r="I24" s="27">
        <f t="shared" si="1"/>
        <v>0</v>
      </c>
      <c r="J24" s="28">
        <f t="shared" si="1"/>
        <v>0</v>
      </c>
      <c r="K24" s="28">
        <f t="shared" si="1"/>
        <v>0</v>
      </c>
      <c r="L24" s="28">
        <f t="shared" si="1"/>
        <v>0</v>
      </c>
      <c r="M24" s="28">
        <f t="shared" si="1"/>
        <v>0</v>
      </c>
      <c r="N24" s="39"/>
      <c r="O24" s="40"/>
      <c r="P24" s="41">
        <f>IFERROR(SUM(P10:P23),"$")</f>
        <v>0</v>
      </c>
    </row>
    <row r="25" spans="2:16" ht="30" customHeight="1" x14ac:dyDescent="0.3">
      <c r="D25" s="50"/>
      <c r="E25" s="50"/>
      <c r="F25" s="50"/>
      <c r="G25" s="50"/>
      <c r="H25" s="50"/>
      <c r="I25" s="50"/>
      <c r="J25" s="50"/>
      <c r="K25" s="50"/>
      <c r="L25" s="50"/>
      <c r="M25" s="50"/>
      <c r="N25" s="50"/>
    </row>
    <row r="26" spans="2:16" ht="30" customHeight="1" x14ac:dyDescent="0.3">
      <c r="D26" s="50"/>
      <c r="E26" s="50"/>
      <c r="F26" s="50"/>
      <c r="G26" s="50"/>
      <c r="H26" s="50"/>
      <c r="I26" s="50"/>
      <c r="J26" s="50"/>
      <c r="K26" s="50"/>
      <c r="L26" s="50"/>
      <c r="M26" s="50"/>
      <c r="N26" s="50"/>
    </row>
    <row r="27" spans="2:16" ht="30" customHeight="1" x14ac:dyDescent="0.3">
      <c r="D27" s="56" t="str">
        <f>'Biweekly Time Sheet'!D26:J26</f>
        <v xml:space="preserve">Henry Andkilde </v>
      </c>
      <c r="E27" s="56"/>
      <c r="F27" s="56"/>
      <c r="G27" s="56"/>
      <c r="H27" s="56"/>
      <c r="I27" s="56"/>
      <c r="J27" s="56"/>
      <c r="K27" s="56"/>
      <c r="L27" s="56"/>
      <c r="M27" s="56"/>
      <c r="N27" s="56"/>
      <c r="O27" s="56"/>
      <c r="P27" s="20">
        <f>'Biweekly Time Sheet'!L26</f>
        <v>46082</v>
      </c>
    </row>
    <row r="28" spans="2:16" ht="30" customHeight="1" x14ac:dyDescent="0.3">
      <c r="D28" s="50" t="s">
        <v>8</v>
      </c>
      <c r="E28" s="50"/>
      <c r="F28" s="50"/>
      <c r="G28" s="50"/>
      <c r="H28" s="50"/>
      <c r="I28" s="50"/>
      <c r="J28" s="50"/>
      <c r="K28" s="50"/>
      <c r="L28" s="50"/>
      <c r="M28" s="50"/>
      <c r="N28" s="50"/>
      <c r="P28" s="7" t="s">
        <v>9</v>
      </c>
    </row>
    <row r="29" spans="2:16" ht="30" customHeight="1" x14ac:dyDescent="0.3">
      <c r="P29" s="38" t="s">
        <v>42</v>
      </c>
    </row>
  </sheetData>
  <sheetProtection algorithmName="SHA-512" hashValue="GnBabSyAFKlz69vorJlsUnkfI35nuj0o8EenUaHL6p1Mj5sGzkZzMQZlau1Mlq8fRo1fONGqhA2HiNfUoZT4Tw==" saltValue="eLKFWnsDJt/QbiC7JWMDFw==" spinCount="100000" sheet="1" objects="1" scenarios="1"/>
  <protectedRanges>
    <protectedRange sqref="D10:O23" name="Range1"/>
  </protectedRanges>
  <mergeCells count="13">
    <mergeCell ref="D8:H8"/>
    <mergeCell ref="I8:O8"/>
    <mergeCell ref="B1:P1"/>
    <mergeCell ref="C3:D3"/>
    <mergeCell ref="L3:P3"/>
    <mergeCell ref="L4:P4"/>
    <mergeCell ref="L5:P5"/>
    <mergeCell ref="N6:P6"/>
    <mergeCell ref="D27:O27"/>
    <mergeCell ref="D25:N25"/>
    <mergeCell ref="D26:N26"/>
    <mergeCell ref="D28:N28"/>
    <mergeCell ref="N9:O9"/>
  </mergeCells>
  <dataValidations count="23">
    <dataValidation allowBlank="1" showInputMessage="1" showErrorMessage="1" prompt="Enter Street Address in cell at right" sqref="B3"/>
    <dataValidation allowBlank="1" showInputMessage="1" showErrorMessage="1" prompt="Enter Date in this cell" sqref="P25"/>
    <dataValidation allowBlank="1" showInputMessage="1" showErrorMessage="1" prompt="Enter Manager Signature in this cell" sqref="D27"/>
    <dataValidation allowBlank="1" showInputMessage="1" showErrorMessage="1" prompt="Enter Employee Signature in this cell" sqref="D25:O25"/>
    <dataValidation allowBlank="1" showInputMessage="1" showErrorMessage="1" prompt="Total hours for the entire period are automatically calculated in cells at right" sqref="C24"/>
    <dataValidation allowBlank="1" showInputMessage="1" showErrorMessage="1" prompt="Total Hours for each weekday are automatically calculated in this column under this heading" sqref="P9"/>
    <dataValidation allowBlank="1" showInputMessage="1" showErrorMessage="1" prompt="Enter Vacation hours in this column under this heading" sqref="N9"/>
    <dataValidation allowBlank="1" showInputMessage="1" showErrorMessage="1" prompt="Enter Sick hours in this column under this heading" sqref="M9"/>
    <dataValidation allowBlank="1" showInputMessage="1" showErrorMessage="1" prompt="Enter Overtime Hours in this column under this heading" sqref="E9:L9"/>
    <dataValidation allowBlank="1" showInputMessage="1" showErrorMessage="1" prompt="Date is automatically updated in this column under this heading based on Pay period start and end date in cells G3 and G4" sqref="C9"/>
    <dataValidation allowBlank="1" showInputMessage="1" showErrorMessage="1" prompt="Enter Regular Hours in this column under this heading" sqref="D9"/>
    <dataValidation allowBlank="1" showInputMessage="1" showErrorMessage="1" prompt="Enter Employee phone number in this cell" sqref="N6 P6"/>
    <dataValidation allowBlank="1" showInputMessage="1" showErrorMessage="1" prompt="Enter Employee phone number in cell at right" sqref="M6 O6"/>
    <dataValidation allowBlank="1" showInputMessage="1" showErrorMessage="1" prompt="Enter Pay period end date in this cell" sqref="L5"/>
    <dataValidation allowBlank="1" showInputMessage="1" showErrorMessage="1" prompt="Enter Pay period start date in cell at right" sqref="K4"/>
    <dataValidation allowBlank="1" showInputMessage="1" showErrorMessage="1" prompt="Enter Pay period end date in cell at right" sqref="K5"/>
    <dataValidation allowBlank="1" showInputMessage="1" showErrorMessage="1" prompt="Enter Pay period start date in this cell" sqref="L4"/>
    <dataValidation allowBlank="1" showInputMessage="1" showErrorMessage="1" prompt="Enter Employee name in this cell" sqref="L3"/>
    <dataValidation allowBlank="1" showInputMessage="1" showErrorMessage="1" prompt="Enter Employee name in cell at right" sqref="K3"/>
    <dataValidation allowBlank="1" showInputMessage="1" showErrorMessage="1" prompt="Enter Street Address in this cell" sqref="C3:D3"/>
    <dataValidation allowBlank="1" showInputMessage="1" showErrorMessage="1" prompt="Enter Company Name in this cell. Enter company Address in cells B3 to C5, Pay period start date and end date in cells G3 and G4, and employee details in cells B6 to G7" sqref="B2"/>
    <dataValidation allowBlank="1" showInputMessage="1" showErrorMessage="1" prompt="Title of this worksheet is in this cell" sqref="B1:P1"/>
    <dataValidation allowBlank="1" showInputMessage="1" showErrorMessage="1" prompt="Create a Biweekly Time Sheet in this worksheet. Total Hours and Total Pay are automatically calculated" sqref="A1"/>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79998168889431442"/>
    <pageSetUpPr fitToPage="1"/>
  </sheetPr>
  <dimension ref="B1:P29"/>
  <sheetViews>
    <sheetView showGridLines="0" showZeros="0" zoomScale="80" zoomScaleNormal="80" workbookViewId="0">
      <selection activeCell="G23" sqref="G23"/>
    </sheetView>
  </sheetViews>
  <sheetFormatPr defaultRowHeight="30" customHeight="1" x14ac:dyDescent="0.3"/>
  <cols>
    <col min="1" max="1" width="2.625" style="7" customWidth="1"/>
    <col min="2" max="13" width="15" style="7" customWidth="1"/>
    <col min="14" max="15" width="11.25" style="7" customWidth="1"/>
    <col min="16" max="16" width="15" style="7" customWidth="1"/>
    <col min="17" max="17" width="2.625" style="7" customWidth="1"/>
    <col min="18" max="16384" width="9" style="7"/>
  </cols>
  <sheetData>
    <row r="1" spans="2:16" ht="55.5" customHeight="1" x14ac:dyDescent="0.4">
      <c r="B1" s="51" t="s">
        <v>40</v>
      </c>
      <c r="C1" s="51"/>
      <c r="D1" s="51"/>
      <c r="E1" s="51"/>
      <c r="F1" s="51"/>
      <c r="G1" s="51"/>
      <c r="H1" s="51"/>
      <c r="I1" s="51"/>
      <c r="J1" s="51"/>
      <c r="K1" s="51"/>
      <c r="L1" s="51"/>
      <c r="M1" s="51"/>
      <c r="N1" s="51"/>
      <c r="O1" s="51"/>
      <c r="P1" s="51"/>
    </row>
    <row r="2" spans="2:16" ht="42.75" customHeight="1" x14ac:dyDescent="0.3">
      <c r="B2" s="1"/>
      <c r="C2" s="1"/>
      <c r="D2" s="1"/>
    </row>
    <row r="3" spans="2:16" ht="30" customHeight="1" x14ac:dyDescent="0.3">
      <c r="C3" s="50"/>
      <c r="D3" s="50"/>
      <c r="K3" s="4" t="s">
        <v>0</v>
      </c>
      <c r="L3" s="49" t="str">
        <f>'Biweekly Time Sheet'!H3</f>
        <v xml:space="preserve">Henry Andkilde </v>
      </c>
      <c r="M3" s="49"/>
      <c r="N3" s="49"/>
      <c r="O3" s="49"/>
      <c r="P3" s="49"/>
    </row>
    <row r="4" spans="2:16" ht="30" customHeight="1" x14ac:dyDescent="0.3">
      <c r="K4" s="5" t="s">
        <v>6</v>
      </c>
      <c r="L4" s="49">
        <f>'Biweekly Time Sheet'!H4</f>
        <v>46097</v>
      </c>
      <c r="M4" s="49"/>
      <c r="N4" s="49"/>
      <c r="O4" s="49"/>
      <c r="P4" s="49"/>
    </row>
    <row r="5" spans="2:16" ht="30" customHeight="1" x14ac:dyDescent="0.3">
      <c r="K5" s="5" t="s">
        <v>7</v>
      </c>
      <c r="L5" s="49">
        <f>'Biweekly Time Sheet'!H5</f>
        <v>46110</v>
      </c>
      <c r="M5" s="49"/>
      <c r="N5" s="49"/>
      <c r="O5" s="49"/>
      <c r="P5" s="49"/>
    </row>
    <row r="6" spans="2:16" ht="30" customHeight="1" x14ac:dyDescent="0.3">
      <c r="N6" s="50"/>
      <c r="O6" s="50"/>
      <c r="P6" s="50"/>
    </row>
    <row r="7" spans="2:16" ht="15" customHeight="1" thickBot="1" x14ac:dyDescent="0.35"/>
    <row r="8" spans="2:16" ht="22.5" customHeight="1" thickBot="1" x14ac:dyDescent="0.35">
      <c r="D8" s="59" t="s">
        <v>26</v>
      </c>
      <c r="E8" s="60"/>
      <c r="F8" s="60"/>
      <c r="G8" s="60"/>
      <c r="H8" s="61"/>
      <c r="I8" s="59" t="s">
        <v>27</v>
      </c>
      <c r="J8" s="60"/>
      <c r="K8" s="60"/>
      <c r="L8" s="60"/>
      <c r="M8" s="60"/>
      <c r="N8" s="60"/>
      <c r="O8" s="61"/>
    </row>
    <row r="9" spans="2:16" ht="39.75" customHeight="1" x14ac:dyDescent="0.3">
      <c r="B9" s="10" t="s">
        <v>1</v>
      </c>
      <c r="C9" s="10" t="s">
        <v>9</v>
      </c>
      <c r="D9" s="31" t="s">
        <v>15</v>
      </c>
      <c r="E9" s="32" t="s">
        <v>16</v>
      </c>
      <c r="F9" s="32" t="s">
        <v>17</v>
      </c>
      <c r="G9" s="32" t="s">
        <v>18</v>
      </c>
      <c r="H9" s="33" t="s">
        <v>19</v>
      </c>
      <c r="I9" s="31" t="s">
        <v>20</v>
      </c>
      <c r="J9" s="32" t="s">
        <v>21</v>
      </c>
      <c r="K9" s="32" t="s">
        <v>22</v>
      </c>
      <c r="L9" s="32" t="s">
        <v>23</v>
      </c>
      <c r="M9" s="32" t="s">
        <v>24</v>
      </c>
      <c r="N9" s="57" t="s">
        <v>25</v>
      </c>
      <c r="O9" s="58"/>
      <c r="P9" s="42" t="s">
        <v>4</v>
      </c>
    </row>
    <row r="10" spans="2:16" ht="30" customHeight="1" x14ac:dyDescent="0.3">
      <c r="B10" s="10" t="str">
        <f>IFERROR(TEXT('Biweekly Expense Report USD'!$C10,"aaaa"), "")</f>
        <v>Monday</v>
      </c>
      <c r="C10" s="13">
        <f>L4</f>
        <v>46097</v>
      </c>
      <c r="D10" s="24"/>
      <c r="E10" s="22"/>
      <c r="F10" s="21"/>
      <c r="G10" s="22"/>
      <c r="H10" s="25"/>
      <c r="I10" s="30"/>
      <c r="J10" s="21"/>
      <c r="K10" s="22"/>
      <c r="L10" s="21"/>
      <c r="M10" s="22"/>
      <c r="N10" s="44"/>
      <c r="O10" s="26">
        <v>0.48</v>
      </c>
      <c r="P10" s="43">
        <f>IFERROR(SUM(D10:M10)+(N10*O10), "")</f>
        <v>0</v>
      </c>
    </row>
    <row r="11" spans="2:16" ht="30" customHeight="1" x14ac:dyDescent="0.3">
      <c r="B11" s="10" t="str">
        <f>IFERROR(TEXT('Biweekly Expense Report USD'!$C11,"aaaa"), "")</f>
        <v>Tuesday</v>
      </c>
      <c r="C11" s="13">
        <f>IF($L$4="","",$L$4+1)</f>
        <v>46098</v>
      </c>
      <c r="D11" s="24"/>
      <c r="E11" s="22"/>
      <c r="F11" s="21"/>
      <c r="G11" s="22"/>
      <c r="H11" s="25"/>
      <c r="I11" s="30"/>
      <c r="J11" s="21"/>
      <c r="K11" s="22"/>
      <c r="L11" s="21"/>
      <c r="M11" s="22"/>
      <c r="N11" s="44"/>
      <c r="O11" s="45">
        <v>0.48</v>
      </c>
      <c r="P11" s="43">
        <f t="shared" ref="P11:P23" si="0">IFERROR(SUM(D11:M11)+(N11*O11), "")</f>
        <v>0</v>
      </c>
    </row>
    <row r="12" spans="2:16" ht="30" customHeight="1" x14ac:dyDescent="0.3">
      <c r="B12" s="10" t="str">
        <f>IFERROR(TEXT('Biweekly Expense Report USD'!$C12,"aaaa"), "")</f>
        <v>Wednesday</v>
      </c>
      <c r="C12" s="13">
        <f>IF($L$4="","",$L$4+2)</f>
        <v>46099</v>
      </c>
      <c r="D12" s="24"/>
      <c r="E12" s="22"/>
      <c r="F12" s="21"/>
      <c r="G12" s="22"/>
      <c r="H12" s="25"/>
      <c r="I12" s="30"/>
      <c r="J12" s="21"/>
      <c r="K12" s="22"/>
      <c r="L12" s="21"/>
      <c r="M12" s="22"/>
      <c r="N12" s="44"/>
      <c r="O12" s="45">
        <v>0.48</v>
      </c>
      <c r="P12" s="43">
        <f t="shared" si="0"/>
        <v>0</v>
      </c>
    </row>
    <row r="13" spans="2:16" ht="30" customHeight="1" x14ac:dyDescent="0.3">
      <c r="B13" s="10" t="str">
        <f>IFERROR(TEXT('Biweekly Expense Report USD'!$C13,"aaaa"), "")</f>
        <v>Thursday</v>
      </c>
      <c r="C13" s="13">
        <f>IF($L$4="","",$L$4+3)</f>
        <v>46100</v>
      </c>
      <c r="D13" s="24"/>
      <c r="E13" s="22"/>
      <c r="F13" s="21"/>
      <c r="G13" s="22"/>
      <c r="H13" s="25"/>
      <c r="I13" s="30"/>
      <c r="J13" s="21"/>
      <c r="K13" s="22"/>
      <c r="L13" s="21"/>
      <c r="M13" s="22"/>
      <c r="N13" s="44"/>
      <c r="O13" s="45">
        <v>0.48</v>
      </c>
      <c r="P13" s="43">
        <f t="shared" si="0"/>
        <v>0</v>
      </c>
    </row>
    <row r="14" spans="2:16" ht="30" customHeight="1" x14ac:dyDescent="0.3">
      <c r="B14" s="10" t="str">
        <f>IFERROR(TEXT('Biweekly Expense Report USD'!$C14,"aaaa"), "")</f>
        <v>Friday</v>
      </c>
      <c r="C14" s="13">
        <f>IF($L$4="","",$L$4+4)</f>
        <v>46101</v>
      </c>
      <c r="D14" s="24"/>
      <c r="E14" s="22"/>
      <c r="F14" s="21"/>
      <c r="G14" s="22"/>
      <c r="H14" s="25"/>
      <c r="I14" s="30"/>
      <c r="J14" s="21"/>
      <c r="K14" s="22"/>
      <c r="L14" s="21"/>
      <c r="M14" s="22"/>
      <c r="N14" s="44"/>
      <c r="O14" s="45">
        <v>0.48</v>
      </c>
      <c r="P14" s="43">
        <f t="shared" si="0"/>
        <v>0</v>
      </c>
    </row>
    <row r="15" spans="2:16" ht="30" customHeight="1" x14ac:dyDescent="0.3">
      <c r="B15" s="10" t="str">
        <f>IFERROR(TEXT('Biweekly Expense Report USD'!$C15,"aaaa"), "")</f>
        <v>Saturday</v>
      </c>
      <c r="C15" s="13">
        <f>IF($L$4="","",$L$4+5)</f>
        <v>46102</v>
      </c>
      <c r="D15" s="24"/>
      <c r="E15" s="22"/>
      <c r="F15" s="21"/>
      <c r="G15" s="22"/>
      <c r="H15" s="25"/>
      <c r="I15" s="30"/>
      <c r="J15" s="21"/>
      <c r="K15" s="22"/>
      <c r="L15" s="21"/>
      <c r="M15" s="22"/>
      <c r="N15" s="44"/>
      <c r="O15" s="45">
        <v>0.48</v>
      </c>
      <c r="P15" s="43">
        <f t="shared" si="0"/>
        <v>0</v>
      </c>
    </row>
    <row r="16" spans="2:16" ht="30" customHeight="1" x14ac:dyDescent="0.3">
      <c r="B16" s="10" t="str">
        <f>IFERROR(TEXT('Biweekly Expense Report USD'!$C16,"aaaa"), "")</f>
        <v>Sunday</v>
      </c>
      <c r="C16" s="13">
        <f>IF($L$4="","",$L$4+6)</f>
        <v>46103</v>
      </c>
      <c r="D16" s="24"/>
      <c r="E16" s="22"/>
      <c r="F16" s="21"/>
      <c r="G16" s="22"/>
      <c r="H16" s="25"/>
      <c r="I16" s="30"/>
      <c r="J16" s="21"/>
      <c r="K16" s="22"/>
      <c r="L16" s="21"/>
      <c r="M16" s="22"/>
      <c r="N16" s="44"/>
      <c r="O16" s="45">
        <v>0.48</v>
      </c>
      <c r="P16" s="43">
        <f t="shared" si="0"/>
        <v>0</v>
      </c>
    </row>
    <row r="17" spans="2:16" ht="30" customHeight="1" x14ac:dyDescent="0.3">
      <c r="B17" s="10" t="str">
        <f>IFERROR(TEXT('Biweekly Expense Report USD'!$C17,"aaaa"), "")</f>
        <v>Monday</v>
      </c>
      <c r="C17" s="13">
        <f>IF($L$4="","",$L$4+7)</f>
        <v>46104</v>
      </c>
      <c r="D17" s="24"/>
      <c r="E17" s="22"/>
      <c r="F17" s="21"/>
      <c r="G17" s="22"/>
      <c r="H17" s="25"/>
      <c r="I17" s="30"/>
      <c r="J17" s="21"/>
      <c r="K17" s="22"/>
      <c r="L17" s="21"/>
      <c r="M17" s="22"/>
      <c r="N17" s="44"/>
      <c r="O17" s="45">
        <v>0.48</v>
      </c>
      <c r="P17" s="43">
        <f t="shared" si="0"/>
        <v>0</v>
      </c>
    </row>
    <row r="18" spans="2:16" ht="30" customHeight="1" x14ac:dyDescent="0.3">
      <c r="B18" s="10" t="str">
        <f>IFERROR(TEXT('Biweekly Expense Report USD'!$C18,"aaaa"), "")</f>
        <v>Tuesday</v>
      </c>
      <c r="C18" s="13">
        <f>IF($L$4="","",$L$4+8)</f>
        <v>46105</v>
      </c>
      <c r="D18" s="24"/>
      <c r="E18" s="22"/>
      <c r="F18" s="21"/>
      <c r="G18" s="22"/>
      <c r="H18" s="25"/>
      <c r="I18" s="30"/>
      <c r="J18" s="21"/>
      <c r="K18" s="22"/>
      <c r="L18" s="21"/>
      <c r="M18" s="22"/>
      <c r="N18" s="44"/>
      <c r="O18" s="45">
        <v>0.48</v>
      </c>
      <c r="P18" s="43">
        <f t="shared" si="0"/>
        <v>0</v>
      </c>
    </row>
    <row r="19" spans="2:16" ht="30" customHeight="1" x14ac:dyDescent="0.3">
      <c r="B19" s="10" t="str">
        <f>IFERROR(TEXT('Biweekly Expense Report USD'!$C19,"aaaa"), "")</f>
        <v>Wednesday</v>
      </c>
      <c r="C19" s="13">
        <f>IF($L$4="","",$L$4+9)</f>
        <v>46106</v>
      </c>
      <c r="D19" s="24"/>
      <c r="E19" s="22"/>
      <c r="F19" s="21"/>
      <c r="G19" s="22"/>
      <c r="H19" s="25"/>
      <c r="I19" s="30"/>
      <c r="J19" s="21"/>
      <c r="K19" s="22"/>
      <c r="L19" s="21"/>
      <c r="M19" s="22"/>
      <c r="N19" s="44"/>
      <c r="O19" s="45">
        <v>0.48</v>
      </c>
      <c r="P19" s="43">
        <f t="shared" si="0"/>
        <v>0</v>
      </c>
    </row>
    <row r="20" spans="2:16" ht="30" customHeight="1" x14ac:dyDescent="0.3">
      <c r="B20" s="10" t="str">
        <f>IFERROR(TEXT('Biweekly Expense Report USD'!$C20,"aaaa"), "")</f>
        <v>Thursday</v>
      </c>
      <c r="C20" s="13">
        <f>IF($L$4="","",$L$4+10)</f>
        <v>46107</v>
      </c>
      <c r="D20" s="24"/>
      <c r="E20" s="22"/>
      <c r="F20" s="21"/>
      <c r="G20" s="22"/>
      <c r="H20" s="25"/>
      <c r="I20" s="30"/>
      <c r="J20" s="21"/>
      <c r="K20" s="22"/>
      <c r="L20" s="21"/>
      <c r="M20" s="22"/>
      <c r="N20" s="44"/>
      <c r="O20" s="45">
        <v>0.48</v>
      </c>
      <c r="P20" s="43">
        <f t="shared" si="0"/>
        <v>0</v>
      </c>
    </row>
    <row r="21" spans="2:16" ht="30" customHeight="1" x14ac:dyDescent="0.3">
      <c r="B21" s="10" t="str">
        <f>IFERROR(TEXT('Biweekly Expense Report USD'!$C21,"aaaa"), "")</f>
        <v>Friday</v>
      </c>
      <c r="C21" s="13">
        <f>IF($L$4="","",$L$4+11)</f>
        <v>46108</v>
      </c>
      <c r="D21" s="24"/>
      <c r="E21" s="22"/>
      <c r="F21" s="21"/>
      <c r="G21" s="22"/>
      <c r="H21" s="25"/>
      <c r="I21" s="30"/>
      <c r="J21" s="21"/>
      <c r="K21" s="22"/>
      <c r="L21" s="21"/>
      <c r="M21" s="22"/>
      <c r="N21" s="44"/>
      <c r="O21" s="45">
        <v>0.48</v>
      </c>
      <c r="P21" s="43">
        <f t="shared" si="0"/>
        <v>0</v>
      </c>
    </row>
    <row r="22" spans="2:16" ht="30" customHeight="1" x14ac:dyDescent="0.3">
      <c r="B22" s="10" t="str">
        <f>IFERROR(TEXT('Biweekly Expense Report USD'!$C22,"aaaa"), "")</f>
        <v>Saturday</v>
      </c>
      <c r="C22" s="13">
        <f>IF($L$4="","",$L$4+12)</f>
        <v>46109</v>
      </c>
      <c r="D22" s="24"/>
      <c r="E22" s="22"/>
      <c r="F22" s="21"/>
      <c r="G22" s="22"/>
      <c r="H22" s="25"/>
      <c r="I22" s="30"/>
      <c r="J22" s="21"/>
      <c r="K22" s="22"/>
      <c r="L22" s="21"/>
      <c r="M22" s="22"/>
      <c r="N22" s="44"/>
      <c r="O22" s="45">
        <v>0.48</v>
      </c>
      <c r="P22" s="43">
        <f t="shared" si="0"/>
        <v>0</v>
      </c>
    </row>
    <row r="23" spans="2:16" ht="30" customHeight="1" x14ac:dyDescent="0.3">
      <c r="B23" s="16" t="str">
        <f>IFERROR(TEXT('Biweekly Expense Report USD'!$C23,"aaaa"), "")</f>
        <v>Sunday</v>
      </c>
      <c r="C23" s="17">
        <f>IF($L$4="","",$L$4+13)</f>
        <v>46110</v>
      </c>
      <c r="D23" s="24"/>
      <c r="E23" s="22"/>
      <c r="F23" s="21"/>
      <c r="G23" s="22"/>
      <c r="H23" s="25"/>
      <c r="I23" s="30"/>
      <c r="J23" s="21"/>
      <c r="K23" s="22"/>
      <c r="L23" s="21"/>
      <c r="M23" s="22"/>
      <c r="N23" s="44"/>
      <c r="O23" s="45">
        <v>0.48</v>
      </c>
      <c r="P23" s="43">
        <f t="shared" si="0"/>
        <v>0</v>
      </c>
    </row>
    <row r="24" spans="2:16" ht="30" customHeight="1" thickBot="1" x14ac:dyDescent="0.35">
      <c r="C24" s="23" t="s">
        <v>4</v>
      </c>
      <c r="D24" s="27">
        <f t="shared" ref="D24:M24" si="1">IFERROR(SUM(D10:D23), "")</f>
        <v>0</v>
      </c>
      <c r="E24" s="28">
        <f t="shared" si="1"/>
        <v>0</v>
      </c>
      <c r="F24" s="28">
        <f t="shared" si="1"/>
        <v>0</v>
      </c>
      <c r="G24" s="28">
        <f t="shared" si="1"/>
        <v>0</v>
      </c>
      <c r="H24" s="29">
        <f t="shared" si="1"/>
        <v>0</v>
      </c>
      <c r="I24" s="27">
        <f t="shared" si="1"/>
        <v>0</v>
      </c>
      <c r="J24" s="28">
        <f t="shared" si="1"/>
        <v>0</v>
      </c>
      <c r="K24" s="28">
        <f t="shared" si="1"/>
        <v>0</v>
      </c>
      <c r="L24" s="28">
        <f t="shared" si="1"/>
        <v>0</v>
      </c>
      <c r="M24" s="28">
        <f t="shared" si="1"/>
        <v>0</v>
      </c>
      <c r="N24" s="39"/>
      <c r="O24" s="40"/>
      <c r="P24" s="41">
        <f>IFERROR(SUM(P10:P23),"$")</f>
        <v>0</v>
      </c>
    </row>
    <row r="25" spans="2:16" ht="30" customHeight="1" x14ac:dyDescent="0.3">
      <c r="D25" s="50"/>
      <c r="E25" s="50"/>
      <c r="F25" s="50"/>
      <c r="G25" s="50"/>
      <c r="H25" s="50"/>
      <c r="I25" s="50"/>
      <c r="J25" s="50"/>
      <c r="K25" s="50"/>
      <c r="L25" s="50"/>
      <c r="M25" s="50"/>
      <c r="N25" s="50"/>
    </row>
    <row r="26" spans="2:16" ht="30" customHeight="1" x14ac:dyDescent="0.3">
      <c r="D26" s="50"/>
      <c r="E26" s="50"/>
      <c r="F26" s="50"/>
      <c r="G26" s="50"/>
      <c r="H26" s="50"/>
      <c r="I26" s="50"/>
      <c r="J26" s="50"/>
      <c r="K26" s="50"/>
      <c r="L26" s="50"/>
      <c r="M26" s="50"/>
      <c r="N26" s="50"/>
    </row>
    <row r="27" spans="2:16" ht="30" customHeight="1" x14ac:dyDescent="0.3">
      <c r="D27" s="56" t="str">
        <f>'Biweekly Time Sheet'!D26:J26</f>
        <v xml:space="preserve">Henry Andkilde </v>
      </c>
      <c r="E27" s="56"/>
      <c r="F27" s="56"/>
      <c r="G27" s="56"/>
      <c r="H27" s="56"/>
      <c r="I27" s="56"/>
      <c r="J27" s="56"/>
      <c r="K27" s="56"/>
      <c r="L27" s="56"/>
      <c r="M27" s="56"/>
      <c r="N27" s="56"/>
      <c r="O27" s="56"/>
      <c r="P27" s="20">
        <f>'Biweekly Time Sheet'!L26</f>
        <v>46082</v>
      </c>
    </row>
    <row r="28" spans="2:16" ht="30" customHeight="1" x14ac:dyDescent="0.3">
      <c r="D28" s="50" t="s">
        <v>8</v>
      </c>
      <c r="E28" s="50"/>
      <c r="F28" s="50"/>
      <c r="G28" s="50"/>
      <c r="H28" s="50"/>
      <c r="I28" s="50"/>
      <c r="J28" s="50"/>
      <c r="K28" s="50"/>
      <c r="L28" s="50"/>
      <c r="M28" s="50"/>
      <c r="N28" s="50"/>
      <c r="P28" s="7" t="s">
        <v>9</v>
      </c>
    </row>
    <row r="29" spans="2:16" ht="30" customHeight="1" x14ac:dyDescent="0.3">
      <c r="P29" s="38" t="s">
        <v>42</v>
      </c>
    </row>
  </sheetData>
  <sheetProtection algorithmName="SHA-512" hashValue="lRJVRgYnsjgWqKL0MncdYLcsGr1a9s1fBr+8HSVgb/0KzbDqMPiMkfY3vtw4NT+yUkbY9eGvelAASp43qloQ0w==" saltValue="fq9jHSGKy5O4v3D9mE3XCw==" spinCount="100000" sheet="1" objects="1" scenarios="1"/>
  <protectedRanges>
    <protectedRange sqref="D10:O23" name="Range1"/>
  </protectedRanges>
  <mergeCells count="13">
    <mergeCell ref="N6:P6"/>
    <mergeCell ref="B1:P1"/>
    <mergeCell ref="C3:D3"/>
    <mergeCell ref="L3:P3"/>
    <mergeCell ref="L4:P4"/>
    <mergeCell ref="L5:P5"/>
    <mergeCell ref="D28:N28"/>
    <mergeCell ref="D27:O27"/>
    <mergeCell ref="D8:H8"/>
    <mergeCell ref="I8:O8"/>
    <mergeCell ref="N9:O9"/>
    <mergeCell ref="D25:N25"/>
    <mergeCell ref="D26:N26"/>
  </mergeCells>
  <dataValidations count="23">
    <dataValidation allowBlank="1" showInputMessage="1" showErrorMessage="1" prompt="Create a Biweekly Time Sheet in this worksheet. Total Hours and Total Pay are automatically calculated" sqref="A1"/>
    <dataValidation allowBlank="1" showInputMessage="1" showErrorMessage="1" prompt="Title of this worksheet is in this cell" sqref="B1:P1"/>
    <dataValidation allowBlank="1" showInputMessage="1" showErrorMessage="1" prompt="Enter Company Name in this cell. Enter company Address in cells B3 to C5, Pay period start date and end date in cells G3 and G4, and employee details in cells B6 to G7" sqref="B2"/>
    <dataValidation allowBlank="1" showInputMessage="1" showErrorMessage="1" prompt="Enter Street Address in this cell" sqref="C3:D3"/>
    <dataValidation allowBlank="1" showInputMessage="1" showErrorMessage="1" prompt="Enter Employee name in cell at right" sqref="K3"/>
    <dataValidation allowBlank="1" showInputMessage="1" showErrorMessage="1" prompt="Enter Employee name in this cell" sqref="L3"/>
    <dataValidation allowBlank="1" showInputMessage="1" showErrorMessage="1" prompt="Enter Pay period start date in this cell" sqref="L4"/>
    <dataValidation allowBlank="1" showInputMessage="1" showErrorMessage="1" prompt="Enter Pay period end date in cell at right" sqref="K5"/>
    <dataValidation allowBlank="1" showInputMessage="1" showErrorMessage="1" prompt="Enter Pay period start date in cell at right" sqref="K4"/>
    <dataValidation allowBlank="1" showInputMessage="1" showErrorMessage="1" prompt="Enter Pay period end date in this cell" sqref="L5"/>
    <dataValidation allowBlank="1" showInputMessage="1" showErrorMessage="1" prompt="Enter Employee phone number in cell at right" sqref="M6 O6"/>
    <dataValidation allowBlank="1" showInputMessage="1" showErrorMessage="1" prompt="Enter Employee phone number in this cell" sqref="N6 P6"/>
    <dataValidation allowBlank="1" showInputMessage="1" showErrorMessage="1" prompt="Enter Regular Hours in this column under this heading" sqref="D9"/>
    <dataValidation allowBlank="1" showInputMessage="1" showErrorMessage="1" prompt="Date is automatically updated in this column under this heading based on Pay period start and end date in cells G3 and G4" sqref="C9"/>
    <dataValidation allowBlank="1" showInputMessage="1" showErrorMessage="1" prompt="Enter Overtime Hours in this column under this heading" sqref="E9:L9"/>
    <dataValidation allowBlank="1" showInputMessage="1" showErrorMessage="1" prompt="Enter Sick hours in this column under this heading" sqref="M9"/>
    <dataValidation allowBlank="1" showInputMessage="1" showErrorMessage="1" prompt="Enter Vacation hours in this column under this heading" sqref="N9"/>
    <dataValidation allowBlank="1" showInputMessage="1" showErrorMessage="1" prompt="Total Hours for each weekday are automatically calculated in this column under this heading" sqref="P9"/>
    <dataValidation allowBlank="1" showInputMessage="1" showErrorMessage="1" prompt="Total hours for the entire period are automatically calculated in cells at right" sqref="C24"/>
    <dataValidation allowBlank="1" showInputMessage="1" showErrorMessage="1" prompt="Enter Employee Signature in this cell" sqref="D25:O25"/>
    <dataValidation allowBlank="1" showInputMessage="1" showErrorMessage="1" prompt="Enter Manager Signature in this cell" sqref="D27"/>
    <dataValidation allowBlank="1" showInputMessage="1" showErrorMessage="1" prompt="Enter Date in this cell" sqref="P25"/>
    <dataValidation allowBlank="1" showInputMessage="1" showErrorMessage="1" prompt="Enter Street Address in cell at right" sqref="B3"/>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79998168889431442"/>
  </sheetPr>
  <dimension ref="A1:D11"/>
  <sheetViews>
    <sheetView workbookViewId="0">
      <selection activeCell="I19" sqref="I19"/>
    </sheetView>
  </sheetViews>
  <sheetFormatPr defaultRowHeight="16.5" x14ac:dyDescent="0.3"/>
  <cols>
    <col min="1" max="1" width="24.375" bestFit="1" customWidth="1"/>
  </cols>
  <sheetData>
    <row r="1" spans="1:4" ht="17.25" thickBot="1" x14ac:dyDescent="0.35">
      <c r="A1" s="34" t="s">
        <v>28</v>
      </c>
      <c r="B1" s="34"/>
      <c r="C1" s="34"/>
      <c r="D1" s="34"/>
    </row>
    <row r="2" spans="1:4" x14ac:dyDescent="0.3">
      <c r="A2" s="35" t="s">
        <v>29</v>
      </c>
      <c r="B2" s="35"/>
      <c r="C2" s="36">
        <f>'Biweekly Time Sheet'!D$23</f>
        <v>51</v>
      </c>
      <c r="D2" s="35"/>
    </row>
    <row r="3" spans="1:4" x14ac:dyDescent="0.3">
      <c r="A3" s="35" t="s">
        <v>30</v>
      </c>
      <c r="B3" s="35"/>
      <c r="C3" s="36">
        <f>'Biweekly Time Sheet'!E$23</f>
        <v>0</v>
      </c>
      <c r="D3" s="35"/>
    </row>
    <row r="4" spans="1:4" x14ac:dyDescent="0.3">
      <c r="A4" s="35" t="s">
        <v>31</v>
      </c>
      <c r="B4" s="35"/>
      <c r="C4" s="36">
        <f>'Biweekly Time Sheet'!F$23</f>
        <v>0</v>
      </c>
      <c r="D4" s="35"/>
    </row>
    <row r="5" spans="1:4" x14ac:dyDescent="0.3">
      <c r="A5" s="35" t="s">
        <v>32</v>
      </c>
      <c r="B5" s="35"/>
      <c r="C5" s="36">
        <f>'Biweekly Time Sheet'!G$23</f>
        <v>0</v>
      </c>
      <c r="D5" s="35"/>
    </row>
    <row r="6" spans="1:4" x14ac:dyDescent="0.3">
      <c r="A6" s="35" t="s">
        <v>43</v>
      </c>
      <c r="B6" s="35"/>
      <c r="C6" s="36">
        <f>'Biweekly Time Sheet'!H$23</f>
        <v>0</v>
      </c>
      <c r="D6" s="35"/>
    </row>
    <row r="7" spans="1:4" x14ac:dyDescent="0.3">
      <c r="A7" s="35" t="s">
        <v>33</v>
      </c>
      <c r="B7" s="35"/>
      <c r="C7" s="36">
        <f>'Biweekly Time Sheet'!I$23</f>
        <v>0</v>
      </c>
      <c r="D7" s="35"/>
    </row>
    <row r="8" spans="1:4" x14ac:dyDescent="0.3">
      <c r="A8" s="35" t="s">
        <v>34</v>
      </c>
      <c r="B8" s="35"/>
      <c r="C8" s="36">
        <f>'Biweekly Time Sheet'!J$23</f>
        <v>0</v>
      </c>
      <c r="D8" s="35"/>
    </row>
    <row r="9" spans="1:4" s="8" customFormat="1" x14ac:dyDescent="0.3">
      <c r="A9" s="35" t="s">
        <v>47</v>
      </c>
      <c r="B9" s="35"/>
      <c r="C9" s="36">
        <f>'Biweekly Time Sheet'!K$23</f>
        <v>0</v>
      </c>
      <c r="D9" s="35"/>
    </row>
    <row r="10" spans="1:4" x14ac:dyDescent="0.3">
      <c r="A10" s="35" t="s">
        <v>35</v>
      </c>
      <c r="B10" s="35"/>
      <c r="C10" s="37">
        <f>'Biweekly Expense Report CAD'!P24</f>
        <v>0</v>
      </c>
      <c r="D10" s="35" t="s">
        <v>37</v>
      </c>
    </row>
    <row r="11" spans="1:4" x14ac:dyDescent="0.3">
      <c r="A11" s="35" t="s">
        <v>36</v>
      </c>
      <c r="B11" s="35"/>
      <c r="C11" s="37">
        <f>'Biweekly Expense Report USD'!P24</f>
        <v>0</v>
      </c>
      <c r="D11" s="35" t="s">
        <v>38</v>
      </c>
    </row>
  </sheetData>
  <sheetProtection algorithmName="SHA-512" hashValue="HNK4NihvdguCrY6gXuTqnF5Vg6DVuovB7yQWTPojgvGOUesNMxBQiiqo2laf26J8+5BbPsPA86oOZIjufGFkCA==" saltValue="xejSDbccmvELslpG02U4tQ==" spinCount="100000"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22</vt:i4>
      </vt:variant>
    </vt:vector>
  </HeadingPairs>
  <TitlesOfParts>
    <vt:vector size="26" baseType="lpstr">
      <vt:lpstr>Biweekly Time Sheet</vt:lpstr>
      <vt:lpstr>Biweekly Expense Report CAD</vt:lpstr>
      <vt:lpstr>Biweekly Expense Report USD</vt:lpstr>
      <vt:lpstr>Accounting Use Only</vt:lpstr>
      <vt:lpstr>'Biweekly Time Sheet'!Print_Area</vt:lpstr>
      <vt:lpstr>'Biweekly Expense Report CAD'!Print_Titles</vt:lpstr>
      <vt:lpstr>'Biweekly Expense Report USD'!Print_Titles</vt:lpstr>
      <vt:lpstr>'Biweekly Time Sheet'!Print_Titles</vt:lpstr>
      <vt:lpstr>'Biweekly Expense Report CAD'!RowTitleRegion1..C5</vt:lpstr>
      <vt:lpstr>'Biweekly Expense Report USD'!RowTitleRegion1..C5</vt:lpstr>
      <vt:lpstr>RowTitleRegion1..C5</vt:lpstr>
      <vt:lpstr>'Biweekly Expense Report CAD'!RowTitleRegion2..G4</vt:lpstr>
      <vt:lpstr>'Biweekly Expense Report USD'!RowTitleRegion2..G4</vt:lpstr>
      <vt:lpstr>RowTitleRegion2..G4</vt:lpstr>
      <vt:lpstr>'Biweekly Expense Report CAD'!RowTitleRegion3..C7</vt:lpstr>
      <vt:lpstr>'Biweekly Expense Report USD'!RowTitleRegion3..C7</vt:lpstr>
      <vt:lpstr>RowTitleRegion3..C7</vt:lpstr>
      <vt:lpstr>'Biweekly Expense Report CAD'!RowTitleRegion4..G7</vt:lpstr>
      <vt:lpstr>'Biweekly Expense Report USD'!RowTitleRegion4..G7</vt:lpstr>
      <vt:lpstr>RowTitleRegion4..G7</vt:lpstr>
      <vt:lpstr>'Biweekly Expense Report CAD'!RowTitleRegion5..H24</vt:lpstr>
      <vt:lpstr>'Biweekly Expense Report USD'!RowTitleRegion5..H24</vt:lpstr>
      <vt:lpstr>RowTitleRegion5..H24</vt:lpstr>
      <vt:lpstr>'Biweekly Expense Report CAD'!Title1</vt:lpstr>
      <vt:lpstr>'Biweekly Expense Report USD'!Title1</vt:lpstr>
      <vt:lpstr>Title1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LAPTOP</dc:creator>
  <cp:lastModifiedBy>R&amp;D Controls Corp</cp:lastModifiedBy>
  <cp:lastPrinted>2026-03-05T12:06:07Z</cp:lastPrinted>
  <dcterms:created xsi:type="dcterms:W3CDTF">2017-09-11T06:48:50Z</dcterms:created>
  <dcterms:modified xsi:type="dcterms:W3CDTF">2026-03-30T13:19:04Z</dcterms:modified>
</cp:coreProperties>
</file>